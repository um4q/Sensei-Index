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9103-HTP-102" sheetId="2" state="visible" r:id="rId2"/>
    <sheet name="29103-HTP-100" sheetId="3" state="visible" r:id="rId3"/>
    <sheet name="29103-HTP-101" sheetId="4" state="visible" r:id="rId4"/>
    <sheet name="29103-HTP-004" sheetId="5" state="visible" r:id="rId5"/>
    <sheet name="29103-HTP-005" sheetId="6" state="visible" r:id="rId6"/>
    <sheet name="29103-HTP-003" sheetId="7" state="visible" r:id="rId7"/>
    <sheet name="29103-HTP-002" sheetId="8" state="visible" r:id="rId8"/>
    <sheet name="29151-HTP-001" sheetId="9" state="visible" r:id="rId9"/>
    <sheet name="29152-HTP-001" sheetId="10" state="visible" r:id="rId10"/>
    <sheet name="Drain Tank Fieldbus" sheetId="11" state="visible" r:id="rId11"/>
  </sheets>
  <definedNames>
    <definedName name="_xlnm._FilterDatabase" localSheetId="1" hidden="1">'29103-HTP-102'!$A$4:$AN$148</definedName>
    <definedName name="_xlnm._FilterDatabase" localSheetId="2" hidden="1">'29103-HTP-100'!$A$4:$AN$64</definedName>
    <definedName name="_xlnm._FilterDatabase" localSheetId="3" hidden="1">'29103-HTP-101'!$A$4:$AN$79</definedName>
    <definedName name="_xlnm._FilterDatabase" localSheetId="4" hidden="1">'29103-HTP-004'!$A$4:$AN$266</definedName>
    <definedName name="_xlnm._FilterDatabase" localSheetId="5" hidden="1">'29103-HTP-005'!$A$4:$AN$252</definedName>
    <definedName name="_xlnm._FilterDatabase" localSheetId="6" hidden="1">'29103-HTP-003'!$A$4:$AN$273</definedName>
    <definedName name="_xlnm._FilterDatabase" localSheetId="7" hidden="1">'29103-HTP-002'!$A$4:$AN$246</definedName>
    <definedName name="_xlnm._FilterDatabase" localSheetId="8" hidden="1">'29151-HTP-001'!$A$4:$AN$39</definedName>
    <definedName name="_xlnm._FilterDatabase" localSheetId="9" hidden="1">'29152-HTP-001'!$A$4:$AN$37</definedName>
    <definedName name="_xlnm._FilterDatabase" localSheetId="10" hidden="1">'Drain Tank Fieldbus'!$A$4:$AN$13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dxfs count="3">
    <dxf>
      <font>
        <name val="Calibri"/>
        <color rgb="00006100"/>
        <sz val="11"/>
      </font>
      <fill>
        <patternFill patternType="solid">
          <fgColor rgb="00C6EFCE"/>
        </patternFill>
      </fill>
    </dxf>
    <dxf>
      <font>
        <name val="Calibri"/>
        <color rgb="009C0006"/>
        <sz val="11"/>
      </font>
      <fill>
        <patternFill patternType="solid">
          <fgColor rgb="00FFC7CE"/>
        </patternFill>
      </fill>
    </dxf>
    <dxf>
      <font>
        <name val="Calibri"/>
        <color rgb="00808080"/>
        <sz val="11"/>
      </font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EHT ITR Summary</t>
        </is>
      </c>
    </row>
    <row r="4" ht="32" customHeight="1">
      <c r="A4" s="2" t="inlineStr">
        <is>
          <t>Panel</t>
        </is>
      </c>
      <c r="B4" s="2" t="inlineStr">
        <is>
          <t>Total</t>
        </is>
      </c>
      <c r="C4" s="2" t="inlineStr">
        <is>
          <t>Traces</t>
        </is>
      </c>
      <c r="D4" s="2" t="inlineStr">
        <is>
          <t>Power</t>
        </is>
      </c>
      <c r="E4" s="2" t="inlineStr">
        <is>
          <t>RTDs</t>
        </is>
      </c>
      <c r="F4" s="2" t="inlineStr">
        <is>
          <t>RTD Cables</t>
        </is>
      </c>
      <c r="G4" s="2" t="inlineStr">
        <is>
          <t>ITR</t>
        </is>
      </c>
      <c r="H4" s="2" t="inlineStr">
        <is>
          <t>Visual</t>
        </is>
      </c>
      <c r="I4" s="2" t="inlineStr">
        <is>
          <t>Rec. Megger</t>
        </is>
      </c>
      <c r="J4" s="2" t="inlineStr">
        <is>
          <t>Pre-Insul Megger</t>
        </is>
      </c>
      <c r="K4" s="2" t="inlineStr">
        <is>
          <t>Post-Insul Megger</t>
        </is>
      </c>
      <c r="L4" s="2" t="inlineStr">
        <is>
          <t>Cable IR</t>
        </is>
      </c>
      <c r="M4" s="2" t="inlineStr">
        <is>
          <t>Cable Cont.</t>
        </is>
      </c>
      <c r="N4" s="2" t="inlineStr">
        <is>
          <t>RTD Pre</t>
        </is>
      </c>
      <c r="O4" s="2" t="inlineStr">
        <is>
          <t>RTD Post</t>
        </is>
      </c>
      <c r="P4" s="2" t="inlineStr">
        <is>
          <t>Dated</t>
        </is>
      </c>
      <c r="Q4" s="2" t="inlineStr">
        <is>
          <t>Complete</t>
        </is>
      </c>
    </row>
    <row r="5">
      <c r="A5" s="3" t="inlineStr">
        <is>
          <t>29103-HTP-102</t>
        </is>
      </c>
      <c r="B5" s="4">
        <f>COUNTA('29103-HTP-102'!$B$5:$B$148)</f>
        <v>144</v>
      </c>
      <c r="C5" s="4">
        <f>COUNTIF('29103-HTP-102'!$A$5:$A$148,"EHT Trace")</f>
        <v>56</v>
      </c>
      <c r="D5" s="4">
        <f>COUNTIF('29103-HTP-102'!$A$5:$A$148,"Power Cable")</f>
        <v>38</v>
      </c>
      <c r="E5" s="4">
        <f>COUNTIF('29103-HTP-102'!$A$5:$A$148,"RTD")</f>
        <v>22</v>
      </c>
      <c r="F5" s="4">
        <f>COUNTIF('29103-HTP-102'!$A$5:$A$148,"RTD Cable")</f>
        <v>28</v>
      </c>
      <c r="G5" s="4" t="str">
        <f>COUNTIF('29103-HTP-102'!$I$5:$I$148,"YES")&amp;" / "&amp;(COUNTA('29103-HTP-102'!$I$5:$I$148)-COUNTIF('29103-HTP-102'!$I$5:$I$148,"N/A"))</f>
        <v>144 / 144</v>
      </c>
      <c r="H5" s="4" t="str">
        <f>COUNTIF('29103-HTP-102'!$J$5:$J$148,"YES")&amp;" / "&amp;(COUNTA('29103-HTP-102'!$J$5:$J$148)-COUNTIF('29103-HTP-102'!$J$5:$J$148,"N/A"))</f>
        <v>0 / 144</v>
      </c>
      <c r="I5" s="4" t="str">
        <f>COUNTIF('29103-HTP-102'!$K$5:$K$148,"YES")&amp;" / "&amp;(COUNTA('29103-HTP-102'!$K$5:$K$148)-COUNTIF('29103-HTP-102'!$K$5:$K$148,"N/A"))</f>
        <v>10 / 56</v>
      </c>
      <c r="J5" s="4" t="str">
        <f>COUNTIF('29103-HTP-102'!$L$5:$L$148,"YES")&amp;" / "&amp;(COUNTA('29103-HTP-102'!$L$5:$L$148)-COUNTIF('29103-HTP-102'!$L$5:$L$148,"N/A"))</f>
        <v>0 / 56</v>
      </c>
      <c r="K5" s="4" t="str">
        <f>COUNTIF('29103-HTP-102'!$M$5:$M$148,"YES")&amp;" / "&amp;(COUNTA('29103-HTP-102'!$M$5:$M$148)-COUNTIF('29103-HTP-102'!$M$5:$M$148,"N/A"))</f>
        <v>0 / 56</v>
      </c>
      <c r="L5" s="4" t="str">
        <f>COUNTIF('29103-HTP-102'!$N$5:$N$148,"YES")&amp;" / "&amp;(COUNTA('29103-HTP-102'!$N$5:$N$148)-COUNTIF('29103-HTP-102'!$N$5:$N$148,"N/A"))</f>
        <v>0 / 38</v>
      </c>
      <c r="M5" s="4" t="str">
        <f>COUNTIF('29103-HTP-102'!$O$5:$O$148,"YES")&amp;" / "&amp;(COUNTA('29103-HTP-102'!$O$5:$O$148)-COUNTIF('29103-HTP-102'!$O$5:$O$148,"N/A"))</f>
        <v>0 / 66</v>
      </c>
      <c r="N5" s="4" t="str">
        <f>COUNTIF('29103-HTP-102'!$P$5:$P$148,"YES")&amp;" / "&amp;(COUNTA('29103-HTP-102'!$P$5:$P$148)-COUNTIF('29103-HTP-102'!$P$5:$P$148,"N/A"))</f>
        <v>0 / 22</v>
      </c>
      <c r="O5" s="4" t="str">
        <f>COUNTIF('29103-HTP-102'!$Q$5:$Q$148,"YES")&amp;" / "&amp;(COUNTA('29103-HTP-102'!$Q$5:$Q$148)-COUNTIF('29103-HTP-102'!$Q$5:$Q$148,"N/A"))</f>
        <v>0 / 22</v>
      </c>
      <c r="P5" s="4" t="str">
        <f>COUNTIF('29103-HTP-102'!$R$5:$R$148,"YES")&amp;" / "&amp;(COUNTA('29103-HTP-102'!$R$5:$R$148)-COUNTIF('29103-HTP-102'!$R$5:$R$148,"N/A"))</f>
        <v>0 / 144</v>
      </c>
      <c r="Q5" s="4" t="str">
        <f>COUNTIF('29103-HTP-102'!$S$5:$S$148,"YES")&amp;" / "&amp;(COUNTA('29103-HTP-102'!$S$5:$S$148)-COUNTIF('29103-HTP-102'!$S$5:$S$148,"N/A"))</f>
        <v>0 / 144</v>
      </c>
    </row>
    <row r="6">
      <c r="A6" s="3" t="inlineStr">
        <is>
          <t>29103-HTP-100</t>
        </is>
      </c>
      <c r="B6" s="4">
        <f>COUNTA('29103-HTP-100'!$B$5:$B$64)</f>
        <v>60</v>
      </c>
      <c r="C6" s="4">
        <f>COUNTIF('29103-HTP-100'!$A$5:$A$64,"EHT Trace")</f>
        <v>21</v>
      </c>
      <c r="D6" s="4">
        <f>COUNTIF('29103-HTP-100'!$A$5:$A$64,"Power Cable")</f>
        <v>15</v>
      </c>
      <c r="E6" s="4">
        <f>COUNTIF('29103-HTP-100'!$A$5:$A$64,"RTD")</f>
        <v>12</v>
      </c>
      <c r="F6" s="4">
        <f>COUNTIF('29103-HTP-100'!$A$5:$A$64,"RTD Cable")</f>
        <v>12</v>
      </c>
      <c r="G6" s="4" t="str">
        <f>COUNTIF('29103-HTP-100'!$I$5:$I$64,"YES")&amp;" / "&amp;(COUNTA('29103-HTP-100'!$I$5:$I$64)-COUNTIF('29103-HTP-100'!$I$5:$I$64,"N/A"))</f>
        <v>60 / 60</v>
      </c>
      <c r="H6" s="4" t="str">
        <f>COUNTIF('29103-HTP-100'!$J$5:$J$64,"YES")&amp;" / "&amp;(COUNTA('29103-HTP-100'!$J$5:$J$64)-COUNTIF('29103-HTP-100'!$J$5:$J$64,"N/A"))</f>
        <v>2 / 60</v>
      </c>
      <c r="I6" s="4" t="str">
        <f>COUNTIF('29103-HTP-100'!$K$5:$K$64,"YES")&amp;" / "&amp;(COUNTA('29103-HTP-100'!$K$5:$K$64)-COUNTIF('29103-HTP-100'!$K$5:$K$64,"N/A"))</f>
        <v>2 / 21</v>
      </c>
      <c r="J6" s="4" t="str">
        <f>COUNTIF('29103-HTP-100'!$L$5:$L$64,"YES")&amp;" / "&amp;(COUNTA('29103-HTP-100'!$L$5:$L$64)-COUNTIF('29103-HTP-100'!$L$5:$L$64,"N/A"))</f>
        <v>2 / 21</v>
      </c>
      <c r="K6" s="4" t="str">
        <f>COUNTIF('29103-HTP-100'!$M$5:$M$64,"YES")&amp;" / "&amp;(COUNTA('29103-HTP-100'!$M$5:$M$64)-COUNTIF('29103-HTP-100'!$M$5:$M$64,"N/A"))</f>
        <v>0 / 21</v>
      </c>
      <c r="L6" s="4" t="str">
        <f>COUNTIF('29103-HTP-100'!$N$5:$N$64,"YES")&amp;" / "&amp;(COUNTA('29103-HTP-100'!$N$5:$N$64)-COUNTIF('29103-HTP-100'!$N$5:$N$64,"N/A"))</f>
        <v>0 / 15</v>
      </c>
      <c r="M6" s="4" t="str">
        <f>COUNTIF('29103-HTP-100'!$O$5:$O$64,"YES")&amp;" / "&amp;(COUNTA('29103-HTP-100'!$O$5:$O$64)-COUNTIF('29103-HTP-100'!$O$5:$O$64,"N/A"))</f>
        <v>0 / 27</v>
      </c>
      <c r="N6" s="4" t="str">
        <f>COUNTIF('29103-HTP-100'!$P$5:$P$64,"YES")&amp;" / "&amp;(COUNTA('29103-HTP-100'!$P$5:$P$64)-COUNTIF('29103-HTP-100'!$P$5:$P$64,"N/A"))</f>
        <v>0 / 12</v>
      </c>
      <c r="O6" s="4" t="str">
        <f>COUNTIF('29103-HTP-100'!$Q$5:$Q$64,"YES")&amp;" / "&amp;(COUNTA('29103-HTP-100'!$Q$5:$Q$64)-COUNTIF('29103-HTP-100'!$Q$5:$Q$64,"N/A"))</f>
        <v>0 / 12</v>
      </c>
      <c r="P6" s="4" t="str">
        <f>COUNTIF('29103-HTP-100'!$R$5:$R$64,"YES")&amp;" / "&amp;(COUNTA('29103-HTP-100'!$R$5:$R$64)-COUNTIF('29103-HTP-100'!$R$5:$R$64,"N/A"))</f>
        <v>4 / 60</v>
      </c>
      <c r="Q6" s="4" t="str">
        <f>COUNTIF('29103-HTP-100'!$S$5:$S$64,"YES")&amp;" / "&amp;(COUNTA('29103-HTP-100'!$S$5:$S$64)-COUNTIF('29103-HTP-100'!$S$5:$S$64,"N/A"))</f>
        <v>0 / 60</v>
      </c>
    </row>
    <row r="7">
      <c r="A7" s="3" t="inlineStr">
        <is>
          <t>29103-HTP-101</t>
        </is>
      </c>
      <c r="B7" s="4">
        <f>COUNTA('29103-HTP-101'!$B$5:$B$79)</f>
        <v>75</v>
      </c>
      <c r="C7" s="4">
        <f>COUNTIF('29103-HTP-101'!$A$5:$A$79,"EHT Trace")</f>
        <v>28</v>
      </c>
      <c r="D7" s="4">
        <f>COUNTIF('29103-HTP-101'!$A$5:$A$79,"Power Cable")</f>
        <v>19</v>
      </c>
      <c r="E7" s="4">
        <f>COUNTIF('29103-HTP-101'!$A$5:$A$79,"RTD")</f>
        <v>13</v>
      </c>
      <c r="F7" s="4">
        <f>COUNTIF('29103-HTP-101'!$A$5:$A$79,"RTD Cable")</f>
        <v>15</v>
      </c>
      <c r="G7" s="4" t="str">
        <f>COUNTIF('29103-HTP-101'!$I$5:$I$79,"YES")&amp;" / "&amp;(COUNTA('29103-HTP-101'!$I$5:$I$79)-COUNTIF('29103-HTP-101'!$I$5:$I$79,"N/A"))</f>
        <v>75 / 75</v>
      </c>
      <c r="H7" s="4" t="str">
        <f>COUNTIF('29103-HTP-101'!$J$5:$J$79,"YES")&amp;" / "&amp;(COUNTA('29103-HTP-101'!$J$5:$J$79)-COUNTIF('29103-HTP-101'!$J$5:$J$79,"N/A"))</f>
        <v>0 / 75</v>
      </c>
      <c r="I7" s="4" t="str">
        <f>COUNTIF('29103-HTP-101'!$K$5:$K$79,"YES")&amp;" / "&amp;(COUNTA('29103-HTP-101'!$K$5:$K$79)-COUNTIF('29103-HTP-101'!$K$5:$K$79,"N/A"))</f>
        <v>8 / 28</v>
      </c>
      <c r="J7" s="4" t="str">
        <f>COUNTIF('29103-HTP-101'!$L$5:$L$79,"YES")&amp;" / "&amp;(COUNTA('29103-HTP-101'!$L$5:$L$79)-COUNTIF('29103-HTP-101'!$L$5:$L$79,"N/A"))</f>
        <v>2 / 28</v>
      </c>
      <c r="K7" s="4" t="str">
        <f>COUNTIF('29103-HTP-101'!$M$5:$M$79,"YES")&amp;" / "&amp;(COUNTA('29103-HTP-101'!$M$5:$M$79)-COUNTIF('29103-HTP-101'!$M$5:$M$79,"N/A"))</f>
        <v>0 / 28</v>
      </c>
      <c r="L7" s="4" t="str">
        <f>COUNTIF('29103-HTP-101'!$N$5:$N$79,"YES")&amp;" / "&amp;(COUNTA('29103-HTP-101'!$N$5:$N$79)-COUNTIF('29103-HTP-101'!$N$5:$N$79,"N/A"))</f>
        <v>0 / 19</v>
      </c>
      <c r="M7" s="4" t="str">
        <f>COUNTIF('29103-HTP-101'!$O$5:$O$79,"YES")&amp;" / "&amp;(COUNTA('29103-HTP-101'!$O$5:$O$79)-COUNTIF('29103-HTP-101'!$O$5:$O$79,"N/A"))</f>
        <v>0 / 34</v>
      </c>
      <c r="N7" s="4" t="str">
        <f>COUNTIF('29103-HTP-101'!$P$5:$P$79,"YES")&amp;" / "&amp;(COUNTA('29103-HTP-101'!$P$5:$P$79)-COUNTIF('29103-HTP-101'!$P$5:$P$79,"N/A"))</f>
        <v>0 / 13</v>
      </c>
      <c r="O7" s="4" t="str">
        <f>COUNTIF('29103-HTP-101'!$Q$5:$Q$79,"YES")&amp;" / "&amp;(COUNTA('29103-HTP-101'!$Q$5:$Q$79)-COUNTIF('29103-HTP-101'!$Q$5:$Q$79,"N/A"))</f>
        <v>0 / 13</v>
      </c>
      <c r="P7" s="4" t="str">
        <f>COUNTIF('29103-HTP-101'!$R$5:$R$79,"YES")&amp;" / "&amp;(COUNTA('29103-HTP-101'!$R$5:$R$79)-COUNTIF('29103-HTP-101'!$R$5:$R$79,"N/A"))</f>
        <v>4 / 75</v>
      </c>
      <c r="Q7" s="4" t="str">
        <f>COUNTIF('29103-HTP-101'!$S$5:$S$79,"YES")&amp;" / "&amp;(COUNTA('29103-HTP-101'!$S$5:$S$79)-COUNTIF('29103-HTP-101'!$S$5:$S$79,"N/A"))</f>
        <v>0 / 75</v>
      </c>
    </row>
    <row r="8">
      <c r="A8" s="3" t="inlineStr">
        <is>
          <t>29103-HTP-004</t>
        </is>
      </c>
      <c r="B8" s="4">
        <f>COUNTA('29103-HTP-004'!$B$5:$B$266)</f>
        <v>262</v>
      </c>
      <c r="C8" s="4">
        <f>COUNTIF('29103-HTP-004'!$A$5:$A$266,"EHT Trace")</f>
        <v>116</v>
      </c>
      <c r="D8" s="4">
        <f>COUNTIF('29103-HTP-004'!$A$5:$A$266,"Power Cable")</f>
        <v>48</v>
      </c>
      <c r="E8" s="4">
        <f>COUNTIF('29103-HTP-004'!$A$5:$A$266,"RTD")</f>
        <v>47</v>
      </c>
      <c r="F8" s="4">
        <f>COUNTIF('29103-HTP-004'!$A$5:$A$266,"RTD Cable")</f>
        <v>51</v>
      </c>
      <c r="G8" s="4" t="str">
        <f>COUNTIF('29103-HTP-004'!$I$5:$I$266,"YES")&amp;" / "&amp;(COUNTA('29103-HTP-004'!$I$5:$I$266)-COUNTIF('29103-HTP-004'!$I$5:$I$266,"N/A"))</f>
        <v>262 / 262</v>
      </c>
      <c r="H8" s="4" t="str">
        <f>COUNTIF('29103-HTP-004'!$J$5:$J$266,"YES")&amp;" / "&amp;(COUNTA('29103-HTP-004'!$J$5:$J$266)-COUNTIF('29103-HTP-004'!$J$5:$J$266,"N/A"))</f>
        <v>0 / 262</v>
      </c>
      <c r="I8" s="4" t="str">
        <f>COUNTIF('29103-HTP-004'!$K$5:$K$266,"YES")&amp;" / "&amp;(COUNTA('29103-HTP-004'!$K$5:$K$266)-COUNTIF('29103-HTP-004'!$K$5:$K$266,"N/A"))</f>
        <v>45 / 116</v>
      </c>
      <c r="J8" s="4" t="str">
        <f>COUNTIF('29103-HTP-004'!$L$5:$L$266,"YES")&amp;" / "&amp;(COUNTA('29103-HTP-004'!$L$5:$L$266)-COUNTIF('29103-HTP-004'!$L$5:$L$266,"N/A"))</f>
        <v>0 / 116</v>
      </c>
      <c r="K8" s="4" t="str">
        <f>COUNTIF('29103-HTP-004'!$M$5:$M$266,"YES")&amp;" / "&amp;(COUNTA('29103-HTP-004'!$M$5:$M$266)-COUNTIF('29103-HTP-004'!$M$5:$M$266,"N/A"))</f>
        <v>0 / 116</v>
      </c>
      <c r="L8" s="4" t="str">
        <f>COUNTIF('29103-HTP-004'!$N$5:$N$266,"YES")&amp;" / "&amp;(COUNTA('29103-HTP-004'!$N$5:$N$266)-COUNTIF('29103-HTP-004'!$N$5:$N$266,"N/A"))</f>
        <v>0 / 48</v>
      </c>
      <c r="M8" s="4" t="str">
        <f>COUNTIF('29103-HTP-004'!$O$5:$O$266,"YES")&amp;" / "&amp;(COUNTA('29103-HTP-004'!$O$5:$O$266)-COUNTIF('29103-HTP-004'!$O$5:$O$266,"N/A"))</f>
        <v>0 / 99</v>
      </c>
      <c r="N8" s="4" t="str">
        <f>COUNTIF('29103-HTP-004'!$P$5:$P$266,"YES")&amp;" / "&amp;(COUNTA('29103-HTP-004'!$P$5:$P$266)-COUNTIF('29103-HTP-004'!$P$5:$P$266,"N/A"))</f>
        <v>0 / 47</v>
      </c>
      <c r="O8" s="4" t="str">
        <f>COUNTIF('29103-HTP-004'!$Q$5:$Q$266,"YES")&amp;" / "&amp;(COUNTA('29103-HTP-004'!$Q$5:$Q$266)-COUNTIF('29103-HTP-004'!$Q$5:$Q$266,"N/A"))</f>
        <v>0 / 47</v>
      </c>
      <c r="P8" s="4" t="str">
        <f>COUNTIF('29103-HTP-004'!$R$5:$R$266,"YES")&amp;" / "&amp;(COUNTA('29103-HTP-004'!$R$5:$R$266)-COUNTIF('29103-HTP-004'!$R$5:$R$266,"N/A"))</f>
        <v>0 / 262</v>
      </c>
      <c r="Q8" s="4" t="str">
        <f>COUNTIF('29103-HTP-004'!$S$5:$S$266,"YES")&amp;" / "&amp;(COUNTA('29103-HTP-004'!$S$5:$S$266)-COUNTIF('29103-HTP-004'!$S$5:$S$266,"N/A"))</f>
        <v>0 / 262</v>
      </c>
    </row>
    <row r="9">
      <c r="A9" s="3" t="inlineStr">
        <is>
          <t>29103-HTP-005</t>
        </is>
      </c>
      <c r="B9" s="4">
        <f>COUNTA('29103-HTP-005'!$B$5:$B$252)</f>
        <v>248</v>
      </c>
      <c r="C9" s="4">
        <f>COUNTIF('29103-HTP-005'!$A$5:$A$252,"EHT Trace")</f>
        <v>108</v>
      </c>
      <c r="D9" s="4">
        <f>COUNTIF('29103-HTP-005'!$A$5:$A$252,"Power Cable")</f>
        <v>47</v>
      </c>
      <c r="E9" s="4">
        <f>COUNTIF('29103-HTP-005'!$A$5:$A$252,"RTD")</f>
        <v>45</v>
      </c>
      <c r="F9" s="4">
        <f>COUNTIF('29103-HTP-005'!$A$5:$A$252,"RTD Cable")</f>
        <v>48</v>
      </c>
      <c r="G9" s="4" t="str">
        <f>COUNTIF('29103-HTP-005'!$I$5:$I$252,"YES")&amp;" / "&amp;(COUNTA('29103-HTP-005'!$I$5:$I$252)-COUNTIF('29103-HTP-005'!$I$5:$I$252,"N/A"))</f>
        <v>248 / 248</v>
      </c>
      <c r="H9" s="4" t="str">
        <f>COUNTIF('29103-HTP-005'!$J$5:$J$252,"YES")&amp;" / "&amp;(COUNTA('29103-HTP-005'!$J$5:$J$252)-COUNTIF('29103-HTP-005'!$J$5:$J$252,"N/A"))</f>
        <v>0 / 248</v>
      </c>
      <c r="I9" s="4" t="str">
        <f>COUNTIF('29103-HTP-005'!$K$5:$K$252,"YES")&amp;" / "&amp;(COUNTA('29103-HTP-005'!$K$5:$K$252)-COUNTIF('29103-HTP-005'!$K$5:$K$252,"N/A"))</f>
        <v>28 / 108</v>
      </c>
      <c r="J9" s="4" t="str">
        <f>COUNTIF('29103-HTP-005'!$L$5:$L$252,"YES")&amp;" / "&amp;(COUNTA('29103-HTP-005'!$L$5:$L$252)-COUNTIF('29103-HTP-005'!$L$5:$L$252,"N/A"))</f>
        <v>0 / 108</v>
      </c>
      <c r="K9" s="4" t="str">
        <f>COUNTIF('29103-HTP-005'!$M$5:$M$252,"YES")&amp;" / "&amp;(COUNTA('29103-HTP-005'!$M$5:$M$252)-COUNTIF('29103-HTP-005'!$M$5:$M$252,"N/A"))</f>
        <v>0 / 108</v>
      </c>
      <c r="L9" s="4" t="str">
        <f>COUNTIF('29103-HTP-005'!$N$5:$N$252,"YES")&amp;" / "&amp;(COUNTA('29103-HTP-005'!$N$5:$N$252)-COUNTIF('29103-HTP-005'!$N$5:$N$252,"N/A"))</f>
        <v>0 / 47</v>
      </c>
      <c r="M9" s="4" t="str">
        <f>COUNTIF('29103-HTP-005'!$O$5:$O$252,"YES")&amp;" / "&amp;(COUNTA('29103-HTP-005'!$O$5:$O$252)-COUNTIF('29103-HTP-005'!$O$5:$O$252,"N/A"))</f>
        <v>0 / 95</v>
      </c>
      <c r="N9" s="4" t="str">
        <f>COUNTIF('29103-HTP-005'!$P$5:$P$252,"YES")&amp;" / "&amp;(COUNTA('29103-HTP-005'!$P$5:$P$252)-COUNTIF('29103-HTP-005'!$P$5:$P$252,"N/A"))</f>
        <v>0 / 45</v>
      </c>
      <c r="O9" s="4" t="str">
        <f>COUNTIF('29103-HTP-005'!$Q$5:$Q$252,"YES")&amp;" / "&amp;(COUNTA('29103-HTP-005'!$Q$5:$Q$252)-COUNTIF('29103-HTP-005'!$Q$5:$Q$252,"N/A"))</f>
        <v>0 / 45</v>
      </c>
      <c r="P9" s="4" t="str">
        <f>COUNTIF('29103-HTP-005'!$R$5:$R$252,"YES")&amp;" / "&amp;(COUNTA('29103-HTP-005'!$R$5:$R$252)-COUNTIF('29103-HTP-005'!$R$5:$R$252,"N/A"))</f>
        <v>0 / 248</v>
      </c>
      <c r="Q9" s="4" t="str">
        <f>COUNTIF('29103-HTP-005'!$S$5:$S$252,"YES")&amp;" / "&amp;(COUNTA('29103-HTP-005'!$S$5:$S$252)-COUNTIF('29103-HTP-005'!$S$5:$S$252,"N/A"))</f>
        <v>0 / 248</v>
      </c>
    </row>
    <row r="10">
      <c r="A10" s="3" t="inlineStr">
        <is>
          <t>29103-HTP-003</t>
        </is>
      </c>
      <c r="B10" s="4">
        <f>COUNTA('29103-HTP-003'!$B$5:$B$273)</f>
        <v>269</v>
      </c>
      <c r="C10" s="4">
        <f>COUNTIF('29103-HTP-003'!$A$5:$A$273,"EHT Trace")</f>
        <v>118</v>
      </c>
      <c r="D10" s="4">
        <f>COUNTIF('29103-HTP-003'!$A$5:$A$273,"Power Cable")</f>
        <v>49</v>
      </c>
      <c r="E10" s="4">
        <f>COUNTIF('29103-HTP-003'!$A$5:$A$273,"RTD")</f>
        <v>49</v>
      </c>
      <c r="F10" s="4">
        <f>COUNTIF('29103-HTP-003'!$A$5:$A$273,"RTD Cable")</f>
        <v>53</v>
      </c>
      <c r="G10" s="4" t="str">
        <f>COUNTIF('29103-HTP-003'!$I$5:$I$273,"YES")&amp;" / "&amp;(COUNTA('29103-HTP-003'!$I$5:$I$273)-COUNTIF('29103-HTP-003'!$I$5:$I$273,"N/A"))</f>
        <v>269 / 269</v>
      </c>
      <c r="H10" s="4" t="str">
        <f>COUNTIF('29103-HTP-003'!$J$5:$J$273,"YES")&amp;" / "&amp;(COUNTA('29103-HTP-003'!$J$5:$J$273)-COUNTIF('29103-HTP-003'!$J$5:$J$273,"N/A"))</f>
        <v>9 / 269</v>
      </c>
      <c r="I10" s="4" t="str">
        <f>COUNTIF('29103-HTP-003'!$K$5:$K$273,"YES")&amp;" / "&amp;(COUNTA('29103-HTP-003'!$K$5:$K$273)-COUNTIF('29103-HTP-003'!$K$5:$K$273,"N/A"))</f>
        <v>32 / 118</v>
      </c>
      <c r="J10" s="4" t="str">
        <f>COUNTIF('29103-HTP-003'!$L$5:$L$273,"YES")&amp;" / "&amp;(COUNTA('29103-HTP-003'!$L$5:$L$273)-COUNTIF('29103-HTP-003'!$L$5:$L$273,"N/A"))</f>
        <v>3 / 118</v>
      </c>
      <c r="K10" s="4" t="str">
        <f>COUNTIF('29103-HTP-003'!$M$5:$M$273,"YES")&amp;" / "&amp;(COUNTA('29103-HTP-003'!$M$5:$M$273)-COUNTIF('29103-HTP-003'!$M$5:$M$273,"N/A"))</f>
        <v>0 / 118</v>
      </c>
      <c r="L10" s="4" t="str">
        <f>COUNTIF('29103-HTP-003'!$N$5:$N$273,"YES")&amp;" / "&amp;(COUNTA('29103-HTP-003'!$N$5:$N$273)-COUNTIF('29103-HTP-003'!$N$5:$N$273,"N/A"))</f>
        <v>0 / 49</v>
      </c>
      <c r="M10" s="4" t="str">
        <f>COUNTIF('29103-HTP-003'!$O$5:$O$273,"YES")&amp;" / "&amp;(COUNTA('29103-HTP-003'!$O$5:$O$273)-COUNTIF('29103-HTP-003'!$O$5:$O$273,"N/A"))</f>
        <v>0 / 102</v>
      </c>
      <c r="N10" s="4" t="str">
        <f>COUNTIF('29103-HTP-003'!$P$5:$P$273,"YES")&amp;" / "&amp;(COUNTA('29103-HTP-003'!$P$5:$P$273)-COUNTIF('29103-HTP-003'!$P$5:$P$273,"N/A"))</f>
        <v>0 / 49</v>
      </c>
      <c r="O10" s="4" t="str">
        <f>COUNTIF('29103-HTP-003'!$Q$5:$Q$273,"YES")&amp;" / "&amp;(COUNTA('29103-HTP-003'!$Q$5:$Q$273)-COUNTIF('29103-HTP-003'!$Q$5:$Q$273,"N/A"))</f>
        <v>0 / 49</v>
      </c>
      <c r="P10" s="4" t="str">
        <f>COUNTIF('29103-HTP-003'!$R$5:$R$273,"YES")&amp;" / "&amp;(COUNTA('29103-HTP-003'!$R$5:$R$273)-COUNTIF('29103-HTP-003'!$R$5:$R$273,"N/A"))</f>
        <v>9 / 269</v>
      </c>
      <c r="Q10" s="4" t="str">
        <f>COUNTIF('29103-HTP-003'!$S$5:$S$273,"YES")&amp;" / "&amp;(COUNTA('29103-HTP-003'!$S$5:$S$273)-COUNTIF('29103-HTP-003'!$S$5:$S$273,"N/A"))</f>
        <v>0 / 269</v>
      </c>
    </row>
    <row r="11">
      <c r="A11" s="3" t="inlineStr">
        <is>
          <t>29103-HTP-002</t>
        </is>
      </c>
      <c r="B11" s="4">
        <f>COUNTA('29103-HTP-002'!$B$5:$B$246)</f>
        <v>242</v>
      </c>
      <c r="C11" s="4">
        <f>COUNTIF('29103-HTP-002'!$A$5:$A$246,"EHT Trace")</f>
        <v>106</v>
      </c>
      <c r="D11" s="4">
        <f>COUNTIF('29103-HTP-002'!$A$5:$A$246,"Power Cable")</f>
        <v>46</v>
      </c>
      <c r="E11" s="4">
        <f>COUNTIF('29103-HTP-002'!$A$5:$A$246,"RTD")</f>
        <v>44</v>
      </c>
      <c r="F11" s="4">
        <f>COUNTIF('29103-HTP-002'!$A$5:$A$246,"RTD Cable")</f>
        <v>46</v>
      </c>
      <c r="G11" s="4" t="str">
        <f>COUNTIF('29103-HTP-002'!$I$5:$I$246,"YES")&amp;" / "&amp;(COUNTA('29103-HTP-002'!$I$5:$I$246)-COUNTIF('29103-HTP-002'!$I$5:$I$246,"N/A"))</f>
        <v>242 / 242</v>
      </c>
      <c r="H11" s="4" t="str">
        <f>COUNTIF('29103-HTP-002'!$J$5:$J$246,"YES")&amp;" / "&amp;(COUNTA('29103-HTP-002'!$J$5:$J$246)-COUNTIF('29103-HTP-002'!$J$5:$J$246,"N/A"))</f>
        <v>59 / 242</v>
      </c>
      <c r="I11" s="4" t="str">
        <f>COUNTIF('29103-HTP-002'!$K$5:$K$246,"YES")&amp;" / "&amp;(COUNTA('29103-HTP-002'!$K$5:$K$246)-COUNTIF('29103-HTP-002'!$K$5:$K$246,"N/A"))</f>
        <v>19 / 106</v>
      </c>
      <c r="J11" s="4" t="str">
        <f>COUNTIF('29103-HTP-002'!$L$5:$L$246,"YES")&amp;" / "&amp;(COUNTA('29103-HTP-002'!$L$5:$L$246)-COUNTIF('29103-HTP-002'!$L$5:$L$246,"N/A"))</f>
        <v>3 / 106</v>
      </c>
      <c r="K11" s="4" t="str">
        <f>COUNTIF('29103-HTP-002'!$M$5:$M$246,"YES")&amp;" / "&amp;(COUNTA('29103-HTP-002'!$M$5:$M$246)-COUNTIF('29103-HTP-002'!$M$5:$M$246,"N/A"))</f>
        <v>0 / 106</v>
      </c>
      <c r="L11" s="4" t="str">
        <f>COUNTIF('29103-HTP-002'!$N$5:$N$246,"YES")&amp;" / "&amp;(COUNTA('29103-HTP-002'!$N$5:$N$246)-COUNTIF('29103-HTP-002'!$N$5:$N$246,"N/A"))</f>
        <v>10 / 46</v>
      </c>
      <c r="M11" s="4" t="str">
        <f>COUNTIF('29103-HTP-002'!$O$5:$O$246,"YES")&amp;" / "&amp;(COUNTA('29103-HTP-002'!$O$5:$O$246)-COUNTIF('29103-HTP-002'!$O$5:$O$246,"N/A"))</f>
        <v>33 / 92</v>
      </c>
      <c r="N11" s="4" t="str">
        <f>COUNTIF('29103-HTP-002'!$P$5:$P$246,"YES")&amp;" / "&amp;(COUNTA('29103-HTP-002'!$P$5:$P$246)-COUNTIF('29103-HTP-002'!$P$5:$P$246,"N/A"))</f>
        <v>1 / 44</v>
      </c>
      <c r="O11" s="4" t="str">
        <f>COUNTIF('29103-HTP-002'!$Q$5:$Q$246,"YES")&amp;" / "&amp;(COUNTA('29103-HTP-002'!$Q$5:$Q$246)-COUNTIF('29103-HTP-002'!$Q$5:$Q$246,"N/A"))</f>
        <v>23 / 44</v>
      </c>
      <c r="P11" s="4" t="str">
        <f>COUNTIF('29103-HTP-002'!$R$5:$R$246,"YES")&amp;" / "&amp;(COUNTA('29103-HTP-002'!$R$5:$R$246)-COUNTIF('29103-HTP-002'!$R$5:$R$246,"N/A"))</f>
        <v>62 / 242</v>
      </c>
      <c r="Q11" s="4" t="str">
        <f>COUNTIF('29103-HTP-002'!$S$5:$S$246,"YES")&amp;" / "&amp;(COUNTA('29103-HTP-002'!$S$5:$S$246)-COUNTIF('29103-HTP-002'!$S$5:$S$246,"N/A"))</f>
        <v>33 / 242</v>
      </c>
    </row>
    <row r="12">
      <c r="A12" s="3" t="inlineStr">
        <is>
          <t>29151-HTP-001</t>
        </is>
      </c>
      <c r="B12" s="4">
        <f>COUNTA('29151-HTP-001'!$B$5:$B$39)</f>
        <v>35</v>
      </c>
      <c r="C12" s="4">
        <f>COUNTIF('29151-HTP-001'!$A$5:$A$39,"EHT Trace")</f>
        <v>18</v>
      </c>
      <c r="D12" s="4">
        <f>COUNTIF('29151-HTP-001'!$A$5:$A$39,"Power Cable")</f>
        <v>17</v>
      </c>
      <c r="E12" s="4">
        <f>COUNTIF('29151-HTP-001'!$A$5:$A$39,"RTD")</f>
        <v>0</v>
      </c>
      <c r="F12" s="4">
        <f>COUNTIF('29151-HTP-001'!$A$5:$A$39,"RTD Cable")</f>
        <v>0</v>
      </c>
      <c r="G12" s="4" t="str">
        <f>COUNTIF('29151-HTP-001'!$I$5:$I$39,"YES")&amp;" / "&amp;(COUNTA('29151-HTP-001'!$I$5:$I$39)-COUNTIF('29151-HTP-001'!$I$5:$I$39,"N/A"))</f>
        <v>35 / 35</v>
      </c>
      <c r="H12" s="4" t="str">
        <f>COUNTIF('29151-HTP-001'!$J$5:$J$39,"YES")&amp;" / "&amp;(COUNTA('29151-HTP-001'!$J$5:$J$39)-COUNTIF('29151-HTP-001'!$J$5:$J$39,"N/A"))</f>
        <v>17 / 35</v>
      </c>
      <c r="I12" s="4" t="str">
        <f>COUNTIF('29151-HTP-001'!$K$5:$K$39,"YES")&amp;" / "&amp;(COUNTA('29151-HTP-001'!$K$5:$K$39)-COUNTIF('29151-HTP-001'!$K$5:$K$39,"N/A"))</f>
        <v>1 / 18</v>
      </c>
      <c r="J12" s="4" t="str">
        <f>COUNTIF('29151-HTP-001'!$L$5:$L$39,"YES")&amp;" / "&amp;(COUNTA('29151-HTP-001'!$L$5:$L$39)-COUNTIF('29151-HTP-001'!$L$5:$L$39,"N/A"))</f>
        <v>0 / 18</v>
      </c>
      <c r="K12" s="4" t="str">
        <f>COUNTIF('29151-HTP-001'!$M$5:$M$39,"YES")&amp;" / "&amp;(COUNTA('29151-HTP-001'!$M$5:$M$39)-COUNTIF('29151-HTP-001'!$M$5:$M$39,"N/A"))</f>
        <v>0 / 18</v>
      </c>
      <c r="L12" s="4" t="str">
        <f>COUNTIF('29151-HTP-001'!$N$5:$N$39,"YES")&amp;" / "&amp;(COUNTA('29151-HTP-001'!$N$5:$N$39)-COUNTIF('29151-HTP-001'!$N$5:$N$39,"N/A"))</f>
        <v>17 / 17</v>
      </c>
      <c r="M12" s="4" t="str">
        <f>COUNTIF('29151-HTP-001'!$O$5:$O$39,"YES")&amp;" / "&amp;(COUNTA('29151-HTP-001'!$O$5:$O$39)-COUNTIF('29151-HTP-001'!$O$5:$O$39,"N/A"))</f>
        <v>17 / 17</v>
      </c>
      <c r="N12" s="4" t="str">
        <f>COUNTIF('29151-HTP-001'!$P$5:$P$39,"YES")&amp;" / "&amp;(COUNTA('29151-HTP-001'!$P$5:$P$39)-COUNTIF('29151-HTP-001'!$P$5:$P$39,"N/A"))</f>
        <v>0 / 0</v>
      </c>
      <c r="O12" s="4" t="str">
        <f>COUNTIF('29151-HTP-001'!$Q$5:$Q$39,"YES")&amp;" / "&amp;(COUNTA('29151-HTP-001'!$Q$5:$Q$39)-COUNTIF('29151-HTP-001'!$Q$5:$Q$39,"N/A"))</f>
        <v>0 / 0</v>
      </c>
      <c r="P12" s="4" t="str">
        <f>COUNTIF('29151-HTP-001'!$R$5:$R$39,"YES")&amp;" / "&amp;(COUNTA('29151-HTP-001'!$R$5:$R$39)-COUNTIF('29151-HTP-001'!$R$5:$R$39,"N/A"))</f>
        <v>17 / 35</v>
      </c>
      <c r="Q12" s="4" t="str">
        <f>COUNTIF('29151-HTP-001'!$S$5:$S$39,"YES")&amp;" / "&amp;(COUNTA('29151-HTP-001'!$S$5:$S$39)-COUNTIF('29151-HTP-001'!$S$5:$S$39,"N/A"))</f>
        <v>17 / 35</v>
      </c>
    </row>
    <row r="13">
      <c r="A13" s="3" t="inlineStr">
        <is>
          <t>29152-HTP-001</t>
        </is>
      </c>
      <c r="B13" s="4">
        <f>COUNTA('29152-HTP-001'!$B$5:$B$37)</f>
        <v>33</v>
      </c>
      <c r="C13" s="4">
        <f>COUNTIF('29152-HTP-001'!$A$5:$A$37,"EHT Trace")</f>
        <v>16</v>
      </c>
      <c r="D13" s="4">
        <f>COUNTIF('29152-HTP-001'!$A$5:$A$37,"Power Cable")</f>
        <v>17</v>
      </c>
      <c r="E13" s="4">
        <f>COUNTIF('29152-HTP-001'!$A$5:$A$37,"RTD")</f>
        <v>0</v>
      </c>
      <c r="F13" s="4">
        <f>COUNTIF('29152-HTP-001'!$A$5:$A$37,"RTD Cable")</f>
        <v>0</v>
      </c>
      <c r="G13" s="4" t="str">
        <f>COUNTIF('29152-HTP-001'!$I$5:$I$37,"YES")&amp;" / "&amp;(COUNTA('29152-HTP-001'!$I$5:$I$37)-COUNTIF('29152-HTP-001'!$I$5:$I$37,"N/A"))</f>
        <v>33 / 33</v>
      </c>
      <c r="H13" s="4" t="str">
        <f>COUNTIF('29152-HTP-001'!$J$5:$J$37,"YES")&amp;" / "&amp;(COUNTA('29152-HTP-001'!$J$5:$J$37)-COUNTIF('29152-HTP-001'!$J$5:$J$37,"N/A"))</f>
        <v>17 / 33</v>
      </c>
      <c r="I13" s="4" t="str">
        <f>COUNTIF('29152-HTP-001'!$K$5:$K$37,"YES")&amp;" / "&amp;(COUNTA('29152-HTP-001'!$K$5:$K$37)-COUNTIF('29152-HTP-001'!$K$5:$K$37,"N/A"))</f>
        <v>0 / 16</v>
      </c>
      <c r="J13" s="4" t="str">
        <f>COUNTIF('29152-HTP-001'!$L$5:$L$37,"YES")&amp;" / "&amp;(COUNTA('29152-HTP-001'!$L$5:$L$37)-COUNTIF('29152-HTP-001'!$L$5:$L$37,"N/A"))</f>
        <v>0 / 16</v>
      </c>
      <c r="K13" s="4" t="str">
        <f>COUNTIF('29152-HTP-001'!$M$5:$M$37,"YES")&amp;" / "&amp;(COUNTA('29152-HTP-001'!$M$5:$M$37)-COUNTIF('29152-HTP-001'!$M$5:$M$37,"N/A"))</f>
        <v>0 / 16</v>
      </c>
      <c r="L13" s="4" t="str">
        <f>COUNTIF('29152-HTP-001'!$N$5:$N$37,"YES")&amp;" / "&amp;(COUNTA('29152-HTP-001'!$N$5:$N$37)-COUNTIF('29152-HTP-001'!$N$5:$N$37,"N/A"))</f>
        <v>17 / 17</v>
      </c>
      <c r="M13" s="4" t="str">
        <f>COUNTIF('29152-HTP-001'!$O$5:$O$37,"YES")&amp;" / "&amp;(COUNTA('29152-HTP-001'!$O$5:$O$37)-COUNTIF('29152-HTP-001'!$O$5:$O$37,"N/A"))</f>
        <v>17 / 17</v>
      </c>
      <c r="N13" s="4" t="str">
        <f>COUNTIF('29152-HTP-001'!$P$5:$P$37,"YES")&amp;" / "&amp;(COUNTA('29152-HTP-001'!$P$5:$P$37)-COUNTIF('29152-HTP-001'!$P$5:$P$37,"N/A"))</f>
        <v>0 / 0</v>
      </c>
      <c r="O13" s="4" t="str">
        <f>COUNTIF('29152-HTP-001'!$Q$5:$Q$37,"YES")&amp;" / "&amp;(COUNTA('29152-HTP-001'!$Q$5:$Q$37)-COUNTIF('29152-HTP-001'!$Q$5:$Q$37,"N/A"))</f>
        <v>0 / 0</v>
      </c>
      <c r="P13" s="4" t="str">
        <f>COUNTIF('29152-HTP-001'!$R$5:$R$37,"YES")&amp;" / "&amp;(COUNTA('29152-HTP-001'!$R$5:$R$37)-COUNTIF('29152-HTP-001'!$R$5:$R$37,"N/A"))</f>
        <v>0 / 33</v>
      </c>
      <c r="Q13" s="4" t="str">
        <f>COUNTIF('29152-HTP-001'!$S$5:$S$37,"YES")&amp;" / "&amp;(COUNTA('29152-HTP-001'!$S$5:$S$37)-COUNTIF('29152-HTP-001'!$S$5:$S$37,"N/A"))</f>
        <v>0 / 33</v>
      </c>
    </row>
    <row r="14">
      <c r="A14" s="3" t="inlineStr">
        <is>
          <t>Drain Tank Fieldbus</t>
        </is>
      </c>
      <c r="B14" s="4">
        <f>COUNTA('Drain Tank Fieldbus'!$B$5:$B$13)</f>
        <v>9</v>
      </c>
      <c r="C14" s="4">
        <f>COUNTIF('Drain Tank Fieldbus'!$A$5:$A$13,"EHT Trace")</f>
        <v>0</v>
      </c>
      <c r="D14" s="4">
        <f>COUNTIF('Drain Tank Fieldbus'!$A$5:$A$13,"Power Cable")</f>
        <v>0</v>
      </c>
      <c r="E14" s="4">
        <f>COUNTIF('Drain Tank Fieldbus'!$A$5:$A$13,"RTD")</f>
        <v>0</v>
      </c>
      <c r="F14" s="4">
        <f>COUNTIF('Drain Tank Fieldbus'!$A$5:$A$13,"RTD Cable")</f>
        <v>0</v>
      </c>
      <c r="G14" s="4" t="str">
        <f>COUNTIF('Drain Tank Fieldbus'!$I$5:$I$13,"YES")&amp;" / "&amp;(COUNTA('Drain Tank Fieldbus'!$I$5:$I$13)-COUNTIF('Drain Tank Fieldbus'!$I$5:$I$13,"N/A"))</f>
        <v>9 / 9</v>
      </c>
      <c r="H14" s="4" t="str">
        <f>COUNTIF('Drain Tank Fieldbus'!$J$5:$J$13,"YES")&amp;" / "&amp;(COUNTA('Drain Tank Fieldbus'!$J$5:$J$13)-COUNTIF('Drain Tank Fieldbus'!$J$5:$J$13,"N/A"))</f>
        <v>9 / 9</v>
      </c>
      <c r="I14" s="4" t="str">
        <f>COUNTIF('Drain Tank Fieldbus'!$K$5:$K$13,"YES")&amp;" / "&amp;(COUNTA('Drain Tank Fieldbus'!$K$5:$K$13)-COUNTIF('Drain Tank Fieldbus'!$K$5:$K$13,"N/A"))</f>
        <v>0 / 0</v>
      </c>
      <c r="J14" s="4" t="str">
        <f>COUNTIF('Drain Tank Fieldbus'!$L$5:$L$13,"YES")&amp;" / "&amp;(COUNTA('Drain Tank Fieldbus'!$L$5:$L$13)-COUNTIF('Drain Tank Fieldbus'!$L$5:$L$13,"N/A"))</f>
        <v>0 / 0</v>
      </c>
      <c r="K14" s="4" t="str">
        <f>COUNTIF('Drain Tank Fieldbus'!$M$5:$M$13,"YES")&amp;" / "&amp;(COUNTA('Drain Tank Fieldbus'!$M$5:$M$13)-COUNTIF('Drain Tank Fieldbus'!$M$5:$M$13,"N/A"))</f>
        <v>0 / 0</v>
      </c>
      <c r="L14" s="4" t="str">
        <f>COUNTIF('Drain Tank Fieldbus'!$N$5:$N$13,"YES")&amp;" / "&amp;(COUNTA('Drain Tank Fieldbus'!$N$5:$N$13)-COUNTIF('Drain Tank Fieldbus'!$N$5:$N$13,"N/A"))</f>
        <v>0 / 0</v>
      </c>
      <c r="M14" s="4" t="str">
        <f>COUNTIF('Drain Tank Fieldbus'!$O$5:$O$13,"YES")&amp;" / "&amp;(COUNTA('Drain Tank Fieldbus'!$O$5:$O$13)-COUNTIF('Drain Tank Fieldbus'!$O$5:$O$13,"N/A"))</f>
        <v>9 / 9</v>
      </c>
      <c r="N14" s="4" t="str">
        <f>COUNTIF('Drain Tank Fieldbus'!$P$5:$P$13,"YES")&amp;" / "&amp;(COUNTA('Drain Tank Fieldbus'!$P$5:$P$13)-COUNTIF('Drain Tank Fieldbus'!$P$5:$P$13,"N/A"))</f>
        <v>0 / 0</v>
      </c>
      <c r="O14" s="4" t="str">
        <f>COUNTIF('Drain Tank Fieldbus'!$Q$5:$Q$13,"YES")&amp;" / "&amp;(COUNTA('Drain Tank Fieldbus'!$Q$5:$Q$13)-COUNTIF('Drain Tank Fieldbus'!$Q$5:$Q$13,"N/A"))</f>
        <v>0 / 0</v>
      </c>
      <c r="P14" s="4" t="str">
        <f>COUNTIF('Drain Tank Fieldbus'!$R$5:$R$13,"YES")&amp;" / "&amp;(COUNTA('Drain Tank Fieldbus'!$R$5:$R$13)-COUNTIF('Drain Tank Fieldbus'!$R$5:$R$13,"N/A"))</f>
        <v>9 / 9</v>
      </c>
      <c r="Q14" s="4" t="str">
        <f>COUNTIF('Drain Tank Fieldbus'!$S$5:$S$13,"YES")&amp;" / "&amp;(COUNTA('Drain Tank Fieldbus'!$S$5:$S$13)-COUNTIF('Drain Tank Fieldbus'!$S$5:$S$13,"N/A"))</f>
        <v>9 / 9</v>
      </c>
    </row>
    <row r="15">
      <c r="A15" s="5" t="inlineStr">
        <is>
          <t>Total</t>
        </is>
      </c>
      <c r="B15" s="5">
        <f>SUM(B5:B14)</f>
        <v>1377</v>
      </c>
      <c r="C15" s="5">
        <f>SUM(C5:C14)</f>
        <v>587</v>
      </c>
      <c r="D15" s="5">
        <f>SUM(D5:D14)</f>
        <v>296</v>
      </c>
      <c r="E15" s="5">
        <f>SUM(E5:E14)</f>
        <v>232</v>
      </c>
      <c r="F15" s="5">
        <f>SUM(F5:F14)</f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2" customWidth="1" min="4" max="4"/>
    <col width="20" customWidth="1" min="5" max="5"/>
    <col width="27" customWidth="1" min="6" max="6"/>
    <col width="6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24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60" customWidth="1" min="40" max="40"/>
  </cols>
  <sheetData>
    <row r="1">
      <c r="A1" s="1" t="inlineStr">
        <is>
          <t>29103-HTP-102</t>
        </is>
      </c>
    </row>
    <row r="3">
      <c r="A3" s="6" t="n"/>
      <c r="I3" s="7" t="inlineStr">
        <is>
          <t>CHECKSHEETS</t>
        </is>
      </c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7" t="inlineStr">
        <is>
          <t>TEST RESULTS</t>
        </is>
      </c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</row>
    <row r="4" ht="30" customHeight="1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9" t="inlineStr">
        <is>
          <t>EHT Trace</t>
        </is>
      </c>
      <c r="B5" s="9" t="inlineStr">
        <is>
          <t>29103-ET-A001-1-1</t>
        </is>
      </c>
      <c r="C5" s="9" t="inlineStr">
        <is>
          <t>29103-ET-A001-1</t>
        </is>
      </c>
      <c r="D5" s="9" t="inlineStr">
        <is>
          <t>HTC-31 / CB-31</t>
        </is>
      </c>
      <c r="E5" s="9" t="inlineStr">
        <is>
          <t>29103-A-001</t>
        </is>
      </c>
      <c r="F5" s="9" t="inlineStr">
        <is>
          <t>29103-65R-ET-A001-01-01</t>
        </is>
      </c>
      <c r="G5" s="9" t="inlineStr">
        <is>
          <t>13.1</t>
        </is>
      </c>
      <c r="H5" s="9" t="inlineStr">
        <is>
          <t>29103-ET-A001-1-1.pdf</t>
        </is>
      </c>
      <c r="I5" s="4" t="str">
        <f>IF($H5&lt;&gt;"","YES","NO")</f>
        <v>YES</v>
      </c>
      <c r="J5" s="4" t="str">
        <f>IF(N($T5)&gt;0,"YES","NO")</f>
        <v>NO</v>
      </c>
      <c r="K5" s="4" t="str">
        <f>IF(OR($A5="EHT Trace"),IF(AND($U5&lt;&gt;"",$V5&lt;&gt;""),"YES","NO"),"N/A")</f>
        <v>NO</v>
      </c>
      <c r="L5" s="4" t="str">
        <f>IF(OR($A5="EHT Trace"),IF(AND($X5&lt;&gt;"",$Y5&lt;&gt;""),"YES","NO"),"N/A")</f>
        <v>NO</v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NO</v>
      </c>
      <c r="S5" s="4" t="str">
        <f>IF(COUNTIF(I5:R5,"NO")=0,"YES","NO")</f>
        <v>NO</v>
      </c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inlineStr">
        <is>
          <t>5HTV2-CT</t>
        </is>
      </c>
      <c r="AK5" s="9" t="inlineStr">
        <is>
          <t>5.2 m m</t>
        </is>
      </c>
      <c r="AL5" s="9" t="inlineStr">
        <is>
          <t>Levy Ostrup</t>
        </is>
      </c>
      <c r="AM5" s="9" t="n"/>
      <c r="AN5" s="9" t="n"/>
    </row>
    <row r="6">
      <c r="A6" s="9" t="inlineStr">
        <is>
          <t>EHT Trace</t>
        </is>
      </c>
      <c r="B6" s="9" t="inlineStr">
        <is>
          <t>29103-ET-A001-1-2</t>
        </is>
      </c>
      <c r="C6" s="9" t="inlineStr">
        <is>
          <t>29103-ET-A001-1</t>
        </is>
      </c>
      <c r="D6" s="9" t="inlineStr">
        <is>
          <t>HTC-31 / CB-31</t>
        </is>
      </c>
      <c r="E6" s="9" t="inlineStr">
        <is>
          <t>29103-A-001</t>
        </is>
      </c>
      <c r="F6" s="9" t="inlineStr">
        <is>
          <t>29103-65R-ET-A001-01-01</t>
        </is>
      </c>
      <c r="G6" s="9" t="inlineStr">
        <is>
          <t>13.1</t>
        </is>
      </c>
      <c r="H6" s="9" t="inlineStr">
        <is>
          <t>29103-ET-A001-1-2.pdf</t>
        </is>
      </c>
      <c r="I6" s="4" t="str">
        <f>IF($H6&lt;&gt;"","YES","NO")</f>
        <v>YES</v>
      </c>
      <c r="J6" s="4" t="str">
        <f>IF(N($T6)&gt;0,"YES","NO")</f>
        <v>NO</v>
      </c>
      <c r="K6" s="4" t="str">
        <f>IF(OR($A6="EHT Trace"),IF(AND($U6&lt;&gt;"",$V6&lt;&gt;""),"YES","NO"),"N/A")</f>
        <v>NO</v>
      </c>
      <c r="L6" s="4" t="str">
        <f>IF(OR($A6="EHT Trace"),IF(AND($X6&lt;&gt;"",$Y6&lt;&gt;""),"YES","NO"),"N/A")</f>
        <v>NO</v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inlineStr">
        <is>
          <t>5HTV2-CT</t>
        </is>
      </c>
      <c r="AK6" s="9" t="inlineStr">
        <is>
          <t>5.2 m m</t>
        </is>
      </c>
      <c r="AL6" s="9" t="inlineStr">
        <is>
          <t>Levy Ostrup</t>
        </is>
      </c>
      <c r="AM6" s="9" t="n"/>
      <c r="AN6" s="9" t="n"/>
    </row>
    <row r="7">
      <c r="A7" s="9" t="inlineStr">
        <is>
          <t>EHT Trace</t>
        </is>
      </c>
      <c r="B7" s="9" t="inlineStr">
        <is>
          <t>29103-ET-HC1901-1-1</t>
        </is>
      </c>
      <c r="C7" s="9" t="inlineStr">
        <is>
          <t>29103-ET-HC1901-1</t>
        </is>
      </c>
      <c r="D7" s="9" t="inlineStr">
        <is>
          <t>HTC-05 / CB-05</t>
        </is>
      </c>
      <c r="E7" s="9" t="inlineStr">
        <is>
          <t>29103-HC-1901</t>
        </is>
      </c>
      <c r="F7" s="9" t="inlineStr">
        <is>
          <t>29103-65R-ET-HC1901-01-01</t>
        </is>
      </c>
      <c r="G7" s="9" t="inlineStr">
        <is>
          <t>13.1</t>
        </is>
      </c>
      <c r="H7" s="9" t="inlineStr">
        <is>
          <t>29103-ET-HC1901-1-1.pdf</t>
        </is>
      </c>
      <c r="I7" s="4" t="str">
        <f>IF($H7&lt;&gt;"","YES","NO")</f>
        <v>YES</v>
      </c>
      <c r="J7" s="4" t="str">
        <f>IF(N($T7)&gt;0,"YES","NO")</f>
        <v>NO</v>
      </c>
      <c r="K7" s="4" t="str">
        <f>IF(OR($A7="EHT Trace"),IF(AND($U7&lt;&gt;"",$V7&lt;&gt;""),"YES","NO"),"N/A")</f>
        <v>NO</v>
      </c>
      <c r="L7" s="4" t="str">
        <f>IF(OR($A7="EHT Trace"),IF(AND($X7&lt;&gt;"",$Y7&lt;&gt;""),"YES","NO"),"N/A")</f>
        <v>NO</v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inlineStr">
        <is>
          <t>20HTV2-CT</t>
        </is>
      </c>
      <c r="AK7" s="9" t="inlineStr">
        <is>
          <t>12.1 m m</t>
        </is>
      </c>
      <c r="AL7" s="9" t="inlineStr">
        <is>
          <t>Levy Ostrup</t>
        </is>
      </c>
      <c r="AM7" s="9" t="n"/>
      <c r="AN7" s="9" t="n"/>
    </row>
    <row r="8">
      <c r="A8" s="9" t="inlineStr">
        <is>
          <t>EHT Trace</t>
        </is>
      </c>
      <c r="B8" s="9" t="inlineStr">
        <is>
          <t>29103-ET-HC1902-1-1</t>
        </is>
      </c>
      <c r="C8" s="9" t="inlineStr">
        <is>
          <t>29103-ET-HC1902-1</t>
        </is>
      </c>
      <c r="D8" s="9" t="inlineStr">
        <is>
          <t>29103-AMB-015</t>
        </is>
      </c>
      <c r="E8" s="9" t="inlineStr">
        <is>
          <t>29103-HC-1902</t>
        </is>
      </c>
      <c r="F8" s="9" t="inlineStr">
        <is>
          <t>29103-65R-ET-HC1902-01-01</t>
        </is>
      </c>
      <c r="G8" s="9" t="inlineStr">
        <is>
          <t>13.1</t>
        </is>
      </c>
      <c r="H8" s="9" t="inlineStr">
        <is>
          <t>29103-ET-HC1902-1-1.pdf</t>
        </is>
      </c>
      <c r="I8" s="4" t="str">
        <f>IF($H8&lt;&gt;"","YES","NO")</f>
        <v>YES</v>
      </c>
      <c r="J8" s="4" t="str">
        <f>IF(N($T8)&gt;0,"YES","NO")</f>
        <v>NO</v>
      </c>
      <c r="K8" s="4" t="str">
        <f>IF(OR($A8="EHT Trace"),IF(AND($U8&lt;&gt;"",$V8&lt;&gt;""),"YES","NO"),"N/A")</f>
        <v>NO</v>
      </c>
      <c r="L8" s="4" t="str">
        <f>IF(OR($A8="EHT Trace"),IF(AND($X8&lt;&gt;"",$Y8&lt;&gt;""),"YES","NO"),"N/A")</f>
        <v>NO</v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NO</v>
      </c>
      <c r="S8" s="4" t="str">
        <f>IF(COUNTIF(I8:R8,"NO")=0,"YES","NO")</f>
        <v>NO</v>
      </c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inlineStr">
        <is>
          <t>8HTV2-CT</t>
        </is>
      </c>
      <c r="AK8" s="9" t="inlineStr">
        <is>
          <t>17 m m</t>
        </is>
      </c>
      <c r="AL8" s="9" t="inlineStr">
        <is>
          <t>Levy Ostrup</t>
        </is>
      </c>
      <c r="AM8" s="9" t="n"/>
      <c r="AN8" s="9" t="n"/>
    </row>
    <row r="9">
      <c r="A9" s="9" t="inlineStr">
        <is>
          <t>EHT Trace</t>
        </is>
      </c>
      <c r="B9" s="9" t="inlineStr">
        <is>
          <t>29103-ET-HC1903-1-1</t>
        </is>
      </c>
      <c r="C9" s="9" t="inlineStr">
        <is>
          <t>29103-ET-HC1903-1</t>
        </is>
      </c>
      <c r="D9" s="9" t="inlineStr">
        <is>
          <t>HTC-04 / CB-04</t>
        </is>
      </c>
      <c r="E9" s="9" t="inlineStr">
        <is>
          <t>29103-HC-1903, 29103-HC-1902</t>
        </is>
      </c>
      <c r="F9" s="9" t="inlineStr">
        <is>
          <t>29103-65R-ET-HC1903-01-01</t>
        </is>
      </c>
      <c r="G9" s="9" t="inlineStr">
        <is>
          <t>13.1</t>
        </is>
      </c>
      <c r="H9" s="9" t="inlineStr">
        <is>
          <t>29103-ET-HC1903-1-1.pdf</t>
        </is>
      </c>
      <c r="I9" s="4" t="str">
        <f>IF($H9&lt;&gt;"","YES","NO")</f>
        <v>YES</v>
      </c>
      <c r="J9" s="4" t="str">
        <f>IF(N($T9)&gt;0,"YES","NO")</f>
        <v>NO</v>
      </c>
      <c r="K9" s="4" t="str">
        <f>IF(OR($A9="EHT Trace"),IF(AND($U9&lt;&gt;"",$V9&lt;&gt;""),"YES","NO"),"N/A")</f>
        <v>NO</v>
      </c>
      <c r="L9" s="4" t="str">
        <f>IF(OR($A9="EHT Trace"),IF(AND($X9&lt;&gt;"",$Y9&lt;&gt;""),"YES","NO"),"N/A")</f>
        <v>NO</v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NO</v>
      </c>
      <c r="S9" s="4" t="str">
        <f>IF(COUNTIF(I9:R9,"NO")=0,"YES","NO")</f>
        <v>NO</v>
      </c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inlineStr">
        <is>
          <t>8HTV2-CT</t>
        </is>
      </c>
      <c r="AK9" s="9" t="inlineStr">
        <is>
          <t>28.7 m m</t>
        </is>
      </c>
      <c r="AL9" s="9" t="inlineStr">
        <is>
          <t>Levy Ostrup</t>
        </is>
      </c>
      <c r="AM9" s="9" t="n"/>
      <c r="AN9" s="9" t="n"/>
    </row>
    <row r="10">
      <c r="A10" s="9" t="inlineStr">
        <is>
          <t>EHT Trace</t>
        </is>
      </c>
      <c r="B10" s="9" t="inlineStr">
        <is>
          <t>29103-ET-HC1903-1-2</t>
        </is>
      </c>
      <c r="C10" s="9" t="inlineStr">
        <is>
          <t>29103-ET-HC1903-1</t>
        </is>
      </c>
      <c r="D10" s="9" t="inlineStr">
        <is>
          <t>HTC-04 / CB-04</t>
        </is>
      </c>
      <c r="E10" s="9" t="inlineStr">
        <is>
          <t>29103-HC-1904</t>
        </is>
      </c>
      <c r="F10" s="9" t="inlineStr">
        <is>
          <t>29103-65R-ET-HC1903-01-01</t>
        </is>
      </c>
      <c r="G10" s="9" t="inlineStr">
        <is>
          <t>13.1</t>
        </is>
      </c>
      <c r="H10" s="9" t="inlineStr">
        <is>
          <t>29103-ET-HC1903-1-2.pdf</t>
        </is>
      </c>
      <c r="I10" s="4" t="str">
        <f>IF($H10&lt;&gt;"","YES","NO")</f>
        <v>YES</v>
      </c>
      <c r="J10" s="4" t="str">
        <f>IF(N($T10)&gt;0,"YES","NO")</f>
        <v>NO</v>
      </c>
      <c r="K10" s="4" t="str">
        <f>IF(OR($A10="EHT Trace"),IF(AND($U10&lt;&gt;"",$V10&lt;&gt;""),"YES","NO"),"N/A")</f>
        <v>NO</v>
      </c>
      <c r="L10" s="4" t="str">
        <f>IF(OR($A10="EHT Trace"),IF(AND($X10&lt;&gt;"",$Y10&lt;&gt;""),"YES","NO"),"N/A")</f>
        <v>NO</v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inlineStr">
        <is>
          <t>8HTV2-CT</t>
        </is>
      </c>
      <c r="AK10" s="9" t="inlineStr">
        <is>
          <t>32 m m</t>
        </is>
      </c>
      <c r="AL10" s="9" t="inlineStr">
        <is>
          <t>Levy Ostrup</t>
        </is>
      </c>
      <c r="AM10" s="9" t="n"/>
      <c r="AN10" s="9" t="n"/>
    </row>
    <row r="11">
      <c r="A11" s="9" t="inlineStr">
        <is>
          <t>EHT Trace</t>
        </is>
      </c>
      <c r="B11" s="9" t="inlineStr">
        <is>
          <t>29103-ET-HC1905-1-1</t>
        </is>
      </c>
      <c r="C11" s="9" t="inlineStr">
        <is>
          <t>29103-ET-HC1905-1</t>
        </is>
      </c>
      <c r="D11" s="9" t="inlineStr">
        <is>
          <t>29103-AMB-015</t>
        </is>
      </c>
      <c r="E11" s="9" t="inlineStr">
        <is>
          <t>29103-HC-1910, 29103-HC-1905</t>
        </is>
      </c>
      <c r="F11" s="9" t="inlineStr">
        <is>
          <t>29103-65R-ET-HC1905-01-01</t>
        </is>
      </c>
      <c r="G11" s="9" t="inlineStr">
        <is>
          <t>13.1</t>
        </is>
      </c>
      <c r="H11" s="9" t="inlineStr">
        <is>
          <t>29103-ET-HC1905-1-1.pdf</t>
        </is>
      </c>
      <c r="I11" s="4" t="str">
        <f>IF($H11&lt;&gt;"","YES","NO")</f>
        <v>YES</v>
      </c>
      <c r="J11" s="4" t="str">
        <f>IF(N($T11)&gt;0,"YES","NO")</f>
        <v>NO</v>
      </c>
      <c r="K11" s="4" t="str">
        <f>IF(OR($A11="EHT Trace"),IF(AND($U11&lt;&gt;"",$V11&lt;&gt;""),"YES","NO"),"N/A")</f>
        <v>NO</v>
      </c>
      <c r="L11" s="4" t="str">
        <f>IF(OR($A11="EHT Trace"),IF(AND($X11&lt;&gt;"",$Y11&lt;&gt;""),"YES","NO"),"N/A")</f>
        <v>NO</v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inlineStr">
        <is>
          <t>8HTV2-CT</t>
        </is>
      </c>
      <c r="AK11" s="9" t="inlineStr">
        <is>
          <t>55.5 m m</t>
        </is>
      </c>
      <c r="AL11" s="9" t="inlineStr">
        <is>
          <t>Levy Ostrup</t>
        </is>
      </c>
      <c r="AM11" s="9" t="n"/>
      <c r="AN11" s="9" t="n"/>
    </row>
    <row r="12">
      <c r="A12" s="9" t="inlineStr">
        <is>
          <t>EHT Trace</t>
        </is>
      </c>
      <c r="B12" s="9" t="inlineStr">
        <is>
          <t>29103-ET-HC1906-1-1</t>
        </is>
      </c>
      <c r="C12" s="9" t="inlineStr">
        <is>
          <t>29103-ET-HC1906-1</t>
        </is>
      </c>
      <c r="D12" s="9" t="inlineStr">
        <is>
          <t>HTC-06 / CB-06</t>
        </is>
      </c>
      <c r="E12" s="9" t="inlineStr">
        <is>
          <t>29103-HC-1906, 29103-HC-1902</t>
        </is>
      </c>
      <c r="F12" s="9" t="inlineStr">
        <is>
          <t>29103-65R-ET-HC1906-01-01</t>
        </is>
      </c>
      <c r="G12" s="9" t="inlineStr">
        <is>
          <t>13.1</t>
        </is>
      </c>
      <c r="H12" s="9" t="inlineStr">
        <is>
          <t>29103-ET-HC1906-1-1.pdf</t>
        </is>
      </c>
      <c r="I12" s="4" t="str">
        <f>IF($H12&lt;&gt;"","YES","NO")</f>
        <v>YES</v>
      </c>
      <c r="J12" s="4" t="str">
        <f>IF(N($T12)&gt;0,"YES","NO")</f>
        <v>NO</v>
      </c>
      <c r="K12" s="4" t="str">
        <f>IF(OR($A12="EHT Trace"),IF(AND($U12&lt;&gt;"",$V12&lt;&gt;""),"YES","NO"),"N/A")</f>
        <v>NO</v>
      </c>
      <c r="L12" s="4" t="str">
        <f>IF(OR($A12="EHT Trace"),IF(AND($X12&lt;&gt;"",$Y12&lt;&gt;""),"YES","NO"),"N/A")</f>
        <v>NO</v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NO</v>
      </c>
      <c r="S12" s="4" t="str">
        <f>IF(COUNTIF(I12:R12,"NO")=0,"YES","NO")</f>
        <v>NO</v>
      </c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inlineStr">
        <is>
          <t>8HTV2-CT</t>
        </is>
      </c>
      <c r="AK12" s="9" t="inlineStr">
        <is>
          <t>29.9 m m</t>
        </is>
      </c>
      <c r="AL12" s="9" t="inlineStr">
        <is>
          <t>Levy Ostrup</t>
        </is>
      </c>
      <c r="AM12" s="9" t="n"/>
      <c r="AN12" s="9" t="n"/>
    </row>
    <row r="13">
      <c r="A13" s="9" t="inlineStr">
        <is>
          <t>EHT Trace</t>
        </is>
      </c>
      <c r="B13" s="9" t="inlineStr">
        <is>
          <t>29103-ET-HC1906-1-2</t>
        </is>
      </c>
      <c r="C13" s="9" t="inlineStr">
        <is>
          <t>29103-ET-HC1906-1</t>
        </is>
      </c>
      <c r="D13" s="9" t="inlineStr">
        <is>
          <t>HTC-06 / CB-06</t>
        </is>
      </c>
      <c r="E13" s="9" t="inlineStr">
        <is>
          <t>29103-HC-1907</t>
        </is>
      </c>
      <c r="F13" s="9" t="inlineStr">
        <is>
          <t>29103-65R-ET-HC1906-01-01</t>
        </is>
      </c>
      <c r="G13" s="9" t="inlineStr">
        <is>
          <t>13.1</t>
        </is>
      </c>
      <c r="H13" s="9" t="inlineStr">
        <is>
          <t>29103-ET-HC1906-1-2.pdf</t>
        </is>
      </c>
      <c r="I13" s="4" t="str">
        <f>IF($H13&lt;&gt;"","YES","NO")</f>
        <v>YES</v>
      </c>
      <c r="J13" s="4" t="str">
        <f>IF(N($T13)&gt;0,"YES","NO")</f>
        <v>NO</v>
      </c>
      <c r="K13" s="4" t="str">
        <f>IF(OR($A13="EHT Trace"),IF(AND($U13&lt;&gt;"",$V13&lt;&gt;""),"YES","NO"),"N/A")</f>
        <v>NO</v>
      </c>
      <c r="L13" s="4" t="str">
        <f>IF(OR($A13="EHT Trace"),IF(AND($X13&lt;&gt;"",$Y13&lt;&gt;""),"YES","NO"),"N/A")</f>
        <v>NO</v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NO</v>
      </c>
      <c r="S13" s="4" t="str">
        <f>IF(COUNTIF(I13:R13,"NO")=0,"YES","NO")</f>
        <v>NO</v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inlineStr">
        <is>
          <t>8HTV2-CT</t>
        </is>
      </c>
      <c r="AK13" s="9" t="inlineStr">
        <is>
          <t>31.5 m m</t>
        </is>
      </c>
      <c r="AL13" s="9" t="inlineStr">
        <is>
          <t>Levy Ostrup</t>
        </is>
      </c>
      <c r="AM13" s="9" t="n"/>
      <c r="AN13" s="9" t="n"/>
    </row>
    <row r="14">
      <c r="A14" s="9" t="inlineStr">
        <is>
          <t>EHT Trace</t>
        </is>
      </c>
      <c r="B14" s="9" t="inlineStr">
        <is>
          <t>29103-ET-HC1909-1-1</t>
        </is>
      </c>
      <c r="C14" s="9" t="inlineStr">
        <is>
          <t>29103-ET-HC1909-1</t>
        </is>
      </c>
      <c r="D14" s="9" t="inlineStr">
        <is>
          <t>29103-AMB-015</t>
        </is>
      </c>
      <c r="E14" s="9" t="inlineStr">
        <is>
          <t>29103-HC-1909, 29103-HC-1908</t>
        </is>
      </c>
      <c r="F14" s="9" t="inlineStr">
        <is>
          <t>29103-65R-ET-HC1909-01-01</t>
        </is>
      </c>
      <c r="G14" s="9" t="inlineStr">
        <is>
          <t>13.1</t>
        </is>
      </c>
      <c r="H14" s="9" t="inlineStr">
        <is>
          <t>29103-ET-HC1909-1-1.pdf</t>
        </is>
      </c>
      <c r="I14" s="4" t="str">
        <f>IF($H14&lt;&gt;"","YES","NO")</f>
        <v>YES</v>
      </c>
      <c r="J14" s="4" t="str">
        <f>IF(N($T14)&gt;0,"YES","NO")</f>
        <v>NO</v>
      </c>
      <c r="K14" s="4" t="str">
        <f>IF(OR($A14="EHT Trace"),IF(AND($U14&lt;&gt;"",$V14&lt;&gt;""),"YES","NO"),"N/A")</f>
        <v>NO</v>
      </c>
      <c r="L14" s="4" t="str">
        <f>IF(OR($A14="EHT Trace"),IF(AND($X14&lt;&gt;"",$Y14&lt;&gt;""),"YES","NO"),"N/A")</f>
        <v>NO</v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inlineStr">
        <is>
          <t>8HTV2-CT</t>
        </is>
      </c>
      <c r="AK14" s="9" t="inlineStr">
        <is>
          <t>49 m m</t>
        </is>
      </c>
      <c r="AL14" s="9" t="inlineStr">
        <is>
          <t>Levy Ostrup</t>
        </is>
      </c>
      <c r="AM14" s="9" t="n"/>
      <c r="AN14" s="9" t="n"/>
    </row>
    <row r="15">
      <c r="A15" s="9" t="inlineStr">
        <is>
          <t>EHT Trace</t>
        </is>
      </c>
      <c r="B15" s="9" t="inlineStr">
        <is>
          <t>29103-ET-MT0001-1-1</t>
        </is>
      </c>
      <c r="C15" s="9" t="inlineStr">
        <is>
          <t>29103-ET-MT0001-1</t>
        </is>
      </c>
      <c r="D15" s="9" t="inlineStr">
        <is>
          <t>HTC-09 / CB-09</t>
        </is>
      </c>
      <c r="E15" s="9" t="inlineStr">
        <is>
          <t>29103-MT-0001</t>
        </is>
      </c>
      <c r="F15" s="9" t="inlineStr">
        <is>
          <t>29103-65R-ET-MT0001-01-01</t>
        </is>
      </c>
      <c r="G15" s="9" t="inlineStr">
        <is>
          <t>13.1</t>
        </is>
      </c>
      <c r="H15" s="9" t="inlineStr">
        <is>
          <t>29103-ET-MT0001-1-1.pdf</t>
        </is>
      </c>
      <c r="I15" s="4" t="str">
        <f>IF($H15&lt;&gt;"","YES","NO")</f>
        <v>YES</v>
      </c>
      <c r="J15" s="4" t="str">
        <f>IF(N($T15)&gt;0,"YES","NO")</f>
        <v>NO</v>
      </c>
      <c r="K15" s="4" t="str">
        <f>IF(OR($A15="EHT Trace"),IF(AND($U15&lt;&gt;"",$V15&lt;&gt;""),"YES","NO"),"N/A")</f>
        <v>NO</v>
      </c>
      <c r="L15" s="4" t="str">
        <f>IF(OR($A15="EHT Trace"),IF(AND($X15&lt;&gt;"",$Y15&lt;&gt;""),"YES","NO"),"N/A")</f>
        <v>NO</v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inlineStr">
        <is>
          <t>20HTV2-CT</t>
        </is>
      </c>
      <c r="AK15" s="9" t="inlineStr">
        <is>
          <t>3.7 m m</t>
        </is>
      </c>
      <c r="AL15" s="9" t="inlineStr">
        <is>
          <t>Levy Ostrup</t>
        </is>
      </c>
      <c r="AM15" s="9" t="n"/>
      <c r="AN15" s="9" t="n"/>
    </row>
    <row r="16">
      <c r="A16" s="9" t="inlineStr">
        <is>
          <t>EHT Trace</t>
        </is>
      </c>
      <c r="B16" s="9" t="inlineStr">
        <is>
          <t>29103-ET-MT0001-1-2</t>
        </is>
      </c>
      <c r="C16" s="9" t="inlineStr">
        <is>
          <t>29103-ET-MT0001-1</t>
        </is>
      </c>
      <c r="D16" s="9" t="inlineStr">
        <is>
          <t>HTC-09 / CB-09</t>
        </is>
      </c>
      <c r="E16" s="9" t="inlineStr">
        <is>
          <t>29103-MT-0001</t>
        </is>
      </c>
      <c r="F16" s="9" t="inlineStr">
        <is>
          <t>29103-65R-ET-MT0001-01-01</t>
        </is>
      </c>
      <c r="G16" s="9" t="inlineStr">
        <is>
          <t>13.1</t>
        </is>
      </c>
      <c r="H16" s="9" t="inlineStr">
        <is>
          <t>29103-ET-MT0001-1-2.pdf</t>
        </is>
      </c>
      <c r="I16" s="4" t="str">
        <f>IF($H16&lt;&gt;"","YES","NO")</f>
        <v>YES</v>
      </c>
      <c r="J16" s="4" t="str">
        <f>IF(N($T16)&gt;0,"YES","NO")</f>
        <v>NO</v>
      </c>
      <c r="K16" s="4" t="str">
        <f>IF(OR($A16="EHT Trace"),IF(AND($U16&lt;&gt;"",$V16&lt;&gt;""),"YES","NO"),"N/A")</f>
        <v>NO</v>
      </c>
      <c r="L16" s="4" t="str">
        <f>IF(OR($A16="EHT Trace"),IF(AND($X16&lt;&gt;"",$Y16&lt;&gt;""),"YES","NO"),"N/A")</f>
        <v>NO</v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inlineStr">
        <is>
          <t>20HTV2-CT</t>
        </is>
      </c>
      <c r="AK16" s="9" t="inlineStr">
        <is>
          <t>12.3 m m</t>
        </is>
      </c>
      <c r="AL16" s="9" t="inlineStr">
        <is>
          <t>Levy Ostrup</t>
        </is>
      </c>
      <c r="AM16" s="9" t="n"/>
      <c r="AN16" s="9" t="n"/>
    </row>
    <row r="17">
      <c r="A17" s="9" t="inlineStr">
        <is>
          <t>EHT Trace</t>
        </is>
      </c>
      <c r="B17" s="9" t="inlineStr">
        <is>
          <t>29103-ET-P001A-1-1</t>
        </is>
      </c>
      <c r="C17" s="9" t="inlineStr">
        <is>
          <t>29103-ET-P001A-1</t>
        </is>
      </c>
      <c r="D17" s="9" t="inlineStr">
        <is>
          <t>HTC-02 / CB-02</t>
        </is>
      </c>
      <c r="E17" s="9" t="inlineStr">
        <is>
          <t>29103-P-001A</t>
        </is>
      </c>
      <c r="F17" s="9" t="inlineStr">
        <is>
          <t>29103-65R-ET-P001A-01-01</t>
        </is>
      </c>
      <c r="G17" s="9" t="inlineStr">
        <is>
          <t>13.1</t>
        </is>
      </c>
      <c r="H17" s="9" t="inlineStr">
        <is>
          <t>29103-ET-P001A-1-1.pdf</t>
        </is>
      </c>
      <c r="I17" s="4" t="str">
        <f>IF($H17&lt;&gt;"","YES","NO")</f>
        <v>YES</v>
      </c>
      <c r="J17" s="4" t="str">
        <f>IF(N($T17)&gt;0,"YES","NO")</f>
        <v>NO</v>
      </c>
      <c r="K17" s="4" t="str">
        <f>IF(OR($A17="EHT Trace"),IF(AND($U17&lt;&gt;"",$V17&lt;&gt;""),"YES","NO"),"N/A")</f>
        <v>NO</v>
      </c>
      <c r="L17" s="4" t="str">
        <f>IF(OR($A17="EHT Trace"),IF(AND($X17&lt;&gt;"",$Y17&lt;&gt;""),"YES","NO"),"N/A")</f>
        <v>NO</v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inlineStr">
        <is>
          <t>15HTV2-CT</t>
        </is>
      </c>
      <c r="AK17" s="9" t="inlineStr">
        <is>
          <t>8.2 m m</t>
        </is>
      </c>
      <c r="AL17" s="9" t="inlineStr">
        <is>
          <t>Levy Ostrup</t>
        </is>
      </c>
      <c r="AM17" s="9" t="n"/>
      <c r="AN17" s="9" t="n"/>
    </row>
    <row r="18">
      <c r="A18" s="9" t="inlineStr">
        <is>
          <t>EHT Trace</t>
        </is>
      </c>
      <c r="B18" s="9" t="inlineStr">
        <is>
          <t>29103-ET-P001A-2-1</t>
        </is>
      </c>
      <c r="C18" s="9" t="inlineStr">
        <is>
          <t>29103-ET-P001A-2</t>
        </is>
      </c>
      <c r="D18" s="9" t="inlineStr">
        <is>
          <t>HTC-07 / CB-07</t>
        </is>
      </c>
      <c r="E18" s="9" t="inlineStr">
        <is>
          <t>29103-P-001A</t>
        </is>
      </c>
      <c r="F18" s="9" t="inlineStr">
        <is>
          <t>29103-65R-ET-P001A-02-01</t>
        </is>
      </c>
      <c r="G18" s="9" t="inlineStr">
        <is>
          <t>13.1</t>
        </is>
      </c>
      <c r="H18" s="9" t="inlineStr">
        <is>
          <t>29103-ET-P001A-2-1.pdf</t>
        </is>
      </c>
      <c r="I18" s="4" t="str">
        <f>IF($H18&lt;&gt;"","YES","NO")</f>
        <v>YES</v>
      </c>
      <c r="J18" s="4" t="str">
        <f>IF(N($T18)&gt;0,"YES","NO")</f>
        <v>NO</v>
      </c>
      <c r="K18" s="4" t="str">
        <f>IF(OR($A18="EHT Trace"),IF(AND($U18&lt;&gt;"",$V18&lt;&gt;""),"YES","NO"),"N/A")</f>
        <v>NO</v>
      </c>
      <c r="L18" s="4" t="str">
        <f>IF(OR($A18="EHT Trace"),IF(AND($X18&lt;&gt;"",$Y18&lt;&gt;""),"YES","NO"),"N/A")</f>
        <v>NO</v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inlineStr">
        <is>
          <t>5XTVR2-CT</t>
        </is>
      </c>
      <c r="AK18" s="9" t="inlineStr">
        <is>
          <t>13.4 m m</t>
        </is>
      </c>
      <c r="AL18" s="9" t="inlineStr">
        <is>
          <t>Levy Ostrup</t>
        </is>
      </c>
      <c r="AM18" s="9" t="n"/>
      <c r="AN18" s="9" t="n"/>
    </row>
    <row r="19">
      <c r="A19" s="9" t="inlineStr">
        <is>
          <t>EHT Trace</t>
        </is>
      </c>
      <c r="B19" s="9" t="inlineStr">
        <is>
          <t>29103-ET-P001A-3-1</t>
        </is>
      </c>
      <c r="C19" s="9" t="inlineStr">
        <is>
          <t>29103-ET-P001A-3</t>
        </is>
      </c>
      <c r="D19" s="9" t="inlineStr">
        <is>
          <t>HTC-08 / CB-08</t>
        </is>
      </c>
      <c r="E19" s="9" t="inlineStr">
        <is>
          <t>29103-P-001A</t>
        </is>
      </c>
      <c r="F19" s="9" t="inlineStr">
        <is>
          <t>29103-65R-ET-P001A-03-01</t>
        </is>
      </c>
      <c r="G19" s="9" t="inlineStr">
        <is>
          <t>13.1</t>
        </is>
      </c>
      <c r="H19" s="9" t="inlineStr">
        <is>
          <t>29103-ET-P001A-3-1.pdf</t>
        </is>
      </c>
      <c r="I19" s="4" t="str">
        <f>IF($H19&lt;&gt;"","YES","NO")</f>
        <v>YES</v>
      </c>
      <c r="J19" s="4" t="str">
        <f>IF(N($T19)&gt;0,"YES","NO")</f>
        <v>NO</v>
      </c>
      <c r="K19" s="4" t="str">
        <f>IF(OR($A19="EHT Trace"),IF(AND($U19&lt;&gt;"",$V19&lt;&gt;""),"YES","NO"),"N/A")</f>
        <v>NO</v>
      </c>
      <c r="L19" s="4" t="str">
        <f>IF(OR($A19="EHT Trace"),IF(AND($X19&lt;&gt;"",$Y19&lt;&gt;""),"YES","NO"),"N/A")</f>
        <v>NO</v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inlineStr">
        <is>
          <t>10XTVR2-CT</t>
        </is>
      </c>
      <c r="AK19" s="9" t="inlineStr">
        <is>
          <t>27 m m</t>
        </is>
      </c>
      <c r="AL19" s="9" t="inlineStr">
        <is>
          <t>Levy Ostrup</t>
        </is>
      </c>
      <c r="AM19" s="9" t="n"/>
      <c r="AN19" s="9" t="n"/>
    </row>
    <row r="20">
      <c r="A20" s="9" t="inlineStr">
        <is>
          <t>EHT Trace</t>
        </is>
      </c>
      <c r="B20" s="9" t="inlineStr">
        <is>
          <t>29103-ET-P001A-3-2</t>
        </is>
      </c>
      <c r="C20" s="9" t="inlineStr">
        <is>
          <t>29103-ET-P001A-3</t>
        </is>
      </c>
      <c r="D20" s="9" t="inlineStr">
        <is>
          <t>HTC-08 / CB-08</t>
        </is>
      </c>
      <c r="E20" s="9" t="inlineStr">
        <is>
          <t>29103-P-001A</t>
        </is>
      </c>
      <c r="F20" s="9" t="inlineStr">
        <is>
          <t>29103-65R-ET-P001A-03-01</t>
        </is>
      </c>
      <c r="G20" s="9" t="inlineStr">
        <is>
          <t>13.1</t>
        </is>
      </c>
      <c r="H20" s="9" t="inlineStr">
        <is>
          <t>29103-ET-P001A-3-2.pdf</t>
        </is>
      </c>
      <c r="I20" s="4" t="str">
        <f>IF($H20&lt;&gt;"","YES","NO")</f>
        <v>YES</v>
      </c>
      <c r="J20" s="4" t="str">
        <f>IF(N($T20)&gt;0,"YES","NO")</f>
        <v>NO</v>
      </c>
      <c r="K20" s="4" t="str">
        <f>IF(OR($A20="EHT Trace"),IF(AND($U20&lt;&gt;"",$V20&lt;&gt;""),"YES","NO"),"N/A")</f>
        <v>NO</v>
      </c>
      <c r="L20" s="4" t="str">
        <f>IF(OR($A20="EHT Trace"),IF(AND($X20&lt;&gt;"",$Y20&lt;&gt;""),"YES","NO"),"N/A")</f>
        <v>NO</v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inlineStr">
        <is>
          <t>5XTVR2-CT</t>
        </is>
      </c>
      <c r="AK20" s="9" t="inlineStr">
        <is>
          <t>6.3 m m</t>
        </is>
      </c>
      <c r="AL20" s="9" t="inlineStr">
        <is>
          <t>Levy Ostrup</t>
        </is>
      </c>
      <c r="AM20" s="9" t="n"/>
      <c r="AN20" s="9" t="n"/>
    </row>
    <row r="21">
      <c r="A21" s="9" t="inlineStr">
        <is>
          <t>EHT Trace</t>
        </is>
      </c>
      <c r="B21" s="9" t="inlineStr">
        <is>
          <t>29103-ET-P001A-4-1</t>
        </is>
      </c>
      <c r="C21" s="9" t="inlineStr">
        <is>
          <t>29103-ET-P001A-4</t>
        </is>
      </c>
      <c r="D21" s="9" t="inlineStr">
        <is>
          <t>HTC-13 / CB-13</t>
        </is>
      </c>
      <c r="E21" s="9" t="inlineStr">
        <is>
          <t>29103-P-001A</t>
        </is>
      </c>
      <c r="F21" s="9" t="inlineStr">
        <is>
          <t>29103-65R-ET-P001A-04-01</t>
        </is>
      </c>
      <c r="G21" s="9" t="inlineStr">
        <is>
          <t>13.1</t>
        </is>
      </c>
      <c r="H21" s="9" t="inlineStr">
        <is>
          <t>29103-ET-P001A-4-1.pdf</t>
        </is>
      </c>
      <c r="I21" s="4" t="str">
        <f>IF($H21&lt;&gt;"","YES","NO")</f>
        <v>YES</v>
      </c>
      <c r="J21" s="4" t="str">
        <f>IF(N($T21)&gt;0,"YES","NO")</f>
        <v>NO</v>
      </c>
      <c r="K21" s="4" t="str">
        <f>IF(OR($A21="EHT Trace"),IF(AND($U21&lt;&gt;"",$V21&lt;&gt;""),"YES","NO"),"N/A")</f>
        <v>NO</v>
      </c>
      <c r="L21" s="4" t="str">
        <f>IF(OR($A21="EHT Trace"),IF(AND($X21&lt;&gt;"",$Y21&lt;&gt;""),"YES","NO"),"N/A")</f>
        <v>NO</v>
      </c>
      <c r="M21" s="4" t="str">
        <f>IF(OR($A21="EHT Trace"),IF(AND($AA21&lt;&gt;"",$AB21&lt;&gt;""),"YES","NO"),"N/A")</f>
        <v>NO</v>
      </c>
      <c r="N21" s="4" t="str">
        <f>IF(OR($A21="Power Cable"),IF(AND($AD21&lt;&gt;""),"YES","NO"),"N/A")</f>
        <v>N/A</v>
      </c>
      <c r="O21" s="4" t="str">
        <f>IF(OR($A21="Power Cable",$A21="RTD Cable",$A21="Fieldbus Cable"),IF(AND($AE21&lt;&gt;""),"YES","NO"),"N/A")</f>
        <v>N/A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str">
        <f>IF(OR($AM21&lt;&gt;"",$Z21&lt;&gt;"",$AC21&lt;&gt;""),"YES","NO")</f>
        <v>NO</v>
      </c>
      <c r="S21" s="4" t="str">
        <f>IF(COUNTIF(I21:R21,"NO")=0,"YES","NO")</f>
        <v>NO</v>
      </c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inlineStr">
        <is>
          <t>10XTVR2-CT</t>
        </is>
      </c>
      <c r="AK21" s="9" t="inlineStr">
        <is>
          <t>27 m m</t>
        </is>
      </c>
      <c r="AL21" s="9" t="inlineStr">
        <is>
          <t>Levy Ostrup</t>
        </is>
      </c>
      <c r="AM21" s="9" t="n"/>
      <c r="AN21" s="9" t="n"/>
    </row>
    <row r="22">
      <c r="A22" s="9" t="inlineStr">
        <is>
          <t>EHT Trace</t>
        </is>
      </c>
      <c r="B22" s="9" t="inlineStr">
        <is>
          <t>29103-ET-P001A-4-2</t>
        </is>
      </c>
      <c r="C22" s="9" t="inlineStr">
        <is>
          <t>29103-ET-P001A-4</t>
        </is>
      </c>
      <c r="D22" s="9" t="inlineStr">
        <is>
          <t>HTC-13 / CB-13</t>
        </is>
      </c>
      <c r="E22" s="9" t="inlineStr">
        <is>
          <t>29103-P-001A</t>
        </is>
      </c>
      <c r="F22" s="9" t="inlineStr">
        <is>
          <t>29103-65R-ET-P001A-04-01</t>
        </is>
      </c>
      <c r="G22" s="9" t="inlineStr">
        <is>
          <t>13.1</t>
        </is>
      </c>
      <c r="H22" s="9" t="inlineStr">
        <is>
          <t>29103-ET-P001A-4-2.pdf</t>
        </is>
      </c>
      <c r="I22" s="4" t="str">
        <f>IF($H22&lt;&gt;"","YES","NO")</f>
        <v>YES</v>
      </c>
      <c r="J22" s="4" t="str">
        <f>IF(N($T22)&gt;0,"YES","NO")</f>
        <v>NO</v>
      </c>
      <c r="K22" s="4" t="str">
        <f>IF(OR($A22="EHT Trace"),IF(AND($U22&lt;&gt;"",$V22&lt;&gt;""),"YES","NO"),"N/A")</f>
        <v>NO</v>
      </c>
      <c r="L22" s="4" t="str">
        <f>IF(OR($A22="EHT Trace"),IF(AND($X22&lt;&gt;"",$Y22&lt;&gt;""),"YES","NO"),"N/A")</f>
        <v>NO</v>
      </c>
      <c r="M22" s="4" t="str">
        <f>IF(OR($A22="EHT Trace"),IF(AND($AA22&lt;&gt;"",$AB22&lt;&gt;""),"YES","NO"),"N/A")</f>
        <v>NO</v>
      </c>
      <c r="N22" s="4" t="str">
        <f>IF(OR($A22="Power Cable"),IF(AND($AD22&lt;&gt;""),"YES","NO"),"N/A")</f>
        <v>N/A</v>
      </c>
      <c r="O22" s="4" t="str">
        <f>IF(OR($A22="Power Cable",$A22="RTD Cable",$A22="Fieldbus Cable"),IF(AND($AE22&lt;&gt;""),"YES","NO"),"N/A")</f>
        <v>N/A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str">
        <f>IF(OR($AM22&lt;&gt;"",$Z22&lt;&gt;"",$AC22&lt;&gt;""),"YES","NO")</f>
        <v>NO</v>
      </c>
      <c r="S22" s="4" t="str">
        <f>IF(COUNTIF(I22:R22,"NO")=0,"YES","NO")</f>
        <v>NO</v>
      </c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inlineStr">
        <is>
          <t>10XTVR2-CT</t>
        </is>
      </c>
      <c r="AK22" s="9" t="inlineStr">
        <is>
          <t>24.6 m m</t>
        </is>
      </c>
      <c r="AL22" s="9" t="inlineStr">
        <is>
          <t>Levy Ostrup</t>
        </is>
      </c>
      <c r="AM22" s="9" t="n"/>
      <c r="AN22" s="9" t="n"/>
    </row>
    <row r="23">
      <c r="A23" s="9" t="inlineStr">
        <is>
          <t>EHT Trace</t>
        </is>
      </c>
      <c r="B23" s="9" t="inlineStr">
        <is>
          <t>29103-ET-P001B-1-1</t>
        </is>
      </c>
      <c r="C23" s="9" t="inlineStr">
        <is>
          <t>29103-ET-P001B-1</t>
        </is>
      </c>
      <c r="D23" s="9" t="inlineStr">
        <is>
          <t>HTC-10 / CB-10</t>
        </is>
      </c>
      <c r="E23" s="9" t="inlineStr">
        <is>
          <t>29103-P-001B</t>
        </is>
      </c>
      <c r="F23" s="9" t="inlineStr">
        <is>
          <t>29103-65R-ET-P001B-01-01</t>
        </is>
      </c>
      <c r="G23" s="9" t="inlineStr">
        <is>
          <t>13.1</t>
        </is>
      </c>
      <c r="H23" s="9" t="inlineStr">
        <is>
          <t>29103-ET-P001B-1-1.pdf</t>
        </is>
      </c>
      <c r="I23" s="4" t="str">
        <f>IF($H23&lt;&gt;"","YES","NO")</f>
        <v>YES</v>
      </c>
      <c r="J23" s="4" t="str">
        <f>IF(N($T23)&gt;0,"YES","NO")</f>
        <v>NO</v>
      </c>
      <c r="K23" s="4" t="str">
        <f>IF(OR($A23="EHT Trace"),IF(AND($U23&lt;&gt;"",$V23&lt;&gt;""),"YES","NO"),"N/A")</f>
        <v>NO</v>
      </c>
      <c r="L23" s="4" t="str">
        <f>IF(OR($A23="EHT Trace"),IF(AND($X23&lt;&gt;"",$Y23&lt;&gt;""),"YES","NO"),"N/A")</f>
        <v>NO</v>
      </c>
      <c r="M23" s="4" t="str">
        <f>IF(OR($A23="EHT Trace"),IF(AND($AA23&lt;&gt;"",$AB23&lt;&gt;""),"YES","NO"),"N/A")</f>
        <v>NO</v>
      </c>
      <c r="N23" s="4" t="str">
        <f>IF(OR($A23="Power Cable"),IF(AND($AD23&lt;&gt;""),"YES","NO"),"N/A")</f>
        <v>N/A</v>
      </c>
      <c r="O23" s="4" t="str">
        <f>IF(OR($A23="Power Cable",$A23="RTD Cable",$A23="Fieldbus Cable"),IF(AND($AE23&lt;&gt;""),"YES","NO"),"N/A")</f>
        <v>N/A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str">
        <f>IF(OR($AM23&lt;&gt;"",$Z23&lt;&gt;"",$AC23&lt;&gt;""),"YES","NO")</f>
        <v>NO</v>
      </c>
      <c r="S23" s="4" t="str">
        <f>IF(COUNTIF(I23:R23,"NO")=0,"YES","NO")</f>
        <v>NO</v>
      </c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inlineStr">
        <is>
          <t>15HTV2-CT</t>
        </is>
      </c>
      <c r="AK23" s="9" t="inlineStr">
        <is>
          <t>8.2 m m</t>
        </is>
      </c>
      <c r="AL23" s="9" t="inlineStr">
        <is>
          <t>Levy Ostrup</t>
        </is>
      </c>
      <c r="AM23" s="9" t="n"/>
      <c r="AN23" s="9" t="n"/>
    </row>
    <row r="24">
      <c r="A24" s="9" t="inlineStr">
        <is>
          <t>EHT Trace</t>
        </is>
      </c>
      <c r="B24" s="9" t="inlineStr">
        <is>
          <t>29103-ET-P001B-2-1</t>
        </is>
      </c>
      <c r="C24" s="9" t="inlineStr">
        <is>
          <t>29103-ET-P001B-2</t>
        </is>
      </c>
      <c r="D24" s="9" t="inlineStr">
        <is>
          <t>HTC-15 / CB-15</t>
        </is>
      </c>
      <c r="E24" s="9" t="inlineStr">
        <is>
          <t>29103-P-001B</t>
        </is>
      </c>
      <c r="F24" s="9" t="inlineStr">
        <is>
          <t>29103-65R-ET-P001B-02-01</t>
        </is>
      </c>
      <c r="G24" s="9" t="inlineStr">
        <is>
          <t>13.1</t>
        </is>
      </c>
      <c r="H24" s="9" t="inlineStr">
        <is>
          <t>29103-ET-P001B-2-1.pdf</t>
        </is>
      </c>
      <c r="I24" s="4" t="str">
        <f>IF($H24&lt;&gt;"","YES","NO")</f>
        <v>YES</v>
      </c>
      <c r="J24" s="4" t="str">
        <f>IF(N($T24)&gt;0,"YES","NO")</f>
        <v>NO</v>
      </c>
      <c r="K24" s="4" t="str">
        <f>IF(OR($A24="EHT Trace"),IF(AND($U24&lt;&gt;"",$V24&lt;&gt;""),"YES","NO"),"N/A")</f>
        <v>NO</v>
      </c>
      <c r="L24" s="4" t="str">
        <f>IF(OR($A24="EHT Trace"),IF(AND($X24&lt;&gt;"",$Y24&lt;&gt;""),"YES","NO"),"N/A")</f>
        <v>NO</v>
      </c>
      <c r="M24" s="4" t="str">
        <f>IF(OR($A24="EHT Trace"),IF(AND($AA24&lt;&gt;"",$AB24&lt;&gt;""),"YES","NO"),"N/A")</f>
        <v>NO</v>
      </c>
      <c r="N24" s="4" t="str">
        <f>IF(OR($A24="Power Cable"),IF(AND($AD24&lt;&gt;""),"YES","NO"),"N/A")</f>
        <v>N/A</v>
      </c>
      <c r="O24" s="4" t="str">
        <f>IF(OR($A24="Power Cable",$A24="RTD Cable",$A24="Fieldbus Cable"),IF(AND($AE24&lt;&gt;""),"YES","NO"),"N/A")</f>
        <v>N/A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str">
        <f>IF(OR($AM24&lt;&gt;"",$Z24&lt;&gt;"",$AC24&lt;&gt;""),"YES","NO")</f>
        <v>NO</v>
      </c>
      <c r="S24" s="4" t="str">
        <f>IF(COUNTIF(I24:R24,"NO")=0,"YES","NO")</f>
        <v>NO</v>
      </c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inlineStr">
        <is>
          <t>5XTVR2-CT</t>
        </is>
      </c>
      <c r="AK24" s="9" t="inlineStr">
        <is>
          <t>13.4 m m</t>
        </is>
      </c>
      <c r="AL24" s="9" t="inlineStr">
        <is>
          <t>Levy Ostrup</t>
        </is>
      </c>
      <c r="AM24" s="9" t="n"/>
      <c r="AN24" s="9" t="n"/>
    </row>
    <row r="25">
      <c r="A25" s="9" t="inlineStr">
        <is>
          <t>EHT Trace</t>
        </is>
      </c>
      <c r="B25" s="9" t="inlineStr">
        <is>
          <t>29103-ET-P001B-3-1</t>
        </is>
      </c>
      <c r="C25" s="9" t="inlineStr">
        <is>
          <t>29103-ET-P001B-3</t>
        </is>
      </c>
      <c r="D25" s="9" t="inlineStr">
        <is>
          <t>HTC-11 / CB-11</t>
        </is>
      </c>
      <c r="E25" s="9" t="inlineStr">
        <is>
          <t>29103-P-001B</t>
        </is>
      </c>
      <c r="F25" s="9" t="inlineStr">
        <is>
          <t>29103-65R-ET-P001B-03-01</t>
        </is>
      </c>
      <c r="G25" s="9" t="inlineStr">
        <is>
          <t>13.1</t>
        </is>
      </c>
      <c r="H25" s="9" t="inlineStr">
        <is>
          <t>29103-ET-P001B-3-1.pdf</t>
        </is>
      </c>
      <c r="I25" s="4" t="str">
        <f>IF($H25&lt;&gt;"","YES","NO")</f>
        <v>YES</v>
      </c>
      <c r="J25" s="4" t="str">
        <f>IF(N($T25)&gt;0,"YES","NO")</f>
        <v>NO</v>
      </c>
      <c r="K25" s="4" t="str">
        <f>IF(OR($A25="EHT Trace"),IF(AND($U25&lt;&gt;"",$V25&lt;&gt;""),"YES","NO"),"N/A")</f>
        <v>NO</v>
      </c>
      <c r="L25" s="4" t="str">
        <f>IF(OR($A25="EHT Trace"),IF(AND($X25&lt;&gt;"",$Y25&lt;&gt;""),"YES","NO"),"N/A")</f>
        <v>NO</v>
      </c>
      <c r="M25" s="4" t="str">
        <f>IF(OR($A25="EHT Trace"),IF(AND($AA25&lt;&gt;"",$AB25&lt;&gt;""),"YES","NO"),"N/A")</f>
        <v>NO</v>
      </c>
      <c r="N25" s="4" t="str">
        <f>IF(OR($A25="Power Cable"),IF(AND($AD25&lt;&gt;""),"YES","NO"),"N/A")</f>
        <v>N/A</v>
      </c>
      <c r="O25" s="4" t="str">
        <f>IF(OR($A25="Power Cable",$A25="RTD Cable",$A25="Fieldbus Cable"),IF(AND($AE25&lt;&gt;""),"YES","NO"),"N/A")</f>
        <v>N/A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str">
        <f>IF(OR($AM25&lt;&gt;"",$Z25&lt;&gt;"",$AC25&lt;&gt;""),"YES","NO")</f>
        <v>NO</v>
      </c>
      <c r="S25" s="4" t="str">
        <f>IF(COUNTIF(I25:R25,"NO")=0,"YES","NO")</f>
        <v>NO</v>
      </c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inlineStr">
        <is>
          <t>10XTVR2-CT</t>
        </is>
      </c>
      <c r="AK25" s="9" t="inlineStr">
        <is>
          <t>27 m m</t>
        </is>
      </c>
      <c r="AL25" s="9" t="inlineStr">
        <is>
          <t>Levy Ostrup</t>
        </is>
      </c>
      <c r="AM25" s="9" t="n"/>
      <c r="AN25" s="9" t="n"/>
    </row>
    <row r="26">
      <c r="A26" s="9" t="inlineStr">
        <is>
          <t>EHT Trace</t>
        </is>
      </c>
      <c r="B26" s="9" t="inlineStr">
        <is>
          <t>29103-ET-P001B-3-2</t>
        </is>
      </c>
      <c r="C26" s="9" t="inlineStr">
        <is>
          <t>29103-ET-P001B-3</t>
        </is>
      </c>
      <c r="D26" s="9" t="inlineStr">
        <is>
          <t>HTC-11 / CB-11</t>
        </is>
      </c>
      <c r="E26" s="9" t="inlineStr">
        <is>
          <t>29103-P-001B</t>
        </is>
      </c>
      <c r="F26" s="9" t="inlineStr">
        <is>
          <t>29103-65R-ET-P001B-03-01</t>
        </is>
      </c>
      <c r="G26" s="9" t="inlineStr">
        <is>
          <t>13.1</t>
        </is>
      </c>
      <c r="H26" s="9" t="inlineStr">
        <is>
          <t>29103-ET-P001B-3-2.pdf</t>
        </is>
      </c>
      <c r="I26" s="4" t="str">
        <f>IF($H26&lt;&gt;"","YES","NO")</f>
        <v>YES</v>
      </c>
      <c r="J26" s="4" t="str">
        <f>IF(N($T26)&gt;0,"YES","NO")</f>
        <v>NO</v>
      </c>
      <c r="K26" s="4" t="str">
        <f>IF(OR($A26="EHT Trace"),IF(AND($U26&lt;&gt;"",$V26&lt;&gt;""),"YES","NO"),"N/A")</f>
        <v>NO</v>
      </c>
      <c r="L26" s="4" t="str">
        <f>IF(OR($A26="EHT Trace"),IF(AND($X26&lt;&gt;"",$Y26&lt;&gt;""),"YES","NO"),"N/A")</f>
        <v>NO</v>
      </c>
      <c r="M26" s="4" t="str">
        <f>IF(OR($A26="EHT Trace"),IF(AND($AA26&lt;&gt;"",$AB26&lt;&gt;""),"YES","NO"),"N/A")</f>
        <v>NO</v>
      </c>
      <c r="N26" s="4" t="str">
        <f>IF(OR($A26="Power Cable"),IF(AND($AD26&lt;&gt;""),"YES","NO"),"N/A")</f>
        <v>N/A</v>
      </c>
      <c r="O26" s="4" t="str">
        <f>IF(OR($A26="Power Cable",$A26="RTD Cable",$A26="Fieldbus Cable"),IF(AND($AE26&lt;&gt;""),"YES","NO"),"N/A")</f>
        <v>N/A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str">
        <f>IF(OR($AM26&lt;&gt;"",$Z26&lt;&gt;"",$AC26&lt;&gt;""),"YES","NO")</f>
        <v>NO</v>
      </c>
      <c r="S26" s="4" t="str">
        <f>IF(COUNTIF(I26:R26,"NO")=0,"YES","NO")</f>
        <v>NO</v>
      </c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inlineStr">
        <is>
          <t>5XTVR2-CT</t>
        </is>
      </c>
      <c r="AK26" s="9" t="inlineStr">
        <is>
          <t>6.3 m m</t>
        </is>
      </c>
      <c r="AL26" s="9" t="inlineStr">
        <is>
          <t>Levy Ostrup</t>
        </is>
      </c>
      <c r="AM26" s="9" t="n"/>
      <c r="AN26" s="9" t="n"/>
    </row>
    <row r="27">
      <c r="A27" s="9" t="inlineStr">
        <is>
          <t>EHT Trace</t>
        </is>
      </c>
      <c r="B27" s="9" t="inlineStr">
        <is>
          <t>29103-ET-P001B-4-1</t>
        </is>
      </c>
      <c r="C27" s="9" t="inlineStr">
        <is>
          <t>29103-ET-P001B-4</t>
        </is>
      </c>
      <c r="D27" s="9" t="inlineStr">
        <is>
          <t>HTC-16 / CB-16</t>
        </is>
      </c>
      <c r="E27" s="9" t="inlineStr">
        <is>
          <t>29103-P-001B</t>
        </is>
      </c>
      <c r="F27" s="9" t="inlineStr">
        <is>
          <t>29103-65R-ET-P001B-04-01</t>
        </is>
      </c>
      <c r="G27" s="9" t="inlineStr">
        <is>
          <t>13.1</t>
        </is>
      </c>
      <c r="H27" s="9" t="inlineStr">
        <is>
          <t>29103-ET-P001B-4-1.pdf</t>
        </is>
      </c>
      <c r="I27" s="4" t="str">
        <f>IF($H27&lt;&gt;"","YES","NO")</f>
        <v>YES</v>
      </c>
      <c r="J27" s="4" t="str">
        <f>IF(N($T27)&gt;0,"YES","NO")</f>
        <v>NO</v>
      </c>
      <c r="K27" s="4" t="str">
        <f>IF(OR($A27="EHT Trace"),IF(AND($U27&lt;&gt;"",$V27&lt;&gt;""),"YES","NO"),"N/A")</f>
        <v>NO</v>
      </c>
      <c r="L27" s="4" t="str">
        <f>IF(OR($A27="EHT Trace"),IF(AND($X27&lt;&gt;"",$Y27&lt;&gt;""),"YES","NO"),"N/A")</f>
        <v>NO</v>
      </c>
      <c r="M27" s="4" t="str">
        <f>IF(OR($A27="EHT Trace"),IF(AND($AA27&lt;&gt;"",$AB27&lt;&gt;""),"YES","NO"),"N/A")</f>
        <v>NO</v>
      </c>
      <c r="N27" s="4" t="str">
        <f>IF(OR($A27="Power Cable"),IF(AND($AD27&lt;&gt;""),"YES","NO"),"N/A")</f>
        <v>N/A</v>
      </c>
      <c r="O27" s="4" t="str">
        <f>IF(OR($A27="Power Cable",$A27="RTD Cable",$A27="Fieldbus Cable"),IF(AND($AE27&lt;&gt;""),"YES","NO"),"N/A")</f>
        <v>N/A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str">
        <f>IF(OR($AM27&lt;&gt;"",$Z27&lt;&gt;"",$AC27&lt;&gt;""),"YES","NO")</f>
        <v>NO</v>
      </c>
      <c r="S27" s="4" t="str">
        <f>IF(COUNTIF(I27:R27,"NO")=0,"YES","NO")</f>
        <v>NO</v>
      </c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inlineStr">
        <is>
          <t>10XTVR2-CT</t>
        </is>
      </c>
      <c r="AK27" s="9" t="inlineStr">
        <is>
          <t>27 m m</t>
        </is>
      </c>
      <c r="AL27" s="9" t="inlineStr">
        <is>
          <t>Levy Ostrup</t>
        </is>
      </c>
      <c r="AM27" s="9" t="n"/>
      <c r="AN27" s="9" t="n"/>
    </row>
    <row r="28">
      <c r="A28" s="9" t="inlineStr">
        <is>
          <t>EHT Trace</t>
        </is>
      </c>
      <c r="B28" s="9" t="inlineStr">
        <is>
          <t>29103-ET-P001B-4-2</t>
        </is>
      </c>
      <c r="C28" s="9" t="inlineStr">
        <is>
          <t>29103-ET-P001B-4</t>
        </is>
      </c>
      <c r="D28" s="9" t="inlineStr">
        <is>
          <t>HTC-16 / CB-16</t>
        </is>
      </c>
      <c r="E28" s="9" t="inlineStr">
        <is>
          <t>29103-P-001B</t>
        </is>
      </c>
      <c r="F28" s="9" t="inlineStr">
        <is>
          <t>29103-65R-ET-P001B-04-01</t>
        </is>
      </c>
      <c r="G28" s="9" t="inlineStr">
        <is>
          <t>13.1</t>
        </is>
      </c>
      <c r="H28" s="9" t="inlineStr">
        <is>
          <t>29103-ET-P001B-4-2.pdf</t>
        </is>
      </c>
      <c r="I28" s="4" t="str">
        <f>IF($H28&lt;&gt;"","YES","NO")</f>
        <v>YES</v>
      </c>
      <c r="J28" s="4" t="str">
        <f>IF(N($T28)&gt;0,"YES","NO")</f>
        <v>NO</v>
      </c>
      <c r="K28" s="4" t="str">
        <f>IF(OR($A28="EHT Trace"),IF(AND($U28&lt;&gt;"",$V28&lt;&gt;""),"YES","NO"),"N/A")</f>
        <v>NO</v>
      </c>
      <c r="L28" s="4" t="str">
        <f>IF(OR($A28="EHT Trace"),IF(AND($X28&lt;&gt;"",$Y28&lt;&gt;""),"YES","NO"),"N/A")</f>
        <v>NO</v>
      </c>
      <c r="M28" s="4" t="str">
        <f>IF(OR($A28="EHT Trace"),IF(AND($AA28&lt;&gt;"",$AB28&lt;&gt;""),"YES","NO"),"N/A")</f>
        <v>NO</v>
      </c>
      <c r="N28" s="4" t="str">
        <f>IF(OR($A28="Power Cable"),IF(AND($AD28&lt;&gt;""),"YES","NO"),"N/A")</f>
        <v>N/A</v>
      </c>
      <c r="O28" s="4" t="str">
        <f>IF(OR($A28="Power Cable",$A28="RTD Cable",$A28="Fieldbus Cable"),IF(AND($AE28&lt;&gt;""),"YES","NO"),"N/A")</f>
        <v>N/A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str">
        <f>IF(OR($AM28&lt;&gt;"",$Z28&lt;&gt;"",$AC28&lt;&gt;""),"YES","NO")</f>
        <v>NO</v>
      </c>
      <c r="S28" s="4" t="str">
        <f>IF(COUNTIF(I28:R28,"NO")=0,"YES","NO")</f>
        <v>NO</v>
      </c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inlineStr">
        <is>
          <t>10XTVR2-CT</t>
        </is>
      </c>
      <c r="AK28" s="9" t="inlineStr">
        <is>
          <t>24.6 m m</t>
        </is>
      </c>
      <c r="AL28" s="9" t="inlineStr">
        <is>
          <t>Levy Ostrup</t>
        </is>
      </c>
      <c r="AM28" s="9" t="n"/>
      <c r="AN28" s="9" t="n"/>
    </row>
    <row r="29">
      <c r="A29" s="9" t="inlineStr">
        <is>
          <t>EHT Trace</t>
        </is>
      </c>
      <c r="B29" s="9" t="inlineStr">
        <is>
          <t>29103-ET-P1003-1-1</t>
        </is>
      </c>
      <c r="C29" s="9" t="inlineStr">
        <is>
          <t>29103-ET-P1003-1</t>
        </is>
      </c>
      <c r="D29" s="9" t="inlineStr">
        <is>
          <t>HTC-19 / CB-19</t>
        </is>
      </c>
      <c r="E29" s="9" t="inlineStr">
        <is>
          <t>29103-P-1003</t>
        </is>
      </c>
      <c r="F29" s="9" t="inlineStr">
        <is>
          <t>29103-65R-ET-P1003-01-01</t>
        </is>
      </c>
      <c r="G29" s="9" t="inlineStr">
        <is>
          <t>13.1</t>
        </is>
      </c>
      <c r="H29" s="9" t="inlineStr">
        <is>
          <t>29103-ET-P1003-1-1.pdf</t>
        </is>
      </c>
      <c r="I29" s="4" t="str">
        <f>IF($H29&lt;&gt;"","YES","NO")</f>
        <v>YES</v>
      </c>
      <c r="J29" s="4" t="str">
        <f>IF(N($T29)&gt;0,"YES","NO")</f>
        <v>NO</v>
      </c>
      <c r="K29" s="4" t="str">
        <f>IF(OR($A29="EHT Trace"),IF(AND($U29&lt;&gt;"",$V29&lt;&gt;""),"YES","NO"),"N/A")</f>
        <v>YES</v>
      </c>
      <c r="L29" s="4" t="str">
        <f>IF(OR($A29="EHT Trace"),IF(AND($X29&lt;&gt;"",$Y29&lt;&gt;""),"YES","NO"),"N/A")</f>
        <v>NO</v>
      </c>
      <c r="M29" s="4" t="str">
        <f>IF(OR($A29="EHT Trace"),IF(AND($AA29&lt;&gt;"",$AB29&lt;&gt;""),"YES","NO"),"N/A")</f>
        <v>NO</v>
      </c>
      <c r="N29" s="4" t="str">
        <f>IF(OR($A29="Power Cable"),IF(AND($AD29&lt;&gt;""),"YES","NO"),"N/A")</f>
        <v>N/A</v>
      </c>
      <c r="O29" s="4" t="str">
        <f>IF(OR($A29="Power Cable",$A29="RTD Cable",$A29="Fieldbus Cable"),IF(AND($AE29&lt;&gt;""),"YES","NO"),"N/A")</f>
        <v>N/A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str">
        <f>IF(OR($AM29&lt;&gt;"",$Z29&lt;&gt;"",$AC29&lt;&gt;""),"YES","NO")</f>
        <v>NO</v>
      </c>
      <c r="S29" s="4" t="str">
        <f>IF(COUNTIF(I29:R29,"NO")=0,"YES","NO")</f>
        <v>NO</v>
      </c>
      <c r="T29" s="9" t="n"/>
      <c r="U29" s="9" t="inlineStr">
        <is>
          <t>&gt;2.2 GΩ</t>
        </is>
      </c>
      <c r="V29" s="9" t="inlineStr">
        <is>
          <t>38.1 Ω</t>
        </is>
      </c>
      <c r="W29" s="9" t="inlineStr">
        <is>
          <t>2026-05-17</t>
        </is>
      </c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inlineStr">
        <is>
          <t>D/32SQ3374/30.1M/1899/277/2.1M/LS23A/X/N12</t>
        </is>
      </c>
      <c r="AK29" s="9" t="inlineStr">
        <is>
          <t>30.1 m m</t>
        </is>
      </c>
      <c r="AL29" s="9" t="inlineStr">
        <is>
          <t>Levy Ostrup</t>
        </is>
      </c>
      <c r="AM29" s="9" t="n"/>
      <c r="AN29" s="9" t="n"/>
    </row>
    <row r="30">
      <c r="A30" s="9" t="inlineStr">
        <is>
          <t>EHT Trace</t>
        </is>
      </c>
      <c r="B30" s="9" t="inlineStr">
        <is>
          <t>29103-ET-P1003-1-2</t>
        </is>
      </c>
      <c r="C30" s="9" t="inlineStr">
        <is>
          <t>29103-ET-P1003-1</t>
        </is>
      </c>
      <c r="D30" s="9" t="inlineStr">
        <is>
          <t>HTC-19 / CB-19</t>
        </is>
      </c>
      <c r="E30" s="9" t="inlineStr">
        <is>
          <t>29103-P-1003</t>
        </is>
      </c>
      <c r="F30" s="9" t="inlineStr">
        <is>
          <t>29103-65R-ET-P1003-01-01</t>
        </is>
      </c>
      <c r="G30" s="9" t="inlineStr">
        <is>
          <t>13.1</t>
        </is>
      </c>
      <c r="H30" s="9" t="inlineStr">
        <is>
          <t>29103-ET-P1003-1-2.pdf</t>
        </is>
      </c>
      <c r="I30" s="4" t="str">
        <f>IF($H30&lt;&gt;"","YES","NO")</f>
        <v>YES</v>
      </c>
      <c r="J30" s="4" t="str">
        <f>IF(N($T30)&gt;0,"YES","NO")</f>
        <v>NO</v>
      </c>
      <c r="K30" s="4" t="str">
        <f>IF(OR($A30="EHT Trace"),IF(AND($U30&lt;&gt;"",$V30&lt;&gt;""),"YES","NO"),"N/A")</f>
        <v>YES</v>
      </c>
      <c r="L30" s="4" t="str">
        <f>IF(OR($A30="EHT Trace"),IF(AND($X30&lt;&gt;"",$Y30&lt;&gt;""),"YES","NO"),"N/A")</f>
        <v>NO</v>
      </c>
      <c r="M30" s="4" t="str">
        <f>IF(OR($A30="EHT Trace"),IF(AND($AA30&lt;&gt;"",$AB30&lt;&gt;""),"YES","NO"),"N/A")</f>
        <v>NO</v>
      </c>
      <c r="N30" s="4" t="str">
        <f>IF(OR($A30="Power Cable"),IF(AND($AD30&lt;&gt;""),"YES","NO"),"N/A")</f>
        <v>N/A</v>
      </c>
      <c r="O30" s="4" t="str">
        <f>IF(OR($A30="Power Cable",$A30="RTD Cable",$A30="Fieldbus Cable"),IF(AND($AE30&lt;&gt;""),"YES","NO"),"N/A")</f>
        <v>N/A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str">
        <f>IF(OR($AM30&lt;&gt;"",$Z30&lt;&gt;"",$AC30&lt;&gt;""),"YES","NO")</f>
        <v>NO</v>
      </c>
      <c r="S30" s="4" t="str">
        <f>IF(COUNTIF(I30:R30,"NO")=0,"YES","NO")</f>
        <v>NO</v>
      </c>
      <c r="T30" s="9" t="n"/>
      <c r="U30" s="9" t="inlineStr">
        <is>
          <t>&gt;2.2 GΩ</t>
        </is>
      </c>
      <c r="V30" s="9" t="inlineStr">
        <is>
          <t>38.1 Ω</t>
        </is>
      </c>
      <c r="W30" s="9" t="inlineStr">
        <is>
          <t>2026-05-17</t>
        </is>
      </c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inlineStr">
        <is>
          <t>D/32SQ3374/30.1M/1899/277/2.1M/LS23A/X/N12</t>
        </is>
      </c>
      <c r="AK30" s="9" t="inlineStr">
        <is>
          <t>30.1 m m</t>
        </is>
      </c>
      <c r="AL30" s="9" t="inlineStr">
        <is>
          <t>Levy Ostrup</t>
        </is>
      </c>
      <c r="AM30" s="9" t="n"/>
      <c r="AN30" s="9" t="n"/>
    </row>
    <row r="31">
      <c r="A31" s="9" t="inlineStr">
        <is>
          <t>EHT Trace</t>
        </is>
      </c>
      <c r="B31" s="9" t="inlineStr">
        <is>
          <t>29103-ET-P1004-1-1</t>
        </is>
      </c>
      <c r="C31" s="9" t="inlineStr">
        <is>
          <t>29103-ET-P1004-1</t>
        </is>
      </c>
      <c r="D31" s="9" t="inlineStr">
        <is>
          <t>HTC-20 / CB-20</t>
        </is>
      </c>
      <c r="E31" s="9" t="inlineStr">
        <is>
          <t>29103-P-1004</t>
        </is>
      </c>
      <c r="F31" s="9" t="inlineStr">
        <is>
          <t>29103-65R-ET-P1004-01-01</t>
        </is>
      </c>
      <c r="G31" s="9" t="inlineStr">
        <is>
          <t>13.1</t>
        </is>
      </c>
      <c r="H31" s="9" t="inlineStr">
        <is>
          <t>29103-ET-P1004-1-1.pdf</t>
        </is>
      </c>
      <c r="I31" s="4" t="str">
        <f>IF($H31&lt;&gt;"","YES","NO")</f>
        <v>YES</v>
      </c>
      <c r="J31" s="4" t="str">
        <f>IF(N($T31)&gt;0,"YES","NO")</f>
        <v>NO</v>
      </c>
      <c r="K31" s="4" t="str">
        <f>IF(OR($A31="EHT Trace"),IF(AND($U31&lt;&gt;"",$V31&lt;&gt;""),"YES","NO"),"N/A")</f>
        <v>YES</v>
      </c>
      <c r="L31" s="4" t="str">
        <f>IF(OR($A31="EHT Trace"),IF(AND($X31&lt;&gt;"",$Y31&lt;&gt;""),"YES","NO"),"N/A")</f>
        <v>NO</v>
      </c>
      <c r="M31" s="4" t="str">
        <f>IF(OR($A31="EHT Trace"),IF(AND($AA31&lt;&gt;"",$AB31&lt;&gt;""),"YES","NO"),"N/A")</f>
        <v>NO</v>
      </c>
      <c r="N31" s="4" t="str">
        <f>IF(OR($A31="Power Cable"),IF(AND($AD31&lt;&gt;""),"YES","NO"),"N/A")</f>
        <v>N/A</v>
      </c>
      <c r="O31" s="4" t="str">
        <f>IF(OR($A31="Power Cable",$A31="RTD Cable",$A31="Fieldbus Cable"),IF(AND($AE31&lt;&gt;""),"YES","NO"),"N/A")</f>
        <v>N/A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str">
        <f>IF(OR($AM31&lt;&gt;"",$Z31&lt;&gt;"",$AC31&lt;&gt;""),"YES","NO")</f>
        <v>NO</v>
      </c>
      <c r="S31" s="4" t="str">
        <f>IF(COUNTIF(I31:R31,"NO")=0,"YES","NO")</f>
        <v>NO</v>
      </c>
      <c r="T31" s="9" t="n"/>
      <c r="U31" s="9" t="inlineStr">
        <is>
          <t>&gt;2.2 GΩ</t>
        </is>
      </c>
      <c r="V31" s="9" t="inlineStr">
        <is>
          <t>30.3 Ω</t>
        </is>
      </c>
      <c r="W31" s="9" t="inlineStr">
        <is>
          <t>2026-05-17</t>
        </is>
      </c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inlineStr">
        <is>
          <t>D/32SQ3200/44.1M/2426/277/2.1M/LS23A/X/N12</t>
        </is>
      </c>
      <c r="AK31" s="9" t="inlineStr">
        <is>
          <t>44.1 m m</t>
        </is>
      </c>
      <c r="AL31" s="9" t="inlineStr">
        <is>
          <t>Levy Ostrup</t>
        </is>
      </c>
      <c r="AM31" s="9" t="n"/>
      <c r="AN31" s="9" t="n"/>
    </row>
    <row r="32">
      <c r="A32" s="9" t="inlineStr">
        <is>
          <t>EHT Trace</t>
        </is>
      </c>
      <c r="B32" s="9" t="inlineStr">
        <is>
          <t>29103-ET-P1004-1-2</t>
        </is>
      </c>
      <c r="C32" s="9" t="inlineStr">
        <is>
          <t>29103-ET-P1004-1</t>
        </is>
      </c>
      <c r="D32" s="9" t="inlineStr">
        <is>
          <t>HTC-20 / CB-20</t>
        </is>
      </c>
      <c r="E32" s="9" t="inlineStr">
        <is>
          <t>29103-P-1004</t>
        </is>
      </c>
      <c r="F32" s="9" t="inlineStr">
        <is>
          <t>29103-65R-ET-P1004-01-01</t>
        </is>
      </c>
      <c r="G32" s="9" t="inlineStr">
        <is>
          <t>13.1</t>
        </is>
      </c>
      <c r="H32" s="9" t="inlineStr">
        <is>
          <t>29103-ET-P1004-1-2.pdf</t>
        </is>
      </c>
      <c r="I32" s="4" t="str">
        <f>IF($H32&lt;&gt;"","YES","NO")</f>
        <v>YES</v>
      </c>
      <c r="J32" s="4" t="str">
        <f>IF(N($T32)&gt;0,"YES","NO")</f>
        <v>NO</v>
      </c>
      <c r="K32" s="4" t="str">
        <f>IF(OR($A32="EHT Trace"),IF(AND($U32&lt;&gt;"",$V32&lt;&gt;""),"YES","NO"),"N/A")</f>
        <v>YES</v>
      </c>
      <c r="L32" s="4" t="str">
        <f>IF(OR($A32="EHT Trace"),IF(AND($X32&lt;&gt;"",$Y32&lt;&gt;""),"YES","NO"),"N/A")</f>
        <v>NO</v>
      </c>
      <c r="M32" s="4" t="str">
        <f>IF(OR($A32="EHT Trace"),IF(AND($AA32&lt;&gt;"",$AB32&lt;&gt;""),"YES","NO"),"N/A")</f>
        <v>NO</v>
      </c>
      <c r="N32" s="4" t="str">
        <f>IF(OR($A32="Power Cable"),IF(AND($AD32&lt;&gt;""),"YES","NO"),"N/A")</f>
        <v>N/A</v>
      </c>
      <c r="O32" s="4" t="str">
        <f>IF(OR($A32="Power Cable",$A32="RTD Cable",$A32="Fieldbus Cable"),IF(AND($AE32&lt;&gt;""),"YES","NO"),"N/A")</f>
        <v>N/A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str">
        <f>IF(OR($AM32&lt;&gt;"",$Z32&lt;&gt;"",$AC32&lt;&gt;""),"YES","NO")</f>
        <v>NO</v>
      </c>
      <c r="S32" s="4" t="str">
        <f>IF(COUNTIF(I32:R32,"NO")=0,"YES","NO")</f>
        <v>NO</v>
      </c>
      <c r="T32" s="9" t="n"/>
      <c r="U32" s="9" t="inlineStr">
        <is>
          <t>&gt;2.2 GΩ</t>
        </is>
      </c>
      <c r="V32" s="9" t="inlineStr">
        <is>
          <t>30.2 Ω</t>
        </is>
      </c>
      <c r="W32" s="9" t="inlineStr">
        <is>
          <t>2026-05-17</t>
        </is>
      </c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inlineStr">
        <is>
          <t>D/32SQ3200/44.1M/2426/277/2.1M/LS23A/X/N12</t>
        </is>
      </c>
      <c r="AK32" s="9" t="inlineStr">
        <is>
          <t>44.1 m m</t>
        </is>
      </c>
      <c r="AL32" s="9" t="inlineStr">
        <is>
          <t>Levy Ostrup</t>
        </is>
      </c>
      <c r="AM32" s="9" t="n"/>
      <c r="AN32" s="9" t="n"/>
    </row>
    <row r="33">
      <c r="A33" s="9" t="inlineStr">
        <is>
          <t>EHT Trace</t>
        </is>
      </c>
      <c r="B33" s="9" t="inlineStr">
        <is>
          <t>29103-ET-P1920-1-1</t>
        </is>
      </c>
      <c r="C33" s="9" t="inlineStr">
        <is>
          <t>29103-ET-P1920-1</t>
        </is>
      </c>
      <c r="D33" s="9" t="inlineStr">
        <is>
          <t>HTC-22 / CB-22</t>
        </is>
      </c>
      <c r="E33" s="9" t="inlineStr">
        <is>
          <t>29103-P-1920</t>
        </is>
      </c>
      <c r="F33" s="9" t="inlineStr">
        <is>
          <t>29103-65R-ET-P1920-01-01</t>
        </is>
      </c>
      <c r="G33" s="9" t="inlineStr">
        <is>
          <t>13.1</t>
        </is>
      </c>
      <c r="H33" s="9" t="inlineStr">
        <is>
          <t>29103-ET-P1920-1-1.pdf</t>
        </is>
      </c>
      <c r="I33" s="4" t="str">
        <f>IF($H33&lt;&gt;"","YES","NO")</f>
        <v>YES</v>
      </c>
      <c r="J33" s="4" t="str">
        <f>IF(N($T33)&gt;0,"YES","NO")</f>
        <v>NO</v>
      </c>
      <c r="K33" s="4" t="str">
        <f>IF(OR($A33="EHT Trace"),IF(AND($U33&lt;&gt;"",$V33&lt;&gt;""),"YES","NO"),"N/A")</f>
        <v>NO</v>
      </c>
      <c r="L33" s="4" t="str">
        <f>IF(OR($A33="EHT Trace"),IF(AND($X33&lt;&gt;"",$Y33&lt;&gt;""),"YES","NO"),"N/A")</f>
        <v>NO</v>
      </c>
      <c r="M33" s="4" t="str">
        <f>IF(OR($A33="EHT Trace"),IF(AND($AA33&lt;&gt;"",$AB33&lt;&gt;""),"YES","NO"),"N/A")</f>
        <v>NO</v>
      </c>
      <c r="N33" s="4" t="str">
        <f>IF(OR($A33="Power Cable"),IF(AND($AD33&lt;&gt;""),"YES","NO"),"N/A")</f>
        <v>N/A</v>
      </c>
      <c r="O33" s="4" t="str">
        <f>IF(OR($A33="Power Cable",$A33="RTD Cable",$A33="Fieldbus Cable"),IF(AND($AE33&lt;&gt;""),"YES","NO"),"N/A")</f>
        <v>N/A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str">
        <f>IF(OR($AM33&lt;&gt;"",$Z33&lt;&gt;"",$AC33&lt;&gt;""),"YES","NO")</f>
        <v>NO</v>
      </c>
      <c r="S33" s="4" t="str">
        <f>IF(COUNTIF(I33:R33,"NO")=0,"YES","NO")</f>
        <v>NO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inlineStr">
        <is>
          <t>5HTV2-CT</t>
        </is>
      </c>
      <c r="AK33" s="9" t="inlineStr">
        <is>
          <t>117.5 m m</t>
        </is>
      </c>
      <c r="AL33" s="9" t="inlineStr">
        <is>
          <t>Levy Ostrup</t>
        </is>
      </c>
      <c r="AM33" s="9" t="n"/>
      <c r="AN33" s="9" t="n"/>
    </row>
    <row r="34">
      <c r="A34" s="9" t="inlineStr">
        <is>
          <t>EHT Trace</t>
        </is>
      </c>
      <c r="B34" s="9" t="inlineStr">
        <is>
          <t>29103-ET-P1920-2-1</t>
        </is>
      </c>
      <c r="C34" s="9" t="inlineStr">
        <is>
          <t>29103-ET-P1920-2</t>
        </is>
      </c>
      <c r="D34" s="9" t="inlineStr">
        <is>
          <t>29103-AMB-016</t>
        </is>
      </c>
      <c r="E34" s="9" t="inlineStr">
        <is>
          <t>29103-P-1920</t>
        </is>
      </c>
      <c r="F34" s="9" t="inlineStr">
        <is>
          <t>29103-65R-ET-P1920-02-01</t>
        </is>
      </c>
      <c r="G34" s="9" t="inlineStr">
        <is>
          <t>13.1</t>
        </is>
      </c>
      <c r="H34" s="9" t="inlineStr">
        <is>
          <t>29103-ET-P1920-2-1.pdf</t>
        </is>
      </c>
      <c r="I34" s="4" t="str">
        <f>IF($H34&lt;&gt;"","YES","NO")</f>
        <v>YES</v>
      </c>
      <c r="J34" s="4" t="str">
        <f>IF(N($T34)&gt;0,"YES","NO")</f>
        <v>NO</v>
      </c>
      <c r="K34" s="4" t="str">
        <f>IF(OR($A34="EHT Trace"),IF(AND($U34&lt;&gt;"",$V34&lt;&gt;""),"YES","NO"),"N/A")</f>
        <v>NO</v>
      </c>
      <c r="L34" s="4" t="str">
        <f>IF(OR($A34="EHT Trace"),IF(AND($X34&lt;&gt;"",$Y34&lt;&gt;""),"YES","NO"),"N/A")</f>
        <v>NO</v>
      </c>
      <c r="M34" s="4" t="str">
        <f>IF(OR($A34="EHT Trace"),IF(AND($AA34&lt;&gt;"",$AB34&lt;&gt;""),"YES","NO"),"N/A")</f>
        <v>NO</v>
      </c>
      <c r="N34" s="4" t="str">
        <f>IF(OR($A34="Power Cable"),IF(AND($AD34&lt;&gt;""),"YES","NO"),"N/A")</f>
        <v>N/A</v>
      </c>
      <c r="O34" s="4" t="str">
        <f>IF(OR($A34="Power Cable",$A34="RTD Cable",$A34="Fieldbus Cable"),IF(AND($AE34&lt;&gt;""),"YES","NO"),"N/A")</f>
        <v>N/A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str">
        <f>IF(OR($AM34&lt;&gt;"",$Z34&lt;&gt;"",$AC34&lt;&gt;""),"YES","NO")</f>
        <v>NO</v>
      </c>
      <c r="S34" s="4" t="str">
        <f>IF(COUNTIF(I34:R34,"NO")=0,"YES","NO")</f>
        <v>NO</v>
      </c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inlineStr">
        <is>
          <t>5HTV2-CT</t>
        </is>
      </c>
      <c r="AK34" s="9" t="inlineStr">
        <is>
          <t>32.4 m m</t>
        </is>
      </c>
      <c r="AL34" s="9" t="inlineStr">
        <is>
          <t>Levy Ostrup</t>
        </is>
      </c>
      <c r="AM34" s="9" t="n"/>
      <c r="AN34" s="9" t="n"/>
    </row>
    <row r="35">
      <c r="A35" s="9" t="inlineStr">
        <is>
          <t>EHT Trace</t>
        </is>
      </c>
      <c r="B35" s="9" t="inlineStr">
        <is>
          <t>29103-ET-PG1901-1-1</t>
        </is>
      </c>
      <c r="C35" s="9" t="inlineStr">
        <is>
          <t>29103-ET-PG1901-1</t>
        </is>
      </c>
      <c r="D35" s="9" t="inlineStr">
        <is>
          <t>29103-AMB-016</t>
        </is>
      </c>
      <c r="E35" s="9" t="inlineStr">
        <is>
          <t>29103-PG-1902, 29103-PG-1901</t>
        </is>
      </c>
      <c r="F35" s="9" t="inlineStr">
        <is>
          <t>29103-65R-ET-PG1901-01-01</t>
        </is>
      </c>
      <c r="G35" s="9" t="inlineStr">
        <is>
          <t>13.1</t>
        </is>
      </c>
      <c r="H35" s="9" t="inlineStr">
        <is>
          <t>29103-ET-PG1901-1-1.pdf</t>
        </is>
      </c>
      <c r="I35" s="4" t="str">
        <f>IF($H35&lt;&gt;"","YES","NO")</f>
        <v>YES</v>
      </c>
      <c r="J35" s="4" t="str">
        <f>IF(N($T35)&gt;0,"YES","NO")</f>
        <v>NO</v>
      </c>
      <c r="K35" s="4" t="str">
        <f>IF(OR($A35="EHT Trace"),IF(AND($U35&lt;&gt;"",$V35&lt;&gt;""),"YES","NO"),"N/A")</f>
        <v>NO</v>
      </c>
      <c r="L35" s="4" t="str">
        <f>IF(OR($A35="EHT Trace"),IF(AND($X35&lt;&gt;"",$Y35&lt;&gt;""),"YES","NO"),"N/A")</f>
        <v>NO</v>
      </c>
      <c r="M35" s="4" t="str">
        <f>IF(OR($A35="EHT Trace"),IF(AND($AA35&lt;&gt;"",$AB35&lt;&gt;""),"YES","NO"),"N/A")</f>
        <v>NO</v>
      </c>
      <c r="N35" s="4" t="str">
        <f>IF(OR($A35="Power Cable"),IF(AND($AD35&lt;&gt;""),"YES","NO"),"N/A")</f>
        <v>N/A</v>
      </c>
      <c r="O35" s="4" t="str">
        <f>IF(OR($A35="Power Cable",$A35="RTD Cable",$A35="Fieldbus Cable"),IF(AND($AE35&lt;&gt;""),"YES","NO"),"N/A")</f>
        <v>N/A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str">
        <f>IF(OR($AM35&lt;&gt;"",$Z35&lt;&gt;"",$AC35&lt;&gt;""),"YES","NO")</f>
        <v>NO</v>
      </c>
      <c r="S35" s="4" t="str">
        <f>IF(COUNTIF(I35:R35,"NO")=0,"YES","NO")</f>
        <v>NO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inlineStr">
        <is>
          <t>8HTV2-CT</t>
        </is>
      </c>
      <c r="AK35" s="9" t="inlineStr">
        <is>
          <t>16.3 m m</t>
        </is>
      </c>
      <c r="AL35" s="9" t="inlineStr">
        <is>
          <t>Levy Ostrup</t>
        </is>
      </c>
      <c r="AM35" s="9" t="n"/>
      <c r="AN35" s="9" t="n"/>
    </row>
    <row r="36">
      <c r="A36" s="9" t="inlineStr">
        <is>
          <t>EHT Trace</t>
        </is>
      </c>
      <c r="B36" s="9" t="inlineStr">
        <is>
          <t>29103-ET-PG1903-1-1</t>
        </is>
      </c>
      <c r="C36" s="9" t="inlineStr">
        <is>
          <t>29103-ET-PG1903-1</t>
        </is>
      </c>
      <c r="D36" s="9" t="inlineStr">
        <is>
          <t>HTC-12 / CB-12</t>
        </is>
      </c>
      <c r="E36" s="9" t="inlineStr">
        <is>
          <t>29103-PG-1903</t>
        </is>
      </c>
      <c r="F36" s="9" t="inlineStr">
        <is>
          <t>29103-65R-ET-PG1903-01-01</t>
        </is>
      </c>
      <c r="G36" s="9" t="inlineStr">
        <is>
          <t>13.1</t>
        </is>
      </c>
      <c r="H36" s="9" t="inlineStr">
        <is>
          <t>29103-ET-PG1903-1-1.pdf</t>
        </is>
      </c>
      <c r="I36" s="4" t="str">
        <f>IF($H36&lt;&gt;"","YES","NO")</f>
        <v>YES</v>
      </c>
      <c r="J36" s="4" t="str">
        <f>IF(N($T36)&gt;0,"YES","NO")</f>
        <v>NO</v>
      </c>
      <c r="K36" s="4" t="str">
        <f>IF(OR($A36="EHT Trace"),IF(AND($U36&lt;&gt;"",$V36&lt;&gt;""),"YES","NO"),"N/A")</f>
        <v>NO</v>
      </c>
      <c r="L36" s="4" t="str">
        <f>IF(OR($A36="EHT Trace"),IF(AND($X36&lt;&gt;"",$Y36&lt;&gt;""),"YES","NO"),"N/A")</f>
        <v>NO</v>
      </c>
      <c r="M36" s="4" t="str">
        <f>IF(OR($A36="EHT Trace"),IF(AND($AA36&lt;&gt;"",$AB36&lt;&gt;""),"YES","NO"),"N/A")</f>
        <v>NO</v>
      </c>
      <c r="N36" s="4" t="str">
        <f>IF(OR($A36="Power Cable"),IF(AND($AD36&lt;&gt;""),"YES","NO"),"N/A")</f>
        <v>N/A</v>
      </c>
      <c r="O36" s="4" t="str">
        <f>IF(OR($A36="Power Cable",$A36="RTD Cable",$A36="Fieldbus Cable"),IF(AND($AE36&lt;&gt;""),"YES","NO"),"N/A")</f>
        <v>N/A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str">
        <f>IF(OR($AM36&lt;&gt;"",$Z36&lt;&gt;"",$AC36&lt;&gt;""),"YES","NO")</f>
        <v>NO</v>
      </c>
      <c r="S36" s="4" t="str">
        <f>IF(COUNTIF(I36:R36,"NO")=0,"YES","NO")</f>
        <v>NO</v>
      </c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inlineStr">
        <is>
          <t>10HTV2-CT</t>
        </is>
      </c>
      <c r="AK36" s="9" t="inlineStr">
        <is>
          <t>54.1 m m</t>
        </is>
      </c>
      <c r="AL36" s="9" t="inlineStr">
        <is>
          <t>Levy Ostrup</t>
        </is>
      </c>
      <c r="AM36" s="9" t="n"/>
      <c r="AN36" s="9" t="n"/>
    </row>
    <row r="37">
      <c r="A37" s="9" t="inlineStr">
        <is>
          <t>EHT Trace</t>
        </is>
      </c>
      <c r="B37" s="9" t="inlineStr">
        <is>
          <t>29103-ET-ST0001-1-1</t>
        </is>
      </c>
      <c r="C37" s="9" t="inlineStr">
        <is>
          <t>29103-ET-ST0001-1</t>
        </is>
      </c>
      <c r="D37" s="9" t="inlineStr">
        <is>
          <t>HTC-14 / CB-14</t>
        </is>
      </c>
      <c r="E37" s="9" t="inlineStr">
        <is>
          <t>29103-ST-0001</t>
        </is>
      </c>
      <c r="F37" s="9" t="inlineStr">
        <is>
          <t>29103-65R-ET-ST0001-01-01</t>
        </is>
      </c>
      <c r="G37" s="9" t="inlineStr">
        <is>
          <t>13.1</t>
        </is>
      </c>
      <c r="H37" s="9" t="inlineStr">
        <is>
          <t>29103-ET-ST0001-1-1.pdf</t>
        </is>
      </c>
      <c r="I37" s="4" t="str">
        <f>IF($H37&lt;&gt;"","YES","NO")</f>
        <v>YES</v>
      </c>
      <c r="J37" s="4" t="str">
        <f>IF(N($T37)&gt;0,"YES","NO")</f>
        <v>NO</v>
      </c>
      <c r="K37" s="4" t="str">
        <f>IF(OR($A37="EHT Trace"),IF(AND($U37&lt;&gt;"",$V37&lt;&gt;""),"YES","NO"),"N/A")</f>
        <v>NO</v>
      </c>
      <c r="L37" s="4" t="str">
        <f>IF(OR($A37="EHT Trace"),IF(AND($X37&lt;&gt;"",$Y37&lt;&gt;""),"YES","NO"),"N/A")</f>
        <v>NO</v>
      </c>
      <c r="M37" s="4" t="str">
        <f>IF(OR($A37="EHT Trace"),IF(AND($AA37&lt;&gt;"",$AB37&lt;&gt;""),"YES","NO"),"N/A")</f>
        <v>NO</v>
      </c>
      <c r="N37" s="4" t="str">
        <f>IF(OR($A37="Power Cable"),IF(AND($AD37&lt;&gt;""),"YES","NO"),"N/A")</f>
        <v>N/A</v>
      </c>
      <c r="O37" s="4" t="str">
        <f>IF(OR($A37="Power Cable",$A37="RTD Cable",$A37="Fieldbus Cable"),IF(AND($AE37&lt;&gt;""),"YES","NO"),"N/A")</f>
        <v>N/A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str">
        <f>IF(OR($AM37&lt;&gt;"",$Z37&lt;&gt;"",$AC37&lt;&gt;""),"YES","NO")</f>
        <v>NO</v>
      </c>
      <c r="S37" s="4" t="str">
        <f>IF(COUNTIF(I37:R37,"NO")=0,"YES","NO")</f>
        <v>NO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inlineStr">
        <is>
          <t>D/32SA2275/24.1M/352/277/1.2M/LS23A/X/N12</t>
        </is>
      </c>
      <c r="AK37" s="9" t="inlineStr">
        <is>
          <t>24.1 m m</t>
        </is>
      </c>
      <c r="AL37" s="9" t="inlineStr">
        <is>
          <t>Levy Ostrup</t>
        </is>
      </c>
      <c r="AM37" s="9" t="n"/>
      <c r="AN37" s="9" t="n"/>
    </row>
    <row r="38">
      <c r="A38" s="9" t="inlineStr">
        <is>
          <t>EHT Trace</t>
        </is>
      </c>
      <c r="B38" s="9" t="inlineStr">
        <is>
          <t>29103-ET-ST0003-1-1</t>
        </is>
      </c>
      <c r="C38" s="9" t="inlineStr">
        <is>
          <t>29103-ET-ST0003-1</t>
        </is>
      </c>
      <c r="D38" s="9" t="inlineStr">
        <is>
          <t>29103-AMB-016</t>
        </is>
      </c>
      <c r="E38" s="9" t="inlineStr">
        <is>
          <t>29103-V-0001, 29103-ST-0003</t>
        </is>
      </c>
      <c r="F38" s="9" t="inlineStr">
        <is>
          <t>29103-65R-ET-ST0003-01-01</t>
        </is>
      </c>
      <c r="G38" s="9" t="inlineStr">
        <is>
          <t>13.1</t>
        </is>
      </c>
      <c r="H38" s="9" t="inlineStr">
        <is>
          <t>29103-ET-ST0003-1-1.pdf</t>
        </is>
      </c>
      <c r="I38" s="4" t="str">
        <f>IF($H38&lt;&gt;"","YES","NO")</f>
        <v>YES</v>
      </c>
      <c r="J38" s="4" t="str">
        <f>IF(N($T38)&gt;0,"YES","NO")</f>
        <v>NO</v>
      </c>
      <c r="K38" s="4" t="str">
        <f>IF(OR($A38="EHT Trace"),IF(AND($U38&lt;&gt;"",$V38&lt;&gt;""),"YES","NO"),"N/A")</f>
        <v>NO</v>
      </c>
      <c r="L38" s="4" t="str">
        <f>IF(OR($A38="EHT Trace"),IF(AND($X38&lt;&gt;"",$Y38&lt;&gt;""),"YES","NO"),"N/A")</f>
        <v>NO</v>
      </c>
      <c r="M38" s="4" t="str">
        <f>IF(OR($A38="EHT Trace"),IF(AND($AA38&lt;&gt;"",$AB38&lt;&gt;""),"YES","NO"),"N/A")</f>
        <v>NO</v>
      </c>
      <c r="N38" s="4" t="str">
        <f>IF(OR($A38="Power Cable"),IF(AND($AD38&lt;&gt;""),"YES","NO"),"N/A")</f>
        <v>N/A</v>
      </c>
      <c r="O38" s="4" t="str">
        <f>IF(OR($A38="Power Cable",$A38="RTD Cable",$A38="Fieldbus Cable"),IF(AND($AE38&lt;&gt;""),"YES","NO"),"N/A")</f>
        <v>N/A</v>
      </c>
      <c r="P38" s="4" t="str">
        <f>IF(OR($A38="RTD"),IF(AND($AH38&lt;&gt;""),"YES","NO"),"N/A")</f>
        <v>N/A</v>
      </c>
      <c r="Q38" s="4" t="str">
        <f>IF(OR($A38="RTD"),IF(AND($AI38&lt;&gt;""),"YES","NO"),"N/A")</f>
        <v>N/A</v>
      </c>
      <c r="R38" s="4" t="str">
        <f>IF(OR($AM38&lt;&gt;"",$Z38&lt;&gt;"",$AC38&lt;&gt;""),"YES","NO")</f>
        <v>NO</v>
      </c>
      <c r="S38" s="4" t="str">
        <f>IF(COUNTIF(I38:R38,"NO")=0,"YES","NO")</f>
        <v>NO</v>
      </c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inlineStr">
        <is>
          <t>5HTV2-CT</t>
        </is>
      </c>
      <c r="AK38" s="9" t="inlineStr">
        <is>
          <t>10.2 m m</t>
        </is>
      </c>
      <c r="AL38" s="9" t="inlineStr">
        <is>
          <t>Levy Ostrup</t>
        </is>
      </c>
      <c r="AM38" s="9" t="n"/>
      <c r="AN38" s="9" t="n"/>
    </row>
    <row r="39">
      <c r="A39" s="9" t="inlineStr">
        <is>
          <t>EHT Trace</t>
        </is>
      </c>
      <c r="B39" s="9" t="inlineStr">
        <is>
          <t>29103-ET-ST1816-1-1</t>
        </is>
      </c>
      <c r="C39" s="9" t="inlineStr">
        <is>
          <t>29103-ET-ST1816-1</t>
        </is>
      </c>
      <c r="D39" s="9" t="inlineStr">
        <is>
          <t>29103-AMB-016</t>
        </is>
      </c>
      <c r="E39" s="9" t="inlineStr">
        <is>
          <t>29103-ST-1817, 29103-ST-1816, 29103-ST-0002</t>
        </is>
      </c>
      <c r="F39" s="9" t="inlineStr">
        <is>
          <t>29103-65R-ET-ST1816-01-01</t>
        </is>
      </c>
      <c r="G39" s="9" t="inlineStr">
        <is>
          <t>13.1</t>
        </is>
      </c>
      <c r="H39" s="9" t="inlineStr">
        <is>
          <t>29103-ET-ST1816-1-1.pdf</t>
        </is>
      </c>
      <c r="I39" s="4" t="str">
        <f>IF($H39&lt;&gt;"","YES","NO")</f>
        <v>YES</v>
      </c>
      <c r="J39" s="4" t="str">
        <f>IF(N($T39)&gt;0,"YES","NO")</f>
        <v>NO</v>
      </c>
      <c r="K39" s="4" t="str">
        <f>IF(OR($A39="EHT Trace"),IF(AND($U39&lt;&gt;"",$V39&lt;&gt;""),"YES","NO"),"N/A")</f>
        <v>NO</v>
      </c>
      <c r="L39" s="4" t="str">
        <f>IF(OR($A39="EHT Trace"),IF(AND($X39&lt;&gt;"",$Y39&lt;&gt;""),"YES","NO"),"N/A")</f>
        <v>NO</v>
      </c>
      <c r="M39" s="4" t="str">
        <f>IF(OR($A39="EHT Trace"),IF(AND($AA39&lt;&gt;"",$AB39&lt;&gt;""),"YES","NO"),"N/A")</f>
        <v>NO</v>
      </c>
      <c r="N39" s="4" t="str">
        <f>IF(OR($A39="Power Cable"),IF(AND($AD39&lt;&gt;""),"YES","NO"),"N/A")</f>
        <v>N/A</v>
      </c>
      <c r="O39" s="4" t="str">
        <f>IF(OR($A39="Power Cable",$A39="RTD Cable",$A39="Fieldbus Cable"),IF(AND($AE39&lt;&gt;""),"YES","NO"),"N/A")</f>
        <v>N/A</v>
      </c>
      <c r="P39" s="4" t="str">
        <f>IF(OR($A39="RTD"),IF(AND($AH39&lt;&gt;""),"YES","NO"),"N/A")</f>
        <v>N/A</v>
      </c>
      <c r="Q39" s="4" t="str">
        <f>IF(OR($A39="RTD"),IF(AND($AI39&lt;&gt;""),"YES","NO"),"N/A")</f>
        <v>N/A</v>
      </c>
      <c r="R39" s="4" t="str">
        <f>IF(OR($AM39&lt;&gt;"",$Z39&lt;&gt;"",$AC39&lt;&gt;""),"YES","NO")</f>
        <v>NO</v>
      </c>
      <c r="S39" s="4" t="str">
        <f>IF(COUNTIF(I39:R39,"NO")=0,"YES","NO")</f>
        <v>NO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inlineStr">
        <is>
          <t>5HTV2-CT</t>
        </is>
      </c>
      <c r="AK39" s="9" t="inlineStr">
        <is>
          <t>34.2 m m</t>
        </is>
      </c>
      <c r="AL39" s="9" t="inlineStr">
        <is>
          <t>Levy Ostrup</t>
        </is>
      </c>
      <c r="AM39" s="9" t="n"/>
      <c r="AN39" s="9" t="n"/>
    </row>
    <row r="40">
      <c r="A40" s="9" t="inlineStr">
        <is>
          <t>EHT Trace</t>
        </is>
      </c>
      <c r="B40" s="9" t="inlineStr">
        <is>
          <t>29103-ET-ST1816-1-2</t>
        </is>
      </c>
      <c r="C40" s="9" t="inlineStr">
        <is>
          <t>29103-ET-ST1816-1</t>
        </is>
      </c>
      <c r="D40" s="9" t="inlineStr">
        <is>
          <t>29103-AMB-016</t>
        </is>
      </c>
      <c r="E40" s="9" t="inlineStr">
        <is>
          <t>29103-ST-1818, 29103-ST-1816</t>
        </is>
      </c>
      <c r="F40" s="9" t="inlineStr">
        <is>
          <t>29103-65R-ET-ST1816-01-01</t>
        </is>
      </c>
      <c r="G40" s="9" t="inlineStr">
        <is>
          <t>13.1</t>
        </is>
      </c>
      <c r="H40" s="9" t="inlineStr">
        <is>
          <t>29103-ET-ST1816-1-2.pdf</t>
        </is>
      </c>
      <c r="I40" s="4" t="str">
        <f>IF($H40&lt;&gt;"","YES","NO")</f>
        <v>YES</v>
      </c>
      <c r="J40" s="4" t="str">
        <f>IF(N($T40)&gt;0,"YES","NO")</f>
        <v>NO</v>
      </c>
      <c r="K40" s="4" t="str">
        <f>IF(OR($A40="EHT Trace"),IF(AND($U40&lt;&gt;"",$V40&lt;&gt;""),"YES","NO"),"N/A")</f>
        <v>NO</v>
      </c>
      <c r="L40" s="4" t="str">
        <f>IF(OR($A40="EHT Trace"),IF(AND($X40&lt;&gt;"",$Y40&lt;&gt;""),"YES","NO"),"N/A")</f>
        <v>NO</v>
      </c>
      <c r="M40" s="4" t="str">
        <f>IF(OR($A40="EHT Trace"),IF(AND($AA40&lt;&gt;"",$AB40&lt;&gt;""),"YES","NO"),"N/A")</f>
        <v>NO</v>
      </c>
      <c r="N40" s="4" t="str">
        <f>IF(OR($A40="Power Cable"),IF(AND($AD40&lt;&gt;""),"YES","NO"),"N/A")</f>
        <v>N/A</v>
      </c>
      <c r="O40" s="4" t="str">
        <f>IF(OR($A40="Power Cable",$A40="RTD Cable",$A40="Fieldbus Cable"),IF(AND($AE40&lt;&gt;""),"YES","NO"),"N/A")</f>
        <v>N/A</v>
      </c>
      <c r="P40" s="4" t="str">
        <f>IF(OR($A40="RTD"),IF(AND($AH40&lt;&gt;""),"YES","NO"),"N/A")</f>
        <v>N/A</v>
      </c>
      <c r="Q40" s="4" t="str">
        <f>IF(OR($A40="RTD"),IF(AND($AI40&lt;&gt;""),"YES","NO"),"N/A")</f>
        <v>N/A</v>
      </c>
      <c r="R40" s="4" t="str">
        <f>IF(OR($AM40&lt;&gt;"",$Z40&lt;&gt;"",$AC40&lt;&gt;""),"YES","NO")</f>
        <v>NO</v>
      </c>
      <c r="S40" s="4" t="str">
        <f>IF(COUNTIF(I40:R40,"NO")=0,"YES","NO")</f>
        <v>NO</v>
      </c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inlineStr">
        <is>
          <t>5HTV2-CT</t>
        </is>
      </c>
      <c r="AK40" s="9" t="inlineStr">
        <is>
          <t>27.1 m m</t>
        </is>
      </c>
      <c r="AL40" s="9" t="inlineStr">
        <is>
          <t>Levy Ostrup</t>
        </is>
      </c>
      <c r="AM40" s="9" t="n"/>
      <c r="AN40" s="9" t="n"/>
    </row>
    <row r="41">
      <c r="A41" s="9" t="inlineStr">
        <is>
          <t>EHT Trace</t>
        </is>
      </c>
      <c r="B41" s="9" t="inlineStr">
        <is>
          <t>29103-ET-V1900-1-1</t>
        </is>
      </c>
      <c r="C41" s="9" t="inlineStr">
        <is>
          <t>29103-ET-V1900-1</t>
        </is>
      </c>
      <c r="D41" s="9" t="inlineStr">
        <is>
          <t>HTC-17 / CB-17</t>
        </is>
      </c>
      <c r="E41" s="9" t="inlineStr">
        <is>
          <t>29103-V-1900</t>
        </is>
      </c>
      <c r="F41" s="9" t="inlineStr">
        <is>
          <t>29103-65R-ET-V1900-01-01</t>
        </is>
      </c>
      <c r="G41" s="9" t="inlineStr">
        <is>
          <t>13.1</t>
        </is>
      </c>
      <c r="H41" s="9" t="inlineStr">
        <is>
          <t>29103-ET-V1900-1-1.pdf</t>
        </is>
      </c>
      <c r="I41" s="4" t="str">
        <f>IF($H41&lt;&gt;"","YES","NO")</f>
        <v>YES</v>
      </c>
      <c r="J41" s="4" t="str">
        <f>IF(N($T41)&gt;0,"YES","NO")</f>
        <v>NO</v>
      </c>
      <c r="K41" s="4" t="str">
        <f>IF(OR($A41="EHT Trace"),IF(AND($U41&lt;&gt;"",$V41&lt;&gt;""),"YES","NO"),"N/A")</f>
        <v>NO</v>
      </c>
      <c r="L41" s="4" t="str">
        <f>IF(OR($A41="EHT Trace"),IF(AND($X41&lt;&gt;"",$Y41&lt;&gt;""),"YES","NO"),"N/A")</f>
        <v>NO</v>
      </c>
      <c r="M41" s="4" t="str">
        <f>IF(OR($A41="EHT Trace"),IF(AND($AA41&lt;&gt;"",$AB41&lt;&gt;""),"YES","NO"),"N/A")</f>
        <v>NO</v>
      </c>
      <c r="N41" s="4" t="str">
        <f>IF(OR($A41="Power Cable"),IF(AND($AD41&lt;&gt;""),"YES","NO"),"N/A")</f>
        <v>N/A</v>
      </c>
      <c r="O41" s="4" t="str">
        <f>IF(OR($A41="Power Cable",$A41="RTD Cable",$A41="Fieldbus Cable"),IF(AND($AE41&lt;&gt;""),"YES","NO"),"N/A")</f>
        <v>N/A</v>
      </c>
      <c r="P41" s="4" t="str">
        <f>IF(OR($A41="RTD"),IF(AND($AH41&lt;&gt;""),"YES","NO"),"N/A")</f>
        <v>N/A</v>
      </c>
      <c r="Q41" s="4" t="str">
        <f>IF(OR($A41="RTD"),IF(AND($AI41&lt;&gt;""),"YES","NO"),"N/A")</f>
        <v>N/A</v>
      </c>
      <c r="R41" s="4" t="str">
        <f>IF(OR($AM41&lt;&gt;"",$Z41&lt;&gt;"",$AC41&lt;&gt;""),"YES","NO")</f>
        <v>NO</v>
      </c>
      <c r="S41" s="4" t="str">
        <f>IF(COUNTIF(I41:R41,"NO")=0,"YES","NO")</f>
        <v>NO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inlineStr">
        <is>
          <t>20HTV2-CT</t>
        </is>
      </c>
      <c r="AK41" s="9" t="inlineStr">
        <is>
          <t>17.1 m m</t>
        </is>
      </c>
      <c r="AL41" s="9" t="inlineStr">
        <is>
          <t>Levy Ostrup</t>
        </is>
      </c>
      <c r="AM41" s="9" t="n"/>
      <c r="AN41" s="9" t="n"/>
    </row>
    <row r="42">
      <c r="A42" s="9" t="inlineStr">
        <is>
          <t>EHT Trace</t>
        </is>
      </c>
      <c r="B42" s="9" t="inlineStr">
        <is>
          <t>29103-ET-V1900-1-2</t>
        </is>
      </c>
      <c r="C42" s="9" t="inlineStr">
        <is>
          <t>29103-ET-V1900-1</t>
        </is>
      </c>
      <c r="D42" s="9" t="inlineStr">
        <is>
          <t>HTC-17 / CB-17</t>
        </is>
      </c>
      <c r="E42" s="9" t="inlineStr">
        <is>
          <t>29103-V-1900</t>
        </is>
      </c>
      <c r="F42" s="9" t="inlineStr">
        <is>
          <t>29103-65R-ET-V1900-01-01</t>
        </is>
      </c>
      <c r="G42" s="9" t="inlineStr">
        <is>
          <t>13.1</t>
        </is>
      </c>
      <c r="H42" s="9" t="inlineStr">
        <is>
          <t>29103-ET-V1900-1-2.pdf</t>
        </is>
      </c>
      <c r="I42" s="4" t="str">
        <f>IF($H42&lt;&gt;"","YES","NO")</f>
        <v>YES</v>
      </c>
      <c r="J42" s="4" t="str">
        <f>IF(N($T42)&gt;0,"YES","NO")</f>
        <v>NO</v>
      </c>
      <c r="K42" s="4" t="str">
        <f>IF(OR($A42="EHT Trace"),IF(AND($U42&lt;&gt;"",$V42&lt;&gt;""),"YES","NO"),"N/A")</f>
        <v>NO</v>
      </c>
      <c r="L42" s="4" t="str">
        <f>IF(OR($A42="EHT Trace"),IF(AND($X42&lt;&gt;"",$Y42&lt;&gt;""),"YES","NO"),"N/A")</f>
        <v>NO</v>
      </c>
      <c r="M42" s="4" t="str">
        <f>IF(OR($A42="EHT Trace"),IF(AND($AA42&lt;&gt;"",$AB42&lt;&gt;""),"YES","NO"),"N/A")</f>
        <v>NO</v>
      </c>
      <c r="N42" s="4" t="str">
        <f>IF(OR($A42="Power Cable"),IF(AND($AD42&lt;&gt;""),"YES","NO"),"N/A")</f>
        <v>N/A</v>
      </c>
      <c r="O42" s="4" t="str">
        <f>IF(OR($A42="Power Cable",$A42="RTD Cable",$A42="Fieldbus Cable"),IF(AND($AE42&lt;&gt;""),"YES","NO"),"N/A")</f>
        <v>N/A</v>
      </c>
      <c r="P42" s="4" t="str">
        <f>IF(OR($A42="RTD"),IF(AND($AH42&lt;&gt;""),"YES","NO"),"N/A")</f>
        <v>N/A</v>
      </c>
      <c r="Q42" s="4" t="str">
        <f>IF(OR($A42="RTD"),IF(AND($AI42&lt;&gt;""),"YES","NO"),"N/A")</f>
        <v>N/A</v>
      </c>
      <c r="R42" s="4" t="str">
        <f>IF(OR($AM42&lt;&gt;"",$Z42&lt;&gt;"",$AC42&lt;&gt;""),"YES","NO")</f>
        <v>NO</v>
      </c>
      <c r="S42" s="4" t="str">
        <f>IF(COUNTIF(I42:R42,"NO")=0,"YES","NO")</f>
        <v>NO</v>
      </c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inlineStr">
        <is>
          <t>20HTV2-CT</t>
        </is>
      </c>
      <c r="AK42" s="9" t="inlineStr">
        <is>
          <t>15.2 m m</t>
        </is>
      </c>
      <c r="AL42" s="9" t="inlineStr">
        <is>
          <t>Levy Ostrup</t>
        </is>
      </c>
      <c r="AM42" s="9" t="n"/>
      <c r="AN42" s="9" t="n"/>
    </row>
    <row r="43">
      <c r="A43" s="9" t="inlineStr">
        <is>
          <t>EHT Trace</t>
        </is>
      </c>
      <c r="B43" s="9" t="inlineStr">
        <is>
          <t>29209-ET-A001-1-1</t>
        </is>
      </c>
      <c r="C43" s="9" t="inlineStr">
        <is>
          <t>29209-ET-A001-1</t>
        </is>
      </c>
      <c r="D43" s="9" t="inlineStr">
        <is>
          <t>HTC-29 / CB-29</t>
        </is>
      </c>
      <c r="E43" s="9" t="inlineStr">
        <is>
          <t>29209-A-001</t>
        </is>
      </c>
      <c r="F43" s="9" t="inlineStr">
        <is>
          <t>29209-65R-ET-A001-01-01</t>
        </is>
      </c>
      <c r="G43" s="9" t="inlineStr">
        <is>
          <t>13.1</t>
        </is>
      </c>
      <c r="H43" s="9" t="inlineStr">
        <is>
          <t>29209-ET-A001-1-1.pdf</t>
        </is>
      </c>
      <c r="I43" s="4" t="str">
        <f>IF($H43&lt;&gt;"","YES","NO")</f>
        <v>YES</v>
      </c>
      <c r="J43" s="4" t="str">
        <f>IF(N($T43)&gt;0,"YES","NO")</f>
        <v>NO</v>
      </c>
      <c r="K43" s="4" t="str">
        <f>IF(OR($A43="EHT Trace"),IF(AND($U43&lt;&gt;"",$V43&lt;&gt;""),"YES","NO"),"N/A")</f>
        <v>NO</v>
      </c>
      <c r="L43" s="4" t="str">
        <f>IF(OR($A43="EHT Trace"),IF(AND($X43&lt;&gt;"",$Y43&lt;&gt;""),"YES","NO"),"N/A")</f>
        <v>NO</v>
      </c>
      <c r="M43" s="4" t="str">
        <f>IF(OR($A43="EHT Trace"),IF(AND($AA43&lt;&gt;"",$AB43&lt;&gt;""),"YES","NO"),"N/A")</f>
        <v>NO</v>
      </c>
      <c r="N43" s="4" t="str">
        <f>IF(OR($A43="Power Cable"),IF(AND($AD43&lt;&gt;""),"YES","NO"),"N/A")</f>
        <v>N/A</v>
      </c>
      <c r="O43" s="4" t="str">
        <f>IF(OR($A43="Power Cable",$A43="RTD Cable",$A43="Fieldbus Cable"),IF(AND($AE43&lt;&gt;""),"YES","NO"),"N/A")</f>
        <v>N/A</v>
      </c>
      <c r="P43" s="4" t="str">
        <f>IF(OR($A43="RTD"),IF(AND($AH43&lt;&gt;""),"YES","NO"),"N/A")</f>
        <v>N/A</v>
      </c>
      <c r="Q43" s="4" t="str">
        <f>IF(OR($A43="RTD"),IF(AND($AI43&lt;&gt;""),"YES","NO"),"N/A")</f>
        <v>N/A</v>
      </c>
      <c r="R43" s="4" t="str">
        <f>IF(OR($AM43&lt;&gt;"",$Z43&lt;&gt;"",$AC43&lt;&gt;""),"YES","NO")</f>
        <v>NO</v>
      </c>
      <c r="S43" s="4" t="str">
        <f>IF(COUNTIF(I43:R43,"NO")=0,"YES","NO")</f>
        <v>NO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inlineStr">
        <is>
          <t>5HTV2-CT</t>
        </is>
      </c>
      <c r="AK43" s="9" t="inlineStr">
        <is>
          <t>4.9 m m</t>
        </is>
      </c>
      <c r="AL43" s="9" t="inlineStr">
        <is>
          <t>Levy Ostrup</t>
        </is>
      </c>
      <c r="AM43" s="9" t="n"/>
      <c r="AN43" s="9" t="n"/>
    </row>
    <row r="44">
      <c r="A44" s="9" t="inlineStr">
        <is>
          <t>EHT Trace</t>
        </is>
      </c>
      <c r="B44" s="9" t="inlineStr">
        <is>
          <t>29209-ET-A001-1-2</t>
        </is>
      </c>
      <c r="C44" s="9" t="inlineStr">
        <is>
          <t>29209-ET-A001-1</t>
        </is>
      </c>
      <c r="D44" s="9" t="inlineStr">
        <is>
          <t>HTC-29 / CB-29</t>
        </is>
      </c>
      <c r="E44" s="9" t="inlineStr">
        <is>
          <t>29209-A-001</t>
        </is>
      </c>
      <c r="F44" s="9" t="inlineStr">
        <is>
          <t>29209-65R-ET-A001-01-01</t>
        </is>
      </c>
      <c r="G44" s="9" t="inlineStr">
        <is>
          <t>13.1</t>
        </is>
      </c>
      <c r="H44" s="9" t="inlineStr">
        <is>
          <t>29209-ET-A001-1-2.pdf</t>
        </is>
      </c>
      <c r="I44" s="4" t="str">
        <f>IF($H44&lt;&gt;"","YES","NO")</f>
        <v>YES</v>
      </c>
      <c r="J44" s="4" t="str">
        <f>IF(N($T44)&gt;0,"YES","NO")</f>
        <v>NO</v>
      </c>
      <c r="K44" s="4" t="str">
        <f>IF(OR($A44="EHT Trace"),IF(AND($U44&lt;&gt;"",$V44&lt;&gt;""),"YES","NO"),"N/A")</f>
        <v>NO</v>
      </c>
      <c r="L44" s="4" t="str">
        <f>IF(OR($A44="EHT Trace"),IF(AND($X44&lt;&gt;"",$Y44&lt;&gt;""),"YES","NO"),"N/A")</f>
        <v>NO</v>
      </c>
      <c r="M44" s="4" t="str">
        <f>IF(OR($A44="EHT Trace"),IF(AND($AA44&lt;&gt;"",$AB44&lt;&gt;""),"YES","NO"),"N/A")</f>
        <v>NO</v>
      </c>
      <c r="N44" s="4" t="str">
        <f>IF(OR($A44="Power Cable"),IF(AND($AD44&lt;&gt;""),"YES","NO"),"N/A")</f>
        <v>N/A</v>
      </c>
      <c r="O44" s="4" t="str">
        <f>IF(OR($A44="Power Cable",$A44="RTD Cable",$A44="Fieldbus Cable"),IF(AND($AE44&lt;&gt;""),"YES","NO"),"N/A")</f>
        <v>N/A</v>
      </c>
      <c r="P44" s="4" t="str">
        <f>IF(OR($A44="RTD"),IF(AND($AH44&lt;&gt;""),"YES","NO"),"N/A")</f>
        <v>N/A</v>
      </c>
      <c r="Q44" s="4" t="str">
        <f>IF(OR($A44="RTD"),IF(AND($AI44&lt;&gt;""),"YES","NO"),"N/A")</f>
        <v>N/A</v>
      </c>
      <c r="R44" s="4" t="str">
        <f>IF(OR($AM44&lt;&gt;"",$Z44&lt;&gt;"",$AC44&lt;&gt;""),"YES","NO")</f>
        <v>NO</v>
      </c>
      <c r="S44" s="4" t="str">
        <f>IF(COUNTIF(I44:R44,"NO")=0,"YES","NO")</f>
        <v>NO</v>
      </c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inlineStr">
        <is>
          <t>5HTV2-CT</t>
        </is>
      </c>
      <c r="AK44" s="9" t="inlineStr">
        <is>
          <t>4.9 m m</t>
        </is>
      </c>
      <c r="AL44" s="9" t="inlineStr">
        <is>
          <t>Levy Ostrup</t>
        </is>
      </c>
      <c r="AM44" s="9" t="n"/>
      <c r="AN44" s="9" t="n"/>
    </row>
    <row r="45">
      <c r="A45" s="9" t="inlineStr">
        <is>
          <t>EHT Trace</t>
        </is>
      </c>
      <c r="B45" s="9" t="inlineStr">
        <is>
          <t>29209-ET-A001-1-3</t>
        </is>
      </c>
      <c r="C45" s="9" t="inlineStr">
        <is>
          <t>29209-ET-A001-1</t>
        </is>
      </c>
      <c r="D45" s="9" t="inlineStr">
        <is>
          <t>HTC-29 / CB-29</t>
        </is>
      </c>
      <c r="E45" s="9" t="inlineStr">
        <is>
          <t>29209-A-001</t>
        </is>
      </c>
      <c r="F45" s="9" t="inlineStr">
        <is>
          <t>29209-65R-ET-A001-01-01</t>
        </is>
      </c>
      <c r="G45" s="9" t="inlineStr">
        <is>
          <t>13.1</t>
        </is>
      </c>
      <c r="H45" s="9" t="inlineStr">
        <is>
          <t>29209-ET-A001-1-3.pdf</t>
        </is>
      </c>
      <c r="I45" s="4" t="str">
        <f>IF($H45&lt;&gt;"","YES","NO")</f>
        <v>YES</v>
      </c>
      <c r="J45" s="4" t="str">
        <f>IF(N($T45)&gt;0,"YES","NO")</f>
        <v>NO</v>
      </c>
      <c r="K45" s="4" t="str">
        <f>IF(OR($A45="EHT Trace"),IF(AND($U45&lt;&gt;"",$V45&lt;&gt;""),"YES","NO"),"N/A")</f>
        <v>NO</v>
      </c>
      <c r="L45" s="4" t="str">
        <f>IF(OR($A45="EHT Trace"),IF(AND($X45&lt;&gt;"",$Y45&lt;&gt;""),"YES","NO"),"N/A")</f>
        <v>NO</v>
      </c>
      <c r="M45" s="4" t="str">
        <f>IF(OR($A45="EHT Trace"),IF(AND($AA45&lt;&gt;"",$AB45&lt;&gt;""),"YES","NO"),"N/A")</f>
        <v>NO</v>
      </c>
      <c r="N45" s="4" t="str">
        <f>IF(OR($A45="Power Cable"),IF(AND($AD45&lt;&gt;""),"YES","NO"),"N/A")</f>
        <v>N/A</v>
      </c>
      <c r="O45" s="4" t="str">
        <f>IF(OR($A45="Power Cable",$A45="RTD Cable",$A45="Fieldbus Cable"),IF(AND($AE45&lt;&gt;""),"YES","NO"),"N/A")</f>
        <v>N/A</v>
      </c>
      <c r="P45" s="4" t="str">
        <f>IF(OR($A45="RTD"),IF(AND($AH45&lt;&gt;""),"YES","NO"),"N/A")</f>
        <v>N/A</v>
      </c>
      <c r="Q45" s="4" t="str">
        <f>IF(OR($A45="RTD"),IF(AND($AI45&lt;&gt;""),"YES","NO"),"N/A")</f>
        <v>N/A</v>
      </c>
      <c r="R45" s="4" t="str">
        <f>IF(OR($AM45&lt;&gt;"",$Z45&lt;&gt;"",$AC45&lt;&gt;""),"YES","NO")</f>
        <v>NO</v>
      </c>
      <c r="S45" s="4" t="str">
        <f>IF(COUNTIF(I45:R45,"NO")=0,"YES","NO")</f>
        <v>NO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inlineStr">
        <is>
          <t>5HTV2-CT</t>
        </is>
      </c>
      <c r="AK45" s="9" t="inlineStr">
        <is>
          <t>1.2 m m</t>
        </is>
      </c>
      <c r="AL45" s="9" t="inlineStr">
        <is>
          <t>Levy Ostrup</t>
        </is>
      </c>
      <c r="AM45" s="9" t="n"/>
      <c r="AN45" s="9" t="n"/>
    </row>
    <row r="46">
      <c r="A46" s="9" t="inlineStr">
        <is>
          <t>EHT Trace</t>
        </is>
      </c>
      <c r="B46" s="9" t="inlineStr">
        <is>
          <t>29209-ET-HC6010-1-1</t>
        </is>
      </c>
      <c r="C46" s="9" t="inlineStr">
        <is>
          <t>29209-ET-HC6010-1</t>
        </is>
      </c>
      <c r="D46" s="9" t="inlineStr">
        <is>
          <t>HTC-25 / CB-25</t>
        </is>
      </c>
      <c r="E46" s="9" t="inlineStr">
        <is>
          <t>29209-HC-6010</t>
        </is>
      </c>
      <c r="F46" s="9" t="inlineStr">
        <is>
          <t>29209-65R-ET-HC6010-01-01</t>
        </is>
      </c>
      <c r="G46" s="9" t="inlineStr">
        <is>
          <t>13.1</t>
        </is>
      </c>
      <c r="H46" s="9" t="inlineStr">
        <is>
          <t>29209-ET-HC6010-1-1.pdf</t>
        </is>
      </c>
      <c r="I46" s="4" t="str">
        <f>IF($H46&lt;&gt;"","YES","NO")</f>
        <v>YES</v>
      </c>
      <c r="J46" s="4" t="str">
        <f>IF(N($T46)&gt;0,"YES","NO")</f>
        <v>NO</v>
      </c>
      <c r="K46" s="4" t="str">
        <f>IF(OR($A46="EHT Trace"),IF(AND($U46&lt;&gt;"",$V46&lt;&gt;""),"YES","NO"),"N/A")</f>
        <v>NO</v>
      </c>
      <c r="L46" s="4" t="str">
        <f>IF(OR($A46="EHT Trace"),IF(AND($X46&lt;&gt;"",$Y46&lt;&gt;""),"YES","NO"),"N/A")</f>
        <v>NO</v>
      </c>
      <c r="M46" s="4" t="str">
        <f>IF(OR($A46="EHT Trace"),IF(AND($AA46&lt;&gt;"",$AB46&lt;&gt;""),"YES","NO"),"N/A")</f>
        <v>NO</v>
      </c>
      <c r="N46" s="4" t="str">
        <f>IF(OR($A46="Power Cable"),IF(AND($AD46&lt;&gt;""),"YES","NO"),"N/A")</f>
        <v>N/A</v>
      </c>
      <c r="O46" s="4" t="str">
        <f>IF(OR($A46="Power Cable",$A46="RTD Cable",$A46="Fieldbus Cable"),IF(AND($AE46&lt;&gt;""),"YES","NO"),"N/A")</f>
        <v>N/A</v>
      </c>
      <c r="P46" s="4" t="str">
        <f>IF(OR($A46="RTD"),IF(AND($AH46&lt;&gt;""),"YES","NO"),"N/A")</f>
        <v>N/A</v>
      </c>
      <c r="Q46" s="4" t="str">
        <f>IF(OR($A46="RTD"),IF(AND($AI46&lt;&gt;""),"YES","NO"),"N/A")</f>
        <v>N/A</v>
      </c>
      <c r="R46" s="4" t="str">
        <f>IF(OR($AM46&lt;&gt;"",$Z46&lt;&gt;"",$AC46&lt;&gt;""),"YES","NO")</f>
        <v>NO</v>
      </c>
      <c r="S46" s="4" t="str">
        <f>IF(COUNTIF(I46:R46,"NO")=0,"YES","NO")</f>
        <v>NO</v>
      </c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inlineStr">
        <is>
          <t>8HTV2-CT</t>
        </is>
      </c>
      <c r="AK46" s="9" t="inlineStr">
        <is>
          <t>27.8 m m</t>
        </is>
      </c>
      <c r="AL46" s="9" t="inlineStr">
        <is>
          <t>Levy Ostrup</t>
        </is>
      </c>
      <c r="AM46" s="9" t="n"/>
      <c r="AN46" s="9" t="n"/>
    </row>
    <row r="47">
      <c r="A47" s="9" t="inlineStr">
        <is>
          <t>EHT Trace</t>
        </is>
      </c>
      <c r="B47" s="9" t="inlineStr">
        <is>
          <t>29209-ET-HC6010-1-2</t>
        </is>
      </c>
      <c r="C47" s="9" t="inlineStr">
        <is>
          <t>29209-ET-HC6010-1</t>
        </is>
      </c>
      <c r="D47" s="9" t="inlineStr">
        <is>
          <t>HTC-25 / CB-25</t>
        </is>
      </c>
      <c r="E47" s="9" t="inlineStr">
        <is>
          <t>29209-HC-6010</t>
        </is>
      </c>
      <c r="F47" s="9" t="inlineStr">
        <is>
          <t>29209-65R-ET-HC6010-01-01</t>
        </is>
      </c>
      <c r="G47" s="9" t="inlineStr">
        <is>
          <t>13.1</t>
        </is>
      </c>
      <c r="H47" s="9" t="inlineStr">
        <is>
          <t>29209-ET-HC6010-1-2.pdf</t>
        </is>
      </c>
      <c r="I47" s="4" t="str">
        <f>IF($H47&lt;&gt;"","YES","NO")</f>
        <v>YES</v>
      </c>
      <c r="J47" s="4" t="str">
        <f>IF(N($T47)&gt;0,"YES","NO")</f>
        <v>NO</v>
      </c>
      <c r="K47" s="4" t="str">
        <f>IF(OR($A47="EHT Trace"),IF(AND($U47&lt;&gt;"",$V47&lt;&gt;""),"YES","NO"),"N/A")</f>
        <v>NO</v>
      </c>
      <c r="L47" s="4" t="str">
        <f>IF(OR($A47="EHT Trace"),IF(AND($X47&lt;&gt;"",$Y47&lt;&gt;""),"YES","NO"),"N/A")</f>
        <v>NO</v>
      </c>
      <c r="M47" s="4" t="str">
        <f>IF(OR($A47="EHT Trace"),IF(AND($AA47&lt;&gt;"",$AB47&lt;&gt;""),"YES","NO"),"N/A")</f>
        <v>NO</v>
      </c>
      <c r="N47" s="4" t="str">
        <f>IF(OR($A47="Power Cable"),IF(AND($AD47&lt;&gt;""),"YES","NO"),"N/A")</f>
        <v>N/A</v>
      </c>
      <c r="O47" s="4" t="str">
        <f>IF(OR($A47="Power Cable",$A47="RTD Cable",$A47="Fieldbus Cable"),IF(AND($AE47&lt;&gt;""),"YES","NO"),"N/A")</f>
        <v>N/A</v>
      </c>
      <c r="P47" s="4" t="str">
        <f>IF(OR($A47="RTD"),IF(AND($AH47&lt;&gt;""),"YES","NO"),"N/A")</f>
        <v>N/A</v>
      </c>
      <c r="Q47" s="4" t="str">
        <f>IF(OR($A47="RTD"),IF(AND($AI47&lt;&gt;""),"YES","NO"),"N/A")</f>
        <v>N/A</v>
      </c>
      <c r="R47" s="4" t="str">
        <f>IF(OR($AM47&lt;&gt;"",$Z47&lt;&gt;"",$AC47&lt;&gt;""),"YES","NO")</f>
        <v>NO</v>
      </c>
      <c r="S47" s="4" t="str">
        <f>IF(COUNTIF(I47:R47,"NO")=0,"YES","NO")</f>
        <v>NO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inlineStr">
        <is>
          <t>8HTV2-CT</t>
        </is>
      </c>
      <c r="AK47" s="9" t="inlineStr">
        <is>
          <t>10.9 m m</t>
        </is>
      </c>
      <c r="AL47" s="9" t="inlineStr">
        <is>
          <t>Levy Ostrup</t>
        </is>
      </c>
      <c r="AM47" s="9" t="n"/>
      <c r="AN47" s="9" t="n"/>
    </row>
    <row r="48">
      <c r="A48" s="9" t="inlineStr">
        <is>
          <t>EHT Trace</t>
        </is>
      </c>
      <c r="B48" s="9" t="inlineStr">
        <is>
          <t>29209-ET-P6020-1-1</t>
        </is>
      </c>
      <c r="C48" s="9" t="inlineStr">
        <is>
          <t>29209-ET-P6020-1</t>
        </is>
      </c>
      <c r="D48" s="9" t="inlineStr">
        <is>
          <t>HTC-23 / CB-23</t>
        </is>
      </c>
      <c r="E48" s="9" t="inlineStr">
        <is>
          <t>29209-P-6020</t>
        </is>
      </c>
      <c r="F48" s="9" t="inlineStr">
        <is>
          <t>29209-65R-ET-P6020-01-01</t>
        </is>
      </c>
      <c r="G48" s="9" t="inlineStr">
        <is>
          <t>13.1</t>
        </is>
      </c>
      <c r="H48" s="9" t="inlineStr">
        <is>
          <t>29209-ET-P6020-1-1.pdf</t>
        </is>
      </c>
      <c r="I48" s="4" t="str">
        <f>IF($H48&lt;&gt;"","YES","NO")</f>
        <v>YES</v>
      </c>
      <c r="J48" s="4" t="str">
        <f>IF(N($T48)&gt;0,"YES","NO")</f>
        <v>NO</v>
      </c>
      <c r="K48" s="4" t="str">
        <f>IF(OR($A48="EHT Trace"),IF(AND($U48&lt;&gt;"",$V48&lt;&gt;""),"YES","NO"),"N/A")</f>
        <v>NO</v>
      </c>
      <c r="L48" s="4" t="str">
        <f>IF(OR($A48="EHT Trace"),IF(AND($X48&lt;&gt;"",$Y48&lt;&gt;""),"YES","NO"),"N/A")</f>
        <v>NO</v>
      </c>
      <c r="M48" s="4" t="str">
        <f>IF(OR($A48="EHT Trace"),IF(AND($AA48&lt;&gt;"",$AB48&lt;&gt;""),"YES","NO"),"N/A")</f>
        <v>NO</v>
      </c>
      <c r="N48" s="4" t="str">
        <f>IF(OR($A48="Power Cable"),IF(AND($AD48&lt;&gt;""),"YES","NO"),"N/A")</f>
        <v>N/A</v>
      </c>
      <c r="O48" s="4" t="str">
        <f>IF(OR($A48="Power Cable",$A48="RTD Cable",$A48="Fieldbus Cable"),IF(AND($AE48&lt;&gt;""),"YES","NO"),"N/A")</f>
        <v>N/A</v>
      </c>
      <c r="P48" s="4" t="str">
        <f>IF(OR($A48="RTD"),IF(AND($AH48&lt;&gt;""),"YES","NO"),"N/A")</f>
        <v>N/A</v>
      </c>
      <c r="Q48" s="4" t="str">
        <f>IF(OR($A48="RTD"),IF(AND($AI48&lt;&gt;""),"YES","NO"),"N/A")</f>
        <v>N/A</v>
      </c>
      <c r="R48" s="4" t="str">
        <f>IF(OR($AM48&lt;&gt;"",$Z48&lt;&gt;"",$AC48&lt;&gt;""),"YES","NO")</f>
        <v>NO</v>
      </c>
      <c r="S48" s="4" t="str">
        <f>IF(COUNTIF(I48:R48,"NO")=0,"YES","NO")</f>
        <v>NO</v>
      </c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inlineStr">
        <is>
          <t>D/32SQ3200/54.9M/1976/277/2.1M/LS23A/X/N12</t>
        </is>
      </c>
      <c r="AK48" s="9" t="inlineStr">
        <is>
          <t>54.9 m m</t>
        </is>
      </c>
      <c r="AL48" s="9" t="inlineStr">
        <is>
          <t>Levy Ostrup</t>
        </is>
      </c>
      <c r="AM48" s="9" t="n"/>
      <c r="AN48" s="9" t="n"/>
    </row>
    <row r="49">
      <c r="A49" s="9" t="inlineStr">
        <is>
          <t>EHT Trace</t>
        </is>
      </c>
      <c r="B49" s="9" t="inlineStr">
        <is>
          <t>29209-ET-P6020-1-2</t>
        </is>
      </c>
      <c r="C49" s="9" t="inlineStr">
        <is>
          <t>29209-ET-P6020-1</t>
        </is>
      </c>
      <c r="D49" s="9" t="inlineStr">
        <is>
          <t>HTC-23 / CB-23</t>
        </is>
      </c>
      <c r="E49" s="9" t="inlineStr">
        <is>
          <t>29209-P-6020</t>
        </is>
      </c>
      <c r="F49" s="9" t="inlineStr">
        <is>
          <t>29209-65R-ET-P6020-01-01</t>
        </is>
      </c>
      <c r="G49" s="9" t="inlineStr">
        <is>
          <t>13.1</t>
        </is>
      </c>
      <c r="H49" s="9" t="inlineStr">
        <is>
          <t>29209-ET-P6020-1-2.pdf</t>
        </is>
      </c>
      <c r="I49" s="4" t="str">
        <f>IF($H49&lt;&gt;"","YES","NO")</f>
        <v>YES</v>
      </c>
      <c r="J49" s="4" t="str">
        <f>IF(N($T49)&gt;0,"YES","NO")</f>
        <v>NO</v>
      </c>
      <c r="K49" s="4" t="str">
        <f>IF(OR($A49="EHT Trace"),IF(AND($U49&lt;&gt;"",$V49&lt;&gt;""),"YES","NO"),"N/A")</f>
        <v>YES</v>
      </c>
      <c r="L49" s="4" t="str">
        <f>IF(OR($A49="EHT Trace"),IF(AND($X49&lt;&gt;"",$Y49&lt;&gt;""),"YES","NO"),"N/A")</f>
        <v>NO</v>
      </c>
      <c r="M49" s="4" t="str">
        <f>IF(OR($A49="EHT Trace"),IF(AND($AA49&lt;&gt;"",$AB49&lt;&gt;""),"YES","NO"),"N/A")</f>
        <v>NO</v>
      </c>
      <c r="N49" s="4" t="str">
        <f>IF(OR($A49="Power Cable"),IF(AND($AD49&lt;&gt;""),"YES","NO"),"N/A")</f>
        <v>N/A</v>
      </c>
      <c r="O49" s="4" t="str">
        <f>IF(OR($A49="Power Cable",$A49="RTD Cable",$A49="Fieldbus Cable"),IF(AND($AE49&lt;&gt;""),"YES","NO"),"N/A")</f>
        <v>N/A</v>
      </c>
      <c r="P49" s="4" t="str">
        <f>IF(OR($A49="RTD"),IF(AND($AH49&lt;&gt;""),"YES","NO"),"N/A")</f>
        <v>N/A</v>
      </c>
      <c r="Q49" s="4" t="str">
        <f>IF(OR($A49="RTD"),IF(AND($AI49&lt;&gt;""),"YES","NO"),"N/A")</f>
        <v>N/A</v>
      </c>
      <c r="R49" s="4" t="str">
        <f>IF(OR($AM49&lt;&gt;"",$Z49&lt;&gt;"",$AC49&lt;&gt;""),"YES","NO")</f>
        <v>NO</v>
      </c>
      <c r="S49" s="4" t="str">
        <f>IF(COUNTIF(I49:R49,"NO")=0,"YES","NO")</f>
        <v>NO</v>
      </c>
      <c r="T49" s="9" t="n"/>
      <c r="U49" s="9" t="inlineStr">
        <is>
          <t>&gt;2.2 GΩ</t>
        </is>
      </c>
      <c r="V49" s="9" t="inlineStr">
        <is>
          <t>12.6 Ω</t>
        </is>
      </c>
      <c r="W49" s="9" t="inlineStr">
        <is>
          <t>2026-05-17</t>
        </is>
      </c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inlineStr">
        <is>
          <t>E/32SQ3100/36.6M/1486/138/2.1M/LS23A/X/N12</t>
        </is>
      </c>
      <c r="AK49" s="9" t="inlineStr">
        <is>
          <t>36.6 m m</t>
        </is>
      </c>
      <c r="AL49" s="9" t="inlineStr">
        <is>
          <t>Levy Ostrup</t>
        </is>
      </c>
      <c r="AM49" s="9" t="n"/>
      <c r="AN49" s="9" t="n"/>
    </row>
    <row r="50">
      <c r="A50" s="9" t="inlineStr">
        <is>
          <t>EHT Trace</t>
        </is>
      </c>
      <c r="B50" s="9" t="inlineStr">
        <is>
          <t>29209-ET-P6020-1-3</t>
        </is>
      </c>
      <c r="C50" s="9" t="inlineStr">
        <is>
          <t>29209-ET-P6020-1</t>
        </is>
      </c>
      <c r="D50" s="9" t="inlineStr">
        <is>
          <t>HTC-23 / CB-23</t>
        </is>
      </c>
      <c r="E50" s="9" t="inlineStr">
        <is>
          <t>29209-P-6020</t>
        </is>
      </c>
      <c r="F50" s="9" t="inlineStr">
        <is>
          <t>29209-65R-ET-P6020-01-01</t>
        </is>
      </c>
      <c r="G50" s="9" t="inlineStr">
        <is>
          <t>13.1</t>
        </is>
      </c>
      <c r="H50" s="9" t="inlineStr">
        <is>
          <t>29209-ET-P6020-1-3.pdf</t>
        </is>
      </c>
      <c r="I50" s="4" t="str">
        <f>IF($H50&lt;&gt;"","YES","NO")</f>
        <v>YES</v>
      </c>
      <c r="J50" s="4" t="str">
        <f>IF(N($T50)&gt;0,"YES","NO")</f>
        <v>NO</v>
      </c>
      <c r="K50" s="4" t="str">
        <f>IF(OR($A50="EHT Trace"),IF(AND($U50&lt;&gt;"",$V50&lt;&gt;""),"YES","NO"),"N/A")</f>
        <v>YES</v>
      </c>
      <c r="L50" s="4" t="str">
        <f>IF(OR($A50="EHT Trace"),IF(AND($X50&lt;&gt;"",$Y50&lt;&gt;""),"YES","NO"),"N/A")</f>
        <v>NO</v>
      </c>
      <c r="M50" s="4" t="str">
        <f>IF(OR($A50="EHT Trace"),IF(AND($AA50&lt;&gt;"",$AB50&lt;&gt;""),"YES","NO"),"N/A")</f>
        <v>NO</v>
      </c>
      <c r="N50" s="4" t="str">
        <f>IF(OR($A50="Power Cable"),IF(AND($AD50&lt;&gt;""),"YES","NO"),"N/A")</f>
        <v>N/A</v>
      </c>
      <c r="O50" s="4" t="str">
        <f>IF(OR($A50="Power Cable",$A50="RTD Cable",$A50="Fieldbus Cable"),IF(AND($AE50&lt;&gt;""),"YES","NO"),"N/A")</f>
        <v>N/A</v>
      </c>
      <c r="P50" s="4" t="str">
        <f>IF(OR($A50="RTD"),IF(AND($AH50&lt;&gt;""),"YES","NO"),"N/A")</f>
        <v>N/A</v>
      </c>
      <c r="Q50" s="4" t="str">
        <f>IF(OR($A50="RTD"),IF(AND($AI50&lt;&gt;""),"YES","NO"),"N/A")</f>
        <v>N/A</v>
      </c>
      <c r="R50" s="4" t="str">
        <f>IF(OR($AM50&lt;&gt;"",$Z50&lt;&gt;"",$AC50&lt;&gt;""),"YES","NO")</f>
        <v>NO</v>
      </c>
      <c r="S50" s="4" t="str">
        <f>IF(COUNTIF(I50:R50,"NO")=0,"YES","NO")</f>
        <v>NO</v>
      </c>
      <c r="T50" s="9" t="n"/>
      <c r="U50" s="9" t="inlineStr">
        <is>
          <t>&gt;2.2 GΩ</t>
        </is>
      </c>
      <c r="V50" s="9" t="inlineStr">
        <is>
          <t>12.6 Ω</t>
        </is>
      </c>
      <c r="W50" s="9" t="inlineStr">
        <is>
          <t>2026-05-17</t>
        </is>
      </c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inlineStr">
        <is>
          <t>D/32SQ3100/36.6M/1486/138/2.1M/LS23A/X/N12</t>
        </is>
      </c>
      <c r="AK50" s="9" t="inlineStr">
        <is>
          <t>36.6 m m</t>
        </is>
      </c>
      <c r="AL50" s="9" t="inlineStr">
        <is>
          <t>Levy Ostrup</t>
        </is>
      </c>
      <c r="AM50" s="9" t="n"/>
      <c r="AN50" s="9" t="n"/>
    </row>
    <row r="51">
      <c r="A51" s="9" t="inlineStr">
        <is>
          <t>EHT Trace</t>
        </is>
      </c>
      <c r="B51" s="9" t="inlineStr">
        <is>
          <t>29209-ET-P6021-1-1</t>
        </is>
      </c>
      <c r="C51" s="9" t="inlineStr">
        <is>
          <t>29209-ET-P6021-1</t>
        </is>
      </c>
      <c r="D51" s="9" t="inlineStr">
        <is>
          <t>HTC-18 / CB-18</t>
        </is>
      </c>
      <c r="E51" s="9" t="inlineStr">
        <is>
          <t>29209-P-6021</t>
        </is>
      </c>
      <c r="F51" s="9" t="inlineStr">
        <is>
          <t>29209-65R-ET-P6021-01-01</t>
        </is>
      </c>
      <c r="G51" s="9" t="inlineStr">
        <is>
          <t>13.1</t>
        </is>
      </c>
      <c r="H51" s="9" t="inlineStr">
        <is>
          <t>29209-ET-P6021-1-1.pdf</t>
        </is>
      </c>
      <c r="I51" s="4" t="str">
        <f>IF($H51&lt;&gt;"","YES","NO")</f>
        <v>YES</v>
      </c>
      <c r="J51" s="4" t="str">
        <f>IF(N($T51)&gt;0,"YES","NO")</f>
        <v>NO</v>
      </c>
      <c r="K51" s="4" t="str">
        <f>IF(OR($A51="EHT Trace"),IF(AND($U51&lt;&gt;"",$V51&lt;&gt;""),"YES","NO"),"N/A")</f>
        <v>NO</v>
      </c>
      <c r="L51" s="4" t="str">
        <f>IF(OR($A51="EHT Trace"),IF(AND($X51&lt;&gt;"",$Y51&lt;&gt;""),"YES","NO"),"N/A")</f>
        <v>NO</v>
      </c>
      <c r="M51" s="4" t="str">
        <f>IF(OR($A51="EHT Trace"),IF(AND($AA51&lt;&gt;"",$AB51&lt;&gt;""),"YES","NO"),"N/A")</f>
        <v>NO</v>
      </c>
      <c r="N51" s="4" t="str">
        <f>IF(OR($A51="Power Cable"),IF(AND($AD51&lt;&gt;""),"YES","NO"),"N/A")</f>
        <v>N/A</v>
      </c>
      <c r="O51" s="4" t="str">
        <f>IF(OR($A51="Power Cable",$A51="RTD Cable",$A51="Fieldbus Cable"),IF(AND($AE51&lt;&gt;""),"YES","NO"),"N/A")</f>
        <v>N/A</v>
      </c>
      <c r="P51" s="4" t="str">
        <f>IF(OR($A51="RTD"),IF(AND($AH51&lt;&gt;""),"YES","NO"),"N/A")</f>
        <v>N/A</v>
      </c>
      <c r="Q51" s="4" t="str">
        <f>IF(OR($A51="RTD"),IF(AND($AI51&lt;&gt;""),"YES","NO"),"N/A")</f>
        <v>N/A</v>
      </c>
      <c r="R51" s="4" t="str">
        <f>IF(OR($AM51&lt;&gt;"",$Z51&lt;&gt;"",$AC51&lt;&gt;""),"YES","NO")</f>
        <v>NO</v>
      </c>
      <c r="S51" s="4" t="str">
        <f>IF(COUNTIF(I51:R51,"NO")=0,"YES","NO")</f>
        <v>NO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inlineStr">
        <is>
          <t>D/32SQ3200/54.9M/1976/277/2.1M/LS23A/X/N12</t>
        </is>
      </c>
      <c r="AK51" s="9" t="inlineStr">
        <is>
          <t>54.9 m m</t>
        </is>
      </c>
      <c r="AL51" s="9" t="inlineStr">
        <is>
          <t>Levy Ostrup</t>
        </is>
      </c>
      <c r="AM51" s="9" t="n"/>
      <c r="AN51" s="9" t="n"/>
    </row>
    <row r="52">
      <c r="A52" s="9" t="inlineStr">
        <is>
          <t>EHT Trace</t>
        </is>
      </c>
      <c r="B52" s="9" t="inlineStr">
        <is>
          <t>29209-ET-P6021-1-2</t>
        </is>
      </c>
      <c r="C52" s="9" t="inlineStr">
        <is>
          <t>29209-ET-P6021-1</t>
        </is>
      </c>
      <c r="D52" s="9" t="inlineStr">
        <is>
          <t>HTC-18 / CB-18</t>
        </is>
      </c>
      <c r="E52" s="9" t="inlineStr">
        <is>
          <t>29209-P-6021</t>
        </is>
      </c>
      <c r="F52" s="9" t="inlineStr">
        <is>
          <t>29209-65R-ET-P6021-01-01</t>
        </is>
      </c>
      <c r="G52" s="9" t="inlineStr">
        <is>
          <t>13.1</t>
        </is>
      </c>
      <c r="H52" s="9" t="inlineStr">
        <is>
          <t>29209-ET-P6021-1-2.pdf</t>
        </is>
      </c>
      <c r="I52" s="4" t="str">
        <f>IF($H52&lt;&gt;"","YES","NO")</f>
        <v>YES</v>
      </c>
      <c r="J52" s="4" t="str">
        <f>IF(N($T52)&gt;0,"YES","NO")</f>
        <v>NO</v>
      </c>
      <c r="K52" s="4" t="str">
        <f>IF(OR($A52="EHT Trace"),IF(AND($U52&lt;&gt;"",$V52&lt;&gt;""),"YES","NO"),"N/A")</f>
        <v>NO</v>
      </c>
      <c r="L52" s="4" t="str">
        <f>IF(OR($A52="EHT Trace"),IF(AND($X52&lt;&gt;"",$Y52&lt;&gt;""),"YES","NO"),"N/A")</f>
        <v>NO</v>
      </c>
      <c r="M52" s="4" t="str">
        <f>IF(OR($A52="EHT Trace"),IF(AND($AA52&lt;&gt;"",$AB52&lt;&gt;""),"YES","NO"),"N/A")</f>
        <v>NO</v>
      </c>
      <c r="N52" s="4" t="str">
        <f>IF(OR($A52="Power Cable"),IF(AND($AD52&lt;&gt;""),"YES","NO"),"N/A")</f>
        <v>N/A</v>
      </c>
      <c r="O52" s="4" t="str">
        <f>IF(OR($A52="Power Cable",$A52="RTD Cable",$A52="Fieldbus Cable"),IF(AND($AE52&lt;&gt;""),"YES","NO"),"N/A")</f>
        <v>N/A</v>
      </c>
      <c r="P52" s="4" t="str">
        <f>IF(OR($A52="RTD"),IF(AND($AH52&lt;&gt;""),"YES","NO"),"N/A")</f>
        <v>N/A</v>
      </c>
      <c r="Q52" s="4" t="str">
        <f>IF(OR($A52="RTD"),IF(AND($AI52&lt;&gt;""),"YES","NO"),"N/A")</f>
        <v>N/A</v>
      </c>
      <c r="R52" s="4" t="str">
        <f>IF(OR($AM52&lt;&gt;"",$Z52&lt;&gt;"",$AC52&lt;&gt;""),"YES","NO")</f>
        <v>NO</v>
      </c>
      <c r="S52" s="4" t="str">
        <f>IF(COUNTIF(I52:R52,"NO")=0,"YES","NO")</f>
        <v>NO</v>
      </c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inlineStr">
        <is>
          <t>E/32SQ3100/36.6M/1486/138/2.1M/LS23A/X/N12</t>
        </is>
      </c>
      <c r="AK52" s="9" t="inlineStr">
        <is>
          <t>36.6 m m</t>
        </is>
      </c>
      <c r="AL52" s="9" t="inlineStr">
        <is>
          <t>Levy Ostrup</t>
        </is>
      </c>
      <c r="AM52" s="9" t="n"/>
      <c r="AN52" s="9" t="n"/>
    </row>
    <row r="53">
      <c r="A53" s="9" t="inlineStr">
        <is>
          <t>EHT Trace</t>
        </is>
      </c>
      <c r="B53" s="9" t="inlineStr">
        <is>
          <t>29209-ET-P6021-1-3</t>
        </is>
      </c>
      <c r="C53" s="9" t="inlineStr">
        <is>
          <t>29209-ET-P6021-1</t>
        </is>
      </c>
      <c r="D53" s="9" t="inlineStr">
        <is>
          <t>HTC-18 / CB-18</t>
        </is>
      </c>
      <c r="E53" s="9" t="inlineStr">
        <is>
          <t>29209-P-6021</t>
        </is>
      </c>
      <c r="F53" s="9" t="inlineStr">
        <is>
          <t>29209-65R-ET-P6021-01-01</t>
        </is>
      </c>
      <c r="G53" s="9" t="inlineStr">
        <is>
          <t>13.1</t>
        </is>
      </c>
      <c r="H53" s="9" t="inlineStr">
        <is>
          <t>29209-ET-P6021-1-3.pdf</t>
        </is>
      </c>
      <c r="I53" s="4" t="str">
        <f>IF($H53&lt;&gt;"","YES","NO")</f>
        <v>YES</v>
      </c>
      <c r="J53" s="4" t="str">
        <f>IF(N($T53)&gt;0,"YES","NO")</f>
        <v>NO</v>
      </c>
      <c r="K53" s="4" t="str">
        <f>IF(OR($A53="EHT Trace"),IF(AND($U53&lt;&gt;"",$V53&lt;&gt;""),"YES","NO"),"N/A")</f>
        <v>NO</v>
      </c>
      <c r="L53" s="4" t="str">
        <f>IF(OR($A53="EHT Trace"),IF(AND($X53&lt;&gt;"",$Y53&lt;&gt;""),"YES","NO"),"N/A")</f>
        <v>NO</v>
      </c>
      <c r="M53" s="4" t="str">
        <f>IF(OR($A53="EHT Trace"),IF(AND($AA53&lt;&gt;"",$AB53&lt;&gt;""),"YES","NO"),"N/A")</f>
        <v>NO</v>
      </c>
      <c r="N53" s="4" t="str">
        <f>IF(OR($A53="Power Cable"),IF(AND($AD53&lt;&gt;""),"YES","NO"),"N/A")</f>
        <v>N/A</v>
      </c>
      <c r="O53" s="4" t="str">
        <f>IF(OR($A53="Power Cable",$A53="RTD Cable",$A53="Fieldbus Cable"),IF(AND($AE53&lt;&gt;""),"YES","NO"),"N/A")</f>
        <v>N/A</v>
      </c>
      <c r="P53" s="4" t="str">
        <f>IF(OR($A53="RTD"),IF(AND($AH53&lt;&gt;""),"YES","NO"),"N/A")</f>
        <v>N/A</v>
      </c>
      <c r="Q53" s="4" t="str">
        <f>IF(OR($A53="RTD"),IF(AND($AI53&lt;&gt;""),"YES","NO"),"N/A")</f>
        <v>N/A</v>
      </c>
      <c r="R53" s="4" t="str">
        <f>IF(OR($AM53&lt;&gt;"",$Z53&lt;&gt;"",$AC53&lt;&gt;""),"YES","NO")</f>
        <v>NO</v>
      </c>
      <c r="S53" s="4" t="str">
        <f>IF(COUNTIF(I53:R53,"NO")=0,"YES","NO")</f>
        <v>NO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inlineStr">
        <is>
          <t>D/32SQ3100/36.6M/1486/138/2.1M/LS23A/X/N12</t>
        </is>
      </c>
      <c r="AK53" s="9" t="inlineStr">
        <is>
          <t>36.6 m m</t>
        </is>
      </c>
      <c r="AL53" s="9" t="inlineStr">
        <is>
          <t>Levy Ostrup</t>
        </is>
      </c>
      <c r="AM53" s="9" t="n"/>
      <c r="AN53" s="9" t="n"/>
    </row>
    <row r="54">
      <c r="A54" s="9" t="inlineStr">
        <is>
          <t>EHT Trace</t>
        </is>
      </c>
      <c r="B54" s="9" t="inlineStr">
        <is>
          <t>29209-ET-P6022-1-1</t>
        </is>
      </c>
      <c r="C54" s="9" t="inlineStr">
        <is>
          <t>29209-ET-P6022-1</t>
        </is>
      </c>
      <c r="D54" s="9" t="inlineStr">
        <is>
          <t>HTC-21 / CB-21</t>
        </is>
      </c>
      <c r="E54" s="9" t="inlineStr">
        <is>
          <t>29209-P-6022</t>
        </is>
      </c>
      <c r="F54" s="9" t="inlineStr">
        <is>
          <t>29209-65R-ET-P6022-01-01</t>
        </is>
      </c>
      <c r="G54" s="9" t="inlineStr">
        <is>
          <t>13.1</t>
        </is>
      </c>
      <c r="H54" s="9" t="inlineStr">
        <is>
          <t>29209-ET-P6022-1-1.pdf</t>
        </is>
      </c>
      <c r="I54" s="4" t="str">
        <f>IF($H54&lt;&gt;"","YES","NO")</f>
        <v>YES</v>
      </c>
      <c r="J54" s="4" t="str">
        <f>IF(N($T54)&gt;0,"YES","NO")</f>
        <v>NO</v>
      </c>
      <c r="K54" s="4" t="str">
        <f>IF(OR($A54="EHT Trace"),IF(AND($U54&lt;&gt;"",$V54&lt;&gt;""),"YES","NO"),"N/A")</f>
        <v>NO</v>
      </c>
      <c r="L54" s="4" t="str">
        <f>IF(OR($A54="EHT Trace"),IF(AND($X54&lt;&gt;"",$Y54&lt;&gt;""),"YES","NO"),"N/A")</f>
        <v>NO</v>
      </c>
      <c r="M54" s="4" t="str">
        <f>IF(OR($A54="EHT Trace"),IF(AND($AA54&lt;&gt;"",$AB54&lt;&gt;""),"YES","NO"),"N/A")</f>
        <v>NO</v>
      </c>
      <c r="N54" s="4" t="str">
        <f>IF(OR($A54="Power Cable"),IF(AND($AD54&lt;&gt;""),"YES","NO"),"N/A")</f>
        <v>N/A</v>
      </c>
      <c r="O54" s="4" t="str">
        <f>IF(OR($A54="Power Cable",$A54="RTD Cable",$A54="Fieldbus Cable"),IF(AND($AE54&lt;&gt;""),"YES","NO"),"N/A")</f>
        <v>N/A</v>
      </c>
      <c r="P54" s="4" t="str">
        <f>IF(OR($A54="RTD"),IF(AND($AH54&lt;&gt;""),"YES","NO"),"N/A")</f>
        <v>N/A</v>
      </c>
      <c r="Q54" s="4" t="str">
        <f>IF(OR($A54="RTD"),IF(AND($AI54&lt;&gt;""),"YES","NO"),"N/A")</f>
        <v>N/A</v>
      </c>
      <c r="R54" s="4" t="str">
        <f>IF(OR($AM54&lt;&gt;"",$Z54&lt;&gt;"",$AC54&lt;&gt;""),"YES","NO")</f>
        <v>NO</v>
      </c>
      <c r="S54" s="4" t="str">
        <f>IF(COUNTIF(I54:R54,"NO")=0,"YES","NO")</f>
        <v>NO</v>
      </c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inlineStr">
        <is>
          <t>D/32SQ3293/42.6M/1742/277/1.2M/LS23A/X/N12</t>
        </is>
      </c>
      <c r="AK54" s="9" t="inlineStr">
        <is>
          <t>42.6 m m</t>
        </is>
      </c>
      <c r="AL54" s="9" t="inlineStr">
        <is>
          <t>Levy Ostrup</t>
        </is>
      </c>
      <c r="AM54" s="9" t="n"/>
      <c r="AN54" s="9" t="n"/>
    </row>
    <row r="55">
      <c r="A55" s="9" t="inlineStr">
        <is>
          <t>EHT Trace</t>
        </is>
      </c>
      <c r="B55" s="9" t="inlineStr">
        <is>
          <t>29209-ET-P6022-1-2</t>
        </is>
      </c>
      <c r="C55" s="9" t="inlineStr">
        <is>
          <t>29209-ET-P6022-1</t>
        </is>
      </c>
      <c r="D55" s="9" t="inlineStr">
        <is>
          <t>HTC-21 / CB-21</t>
        </is>
      </c>
      <c r="E55" s="9" t="inlineStr">
        <is>
          <t>29209-P-6022</t>
        </is>
      </c>
      <c r="F55" s="9" t="inlineStr">
        <is>
          <t>29209-65R-ET-P6022-01-01</t>
        </is>
      </c>
      <c r="G55" s="9" t="inlineStr">
        <is>
          <t>13.1</t>
        </is>
      </c>
      <c r="H55" s="9" t="inlineStr">
        <is>
          <t>29209-ET-P6022-1-2.pdf</t>
        </is>
      </c>
      <c r="I55" s="4" t="str">
        <f>IF($H55&lt;&gt;"","YES","NO")</f>
        <v>YES</v>
      </c>
      <c r="J55" s="4" t="str">
        <f>IF(N($T55)&gt;0,"YES","NO")</f>
        <v>NO</v>
      </c>
      <c r="K55" s="4" t="str">
        <f>IF(OR($A55="EHT Trace"),IF(AND($U55&lt;&gt;"",$V55&lt;&gt;""),"YES","NO"),"N/A")</f>
        <v>NO</v>
      </c>
      <c r="L55" s="4" t="str">
        <f>IF(OR($A55="EHT Trace"),IF(AND($X55&lt;&gt;"",$Y55&lt;&gt;""),"YES","NO"),"N/A")</f>
        <v>NO</v>
      </c>
      <c r="M55" s="4" t="str">
        <f>IF(OR($A55="EHT Trace"),IF(AND($AA55&lt;&gt;"",$AB55&lt;&gt;""),"YES","NO"),"N/A")</f>
        <v>NO</v>
      </c>
      <c r="N55" s="4" t="str">
        <f>IF(OR($A55="Power Cable"),IF(AND($AD55&lt;&gt;""),"YES","NO"),"N/A")</f>
        <v>N/A</v>
      </c>
      <c r="O55" s="4" t="str">
        <f>IF(OR($A55="Power Cable",$A55="RTD Cable",$A55="Fieldbus Cable"),IF(AND($AE55&lt;&gt;""),"YES","NO"),"N/A")</f>
        <v>N/A</v>
      </c>
      <c r="P55" s="4" t="str">
        <f>IF(OR($A55="RTD"),IF(AND($AH55&lt;&gt;""),"YES","NO"),"N/A")</f>
        <v>N/A</v>
      </c>
      <c r="Q55" s="4" t="str">
        <f>IF(OR($A55="RTD"),IF(AND($AI55&lt;&gt;""),"YES","NO"),"N/A")</f>
        <v>N/A</v>
      </c>
      <c r="R55" s="4" t="str">
        <f>IF(OR($AM55&lt;&gt;"",$Z55&lt;&gt;"",$AC55&lt;&gt;""),"YES","NO")</f>
        <v>NO</v>
      </c>
      <c r="S55" s="4" t="str">
        <f>IF(COUNTIF(I55:R55,"NO")=0,"YES","NO")</f>
        <v>NO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inlineStr">
        <is>
          <t>E/32SQ3100/38.2M/1429/138/1.2M/LS23A/X/N12</t>
        </is>
      </c>
      <c r="AK55" s="9" t="inlineStr">
        <is>
          <t>38.2 m m</t>
        </is>
      </c>
      <c r="AL55" s="9" t="inlineStr">
        <is>
          <t>Levy Ostrup</t>
        </is>
      </c>
      <c r="AM55" s="9" t="n"/>
      <c r="AN55" s="9" t="n"/>
    </row>
    <row r="56">
      <c r="A56" s="9" t="inlineStr">
        <is>
          <t>EHT Trace</t>
        </is>
      </c>
      <c r="B56" s="9" t="inlineStr">
        <is>
          <t>29209-ET-P6022-1-3</t>
        </is>
      </c>
      <c r="C56" s="9" t="inlineStr">
        <is>
          <t>29209-ET-P6022-1</t>
        </is>
      </c>
      <c r="D56" s="9" t="inlineStr">
        <is>
          <t>HTC-21 / CB-21</t>
        </is>
      </c>
      <c r="E56" s="9" t="inlineStr">
        <is>
          <t>29209-P-6022</t>
        </is>
      </c>
      <c r="F56" s="9" t="inlineStr">
        <is>
          <t>29209-65R-ET-P6022-01-01</t>
        </is>
      </c>
      <c r="G56" s="9" t="inlineStr">
        <is>
          <t>13.1</t>
        </is>
      </c>
      <c r="H56" s="9" t="inlineStr">
        <is>
          <t>29209-ET-P6022-1-3.pdf</t>
        </is>
      </c>
      <c r="I56" s="4" t="str">
        <f>IF($H56&lt;&gt;"","YES","NO")</f>
        <v>YES</v>
      </c>
      <c r="J56" s="4" t="str">
        <f>IF(N($T56)&gt;0,"YES","NO")</f>
        <v>NO</v>
      </c>
      <c r="K56" s="4" t="str">
        <f>IF(OR($A56="EHT Trace"),IF(AND($U56&lt;&gt;"",$V56&lt;&gt;""),"YES","NO"),"N/A")</f>
        <v>NO</v>
      </c>
      <c r="L56" s="4" t="str">
        <f>IF(OR($A56="EHT Trace"),IF(AND($X56&lt;&gt;"",$Y56&lt;&gt;""),"YES","NO"),"N/A")</f>
        <v>NO</v>
      </c>
      <c r="M56" s="4" t="str">
        <f>IF(OR($A56="EHT Trace"),IF(AND($AA56&lt;&gt;"",$AB56&lt;&gt;""),"YES","NO"),"N/A")</f>
        <v>NO</v>
      </c>
      <c r="N56" s="4" t="str">
        <f>IF(OR($A56="Power Cable"),IF(AND($AD56&lt;&gt;""),"YES","NO"),"N/A")</f>
        <v>N/A</v>
      </c>
      <c r="O56" s="4" t="str">
        <f>IF(OR($A56="Power Cable",$A56="RTD Cable",$A56="Fieldbus Cable"),IF(AND($AE56&lt;&gt;""),"YES","NO"),"N/A")</f>
        <v>N/A</v>
      </c>
      <c r="P56" s="4" t="str">
        <f>IF(OR($A56="RTD"),IF(AND($AH56&lt;&gt;""),"YES","NO"),"N/A")</f>
        <v>N/A</v>
      </c>
      <c r="Q56" s="4" t="str">
        <f>IF(OR($A56="RTD"),IF(AND($AI56&lt;&gt;""),"YES","NO"),"N/A")</f>
        <v>N/A</v>
      </c>
      <c r="R56" s="4" t="str">
        <f>IF(OR($AM56&lt;&gt;"",$Z56&lt;&gt;"",$AC56&lt;&gt;""),"YES","NO")</f>
        <v>NO</v>
      </c>
      <c r="S56" s="4" t="str">
        <f>IF(COUNTIF(I56:R56,"NO")=0,"YES","NO")</f>
        <v>NO</v>
      </c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inlineStr">
        <is>
          <t>D/32SQ3100/38.2M/1429/138/1.2M/LS23A/X/N12</t>
        </is>
      </c>
      <c r="AK56" s="9" t="inlineStr">
        <is>
          <t>38.2 m m</t>
        </is>
      </c>
      <c r="AL56" s="9" t="inlineStr">
        <is>
          <t>Levy Ostrup</t>
        </is>
      </c>
      <c r="AM56" s="9" t="n"/>
      <c r="AN56" s="9" t="n"/>
    </row>
    <row r="57">
      <c r="A57" s="9" t="inlineStr">
        <is>
          <t>EHT Trace</t>
        </is>
      </c>
      <c r="B57" s="9" t="inlineStr">
        <is>
          <t>29209-ET-PG6003-1-1</t>
        </is>
      </c>
      <c r="C57" s="9" t="inlineStr">
        <is>
          <t>29209-ET-PG6003-1</t>
        </is>
      </c>
      <c r="D57" s="9" t="inlineStr">
        <is>
          <t>HTC-27 / CB-27</t>
        </is>
      </c>
      <c r="E57" s="9" t="inlineStr">
        <is>
          <t>29209-PG-6003</t>
        </is>
      </c>
      <c r="F57" s="9" t="inlineStr">
        <is>
          <t>29209-65R-ET-PG6003-01-01</t>
        </is>
      </c>
      <c r="G57" s="9" t="inlineStr">
        <is>
          <t>13.1</t>
        </is>
      </c>
      <c r="H57" s="9" t="inlineStr">
        <is>
          <t>29209-ET-PG6003-1-1.pdf</t>
        </is>
      </c>
      <c r="I57" s="4" t="str">
        <f>IF($H57&lt;&gt;"","YES","NO")</f>
        <v>YES</v>
      </c>
      <c r="J57" s="4" t="str">
        <f>IF(N($T57)&gt;0,"YES","NO")</f>
        <v>NO</v>
      </c>
      <c r="K57" s="4" t="str">
        <f>IF(OR($A57="EHT Trace"),IF(AND($U57&lt;&gt;"",$V57&lt;&gt;""),"YES","NO"),"N/A")</f>
        <v>YES</v>
      </c>
      <c r="L57" s="4" t="str">
        <f>IF(OR($A57="EHT Trace"),IF(AND($X57&lt;&gt;"",$Y57&lt;&gt;""),"YES","NO"),"N/A")</f>
        <v>NO</v>
      </c>
      <c r="M57" s="4" t="str">
        <f>IF(OR($A57="EHT Trace"),IF(AND($AA57&lt;&gt;"",$AB57&lt;&gt;""),"YES","NO"),"N/A")</f>
        <v>NO</v>
      </c>
      <c r="N57" s="4" t="str">
        <f>IF(OR($A57="Power Cable"),IF(AND($AD57&lt;&gt;""),"YES","NO"),"N/A")</f>
        <v>N/A</v>
      </c>
      <c r="O57" s="4" t="str">
        <f>IF(OR($A57="Power Cable",$A57="RTD Cable",$A57="Fieldbus Cable"),IF(AND($AE57&lt;&gt;""),"YES","NO"),"N/A")</f>
        <v>N/A</v>
      </c>
      <c r="P57" s="4" t="str">
        <f>IF(OR($A57="RTD"),IF(AND($AH57&lt;&gt;""),"YES","NO"),"N/A")</f>
        <v>N/A</v>
      </c>
      <c r="Q57" s="4" t="str">
        <f>IF(OR($A57="RTD"),IF(AND($AI57&lt;&gt;""),"YES","NO"),"N/A")</f>
        <v>N/A</v>
      </c>
      <c r="R57" s="4" t="str">
        <f>IF(OR($AM57&lt;&gt;"",$Z57&lt;&gt;"",$AC57&lt;&gt;""),"YES","NO")</f>
        <v>NO</v>
      </c>
      <c r="S57" s="4" t="str">
        <f>IF(COUNTIF(I57:R57,"NO")=0,"YES","NO")</f>
        <v>NO</v>
      </c>
      <c r="T57" s="9" t="n"/>
      <c r="U57" s="9" t="inlineStr">
        <is>
          <t>&gt;550 MΩ</t>
        </is>
      </c>
      <c r="V57" s="9" t="inlineStr">
        <is>
          <t>34.5 Ω</t>
        </is>
      </c>
      <c r="W57" s="9" t="inlineStr">
        <is>
          <t>2026-05-18</t>
        </is>
      </c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inlineStr">
        <is>
          <t>D/32SQ3200/50M/2160/277/2.1M/LS23A/X/N12</t>
        </is>
      </c>
      <c r="AK57" s="9" t="inlineStr">
        <is>
          <t>50 m m</t>
        </is>
      </c>
      <c r="AL57" s="9" t="inlineStr">
        <is>
          <t>Levy Ostrup</t>
        </is>
      </c>
      <c r="AM57" s="9" t="n"/>
      <c r="AN57" s="9" t="n"/>
    </row>
    <row r="58">
      <c r="A58" s="9" t="inlineStr">
        <is>
          <t>EHT Trace</t>
        </is>
      </c>
      <c r="B58" s="9" t="inlineStr">
        <is>
          <t>29209-ET-PG6003-1-2</t>
        </is>
      </c>
      <c r="C58" s="9" t="inlineStr">
        <is>
          <t>29209-ET-PG6003-1</t>
        </is>
      </c>
      <c r="D58" s="9" t="inlineStr">
        <is>
          <t>HTC-27 / CB-27</t>
        </is>
      </c>
      <c r="E58" s="9" t="inlineStr">
        <is>
          <t>29209-PG-6003</t>
        </is>
      </c>
      <c r="F58" s="9" t="inlineStr">
        <is>
          <t>29209-65R-ET-PG6003-01-01</t>
        </is>
      </c>
      <c r="G58" s="9" t="inlineStr">
        <is>
          <t>13.1</t>
        </is>
      </c>
      <c r="H58" s="9" t="inlineStr">
        <is>
          <t>29209-ET-PG6003-1-2.pdf</t>
        </is>
      </c>
      <c r="I58" s="4" t="str">
        <f>IF($H58&lt;&gt;"","YES","NO")</f>
        <v>YES</v>
      </c>
      <c r="J58" s="4" t="str">
        <f>IF(N($T58)&gt;0,"YES","NO")</f>
        <v>NO</v>
      </c>
      <c r="K58" s="4" t="str">
        <f>IF(OR($A58="EHT Trace"),IF(AND($U58&lt;&gt;"",$V58&lt;&gt;""),"YES","NO"),"N/A")</f>
        <v>YES</v>
      </c>
      <c r="L58" s="4" t="str">
        <f>IF(OR($A58="EHT Trace"),IF(AND($X58&lt;&gt;"",$Y58&lt;&gt;""),"YES","NO"),"N/A")</f>
        <v>NO</v>
      </c>
      <c r="M58" s="4" t="str">
        <f>IF(OR($A58="EHT Trace"),IF(AND($AA58&lt;&gt;"",$AB58&lt;&gt;""),"YES","NO"),"N/A")</f>
        <v>NO</v>
      </c>
      <c r="N58" s="4" t="str">
        <f>IF(OR($A58="Power Cable"),IF(AND($AD58&lt;&gt;""),"YES","NO"),"N/A")</f>
        <v>N/A</v>
      </c>
      <c r="O58" s="4" t="str">
        <f>IF(OR($A58="Power Cable",$A58="RTD Cable",$A58="Fieldbus Cable"),IF(AND($AE58&lt;&gt;""),"YES","NO"),"N/A")</f>
        <v>N/A</v>
      </c>
      <c r="P58" s="4" t="str">
        <f>IF(OR($A58="RTD"),IF(AND($AH58&lt;&gt;""),"YES","NO"),"N/A")</f>
        <v>N/A</v>
      </c>
      <c r="Q58" s="4" t="str">
        <f>IF(OR($A58="RTD"),IF(AND($AI58&lt;&gt;""),"YES","NO"),"N/A")</f>
        <v>N/A</v>
      </c>
      <c r="R58" s="4" t="str">
        <f>IF(OR($AM58&lt;&gt;"",$Z58&lt;&gt;"",$AC58&lt;&gt;""),"YES","NO")</f>
        <v>NO</v>
      </c>
      <c r="S58" s="4" t="str">
        <f>IF(COUNTIF(I58:R58,"NO")=0,"YES","NO")</f>
        <v>NO</v>
      </c>
      <c r="T58" s="9" t="n"/>
      <c r="U58" s="9" t="inlineStr">
        <is>
          <t>&gt;550 MΩ</t>
        </is>
      </c>
      <c r="V58" s="9" t="inlineStr">
        <is>
          <t>82.7 Ω</t>
        </is>
      </c>
      <c r="W58" s="9" t="inlineStr">
        <is>
          <t>2026-05-18</t>
        </is>
      </c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inlineStr">
        <is>
          <t>D/32SB2114/21.2M/962/277/2.1M/LS23A/X/N12</t>
        </is>
      </c>
      <c r="AK58" s="9" t="inlineStr">
        <is>
          <t>21.2 m m</t>
        </is>
      </c>
      <c r="AL58" s="9" t="inlineStr">
        <is>
          <t>Levy Ostrup</t>
        </is>
      </c>
      <c r="AM58" s="9" t="n"/>
      <c r="AN58" s="9" t="n"/>
    </row>
    <row r="59">
      <c r="A59" s="9" t="inlineStr">
        <is>
          <t>EHT Trace</t>
        </is>
      </c>
      <c r="B59" s="9" t="inlineStr">
        <is>
          <t>29209-ET-ST6005-1-1</t>
        </is>
      </c>
      <c r="C59" s="9" t="inlineStr">
        <is>
          <t>29209-ET-ST6005-1</t>
        </is>
      </c>
      <c r="D59" s="9" t="inlineStr">
        <is>
          <t>HTC-24 / CB-24</t>
        </is>
      </c>
      <c r="E59" s="9" t="inlineStr">
        <is>
          <t>29209-ST-6005</t>
        </is>
      </c>
      <c r="F59" s="9" t="inlineStr">
        <is>
          <t>29209-65R-ET-ST6005-01-01</t>
        </is>
      </c>
      <c r="G59" s="9" t="inlineStr">
        <is>
          <t>13.1</t>
        </is>
      </c>
      <c r="H59" s="9" t="inlineStr">
        <is>
          <t>29209-ET-ST6005-1-1.pdf</t>
        </is>
      </c>
      <c r="I59" s="4" t="str">
        <f>IF($H59&lt;&gt;"","YES","NO")</f>
        <v>YES</v>
      </c>
      <c r="J59" s="4" t="str">
        <f>IF(N($T59)&gt;0,"YES","NO")</f>
        <v>NO</v>
      </c>
      <c r="K59" s="4" t="str">
        <f>IF(OR($A59="EHT Trace"),IF(AND($U59&lt;&gt;"",$V59&lt;&gt;""),"YES","NO"),"N/A")</f>
        <v>YES</v>
      </c>
      <c r="L59" s="4" t="str">
        <f>IF(OR($A59="EHT Trace"),IF(AND($X59&lt;&gt;"",$Y59&lt;&gt;""),"YES","NO"),"N/A")</f>
        <v>NO</v>
      </c>
      <c r="M59" s="4" t="str">
        <f>IF(OR($A59="EHT Trace"),IF(AND($AA59&lt;&gt;"",$AB59&lt;&gt;""),"YES","NO"),"N/A")</f>
        <v>NO</v>
      </c>
      <c r="N59" s="4" t="str">
        <f>IF(OR($A59="Power Cable"),IF(AND($AD59&lt;&gt;""),"YES","NO"),"N/A")</f>
        <v>N/A</v>
      </c>
      <c r="O59" s="4" t="str">
        <f>IF(OR($A59="Power Cable",$A59="RTD Cable",$A59="Fieldbus Cable"),IF(AND($AE59&lt;&gt;""),"YES","NO"),"N/A")</f>
        <v>N/A</v>
      </c>
      <c r="P59" s="4" t="str">
        <f>IF(OR($A59="RTD"),IF(AND($AH59&lt;&gt;""),"YES","NO"),"N/A")</f>
        <v>N/A</v>
      </c>
      <c r="Q59" s="4" t="str">
        <f>IF(OR($A59="RTD"),IF(AND($AI59&lt;&gt;""),"YES","NO"),"N/A")</f>
        <v>N/A</v>
      </c>
      <c r="R59" s="4" t="str">
        <f>IF(OR($AM59&lt;&gt;"",$Z59&lt;&gt;"",$AC59&lt;&gt;""),"YES","NO")</f>
        <v>NO</v>
      </c>
      <c r="S59" s="4" t="str">
        <f>IF(COUNTIF(I59:R59,"NO")=0,"YES","NO")</f>
        <v>NO</v>
      </c>
      <c r="T59" s="9" t="n"/>
      <c r="U59" s="9" t="inlineStr">
        <is>
          <t>550 MΩ</t>
        </is>
      </c>
      <c r="V59" s="9" t="inlineStr">
        <is>
          <t>288.1 Ω</t>
        </is>
      </c>
      <c r="W59" s="9" t="inlineStr">
        <is>
          <t>2026-05-18</t>
        </is>
      </c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inlineStr">
        <is>
          <t>D/32SA2400/21.2M/276/277/1.2M/LS23A/X/N12</t>
        </is>
      </c>
      <c r="AK59" s="9" t="inlineStr">
        <is>
          <t>21.2 m m</t>
        </is>
      </c>
      <c r="AL59" s="9" t="inlineStr">
        <is>
          <t>Levy Ostrup</t>
        </is>
      </c>
      <c r="AM59" s="9" t="n"/>
      <c r="AN59" s="9" t="n"/>
    </row>
    <row r="60">
      <c r="A60" s="9" t="inlineStr">
        <is>
          <t>EHT Trace</t>
        </is>
      </c>
      <c r="B60" s="9" t="inlineStr">
        <is>
          <t>29209-ET-ST6005-2-1</t>
        </is>
      </c>
      <c r="C60" s="9" t="inlineStr">
        <is>
          <t>29209-ET-ST6005-2</t>
        </is>
      </c>
      <c r="D60" s="9" t="inlineStr">
        <is>
          <t>HTC-26 / CB-26</t>
        </is>
      </c>
      <c r="E60" s="9" t="inlineStr">
        <is>
          <t>29209-ST-6005</t>
        </is>
      </c>
      <c r="F60" s="9" t="inlineStr">
        <is>
          <t>29209-65R-ET-ST6005-02-01</t>
        </is>
      </c>
      <c r="G60" s="9" t="inlineStr">
        <is>
          <t>13.1</t>
        </is>
      </c>
      <c r="H60" s="9" t="inlineStr">
        <is>
          <t>29209-ET-ST6005-2-1.pdf</t>
        </is>
      </c>
      <c r="I60" s="4" t="str">
        <f>IF($H60&lt;&gt;"","YES","NO")</f>
        <v>YES</v>
      </c>
      <c r="J60" s="4" t="str">
        <f>IF(N($T60)&gt;0,"YES","NO")</f>
        <v>NO</v>
      </c>
      <c r="K60" s="4" t="str">
        <f>IF(OR($A60="EHT Trace"),IF(AND($U60&lt;&gt;"",$V60&lt;&gt;""),"YES","NO"),"N/A")</f>
        <v>YES</v>
      </c>
      <c r="L60" s="4" t="str">
        <f>IF(OR($A60="EHT Trace"),IF(AND($X60&lt;&gt;"",$Y60&lt;&gt;""),"YES","NO"),"N/A")</f>
        <v>NO</v>
      </c>
      <c r="M60" s="4" t="str">
        <f>IF(OR($A60="EHT Trace"),IF(AND($AA60&lt;&gt;"",$AB60&lt;&gt;""),"YES","NO"),"N/A")</f>
        <v>NO</v>
      </c>
      <c r="N60" s="4" t="str">
        <f>IF(OR($A60="Power Cable"),IF(AND($AD60&lt;&gt;""),"YES","NO"),"N/A")</f>
        <v>N/A</v>
      </c>
      <c r="O60" s="4" t="str">
        <f>IF(OR($A60="Power Cable",$A60="RTD Cable",$A60="Fieldbus Cable"),IF(AND($AE60&lt;&gt;""),"YES","NO"),"N/A")</f>
        <v>N/A</v>
      </c>
      <c r="P60" s="4" t="str">
        <f>IF(OR($A60="RTD"),IF(AND($AH60&lt;&gt;""),"YES","NO"),"N/A")</f>
        <v>N/A</v>
      </c>
      <c r="Q60" s="4" t="str">
        <f>IF(OR($A60="RTD"),IF(AND($AI60&lt;&gt;""),"YES","NO"),"N/A")</f>
        <v>N/A</v>
      </c>
      <c r="R60" s="4" t="str">
        <f>IF(OR($AM60&lt;&gt;"",$Z60&lt;&gt;"",$AC60&lt;&gt;""),"YES","NO")</f>
        <v>NO</v>
      </c>
      <c r="S60" s="4" t="str">
        <f>IF(COUNTIF(I60:R60,"NO")=0,"YES","NO")</f>
        <v>NO</v>
      </c>
      <c r="T60" s="9" t="n"/>
      <c r="U60" s="9" t="inlineStr">
        <is>
          <t>550 MΩ</t>
        </is>
      </c>
      <c r="V60" s="9" t="inlineStr">
        <is>
          <t>217.5 Ω</t>
        </is>
      </c>
      <c r="W60" s="9" t="inlineStr">
        <is>
          <t>2026-05-18</t>
        </is>
      </c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inlineStr">
        <is>
          <t>D/32SA2275/23.6M/359/277/1.2M/LS23A/X/N12</t>
        </is>
      </c>
      <c r="AK60" s="9" t="inlineStr">
        <is>
          <t>23.6 m m</t>
        </is>
      </c>
      <c r="AL60" s="9" t="inlineStr">
        <is>
          <t>Levy Ostrup</t>
        </is>
      </c>
      <c r="AM60" s="9" t="n"/>
      <c r="AN60" s="9" t="n"/>
    </row>
    <row r="61">
      <c r="A61" s="9" t="inlineStr">
        <is>
          <t>Power Cable</t>
        </is>
      </c>
      <c r="B61" s="9" t="inlineStr">
        <is>
          <t>29103-AMB-015</t>
        </is>
      </c>
      <c r="C61" s="9" t="inlineStr"/>
      <c r="D61" s="9" t="inlineStr">
        <is>
          <t>29103-HTP-102 HTC-01</t>
        </is>
      </c>
      <c r="E61" s="9" t="inlineStr">
        <is>
          <t>29103-HTP-102</t>
        </is>
      </c>
      <c r="F61" s="9" t="inlineStr"/>
      <c r="G61" s="9" t="inlineStr">
        <is>
          <t>113</t>
        </is>
      </c>
      <c r="H61" s="9" t="inlineStr">
        <is>
          <t>29103-AMB-015.pdf</t>
        </is>
      </c>
      <c r="I61" s="4" t="str">
        <f>IF($H61&lt;&gt;"","YES","NO")</f>
        <v>YES</v>
      </c>
      <c r="J61" s="4" t="str">
        <f>IF(N($T61)&gt;0,"YES","NO")</f>
        <v>NO</v>
      </c>
      <c r="K61" s="4" t="str">
        <f>IF(OR($A61="EHT Trace"),IF(AND($U61&lt;&gt;"",$V61&lt;&gt;""),"YES","NO"),"N/A")</f>
        <v>N/A</v>
      </c>
      <c r="L61" s="4" t="str">
        <f>IF(OR($A61="EHT Trace"),IF(AND($X61&lt;&gt;"",$Y61&lt;&gt;""),"YES","NO"),"N/A")</f>
        <v>N/A</v>
      </c>
      <c r="M61" s="4" t="str">
        <f>IF(OR($A61="EHT Trace"),IF(AND($AA61&lt;&gt;"",$AB61&lt;&gt;""),"YES","NO"),"N/A")</f>
        <v>N/A</v>
      </c>
      <c r="N61" s="4" t="str">
        <f>IF(OR($A61="Power Cable"),IF(AND($AD61&lt;&gt;""),"YES","NO"),"N/A")</f>
        <v>NO</v>
      </c>
      <c r="O61" s="4" t="str">
        <f>IF(OR($A61="Power Cable",$A61="RTD Cable",$A61="Fieldbus Cable"),IF(AND($AE61&lt;&gt;""),"YES","NO"),"N/A")</f>
        <v>NO</v>
      </c>
      <c r="P61" s="4" t="str">
        <f>IF(OR($A61="RTD"),IF(AND($AH61&lt;&gt;""),"YES","NO"),"N/A")</f>
        <v>N/A</v>
      </c>
      <c r="Q61" s="4" t="str">
        <f>IF(OR($A61="RTD"),IF(AND($AI61&lt;&gt;""),"YES","NO"),"N/A")</f>
        <v>N/A</v>
      </c>
      <c r="R61" s="4" t="str">
        <f>IF(OR($AM61&lt;&gt;"",$Z61&lt;&gt;"",$AC61&lt;&gt;""),"YES","NO")</f>
        <v>NO</v>
      </c>
      <c r="S61" s="4" t="str">
        <f>IF(COUNTIF(I61:R61,"NO")=0,"YES","NO")</f>
        <v>NO</v>
      </c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inlineStr">
        <is>
          <t>Teck</t>
        </is>
      </c>
      <c r="AK61" s="9" t="inlineStr">
        <is>
          <t>8AWG</t>
        </is>
      </c>
      <c r="AL61" s="9" t="inlineStr">
        <is>
          <t>Levy Ostrup</t>
        </is>
      </c>
      <c r="AM61" s="9" t="n"/>
      <c r="AN61" s="9" t="n"/>
    </row>
    <row r="62">
      <c r="A62" s="9" t="inlineStr">
        <is>
          <t>Power Cable</t>
        </is>
      </c>
      <c r="B62" s="9" t="inlineStr">
        <is>
          <t>29103-AMB-016</t>
        </is>
      </c>
      <c r="C62" s="9" t="inlineStr"/>
      <c r="D62" s="9" t="inlineStr">
        <is>
          <t>29103-HTP-102 HTC-03</t>
        </is>
      </c>
      <c r="E62" s="9" t="inlineStr">
        <is>
          <t>29103-HTP-102</t>
        </is>
      </c>
      <c r="F62" s="9" t="inlineStr"/>
      <c r="G62" s="9" t="inlineStr">
        <is>
          <t>113</t>
        </is>
      </c>
      <c r="H62" s="9" t="inlineStr">
        <is>
          <t>29103-AMB-016.pdf</t>
        </is>
      </c>
      <c r="I62" s="4" t="str">
        <f>IF($H62&lt;&gt;"","YES","NO")</f>
        <v>YES</v>
      </c>
      <c r="J62" s="4" t="str">
        <f>IF(N($T62)&gt;0,"YES","NO")</f>
        <v>NO</v>
      </c>
      <c r="K62" s="4" t="str">
        <f>IF(OR($A62="EHT Trace"),IF(AND($U62&lt;&gt;"",$V62&lt;&gt;""),"YES","NO"),"N/A")</f>
        <v>N/A</v>
      </c>
      <c r="L62" s="4" t="str">
        <f>IF(OR($A62="EHT Trace"),IF(AND($X62&lt;&gt;"",$Y62&lt;&gt;""),"YES","NO"),"N/A")</f>
        <v>N/A</v>
      </c>
      <c r="M62" s="4" t="str">
        <f>IF(OR($A62="EHT Trace"),IF(AND($AA62&lt;&gt;"",$AB62&lt;&gt;""),"YES","NO"),"N/A")</f>
        <v>N/A</v>
      </c>
      <c r="N62" s="4" t="str">
        <f>IF(OR($A62="Power Cable"),IF(AND($AD62&lt;&gt;""),"YES","NO"),"N/A")</f>
        <v>NO</v>
      </c>
      <c r="O62" s="4" t="str">
        <f>IF(OR($A62="Power Cable",$A62="RTD Cable",$A62="Fieldbus Cable"),IF(AND($AE62&lt;&gt;""),"YES","NO"),"N/A")</f>
        <v>NO</v>
      </c>
      <c r="P62" s="4" t="str">
        <f>IF(OR($A62="RTD"),IF(AND($AH62&lt;&gt;""),"YES","NO"),"N/A")</f>
        <v>N/A</v>
      </c>
      <c r="Q62" s="4" t="str">
        <f>IF(OR($A62="RTD"),IF(AND($AI62&lt;&gt;""),"YES","NO"),"N/A")</f>
        <v>N/A</v>
      </c>
      <c r="R62" s="4" t="str">
        <f>IF(OR($AM62&lt;&gt;"",$Z62&lt;&gt;"",$AC62&lt;&gt;""),"YES","NO")</f>
        <v>NO</v>
      </c>
      <c r="S62" s="4" t="str">
        <f>IF(COUNTIF(I62:R62,"NO")=0,"YES","NO")</f>
        <v>NO</v>
      </c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inlineStr">
        <is>
          <t>Teck</t>
        </is>
      </c>
      <c r="AK62" s="9" t="inlineStr">
        <is>
          <t>8AWG</t>
        </is>
      </c>
      <c r="AL62" s="9" t="inlineStr">
        <is>
          <t>Levy Ostrup</t>
        </is>
      </c>
      <c r="AM62" s="9" t="n"/>
      <c r="AN62" s="9" t="n"/>
    </row>
    <row r="63">
      <c r="A63" s="9" t="inlineStr">
        <is>
          <t>Power Cable</t>
        </is>
      </c>
      <c r="B63" s="9" t="inlineStr">
        <is>
          <t>29103-ET-A001-1-PWK-1</t>
        </is>
      </c>
      <c r="C63" s="9" t="inlineStr">
        <is>
          <t>29103-ET-A001-1</t>
        </is>
      </c>
      <c r="D63" s="9" t="inlineStr">
        <is>
          <t>29103-HTP-102 HTC-31</t>
        </is>
      </c>
      <c r="E63" s="9" t="inlineStr">
        <is>
          <t>29103-HTP-102</t>
        </is>
      </c>
      <c r="F63" s="9" t="inlineStr"/>
      <c r="G63" s="9" t="inlineStr">
        <is>
          <t>113</t>
        </is>
      </c>
      <c r="H63" s="9" t="inlineStr">
        <is>
          <t>29103-ET-A001-1-PWK-1.pdf</t>
        </is>
      </c>
      <c r="I63" s="4" t="str">
        <f>IF($H63&lt;&gt;"","YES","NO")</f>
        <v>YES</v>
      </c>
      <c r="J63" s="4" t="str">
        <f>IF(N($T63)&gt;0,"YES","NO")</f>
        <v>NO</v>
      </c>
      <c r="K63" s="4" t="str">
        <f>IF(OR($A63="EHT Trace"),IF(AND($U63&lt;&gt;"",$V63&lt;&gt;""),"YES","NO"),"N/A")</f>
        <v>N/A</v>
      </c>
      <c r="L63" s="4" t="str">
        <f>IF(OR($A63="EHT Trace"),IF(AND($X63&lt;&gt;"",$Y63&lt;&gt;""),"YES","NO"),"N/A")</f>
        <v>N/A</v>
      </c>
      <c r="M63" s="4" t="str">
        <f>IF(OR($A63="EHT Trace"),IF(AND($AA63&lt;&gt;"",$AB63&lt;&gt;""),"YES","NO"),"N/A")</f>
        <v>N/A</v>
      </c>
      <c r="N63" s="4" t="str">
        <f>IF(OR($A63="Power Cable"),IF(AND($AD63&lt;&gt;""),"YES","NO"),"N/A")</f>
        <v>NO</v>
      </c>
      <c r="O63" s="4" t="str">
        <f>IF(OR($A63="Power Cable",$A63="RTD Cable",$A63="Fieldbus Cable"),IF(AND($AE63&lt;&gt;""),"YES","NO"),"N/A")</f>
        <v>NO</v>
      </c>
      <c r="P63" s="4" t="str">
        <f>IF(OR($A63="RTD"),IF(AND($AH63&lt;&gt;""),"YES","NO"),"N/A")</f>
        <v>N/A</v>
      </c>
      <c r="Q63" s="4" t="str">
        <f>IF(OR($A63="RTD"),IF(AND($AI63&lt;&gt;""),"YES","NO"),"N/A")</f>
        <v>N/A</v>
      </c>
      <c r="R63" s="4" t="str">
        <f>IF(OR($AM63&lt;&gt;"",$Z63&lt;&gt;"",$AC63&lt;&gt;""),"YES","NO")</f>
        <v>NO</v>
      </c>
      <c r="S63" s="4" t="str">
        <f>IF(COUNTIF(I63:R63,"NO")=0,"YES","NO")</f>
        <v>NO</v>
      </c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inlineStr">
        <is>
          <t>Teck</t>
        </is>
      </c>
      <c r="AK63" s="9" t="inlineStr">
        <is>
          <t>10AWG</t>
        </is>
      </c>
      <c r="AL63" s="9" t="inlineStr">
        <is>
          <t>Levy Ostrup</t>
        </is>
      </c>
      <c r="AM63" s="9" t="n"/>
      <c r="AN63" s="9" t="n"/>
    </row>
    <row r="64">
      <c r="A64" s="9" t="inlineStr">
        <is>
          <t>Power Cable</t>
        </is>
      </c>
      <c r="B64" s="9" t="inlineStr">
        <is>
          <t>29103-ET-HC1901-1-PWK-1</t>
        </is>
      </c>
      <c r="C64" s="9" t="inlineStr">
        <is>
          <t>29103-ET-HC1901-1</t>
        </is>
      </c>
      <c r="D64" s="9" t="inlineStr">
        <is>
          <t>29103-HTP-102 HTC-05</t>
        </is>
      </c>
      <c r="E64" s="9" t="inlineStr">
        <is>
          <t>29103-HTP-102</t>
        </is>
      </c>
      <c r="F64" s="9" t="inlineStr"/>
      <c r="G64" s="9" t="inlineStr">
        <is>
          <t>113</t>
        </is>
      </c>
      <c r="H64" s="9" t="inlineStr">
        <is>
          <t>29103-ET-HC1901-1-PWK-1.pdf</t>
        </is>
      </c>
      <c r="I64" s="4" t="str">
        <f>IF($H64&lt;&gt;"","YES","NO")</f>
        <v>YES</v>
      </c>
      <c r="J64" s="4" t="str">
        <f>IF(N($T64)&gt;0,"YES","NO")</f>
        <v>NO</v>
      </c>
      <c r="K64" s="4" t="str">
        <f>IF(OR($A64="EHT Trace"),IF(AND($U64&lt;&gt;"",$V64&lt;&gt;""),"YES","NO"),"N/A")</f>
        <v>N/A</v>
      </c>
      <c r="L64" s="4" t="str">
        <f>IF(OR($A64="EHT Trace"),IF(AND($X64&lt;&gt;"",$Y64&lt;&gt;""),"YES","NO"),"N/A")</f>
        <v>N/A</v>
      </c>
      <c r="M64" s="4" t="str">
        <f>IF(OR($A64="EHT Trace"),IF(AND($AA64&lt;&gt;"",$AB64&lt;&gt;""),"YES","NO"),"N/A")</f>
        <v>N/A</v>
      </c>
      <c r="N64" s="4" t="str">
        <f>IF(OR($A64="Power Cable"),IF(AND($AD64&lt;&gt;""),"YES","NO"),"N/A")</f>
        <v>NO</v>
      </c>
      <c r="O64" s="4" t="str">
        <f>IF(OR($A64="Power Cable",$A64="RTD Cable",$A64="Fieldbus Cable"),IF(AND($AE64&lt;&gt;""),"YES","NO"),"N/A")</f>
        <v>NO</v>
      </c>
      <c r="P64" s="4" t="str">
        <f>IF(OR($A64="RTD"),IF(AND($AH64&lt;&gt;""),"YES","NO"),"N/A")</f>
        <v>N/A</v>
      </c>
      <c r="Q64" s="4" t="str">
        <f>IF(OR($A64="RTD"),IF(AND($AI64&lt;&gt;""),"YES","NO"),"N/A")</f>
        <v>N/A</v>
      </c>
      <c r="R64" s="4" t="str">
        <f>IF(OR($AM64&lt;&gt;"",$Z64&lt;&gt;"",$AC64&lt;&gt;""),"YES","NO")</f>
        <v>NO</v>
      </c>
      <c r="S64" s="4" t="str">
        <f>IF(COUNTIF(I64:R64,"NO")=0,"YES","NO")</f>
        <v>NO</v>
      </c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inlineStr">
        <is>
          <t>Teck</t>
        </is>
      </c>
      <c r="AK64" s="9" t="inlineStr">
        <is>
          <t>10AWG</t>
        </is>
      </c>
      <c r="AL64" s="9" t="inlineStr">
        <is>
          <t>Levy Ostrup</t>
        </is>
      </c>
      <c r="AM64" s="9" t="n"/>
      <c r="AN64" s="9" t="n"/>
    </row>
    <row r="65">
      <c r="A65" s="9" t="inlineStr">
        <is>
          <t>Power Cable</t>
        </is>
      </c>
      <c r="B65" s="9" t="inlineStr">
        <is>
          <t>29103-ET-HC1902-1-PWK-1</t>
        </is>
      </c>
      <c r="C65" s="9" t="inlineStr">
        <is>
          <t>29103-ET-HC1902-1</t>
        </is>
      </c>
      <c r="D65" s="9" t="inlineStr">
        <is>
          <t>29103-AMB-015</t>
        </is>
      </c>
      <c r="E65" s="9" t="inlineStr">
        <is>
          <t>29103-HTP-102</t>
        </is>
      </c>
      <c r="F65" s="9" t="inlineStr"/>
      <c r="G65" s="9" t="inlineStr">
        <is>
          <t>113</t>
        </is>
      </c>
      <c r="H65" s="9" t="inlineStr">
        <is>
          <t>29103-ET-HC1902-1-PWK-1.pdf</t>
        </is>
      </c>
      <c r="I65" s="4" t="str">
        <f>IF($H65&lt;&gt;"","YES","NO")</f>
        <v>YES</v>
      </c>
      <c r="J65" s="4" t="str">
        <f>IF(N($T65)&gt;0,"YES","NO")</f>
        <v>NO</v>
      </c>
      <c r="K65" s="4" t="str">
        <f>IF(OR($A65="EHT Trace"),IF(AND($U65&lt;&gt;"",$V65&lt;&gt;""),"YES","NO"),"N/A")</f>
        <v>N/A</v>
      </c>
      <c r="L65" s="4" t="str">
        <f>IF(OR($A65="EHT Trace"),IF(AND($X65&lt;&gt;"",$Y65&lt;&gt;""),"YES","NO"),"N/A")</f>
        <v>N/A</v>
      </c>
      <c r="M65" s="4" t="str">
        <f>IF(OR($A65="EHT Trace"),IF(AND($AA65&lt;&gt;"",$AB65&lt;&gt;""),"YES","NO"),"N/A")</f>
        <v>N/A</v>
      </c>
      <c r="N65" s="4" t="str">
        <f>IF(OR($A65="Power Cable"),IF(AND($AD65&lt;&gt;""),"YES","NO"),"N/A")</f>
        <v>NO</v>
      </c>
      <c r="O65" s="4" t="str">
        <f>IF(OR($A65="Power Cable",$A65="RTD Cable",$A65="Fieldbus Cable"),IF(AND($AE65&lt;&gt;""),"YES","NO"),"N/A")</f>
        <v>NO</v>
      </c>
      <c r="P65" s="4" t="str">
        <f>IF(OR($A65="RTD"),IF(AND($AH65&lt;&gt;""),"YES","NO"),"N/A")</f>
        <v>N/A</v>
      </c>
      <c r="Q65" s="4" t="str">
        <f>IF(OR($A65="RTD"),IF(AND($AI65&lt;&gt;""),"YES","NO"),"N/A")</f>
        <v>N/A</v>
      </c>
      <c r="R65" s="4" t="str">
        <f>IF(OR($AM65&lt;&gt;"",$Z65&lt;&gt;"",$AC65&lt;&gt;""),"YES","NO")</f>
        <v>NO</v>
      </c>
      <c r="S65" s="4" t="str">
        <f>IF(COUNTIF(I65:R65,"NO")=0,"YES","NO")</f>
        <v>NO</v>
      </c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inlineStr">
        <is>
          <t>Teck</t>
        </is>
      </c>
      <c r="AK65" s="9" t="inlineStr">
        <is>
          <t>10AWG</t>
        </is>
      </c>
      <c r="AL65" s="9" t="inlineStr">
        <is>
          <t>Levy Ostrup</t>
        </is>
      </c>
      <c r="AM65" s="9" t="n"/>
      <c r="AN65" s="9" t="n"/>
    </row>
    <row r="66">
      <c r="A66" s="9" t="inlineStr">
        <is>
          <t>Power Cable</t>
        </is>
      </c>
      <c r="B66" s="9" t="inlineStr">
        <is>
          <t>29103-ET-HC1903-1-PWK-1</t>
        </is>
      </c>
      <c r="C66" s="9" t="inlineStr">
        <is>
          <t>29103-ET-HC1903-1</t>
        </is>
      </c>
      <c r="D66" s="9" t="inlineStr">
        <is>
          <t>29103-HTP-102 HTC-04</t>
        </is>
      </c>
      <c r="E66" s="9" t="inlineStr">
        <is>
          <t>29103-HTP-102</t>
        </is>
      </c>
      <c r="F66" s="9" t="inlineStr"/>
      <c r="G66" s="9" t="inlineStr">
        <is>
          <t>113</t>
        </is>
      </c>
      <c r="H66" s="9" t="inlineStr">
        <is>
          <t>29103-ET-HC1903-1-PWK-1.pdf</t>
        </is>
      </c>
      <c r="I66" s="4" t="str">
        <f>IF($H66&lt;&gt;"","YES","NO")</f>
        <v>YES</v>
      </c>
      <c r="J66" s="4" t="str">
        <f>IF(N($T66)&gt;0,"YES","NO")</f>
        <v>NO</v>
      </c>
      <c r="K66" s="4" t="str">
        <f>IF(OR($A66="EHT Trace"),IF(AND($U66&lt;&gt;"",$V66&lt;&gt;""),"YES","NO"),"N/A")</f>
        <v>N/A</v>
      </c>
      <c r="L66" s="4" t="str">
        <f>IF(OR($A66="EHT Trace"),IF(AND($X66&lt;&gt;"",$Y66&lt;&gt;""),"YES","NO"),"N/A")</f>
        <v>N/A</v>
      </c>
      <c r="M66" s="4" t="str">
        <f>IF(OR($A66="EHT Trace"),IF(AND($AA66&lt;&gt;"",$AB66&lt;&gt;""),"YES","NO"),"N/A")</f>
        <v>N/A</v>
      </c>
      <c r="N66" s="4" t="str">
        <f>IF(OR($A66="Power Cable"),IF(AND($AD66&lt;&gt;""),"YES","NO"),"N/A")</f>
        <v>NO</v>
      </c>
      <c r="O66" s="4" t="str">
        <f>IF(OR($A66="Power Cable",$A66="RTD Cable",$A66="Fieldbus Cable"),IF(AND($AE66&lt;&gt;""),"YES","NO"),"N/A")</f>
        <v>NO</v>
      </c>
      <c r="P66" s="4" t="str">
        <f>IF(OR($A66="RTD"),IF(AND($AH66&lt;&gt;""),"YES","NO"),"N/A")</f>
        <v>N/A</v>
      </c>
      <c r="Q66" s="4" t="str">
        <f>IF(OR($A66="RTD"),IF(AND($AI66&lt;&gt;""),"YES","NO"),"N/A")</f>
        <v>N/A</v>
      </c>
      <c r="R66" s="4" t="str">
        <f>IF(OR($AM66&lt;&gt;"",$Z66&lt;&gt;"",$AC66&lt;&gt;""),"YES","NO")</f>
        <v>NO</v>
      </c>
      <c r="S66" s="4" t="str">
        <f>IF(COUNTIF(I66:R66,"NO")=0,"YES","NO")</f>
        <v>NO</v>
      </c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inlineStr">
        <is>
          <t>Teck</t>
        </is>
      </c>
      <c r="AK66" s="9" t="inlineStr">
        <is>
          <t>10AWG</t>
        </is>
      </c>
      <c r="AL66" s="9" t="inlineStr">
        <is>
          <t>Levy Ostrup</t>
        </is>
      </c>
      <c r="AM66" s="9" t="n"/>
      <c r="AN66" s="9" t="n"/>
    </row>
    <row r="67">
      <c r="A67" s="9" t="inlineStr">
        <is>
          <t>Power Cable</t>
        </is>
      </c>
      <c r="B67" s="9" t="inlineStr">
        <is>
          <t>29103-ET-HC1905-1-PWK-1</t>
        </is>
      </c>
      <c r="C67" s="9" t="inlineStr">
        <is>
          <t>29103-ET-HC1905-1</t>
        </is>
      </c>
      <c r="D67" s="9" t="inlineStr">
        <is>
          <t>29103-AMB-015</t>
        </is>
      </c>
      <c r="E67" s="9" t="inlineStr">
        <is>
          <t>29103-HTP-102</t>
        </is>
      </c>
      <c r="F67" s="9" t="inlineStr"/>
      <c r="G67" s="9" t="inlineStr">
        <is>
          <t>113</t>
        </is>
      </c>
      <c r="H67" s="9" t="inlineStr">
        <is>
          <t>29103-ET-HC1905-1-PWK-1.pdf</t>
        </is>
      </c>
      <c r="I67" s="4" t="str">
        <f>IF($H67&lt;&gt;"","YES","NO")</f>
        <v>YES</v>
      </c>
      <c r="J67" s="4" t="str">
        <f>IF(N($T67)&gt;0,"YES","NO")</f>
        <v>NO</v>
      </c>
      <c r="K67" s="4" t="str">
        <f>IF(OR($A67="EHT Trace"),IF(AND($U67&lt;&gt;"",$V67&lt;&gt;""),"YES","NO"),"N/A")</f>
        <v>N/A</v>
      </c>
      <c r="L67" s="4" t="str">
        <f>IF(OR($A67="EHT Trace"),IF(AND($X67&lt;&gt;"",$Y67&lt;&gt;""),"YES","NO"),"N/A")</f>
        <v>N/A</v>
      </c>
      <c r="M67" s="4" t="str">
        <f>IF(OR($A67="EHT Trace"),IF(AND($AA67&lt;&gt;"",$AB67&lt;&gt;""),"YES","NO"),"N/A")</f>
        <v>N/A</v>
      </c>
      <c r="N67" s="4" t="str">
        <f>IF(OR($A67="Power Cable"),IF(AND($AD67&lt;&gt;""),"YES","NO"),"N/A")</f>
        <v>NO</v>
      </c>
      <c r="O67" s="4" t="str">
        <f>IF(OR($A67="Power Cable",$A67="RTD Cable",$A67="Fieldbus Cable"),IF(AND($AE67&lt;&gt;""),"YES","NO"),"N/A")</f>
        <v>NO</v>
      </c>
      <c r="P67" s="4" t="str">
        <f>IF(OR($A67="RTD"),IF(AND($AH67&lt;&gt;""),"YES","NO"),"N/A")</f>
        <v>N/A</v>
      </c>
      <c r="Q67" s="4" t="str">
        <f>IF(OR($A67="RTD"),IF(AND($AI67&lt;&gt;""),"YES","NO"),"N/A")</f>
        <v>N/A</v>
      </c>
      <c r="R67" s="4" t="str">
        <f>IF(OR($AM67&lt;&gt;"",$Z67&lt;&gt;"",$AC67&lt;&gt;""),"YES","NO")</f>
        <v>NO</v>
      </c>
      <c r="S67" s="4" t="str">
        <f>IF(COUNTIF(I67:R67,"NO")=0,"YES","NO")</f>
        <v>NO</v>
      </c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inlineStr">
        <is>
          <t>Teck</t>
        </is>
      </c>
      <c r="AK67" s="9" t="inlineStr">
        <is>
          <t>10AWG</t>
        </is>
      </c>
      <c r="AL67" s="9" t="inlineStr">
        <is>
          <t>Levy Ostrup</t>
        </is>
      </c>
      <c r="AM67" s="9" t="n"/>
      <c r="AN67" s="9" t="n"/>
    </row>
    <row r="68">
      <c r="A68" s="9" t="inlineStr">
        <is>
          <t>Power Cable</t>
        </is>
      </c>
      <c r="B68" s="9" t="inlineStr">
        <is>
          <t>29103-ET-HC1906-1-PWK-1</t>
        </is>
      </c>
      <c r="C68" s="9" t="inlineStr">
        <is>
          <t>29103-ET-HC1906-1</t>
        </is>
      </c>
      <c r="D68" s="9" t="inlineStr">
        <is>
          <t>29103-HTP-102 HTC-06</t>
        </is>
      </c>
      <c r="E68" s="9" t="inlineStr">
        <is>
          <t>29103-HTP-102</t>
        </is>
      </c>
      <c r="F68" s="9" t="inlineStr"/>
      <c r="G68" s="9" t="inlineStr">
        <is>
          <t>113</t>
        </is>
      </c>
      <c r="H68" s="9" t="inlineStr">
        <is>
          <t>29103-ET-HC1906-1-PWK-1.pdf</t>
        </is>
      </c>
      <c r="I68" s="4" t="str">
        <f>IF($H68&lt;&gt;"","YES","NO")</f>
        <v>YES</v>
      </c>
      <c r="J68" s="4" t="str">
        <f>IF(N($T68)&gt;0,"YES","NO")</f>
        <v>NO</v>
      </c>
      <c r="K68" s="4" t="str">
        <f>IF(OR($A68="EHT Trace"),IF(AND($U68&lt;&gt;"",$V68&lt;&gt;""),"YES","NO"),"N/A")</f>
        <v>N/A</v>
      </c>
      <c r="L68" s="4" t="str">
        <f>IF(OR($A68="EHT Trace"),IF(AND($X68&lt;&gt;"",$Y68&lt;&gt;""),"YES","NO"),"N/A")</f>
        <v>N/A</v>
      </c>
      <c r="M68" s="4" t="str">
        <f>IF(OR($A68="EHT Trace"),IF(AND($AA68&lt;&gt;"",$AB68&lt;&gt;""),"YES","NO"),"N/A")</f>
        <v>N/A</v>
      </c>
      <c r="N68" s="4" t="str">
        <f>IF(OR($A68="Power Cable"),IF(AND($AD68&lt;&gt;""),"YES","NO"),"N/A")</f>
        <v>NO</v>
      </c>
      <c r="O68" s="4" t="str">
        <f>IF(OR($A68="Power Cable",$A68="RTD Cable",$A68="Fieldbus Cable"),IF(AND($AE68&lt;&gt;""),"YES","NO"),"N/A")</f>
        <v>NO</v>
      </c>
      <c r="P68" s="4" t="str">
        <f>IF(OR($A68="RTD"),IF(AND($AH68&lt;&gt;""),"YES","NO"),"N/A")</f>
        <v>N/A</v>
      </c>
      <c r="Q68" s="4" t="str">
        <f>IF(OR($A68="RTD"),IF(AND($AI68&lt;&gt;""),"YES","NO"),"N/A")</f>
        <v>N/A</v>
      </c>
      <c r="R68" s="4" t="str">
        <f>IF(OR($AM68&lt;&gt;"",$Z68&lt;&gt;"",$AC68&lt;&gt;""),"YES","NO")</f>
        <v>NO</v>
      </c>
      <c r="S68" s="4" t="str">
        <f>IF(COUNTIF(I68:R68,"NO")=0,"YES","NO")</f>
        <v>NO</v>
      </c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inlineStr">
        <is>
          <t>Teck</t>
        </is>
      </c>
      <c r="AK68" s="9" t="inlineStr">
        <is>
          <t>10AWG</t>
        </is>
      </c>
      <c r="AL68" s="9" t="inlineStr">
        <is>
          <t>Levy Ostrup</t>
        </is>
      </c>
      <c r="AM68" s="9" t="n"/>
      <c r="AN68" s="9" t="n"/>
    </row>
    <row r="69">
      <c r="A69" s="9" t="inlineStr">
        <is>
          <t>Power Cable</t>
        </is>
      </c>
      <c r="B69" s="9" t="inlineStr">
        <is>
          <t>29103-ET-HC1909-1-PWK-1</t>
        </is>
      </c>
      <c r="C69" s="9" t="inlineStr">
        <is>
          <t>29103-ET-HC1909-1</t>
        </is>
      </c>
      <c r="D69" s="9" t="inlineStr">
        <is>
          <t>29103-AMB-015</t>
        </is>
      </c>
      <c r="E69" s="9" t="inlineStr">
        <is>
          <t>29103-HTP-102</t>
        </is>
      </c>
      <c r="F69" s="9" t="inlineStr"/>
      <c r="G69" s="9" t="inlineStr">
        <is>
          <t>113</t>
        </is>
      </c>
      <c r="H69" s="9" t="inlineStr">
        <is>
          <t>29103-ET-HC1909-1-PWK-1.pdf</t>
        </is>
      </c>
      <c r="I69" s="4" t="str">
        <f>IF($H69&lt;&gt;"","YES","NO")</f>
        <v>YES</v>
      </c>
      <c r="J69" s="4" t="str">
        <f>IF(N($T69)&gt;0,"YES","NO")</f>
        <v>NO</v>
      </c>
      <c r="K69" s="4" t="str">
        <f>IF(OR($A69="EHT Trace"),IF(AND($U69&lt;&gt;"",$V69&lt;&gt;""),"YES","NO"),"N/A")</f>
        <v>N/A</v>
      </c>
      <c r="L69" s="4" t="str">
        <f>IF(OR($A69="EHT Trace"),IF(AND($X69&lt;&gt;"",$Y69&lt;&gt;""),"YES","NO"),"N/A")</f>
        <v>N/A</v>
      </c>
      <c r="M69" s="4" t="str">
        <f>IF(OR($A69="EHT Trace"),IF(AND($AA69&lt;&gt;"",$AB69&lt;&gt;""),"YES","NO"),"N/A")</f>
        <v>N/A</v>
      </c>
      <c r="N69" s="4" t="str">
        <f>IF(OR($A69="Power Cable"),IF(AND($AD69&lt;&gt;""),"YES","NO"),"N/A")</f>
        <v>NO</v>
      </c>
      <c r="O69" s="4" t="str">
        <f>IF(OR($A69="Power Cable",$A69="RTD Cable",$A69="Fieldbus Cable"),IF(AND($AE69&lt;&gt;""),"YES","NO"),"N/A")</f>
        <v>NO</v>
      </c>
      <c r="P69" s="4" t="str">
        <f>IF(OR($A69="RTD"),IF(AND($AH69&lt;&gt;""),"YES","NO"),"N/A")</f>
        <v>N/A</v>
      </c>
      <c r="Q69" s="4" t="str">
        <f>IF(OR($A69="RTD"),IF(AND($AI69&lt;&gt;""),"YES","NO"),"N/A")</f>
        <v>N/A</v>
      </c>
      <c r="R69" s="4" t="str">
        <f>IF(OR($AM69&lt;&gt;"",$Z69&lt;&gt;"",$AC69&lt;&gt;""),"YES","NO")</f>
        <v>NO</v>
      </c>
      <c r="S69" s="4" t="str">
        <f>IF(COUNTIF(I69:R69,"NO")=0,"YES","NO")</f>
        <v>NO</v>
      </c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inlineStr">
        <is>
          <t>Teck</t>
        </is>
      </c>
      <c r="AK69" s="9" t="inlineStr">
        <is>
          <t>10AWG</t>
        </is>
      </c>
      <c r="AL69" s="9" t="inlineStr">
        <is>
          <t>Levy Ostrup</t>
        </is>
      </c>
      <c r="AM69" s="9" t="n"/>
      <c r="AN69" s="9" t="n"/>
    </row>
    <row r="70">
      <c r="A70" s="9" t="inlineStr">
        <is>
          <t>Power Cable</t>
        </is>
      </c>
      <c r="B70" s="9" t="inlineStr">
        <is>
          <t>29103-ET-MT0001-1-PWK-1</t>
        </is>
      </c>
      <c r="C70" s="9" t="inlineStr">
        <is>
          <t>29103-ET-MT0001-1</t>
        </is>
      </c>
      <c r="D70" s="9" t="inlineStr">
        <is>
          <t>29103-HTP-102 HTC-09</t>
        </is>
      </c>
      <c r="E70" s="9" t="inlineStr">
        <is>
          <t>29103-HTP-102</t>
        </is>
      </c>
      <c r="F70" s="9" t="inlineStr"/>
      <c r="G70" s="9" t="inlineStr">
        <is>
          <t>113</t>
        </is>
      </c>
      <c r="H70" s="9" t="inlineStr">
        <is>
          <t>29103-ET-MT0001-1-PWK-1.pdf</t>
        </is>
      </c>
      <c r="I70" s="4" t="str">
        <f>IF($H70&lt;&gt;"","YES","NO")</f>
        <v>YES</v>
      </c>
      <c r="J70" s="4" t="str">
        <f>IF(N($T70)&gt;0,"YES","NO")</f>
        <v>NO</v>
      </c>
      <c r="K70" s="4" t="str">
        <f>IF(OR($A70="EHT Trace"),IF(AND($U70&lt;&gt;"",$V70&lt;&gt;""),"YES","NO"),"N/A")</f>
        <v>N/A</v>
      </c>
      <c r="L70" s="4" t="str">
        <f>IF(OR($A70="EHT Trace"),IF(AND($X70&lt;&gt;"",$Y70&lt;&gt;""),"YES","NO"),"N/A")</f>
        <v>N/A</v>
      </c>
      <c r="M70" s="4" t="str">
        <f>IF(OR($A70="EHT Trace"),IF(AND($AA70&lt;&gt;"",$AB70&lt;&gt;""),"YES","NO"),"N/A")</f>
        <v>N/A</v>
      </c>
      <c r="N70" s="4" t="str">
        <f>IF(OR($A70="Power Cable"),IF(AND($AD70&lt;&gt;""),"YES","NO"),"N/A")</f>
        <v>NO</v>
      </c>
      <c r="O70" s="4" t="str">
        <f>IF(OR($A70="Power Cable",$A70="RTD Cable",$A70="Fieldbus Cable"),IF(AND($AE70&lt;&gt;""),"YES","NO"),"N/A")</f>
        <v>NO</v>
      </c>
      <c r="P70" s="4" t="str">
        <f>IF(OR($A70="RTD"),IF(AND($AH70&lt;&gt;""),"YES","NO"),"N/A")</f>
        <v>N/A</v>
      </c>
      <c r="Q70" s="4" t="str">
        <f>IF(OR($A70="RTD"),IF(AND($AI70&lt;&gt;""),"YES","NO"),"N/A")</f>
        <v>N/A</v>
      </c>
      <c r="R70" s="4" t="str">
        <f>IF(OR($AM70&lt;&gt;"",$Z70&lt;&gt;"",$AC70&lt;&gt;""),"YES","NO")</f>
        <v>NO</v>
      </c>
      <c r="S70" s="4" t="str">
        <f>IF(COUNTIF(I70:R70,"NO")=0,"YES","NO")</f>
        <v>NO</v>
      </c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inlineStr">
        <is>
          <t>Teck</t>
        </is>
      </c>
      <c r="AK70" s="9" t="inlineStr">
        <is>
          <t>10AWG</t>
        </is>
      </c>
      <c r="AL70" s="9" t="inlineStr">
        <is>
          <t>Levy Ostrup</t>
        </is>
      </c>
      <c r="AM70" s="9" t="n"/>
      <c r="AN70" s="9" t="n"/>
    </row>
    <row r="71">
      <c r="A71" s="9" t="inlineStr">
        <is>
          <t>Power Cable</t>
        </is>
      </c>
      <c r="B71" s="9" t="inlineStr">
        <is>
          <t>29103-ET-P001A-1-PWK-1</t>
        </is>
      </c>
      <c r="C71" s="9" t="inlineStr">
        <is>
          <t>29103-ET-P001A-1</t>
        </is>
      </c>
      <c r="D71" s="9" t="inlineStr">
        <is>
          <t>29103-HTP-102 HTC-02</t>
        </is>
      </c>
      <c r="E71" s="9" t="inlineStr">
        <is>
          <t>29103-HTP-102</t>
        </is>
      </c>
      <c r="F71" s="9" t="inlineStr"/>
      <c r="G71" s="9" t="inlineStr">
        <is>
          <t>113</t>
        </is>
      </c>
      <c r="H71" s="9" t="inlineStr">
        <is>
          <t>29103-ET-P001A-1-PWK-1.pdf</t>
        </is>
      </c>
      <c r="I71" s="4" t="str">
        <f>IF($H71&lt;&gt;"","YES","NO")</f>
        <v>YES</v>
      </c>
      <c r="J71" s="4" t="str">
        <f>IF(N($T71)&gt;0,"YES","NO")</f>
        <v>NO</v>
      </c>
      <c r="K71" s="4" t="str">
        <f>IF(OR($A71="EHT Trace"),IF(AND($U71&lt;&gt;"",$V71&lt;&gt;""),"YES","NO"),"N/A")</f>
        <v>N/A</v>
      </c>
      <c r="L71" s="4" t="str">
        <f>IF(OR($A71="EHT Trace"),IF(AND($X71&lt;&gt;"",$Y71&lt;&gt;""),"YES","NO"),"N/A")</f>
        <v>N/A</v>
      </c>
      <c r="M71" s="4" t="str">
        <f>IF(OR($A71="EHT Trace"),IF(AND($AA71&lt;&gt;"",$AB71&lt;&gt;""),"YES","NO"),"N/A")</f>
        <v>N/A</v>
      </c>
      <c r="N71" s="4" t="str">
        <f>IF(OR($A71="Power Cable"),IF(AND($AD71&lt;&gt;""),"YES","NO"),"N/A")</f>
        <v>NO</v>
      </c>
      <c r="O71" s="4" t="str">
        <f>IF(OR($A71="Power Cable",$A71="RTD Cable",$A71="Fieldbus Cable"),IF(AND($AE71&lt;&gt;""),"YES","NO"),"N/A")</f>
        <v>NO</v>
      </c>
      <c r="P71" s="4" t="str">
        <f>IF(OR($A71="RTD"),IF(AND($AH71&lt;&gt;""),"YES","NO"),"N/A")</f>
        <v>N/A</v>
      </c>
      <c r="Q71" s="4" t="str">
        <f>IF(OR($A71="RTD"),IF(AND($AI71&lt;&gt;""),"YES","NO"),"N/A")</f>
        <v>N/A</v>
      </c>
      <c r="R71" s="4" t="str">
        <f>IF(OR($AM71&lt;&gt;"",$Z71&lt;&gt;"",$AC71&lt;&gt;""),"YES","NO")</f>
        <v>NO</v>
      </c>
      <c r="S71" s="4" t="str">
        <f>IF(COUNTIF(I71:R71,"NO")=0,"YES","NO")</f>
        <v>NO</v>
      </c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inlineStr">
        <is>
          <t>Teck</t>
        </is>
      </c>
      <c r="AK71" s="9" t="inlineStr">
        <is>
          <t>10AWG</t>
        </is>
      </c>
      <c r="AL71" s="9" t="inlineStr">
        <is>
          <t>Levy Ostrup</t>
        </is>
      </c>
      <c r="AM71" s="9" t="n"/>
      <c r="AN71" s="9" t="n"/>
    </row>
    <row r="72">
      <c r="A72" s="9" t="inlineStr">
        <is>
          <t>Power Cable</t>
        </is>
      </c>
      <c r="B72" s="9" t="inlineStr">
        <is>
          <t>29103-ET-P001A-2-PWK-1</t>
        </is>
      </c>
      <c r="C72" s="9" t="inlineStr">
        <is>
          <t>29103-ET-P001A-2</t>
        </is>
      </c>
      <c r="D72" s="9" t="inlineStr">
        <is>
          <t>29103-HTP-102 HTC-07</t>
        </is>
      </c>
      <c r="E72" s="9" t="inlineStr">
        <is>
          <t>29103-HTP-102</t>
        </is>
      </c>
      <c r="F72" s="9" t="inlineStr"/>
      <c r="G72" s="9" t="inlineStr">
        <is>
          <t>113</t>
        </is>
      </c>
      <c r="H72" s="9" t="inlineStr">
        <is>
          <t>29103-ET-P001A-2-PWK-1.pdf</t>
        </is>
      </c>
      <c r="I72" s="4" t="str">
        <f>IF($H72&lt;&gt;"","YES","NO")</f>
        <v>YES</v>
      </c>
      <c r="J72" s="4" t="str">
        <f>IF(N($T72)&gt;0,"YES","NO")</f>
        <v>NO</v>
      </c>
      <c r="K72" s="4" t="str">
        <f>IF(OR($A72="EHT Trace"),IF(AND($U72&lt;&gt;"",$V72&lt;&gt;""),"YES","NO"),"N/A")</f>
        <v>N/A</v>
      </c>
      <c r="L72" s="4" t="str">
        <f>IF(OR($A72="EHT Trace"),IF(AND($X72&lt;&gt;"",$Y72&lt;&gt;""),"YES","NO"),"N/A")</f>
        <v>N/A</v>
      </c>
      <c r="M72" s="4" t="str">
        <f>IF(OR($A72="EHT Trace"),IF(AND($AA72&lt;&gt;"",$AB72&lt;&gt;""),"YES","NO"),"N/A")</f>
        <v>N/A</v>
      </c>
      <c r="N72" s="4" t="str">
        <f>IF(OR($A72="Power Cable"),IF(AND($AD72&lt;&gt;""),"YES","NO"),"N/A")</f>
        <v>NO</v>
      </c>
      <c r="O72" s="4" t="str">
        <f>IF(OR($A72="Power Cable",$A72="RTD Cable",$A72="Fieldbus Cable"),IF(AND($AE72&lt;&gt;""),"YES","NO"),"N/A")</f>
        <v>NO</v>
      </c>
      <c r="P72" s="4" t="str">
        <f>IF(OR($A72="RTD"),IF(AND($AH72&lt;&gt;""),"YES","NO"),"N/A")</f>
        <v>N/A</v>
      </c>
      <c r="Q72" s="4" t="str">
        <f>IF(OR($A72="RTD"),IF(AND($AI72&lt;&gt;""),"YES","NO"),"N/A")</f>
        <v>N/A</v>
      </c>
      <c r="R72" s="4" t="str">
        <f>IF(OR($AM72&lt;&gt;"",$Z72&lt;&gt;"",$AC72&lt;&gt;""),"YES","NO")</f>
        <v>NO</v>
      </c>
      <c r="S72" s="4" t="str">
        <f>IF(COUNTIF(I72:R72,"NO")=0,"YES","NO")</f>
        <v>NO</v>
      </c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inlineStr">
        <is>
          <t>Teck</t>
        </is>
      </c>
      <c r="AK72" s="9" t="inlineStr">
        <is>
          <t>10AWG</t>
        </is>
      </c>
      <c r="AL72" s="9" t="inlineStr">
        <is>
          <t>Levy Ostrup</t>
        </is>
      </c>
      <c r="AM72" s="9" t="n"/>
      <c r="AN72" s="9" t="n"/>
    </row>
    <row r="73">
      <c r="A73" s="9" t="inlineStr">
        <is>
          <t>Power Cable</t>
        </is>
      </c>
      <c r="B73" s="9" t="inlineStr">
        <is>
          <t>29103-ET-P001A-3-PWK-1</t>
        </is>
      </c>
      <c r="C73" s="9" t="inlineStr">
        <is>
          <t>29103-ET-P001A-3</t>
        </is>
      </c>
      <c r="D73" s="9" t="inlineStr">
        <is>
          <t>29103-HTP-102 HTC-08</t>
        </is>
      </c>
      <c r="E73" s="9" t="inlineStr">
        <is>
          <t>29103-HTP-102</t>
        </is>
      </c>
      <c r="F73" s="9" t="inlineStr"/>
      <c r="G73" s="9" t="inlineStr">
        <is>
          <t>113</t>
        </is>
      </c>
      <c r="H73" s="9" t="inlineStr">
        <is>
          <t>29103-ET-P001A-3-PWK-1.pdf</t>
        </is>
      </c>
      <c r="I73" s="4" t="str">
        <f>IF($H73&lt;&gt;"","YES","NO")</f>
        <v>YES</v>
      </c>
      <c r="J73" s="4" t="str">
        <f>IF(N($T73)&gt;0,"YES","NO")</f>
        <v>NO</v>
      </c>
      <c r="K73" s="4" t="str">
        <f>IF(OR($A73="EHT Trace"),IF(AND($U73&lt;&gt;"",$V73&lt;&gt;""),"YES","NO"),"N/A")</f>
        <v>N/A</v>
      </c>
      <c r="L73" s="4" t="str">
        <f>IF(OR($A73="EHT Trace"),IF(AND($X73&lt;&gt;"",$Y73&lt;&gt;""),"YES","NO"),"N/A")</f>
        <v>N/A</v>
      </c>
      <c r="M73" s="4" t="str">
        <f>IF(OR($A73="EHT Trace"),IF(AND($AA73&lt;&gt;"",$AB73&lt;&gt;""),"YES","NO"),"N/A")</f>
        <v>N/A</v>
      </c>
      <c r="N73" s="4" t="str">
        <f>IF(OR($A73="Power Cable"),IF(AND($AD73&lt;&gt;""),"YES","NO"),"N/A")</f>
        <v>NO</v>
      </c>
      <c r="O73" s="4" t="str">
        <f>IF(OR($A73="Power Cable",$A73="RTD Cable",$A73="Fieldbus Cable"),IF(AND($AE73&lt;&gt;""),"YES","NO"),"N/A")</f>
        <v>NO</v>
      </c>
      <c r="P73" s="4" t="str">
        <f>IF(OR($A73="RTD"),IF(AND($AH73&lt;&gt;""),"YES","NO"),"N/A")</f>
        <v>N/A</v>
      </c>
      <c r="Q73" s="4" t="str">
        <f>IF(OR($A73="RTD"),IF(AND($AI73&lt;&gt;""),"YES","NO"),"N/A")</f>
        <v>N/A</v>
      </c>
      <c r="R73" s="4" t="str">
        <f>IF(OR($AM73&lt;&gt;"",$Z73&lt;&gt;"",$AC73&lt;&gt;""),"YES","NO")</f>
        <v>NO</v>
      </c>
      <c r="S73" s="4" t="str">
        <f>IF(COUNTIF(I73:R73,"NO")=0,"YES","NO")</f>
        <v>NO</v>
      </c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inlineStr">
        <is>
          <t>Teck</t>
        </is>
      </c>
      <c r="AK73" s="9" t="inlineStr">
        <is>
          <t>10AWG</t>
        </is>
      </c>
      <c r="AL73" s="9" t="inlineStr">
        <is>
          <t>Levy Ostrup</t>
        </is>
      </c>
      <c r="AM73" s="9" t="n"/>
      <c r="AN73" s="9" t="n"/>
    </row>
    <row r="74">
      <c r="A74" s="9" t="inlineStr">
        <is>
          <t>Power Cable</t>
        </is>
      </c>
      <c r="B74" s="9" t="inlineStr">
        <is>
          <t>29103-ET-P001A-4-PWK-1</t>
        </is>
      </c>
      <c r="C74" s="9" t="inlineStr">
        <is>
          <t>29103-ET-P001A-4</t>
        </is>
      </c>
      <c r="D74" s="9" t="inlineStr">
        <is>
          <t>29103-HTP-102 HTC-13</t>
        </is>
      </c>
      <c r="E74" s="9" t="inlineStr">
        <is>
          <t>29103-HTP-102</t>
        </is>
      </c>
      <c r="F74" s="9" t="inlineStr"/>
      <c r="G74" s="9" t="inlineStr">
        <is>
          <t>113</t>
        </is>
      </c>
      <c r="H74" s="9" t="inlineStr">
        <is>
          <t>29103-ET-P001A-4-PWK-1.pdf</t>
        </is>
      </c>
      <c r="I74" s="4" t="str">
        <f>IF($H74&lt;&gt;"","YES","NO")</f>
        <v>YES</v>
      </c>
      <c r="J74" s="4" t="str">
        <f>IF(N($T74)&gt;0,"YES","NO")</f>
        <v>NO</v>
      </c>
      <c r="K74" s="4" t="str">
        <f>IF(OR($A74="EHT Trace"),IF(AND($U74&lt;&gt;"",$V74&lt;&gt;""),"YES","NO"),"N/A")</f>
        <v>N/A</v>
      </c>
      <c r="L74" s="4" t="str">
        <f>IF(OR($A74="EHT Trace"),IF(AND($X74&lt;&gt;"",$Y74&lt;&gt;""),"YES","NO"),"N/A")</f>
        <v>N/A</v>
      </c>
      <c r="M74" s="4" t="str">
        <f>IF(OR($A74="EHT Trace"),IF(AND($AA74&lt;&gt;"",$AB74&lt;&gt;""),"YES","NO"),"N/A")</f>
        <v>N/A</v>
      </c>
      <c r="N74" s="4" t="str">
        <f>IF(OR($A74="Power Cable"),IF(AND($AD74&lt;&gt;""),"YES","NO"),"N/A")</f>
        <v>NO</v>
      </c>
      <c r="O74" s="4" t="str">
        <f>IF(OR($A74="Power Cable",$A74="RTD Cable",$A74="Fieldbus Cable"),IF(AND($AE74&lt;&gt;""),"YES","NO"),"N/A")</f>
        <v>NO</v>
      </c>
      <c r="P74" s="4" t="str">
        <f>IF(OR($A74="RTD"),IF(AND($AH74&lt;&gt;""),"YES","NO"),"N/A")</f>
        <v>N/A</v>
      </c>
      <c r="Q74" s="4" t="str">
        <f>IF(OR($A74="RTD"),IF(AND($AI74&lt;&gt;""),"YES","NO"),"N/A")</f>
        <v>N/A</v>
      </c>
      <c r="R74" s="4" t="str">
        <f>IF(OR($AM74&lt;&gt;"",$Z74&lt;&gt;"",$AC74&lt;&gt;""),"YES","NO")</f>
        <v>NO</v>
      </c>
      <c r="S74" s="4" t="str">
        <f>IF(COUNTIF(I74:R74,"NO")=0,"YES","NO")</f>
        <v>NO</v>
      </c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inlineStr">
        <is>
          <t>Teck</t>
        </is>
      </c>
      <c r="AK74" s="9" t="inlineStr">
        <is>
          <t>10AWG</t>
        </is>
      </c>
      <c r="AL74" s="9" t="inlineStr">
        <is>
          <t>Levy Ostrup</t>
        </is>
      </c>
      <c r="AM74" s="9" t="n"/>
      <c r="AN74" s="9" t="n"/>
    </row>
    <row r="75">
      <c r="A75" s="9" t="inlineStr">
        <is>
          <t>Power Cable</t>
        </is>
      </c>
      <c r="B75" s="9" t="inlineStr">
        <is>
          <t>29103-ET-P001B-1-PWK-1</t>
        </is>
      </c>
      <c r="C75" s="9" t="inlineStr">
        <is>
          <t>29103-ET-P001B-1</t>
        </is>
      </c>
      <c r="D75" s="9" t="inlineStr">
        <is>
          <t>29103-HTP-102 HTC-10</t>
        </is>
      </c>
      <c r="E75" s="9" t="inlineStr">
        <is>
          <t>29103-HTP-102</t>
        </is>
      </c>
      <c r="F75" s="9" t="inlineStr"/>
      <c r="G75" s="9" t="inlineStr">
        <is>
          <t>113</t>
        </is>
      </c>
      <c r="H75" s="9" t="inlineStr">
        <is>
          <t>29103-ET-P001B-1-PWK-1.pdf</t>
        </is>
      </c>
      <c r="I75" s="4" t="str">
        <f>IF($H75&lt;&gt;"","YES","NO")</f>
        <v>YES</v>
      </c>
      <c r="J75" s="4" t="str">
        <f>IF(N($T75)&gt;0,"YES","NO")</f>
        <v>NO</v>
      </c>
      <c r="K75" s="4" t="str">
        <f>IF(OR($A75="EHT Trace"),IF(AND($U75&lt;&gt;"",$V75&lt;&gt;""),"YES","NO"),"N/A")</f>
        <v>N/A</v>
      </c>
      <c r="L75" s="4" t="str">
        <f>IF(OR($A75="EHT Trace"),IF(AND($X75&lt;&gt;"",$Y75&lt;&gt;""),"YES","NO"),"N/A")</f>
        <v>N/A</v>
      </c>
      <c r="M75" s="4" t="str">
        <f>IF(OR($A75="EHT Trace"),IF(AND($AA75&lt;&gt;"",$AB75&lt;&gt;""),"YES","NO"),"N/A")</f>
        <v>N/A</v>
      </c>
      <c r="N75" s="4" t="str">
        <f>IF(OR($A75="Power Cable"),IF(AND($AD75&lt;&gt;""),"YES","NO"),"N/A")</f>
        <v>NO</v>
      </c>
      <c r="O75" s="4" t="str">
        <f>IF(OR($A75="Power Cable",$A75="RTD Cable",$A75="Fieldbus Cable"),IF(AND($AE75&lt;&gt;""),"YES","NO"),"N/A")</f>
        <v>NO</v>
      </c>
      <c r="P75" s="4" t="str">
        <f>IF(OR($A75="RTD"),IF(AND($AH75&lt;&gt;""),"YES","NO"),"N/A")</f>
        <v>N/A</v>
      </c>
      <c r="Q75" s="4" t="str">
        <f>IF(OR($A75="RTD"),IF(AND($AI75&lt;&gt;""),"YES","NO"),"N/A")</f>
        <v>N/A</v>
      </c>
      <c r="R75" s="4" t="str">
        <f>IF(OR($AM75&lt;&gt;"",$Z75&lt;&gt;"",$AC75&lt;&gt;""),"YES","NO")</f>
        <v>NO</v>
      </c>
      <c r="S75" s="4" t="str">
        <f>IF(COUNTIF(I75:R75,"NO")=0,"YES","NO")</f>
        <v>NO</v>
      </c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inlineStr">
        <is>
          <t>Teck</t>
        </is>
      </c>
      <c r="AK75" s="9" t="inlineStr">
        <is>
          <t>10AWG</t>
        </is>
      </c>
      <c r="AL75" s="9" t="inlineStr">
        <is>
          <t>Levy Ostrup</t>
        </is>
      </c>
      <c r="AM75" s="9" t="n"/>
      <c r="AN75" s="9" t="n"/>
    </row>
    <row r="76">
      <c r="A76" s="9" t="inlineStr">
        <is>
          <t>Power Cable</t>
        </is>
      </c>
      <c r="B76" s="9" t="inlineStr">
        <is>
          <t>29103-ET-P001B-2-PWK-1</t>
        </is>
      </c>
      <c r="C76" s="9" t="inlineStr">
        <is>
          <t>29103-ET-P001B-2</t>
        </is>
      </c>
      <c r="D76" s="9" t="inlineStr">
        <is>
          <t>29103-HTP-102 HTC-15</t>
        </is>
      </c>
      <c r="E76" s="9" t="inlineStr">
        <is>
          <t>29103-HTP-102</t>
        </is>
      </c>
      <c r="F76" s="9" t="inlineStr"/>
      <c r="G76" s="9" t="inlineStr">
        <is>
          <t>113</t>
        </is>
      </c>
      <c r="H76" s="9" t="inlineStr">
        <is>
          <t>29103-ET-P001B-2-PWK-1.pdf</t>
        </is>
      </c>
      <c r="I76" s="4" t="str">
        <f>IF($H76&lt;&gt;"","YES","NO")</f>
        <v>YES</v>
      </c>
      <c r="J76" s="4" t="str">
        <f>IF(N($T76)&gt;0,"YES","NO")</f>
        <v>NO</v>
      </c>
      <c r="K76" s="4" t="str">
        <f>IF(OR($A76="EHT Trace"),IF(AND($U76&lt;&gt;"",$V76&lt;&gt;""),"YES","NO"),"N/A")</f>
        <v>N/A</v>
      </c>
      <c r="L76" s="4" t="str">
        <f>IF(OR($A76="EHT Trace"),IF(AND($X76&lt;&gt;"",$Y76&lt;&gt;""),"YES","NO"),"N/A")</f>
        <v>N/A</v>
      </c>
      <c r="M76" s="4" t="str">
        <f>IF(OR($A76="EHT Trace"),IF(AND($AA76&lt;&gt;"",$AB76&lt;&gt;""),"YES","NO"),"N/A")</f>
        <v>N/A</v>
      </c>
      <c r="N76" s="4" t="str">
        <f>IF(OR($A76="Power Cable"),IF(AND($AD76&lt;&gt;""),"YES","NO"),"N/A")</f>
        <v>NO</v>
      </c>
      <c r="O76" s="4" t="str">
        <f>IF(OR($A76="Power Cable",$A76="RTD Cable",$A76="Fieldbus Cable"),IF(AND($AE76&lt;&gt;""),"YES","NO"),"N/A")</f>
        <v>NO</v>
      </c>
      <c r="P76" s="4" t="str">
        <f>IF(OR($A76="RTD"),IF(AND($AH76&lt;&gt;""),"YES","NO"),"N/A")</f>
        <v>N/A</v>
      </c>
      <c r="Q76" s="4" t="str">
        <f>IF(OR($A76="RTD"),IF(AND($AI76&lt;&gt;""),"YES","NO"),"N/A")</f>
        <v>N/A</v>
      </c>
      <c r="R76" s="4" t="str">
        <f>IF(OR($AM76&lt;&gt;"",$Z76&lt;&gt;"",$AC76&lt;&gt;""),"YES","NO")</f>
        <v>NO</v>
      </c>
      <c r="S76" s="4" t="str">
        <f>IF(COUNTIF(I76:R76,"NO")=0,"YES","NO")</f>
        <v>NO</v>
      </c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inlineStr">
        <is>
          <t>Teck</t>
        </is>
      </c>
      <c r="AK76" s="9" t="inlineStr">
        <is>
          <t>10AWG</t>
        </is>
      </c>
      <c r="AL76" s="9" t="inlineStr">
        <is>
          <t>Levy Ostrup</t>
        </is>
      </c>
      <c r="AM76" s="9" t="n"/>
      <c r="AN76" s="9" t="n"/>
    </row>
    <row r="77">
      <c r="A77" s="9" t="inlineStr">
        <is>
          <t>Power Cable</t>
        </is>
      </c>
      <c r="B77" s="9" t="inlineStr">
        <is>
          <t>29103-ET-P001B-3-PWK-1</t>
        </is>
      </c>
      <c r="C77" s="9" t="inlineStr">
        <is>
          <t>29103-ET-P001B-3</t>
        </is>
      </c>
      <c r="D77" s="9" t="inlineStr">
        <is>
          <t>29103-HTP-102 HTC-11</t>
        </is>
      </c>
      <c r="E77" s="9" t="inlineStr">
        <is>
          <t>29103-HTP-102</t>
        </is>
      </c>
      <c r="F77" s="9" t="inlineStr"/>
      <c r="G77" s="9" t="inlineStr">
        <is>
          <t>113</t>
        </is>
      </c>
      <c r="H77" s="9" t="inlineStr">
        <is>
          <t>29103-ET-P001B-3-PWK-1.pdf</t>
        </is>
      </c>
      <c r="I77" s="4" t="str">
        <f>IF($H77&lt;&gt;"","YES","NO")</f>
        <v>YES</v>
      </c>
      <c r="J77" s="4" t="str">
        <f>IF(N($T77)&gt;0,"YES","NO")</f>
        <v>NO</v>
      </c>
      <c r="K77" s="4" t="str">
        <f>IF(OR($A77="EHT Trace"),IF(AND($U77&lt;&gt;"",$V77&lt;&gt;""),"YES","NO"),"N/A")</f>
        <v>N/A</v>
      </c>
      <c r="L77" s="4" t="str">
        <f>IF(OR($A77="EHT Trace"),IF(AND($X77&lt;&gt;"",$Y77&lt;&gt;""),"YES","NO"),"N/A")</f>
        <v>N/A</v>
      </c>
      <c r="M77" s="4" t="str">
        <f>IF(OR($A77="EHT Trace"),IF(AND($AA77&lt;&gt;"",$AB77&lt;&gt;""),"YES","NO"),"N/A")</f>
        <v>N/A</v>
      </c>
      <c r="N77" s="4" t="str">
        <f>IF(OR($A77="Power Cable"),IF(AND($AD77&lt;&gt;""),"YES","NO"),"N/A")</f>
        <v>NO</v>
      </c>
      <c r="O77" s="4" t="str">
        <f>IF(OR($A77="Power Cable",$A77="RTD Cable",$A77="Fieldbus Cable"),IF(AND($AE77&lt;&gt;""),"YES","NO"),"N/A")</f>
        <v>NO</v>
      </c>
      <c r="P77" s="4" t="str">
        <f>IF(OR($A77="RTD"),IF(AND($AH77&lt;&gt;""),"YES","NO"),"N/A")</f>
        <v>N/A</v>
      </c>
      <c r="Q77" s="4" t="str">
        <f>IF(OR($A77="RTD"),IF(AND($AI77&lt;&gt;""),"YES","NO"),"N/A")</f>
        <v>N/A</v>
      </c>
      <c r="R77" s="4" t="str">
        <f>IF(OR($AM77&lt;&gt;"",$Z77&lt;&gt;"",$AC77&lt;&gt;""),"YES","NO")</f>
        <v>NO</v>
      </c>
      <c r="S77" s="4" t="str">
        <f>IF(COUNTIF(I77:R77,"NO")=0,"YES","NO")</f>
        <v>NO</v>
      </c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inlineStr">
        <is>
          <t>Teck</t>
        </is>
      </c>
      <c r="AK77" s="9" t="inlineStr">
        <is>
          <t>10AWG</t>
        </is>
      </c>
      <c r="AL77" s="9" t="inlineStr">
        <is>
          <t>Levy Ostrup</t>
        </is>
      </c>
      <c r="AM77" s="9" t="n"/>
      <c r="AN77" s="9" t="n"/>
    </row>
    <row r="78">
      <c r="A78" s="9" t="inlineStr">
        <is>
          <t>Power Cable</t>
        </is>
      </c>
      <c r="B78" s="9" t="inlineStr">
        <is>
          <t>29103-ET-P001B-4-PWK-1</t>
        </is>
      </c>
      <c r="C78" s="9" t="inlineStr">
        <is>
          <t>29103-ET-P001B-4</t>
        </is>
      </c>
      <c r="D78" s="9" t="inlineStr">
        <is>
          <t>29103-HTP-102 HTC-16</t>
        </is>
      </c>
      <c r="E78" s="9" t="inlineStr">
        <is>
          <t>29103-HTP-102</t>
        </is>
      </c>
      <c r="F78" s="9" t="inlineStr"/>
      <c r="G78" s="9" t="inlineStr">
        <is>
          <t>113</t>
        </is>
      </c>
      <c r="H78" s="9" t="inlineStr">
        <is>
          <t>29103-ET-P001B-4-PWK-1.pdf</t>
        </is>
      </c>
      <c r="I78" s="4" t="str">
        <f>IF($H78&lt;&gt;"","YES","NO")</f>
        <v>YES</v>
      </c>
      <c r="J78" s="4" t="str">
        <f>IF(N($T78)&gt;0,"YES","NO")</f>
        <v>NO</v>
      </c>
      <c r="K78" s="4" t="str">
        <f>IF(OR($A78="EHT Trace"),IF(AND($U78&lt;&gt;"",$V78&lt;&gt;""),"YES","NO"),"N/A")</f>
        <v>N/A</v>
      </c>
      <c r="L78" s="4" t="str">
        <f>IF(OR($A78="EHT Trace"),IF(AND($X78&lt;&gt;"",$Y78&lt;&gt;""),"YES","NO"),"N/A")</f>
        <v>N/A</v>
      </c>
      <c r="M78" s="4" t="str">
        <f>IF(OR($A78="EHT Trace"),IF(AND($AA78&lt;&gt;"",$AB78&lt;&gt;""),"YES","NO"),"N/A")</f>
        <v>N/A</v>
      </c>
      <c r="N78" s="4" t="str">
        <f>IF(OR($A78="Power Cable"),IF(AND($AD78&lt;&gt;""),"YES","NO"),"N/A")</f>
        <v>NO</v>
      </c>
      <c r="O78" s="4" t="str">
        <f>IF(OR($A78="Power Cable",$A78="RTD Cable",$A78="Fieldbus Cable"),IF(AND($AE78&lt;&gt;""),"YES","NO"),"N/A")</f>
        <v>NO</v>
      </c>
      <c r="P78" s="4" t="str">
        <f>IF(OR($A78="RTD"),IF(AND($AH78&lt;&gt;""),"YES","NO"),"N/A")</f>
        <v>N/A</v>
      </c>
      <c r="Q78" s="4" t="str">
        <f>IF(OR($A78="RTD"),IF(AND($AI78&lt;&gt;""),"YES","NO"),"N/A")</f>
        <v>N/A</v>
      </c>
      <c r="R78" s="4" t="str">
        <f>IF(OR($AM78&lt;&gt;"",$Z78&lt;&gt;"",$AC78&lt;&gt;""),"YES","NO")</f>
        <v>NO</v>
      </c>
      <c r="S78" s="4" t="str">
        <f>IF(COUNTIF(I78:R78,"NO")=0,"YES","NO")</f>
        <v>NO</v>
      </c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inlineStr">
        <is>
          <t>Teck</t>
        </is>
      </c>
      <c r="AK78" s="9" t="inlineStr">
        <is>
          <t>10AWG</t>
        </is>
      </c>
      <c r="AL78" s="9" t="inlineStr">
        <is>
          <t>Levy Ostrup</t>
        </is>
      </c>
      <c r="AM78" s="9" t="n"/>
      <c r="AN78" s="9" t="n"/>
    </row>
    <row r="79">
      <c r="A79" s="9" t="inlineStr">
        <is>
          <t>Power Cable</t>
        </is>
      </c>
      <c r="B79" s="9" t="inlineStr">
        <is>
          <t>29103-ET-P1003-1-PWK-1</t>
        </is>
      </c>
      <c r="C79" s="9" t="inlineStr">
        <is>
          <t>29103-ET-P1003-1</t>
        </is>
      </c>
      <c r="D79" s="9" t="inlineStr">
        <is>
          <t>29103-HTP-102 HTC-19</t>
        </is>
      </c>
      <c r="E79" s="9" t="inlineStr">
        <is>
          <t>29103-HTP-102</t>
        </is>
      </c>
      <c r="F79" s="9" t="inlineStr"/>
      <c r="G79" s="9" t="inlineStr">
        <is>
          <t>113</t>
        </is>
      </c>
      <c r="H79" s="9" t="inlineStr">
        <is>
          <t>29103-ET-P1003-1-PWK-1.pdf</t>
        </is>
      </c>
      <c r="I79" s="4" t="str">
        <f>IF($H79&lt;&gt;"","YES","NO")</f>
        <v>YES</v>
      </c>
      <c r="J79" s="4" t="str">
        <f>IF(N($T79)&gt;0,"YES","NO")</f>
        <v>NO</v>
      </c>
      <c r="K79" s="4" t="str">
        <f>IF(OR($A79="EHT Trace"),IF(AND($U79&lt;&gt;"",$V79&lt;&gt;""),"YES","NO"),"N/A")</f>
        <v>N/A</v>
      </c>
      <c r="L79" s="4" t="str">
        <f>IF(OR($A79="EHT Trace"),IF(AND($X79&lt;&gt;"",$Y79&lt;&gt;""),"YES","NO"),"N/A")</f>
        <v>N/A</v>
      </c>
      <c r="M79" s="4" t="str">
        <f>IF(OR($A79="EHT Trace"),IF(AND($AA79&lt;&gt;"",$AB79&lt;&gt;""),"YES","NO"),"N/A")</f>
        <v>N/A</v>
      </c>
      <c r="N79" s="4" t="str">
        <f>IF(OR($A79="Power Cable"),IF(AND($AD79&lt;&gt;""),"YES","NO"),"N/A")</f>
        <v>NO</v>
      </c>
      <c r="O79" s="4" t="str">
        <f>IF(OR($A79="Power Cable",$A79="RTD Cable",$A79="Fieldbus Cable"),IF(AND($AE79&lt;&gt;""),"YES","NO"),"N/A")</f>
        <v>NO</v>
      </c>
      <c r="P79" s="4" t="str">
        <f>IF(OR($A79="RTD"),IF(AND($AH79&lt;&gt;""),"YES","NO"),"N/A")</f>
        <v>N/A</v>
      </c>
      <c r="Q79" s="4" t="str">
        <f>IF(OR($A79="RTD"),IF(AND($AI79&lt;&gt;""),"YES","NO"),"N/A")</f>
        <v>N/A</v>
      </c>
      <c r="R79" s="4" t="str">
        <f>IF(OR($AM79&lt;&gt;"",$Z79&lt;&gt;"",$AC79&lt;&gt;""),"YES","NO")</f>
        <v>NO</v>
      </c>
      <c r="S79" s="4" t="str">
        <f>IF(COUNTIF(I79:R79,"NO")=0,"YES","NO")</f>
        <v>NO</v>
      </c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inlineStr">
        <is>
          <t>Teck</t>
        </is>
      </c>
      <c r="AK79" s="9" t="inlineStr">
        <is>
          <t>8AWG</t>
        </is>
      </c>
      <c r="AL79" s="9" t="inlineStr">
        <is>
          <t>Levy Ostrup</t>
        </is>
      </c>
      <c r="AM79" s="9" t="n"/>
      <c r="AN79" s="9" t="n"/>
    </row>
    <row r="80">
      <c r="A80" s="9" t="inlineStr">
        <is>
          <t>Power Cable</t>
        </is>
      </c>
      <c r="B80" s="9" t="inlineStr">
        <is>
          <t>29103-ET-P1004-1-PWK-1</t>
        </is>
      </c>
      <c r="C80" s="9" t="inlineStr">
        <is>
          <t>29103-ET-P1004-1</t>
        </is>
      </c>
      <c r="D80" s="9" t="inlineStr">
        <is>
          <t>29103-HTP-102 HTC-20</t>
        </is>
      </c>
      <c r="E80" s="9" t="inlineStr">
        <is>
          <t>29103-HTP-102</t>
        </is>
      </c>
      <c r="F80" s="9" t="inlineStr"/>
      <c r="G80" s="9" t="inlineStr">
        <is>
          <t>113</t>
        </is>
      </c>
      <c r="H80" s="9" t="inlineStr">
        <is>
          <t>29103-ET-P1004-1-PWK-1.pdf</t>
        </is>
      </c>
      <c r="I80" s="4" t="str">
        <f>IF($H80&lt;&gt;"","YES","NO")</f>
        <v>YES</v>
      </c>
      <c r="J80" s="4" t="str">
        <f>IF(N($T80)&gt;0,"YES","NO")</f>
        <v>NO</v>
      </c>
      <c r="K80" s="4" t="str">
        <f>IF(OR($A80="EHT Trace"),IF(AND($U80&lt;&gt;"",$V80&lt;&gt;""),"YES","NO"),"N/A")</f>
        <v>N/A</v>
      </c>
      <c r="L80" s="4" t="str">
        <f>IF(OR($A80="EHT Trace"),IF(AND($X80&lt;&gt;"",$Y80&lt;&gt;""),"YES","NO"),"N/A")</f>
        <v>N/A</v>
      </c>
      <c r="M80" s="4" t="str">
        <f>IF(OR($A80="EHT Trace"),IF(AND($AA80&lt;&gt;"",$AB80&lt;&gt;""),"YES","NO"),"N/A")</f>
        <v>N/A</v>
      </c>
      <c r="N80" s="4" t="str">
        <f>IF(OR($A80="Power Cable"),IF(AND($AD80&lt;&gt;""),"YES","NO"),"N/A")</f>
        <v>NO</v>
      </c>
      <c r="O80" s="4" t="str">
        <f>IF(OR($A80="Power Cable",$A80="RTD Cable",$A80="Fieldbus Cable"),IF(AND($AE80&lt;&gt;""),"YES","NO"),"N/A")</f>
        <v>NO</v>
      </c>
      <c r="P80" s="4" t="str">
        <f>IF(OR($A80="RTD"),IF(AND($AH80&lt;&gt;""),"YES","NO"),"N/A")</f>
        <v>N/A</v>
      </c>
      <c r="Q80" s="4" t="str">
        <f>IF(OR($A80="RTD"),IF(AND($AI80&lt;&gt;""),"YES","NO"),"N/A")</f>
        <v>N/A</v>
      </c>
      <c r="R80" s="4" t="str">
        <f>IF(OR($AM80&lt;&gt;"",$Z80&lt;&gt;"",$AC80&lt;&gt;""),"YES","NO")</f>
        <v>NO</v>
      </c>
      <c r="S80" s="4" t="str">
        <f>IF(COUNTIF(I80:R80,"NO")=0,"YES","NO")</f>
        <v>NO</v>
      </c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inlineStr">
        <is>
          <t>Teck</t>
        </is>
      </c>
      <c r="AK80" s="9" t="inlineStr">
        <is>
          <t>10AWG</t>
        </is>
      </c>
      <c r="AL80" s="9" t="inlineStr">
        <is>
          <t>Levy Ostrup</t>
        </is>
      </c>
      <c r="AM80" s="9" t="n"/>
      <c r="AN80" s="9" t="n"/>
    </row>
    <row r="81">
      <c r="A81" s="9" t="inlineStr">
        <is>
          <t>Power Cable</t>
        </is>
      </c>
      <c r="B81" s="9" t="inlineStr">
        <is>
          <t>29103-ET-P1920-1-PWK-1</t>
        </is>
      </c>
      <c r="C81" s="9" t="inlineStr">
        <is>
          <t>29103-ET-P1920-1</t>
        </is>
      </c>
      <c r="D81" s="9" t="inlineStr">
        <is>
          <t>29103-HTP-102 HTC-22</t>
        </is>
      </c>
      <c r="E81" s="9" t="inlineStr">
        <is>
          <t>29103-HTP-102</t>
        </is>
      </c>
      <c r="F81" s="9" t="inlineStr"/>
      <c r="G81" s="9" t="inlineStr">
        <is>
          <t>113</t>
        </is>
      </c>
      <c r="H81" s="9" t="inlineStr">
        <is>
          <t>29103-ET-P1920-1-PWK-1.pdf</t>
        </is>
      </c>
      <c r="I81" s="4" t="str">
        <f>IF($H81&lt;&gt;"","YES","NO")</f>
        <v>YES</v>
      </c>
      <c r="J81" s="4" t="str">
        <f>IF(N($T81)&gt;0,"YES","NO")</f>
        <v>NO</v>
      </c>
      <c r="K81" s="4" t="str">
        <f>IF(OR($A81="EHT Trace"),IF(AND($U81&lt;&gt;"",$V81&lt;&gt;""),"YES","NO"),"N/A")</f>
        <v>N/A</v>
      </c>
      <c r="L81" s="4" t="str">
        <f>IF(OR($A81="EHT Trace"),IF(AND($X81&lt;&gt;"",$Y81&lt;&gt;""),"YES","NO"),"N/A")</f>
        <v>N/A</v>
      </c>
      <c r="M81" s="4" t="str">
        <f>IF(OR($A81="EHT Trace"),IF(AND($AA81&lt;&gt;"",$AB81&lt;&gt;""),"YES","NO"),"N/A")</f>
        <v>N/A</v>
      </c>
      <c r="N81" s="4" t="str">
        <f>IF(OR($A81="Power Cable"),IF(AND($AD81&lt;&gt;""),"YES","NO"),"N/A")</f>
        <v>NO</v>
      </c>
      <c r="O81" s="4" t="str">
        <f>IF(OR($A81="Power Cable",$A81="RTD Cable",$A81="Fieldbus Cable"),IF(AND($AE81&lt;&gt;""),"YES","NO"),"N/A")</f>
        <v>NO</v>
      </c>
      <c r="P81" s="4" t="str">
        <f>IF(OR($A81="RTD"),IF(AND($AH81&lt;&gt;""),"YES","NO"),"N/A")</f>
        <v>N/A</v>
      </c>
      <c r="Q81" s="4" t="str">
        <f>IF(OR($A81="RTD"),IF(AND($AI81&lt;&gt;""),"YES","NO"),"N/A")</f>
        <v>N/A</v>
      </c>
      <c r="R81" s="4" t="str">
        <f>IF(OR($AM81&lt;&gt;"",$Z81&lt;&gt;"",$AC81&lt;&gt;""),"YES","NO")</f>
        <v>NO</v>
      </c>
      <c r="S81" s="4" t="str">
        <f>IF(COUNTIF(I81:R81,"NO")=0,"YES","NO")</f>
        <v>NO</v>
      </c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inlineStr">
        <is>
          <t>Teck</t>
        </is>
      </c>
      <c r="AK81" s="9" t="inlineStr">
        <is>
          <t>10AWG</t>
        </is>
      </c>
      <c r="AL81" s="9" t="inlineStr">
        <is>
          <t>Levy Ostrup</t>
        </is>
      </c>
      <c r="AM81" s="9" t="n"/>
      <c r="AN81" s="9" t="n"/>
    </row>
    <row r="82">
      <c r="A82" s="9" t="inlineStr">
        <is>
          <t>Power Cable</t>
        </is>
      </c>
      <c r="B82" s="9" t="inlineStr">
        <is>
          <t>29103-ET-P1920-2-PWK-1</t>
        </is>
      </c>
      <c r="C82" s="9" t="inlineStr">
        <is>
          <t>29103-ET-P1920-2</t>
        </is>
      </c>
      <c r="D82" s="9" t="inlineStr">
        <is>
          <t>29103-AMB-016</t>
        </is>
      </c>
      <c r="E82" s="9" t="inlineStr">
        <is>
          <t>29103-HTP-102</t>
        </is>
      </c>
      <c r="F82" s="9" t="inlineStr"/>
      <c r="G82" s="9" t="inlineStr">
        <is>
          <t>113</t>
        </is>
      </c>
      <c r="H82" s="9" t="inlineStr">
        <is>
          <t>29103-ET-P1920-2-PWK-1.pdf</t>
        </is>
      </c>
      <c r="I82" s="4" t="str">
        <f>IF($H82&lt;&gt;"","YES","NO")</f>
        <v>YES</v>
      </c>
      <c r="J82" s="4" t="str">
        <f>IF(N($T82)&gt;0,"YES","NO")</f>
        <v>NO</v>
      </c>
      <c r="K82" s="4" t="str">
        <f>IF(OR($A82="EHT Trace"),IF(AND($U82&lt;&gt;"",$V82&lt;&gt;""),"YES","NO"),"N/A")</f>
        <v>N/A</v>
      </c>
      <c r="L82" s="4" t="str">
        <f>IF(OR($A82="EHT Trace"),IF(AND($X82&lt;&gt;"",$Y82&lt;&gt;""),"YES","NO"),"N/A")</f>
        <v>N/A</v>
      </c>
      <c r="M82" s="4" t="str">
        <f>IF(OR($A82="EHT Trace"),IF(AND($AA82&lt;&gt;"",$AB82&lt;&gt;""),"YES","NO"),"N/A")</f>
        <v>N/A</v>
      </c>
      <c r="N82" s="4" t="str">
        <f>IF(OR($A82="Power Cable"),IF(AND($AD82&lt;&gt;""),"YES","NO"),"N/A")</f>
        <v>NO</v>
      </c>
      <c r="O82" s="4" t="str">
        <f>IF(OR($A82="Power Cable",$A82="RTD Cable",$A82="Fieldbus Cable"),IF(AND($AE82&lt;&gt;""),"YES","NO"),"N/A")</f>
        <v>NO</v>
      </c>
      <c r="P82" s="4" t="str">
        <f>IF(OR($A82="RTD"),IF(AND($AH82&lt;&gt;""),"YES","NO"),"N/A")</f>
        <v>N/A</v>
      </c>
      <c r="Q82" s="4" t="str">
        <f>IF(OR($A82="RTD"),IF(AND($AI82&lt;&gt;""),"YES","NO"),"N/A")</f>
        <v>N/A</v>
      </c>
      <c r="R82" s="4" t="str">
        <f>IF(OR($AM82&lt;&gt;"",$Z82&lt;&gt;"",$AC82&lt;&gt;""),"YES","NO")</f>
        <v>NO</v>
      </c>
      <c r="S82" s="4" t="str">
        <f>IF(COUNTIF(I82:R82,"NO")=0,"YES","NO")</f>
        <v>NO</v>
      </c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inlineStr">
        <is>
          <t>Teck</t>
        </is>
      </c>
      <c r="AK82" s="9" t="inlineStr">
        <is>
          <t>10AWG</t>
        </is>
      </c>
      <c r="AL82" s="9" t="inlineStr">
        <is>
          <t>Levy Ostrup</t>
        </is>
      </c>
      <c r="AM82" s="9" t="n"/>
      <c r="AN82" s="9" t="n"/>
    </row>
    <row r="83">
      <c r="A83" s="9" t="inlineStr">
        <is>
          <t>Power Cable</t>
        </is>
      </c>
      <c r="B83" s="9" t="inlineStr">
        <is>
          <t>29103-ET-PG1901-1-PWK-1</t>
        </is>
      </c>
      <c r="C83" s="9" t="inlineStr">
        <is>
          <t>29103-ET-PG1901-1</t>
        </is>
      </c>
      <c r="D83" s="9" t="inlineStr">
        <is>
          <t>29103-AMB-016</t>
        </is>
      </c>
      <c r="E83" s="9" t="inlineStr">
        <is>
          <t>29103-HTP-102</t>
        </is>
      </c>
      <c r="F83" s="9" t="inlineStr"/>
      <c r="G83" s="9" t="inlineStr">
        <is>
          <t>113</t>
        </is>
      </c>
      <c r="H83" s="9" t="inlineStr">
        <is>
          <t>29103-ET-PG1901-1-PWK-1.pdf</t>
        </is>
      </c>
      <c r="I83" s="4" t="str">
        <f>IF($H83&lt;&gt;"","YES","NO")</f>
        <v>YES</v>
      </c>
      <c r="J83" s="4" t="str">
        <f>IF(N($T83)&gt;0,"YES","NO")</f>
        <v>NO</v>
      </c>
      <c r="K83" s="4" t="str">
        <f>IF(OR($A83="EHT Trace"),IF(AND($U83&lt;&gt;"",$V83&lt;&gt;""),"YES","NO"),"N/A")</f>
        <v>N/A</v>
      </c>
      <c r="L83" s="4" t="str">
        <f>IF(OR($A83="EHT Trace"),IF(AND($X83&lt;&gt;"",$Y83&lt;&gt;""),"YES","NO"),"N/A")</f>
        <v>N/A</v>
      </c>
      <c r="M83" s="4" t="str">
        <f>IF(OR($A83="EHT Trace"),IF(AND($AA83&lt;&gt;"",$AB83&lt;&gt;""),"YES","NO"),"N/A")</f>
        <v>N/A</v>
      </c>
      <c r="N83" s="4" t="str">
        <f>IF(OR($A83="Power Cable"),IF(AND($AD83&lt;&gt;""),"YES","NO"),"N/A")</f>
        <v>NO</v>
      </c>
      <c r="O83" s="4" t="str">
        <f>IF(OR($A83="Power Cable",$A83="RTD Cable",$A83="Fieldbus Cable"),IF(AND($AE83&lt;&gt;""),"YES","NO"),"N/A")</f>
        <v>NO</v>
      </c>
      <c r="P83" s="4" t="str">
        <f>IF(OR($A83="RTD"),IF(AND($AH83&lt;&gt;""),"YES","NO"),"N/A")</f>
        <v>N/A</v>
      </c>
      <c r="Q83" s="4" t="str">
        <f>IF(OR($A83="RTD"),IF(AND($AI83&lt;&gt;""),"YES","NO"),"N/A")</f>
        <v>N/A</v>
      </c>
      <c r="R83" s="4" t="str">
        <f>IF(OR($AM83&lt;&gt;"",$Z83&lt;&gt;"",$AC83&lt;&gt;""),"YES","NO")</f>
        <v>NO</v>
      </c>
      <c r="S83" s="4" t="str">
        <f>IF(COUNTIF(I83:R83,"NO")=0,"YES","NO")</f>
        <v>NO</v>
      </c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inlineStr">
        <is>
          <t>Teck</t>
        </is>
      </c>
      <c r="AK83" s="9" t="inlineStr">
        <is>
          <t>10AWG</t>
        </is>
      </c>
      <c r="AL83" s="9" t="inlineStr">
        <is>
          <t>Levy Ostrup</t>
        </is>
      </c>
      <c r="AM83" s="9" t="n"/>
      <c r="AN83" s="9" t="n"/>
    </row>
    <row r="84">
      <c r="A84" s="9" t="inlineStr">
        <is>
          <t>Power Cable</t>
        </is>
      </c>
      <c r="B84" s="9" t="inlineStr">
        <is>
          <t>29103-ET-PG1903-1-PWK-1</t>
        </is>
      </c>
      <c r="C84" s="9" t="inlineStr">
        <is>
          <t>29103-ET-PG1903-1</t>
        </is>
      </c>
      <c r="D84" s="9" t="inlineStr">
        <is>
          <t>29103-HTP-102 HTC-12</t>
        </is>
      </c>
      <c r="E84" s="9" t="inlineStr">
        <is>
          <t>29103-HTP-102</t>
        </is>
      </c>
      <c r="F84" s="9" t="inlineStr"/>
      <c r="G84" s="9" t="inlineStr">
        <is>
          <t>113</t>
        </is>
      </c>
      <c r="H84" s="9" t="inlineStr">
        <is>
          <t>29103-ET-PG1903-1-PWK-1.pdf</t>
        </is>
      </c>
      <c r="I84" s="4" t="str">
        <f>IF($H84&lt;&gt;"","YES","NO")</f>
        <v>YES</v>
      </c>
      <c r="J84" s="4" t="str">
        <f>IF(N($T84)&gt;0,"YES","NO")</f>
        <v>NO</v>
      </c>
      <c r="K84" s="4" t="str">
        <f>IF(OR($A84="EHT Trace"),IF(AND($U84&lt;&gt;"",$V84&lt;&gt;""),"YES","NO"),"N/A")</f>
        <v>N/A</v>
      </c>
      <c r="L84" s="4" t="str">
        <f>IF(OR($A84="EHT Trace"),IF(AND($X84&lt;&gt;"",$Y84&lt;&gt;""),"YES","NO"),"N/A")</f>
        <v>N/A</v>
      </c>
      <c r="M84" s="4" t="str">
        <f>IF(OR($A84="EHT Trace"),IF(AND($AA84&lt;&gt;"",$AB84&lt;&gt;""),"YES","NO"),"N/A")</f>
        <v>N/A</v>
      </c>
      <c r="N84" s="4" t="str">
        <f>IF(OR($A84="Power Cable"),IF(AND($AD84&lt;&gt;""),"YES","NO"),"N/A")</f>
        <v>NO</v>
      </c>
      <c r="O84" s="4" t="str">
        <f>IF(OR($A84="Power Cable",$A84="RTD Cable",$A84="Fieldbus Cable"),IF(AND($AE84&lt;&gt;""),"YES","NO"),"N/A")</f>
        <v>NO</v>
      </c>
      <c r="P84" s="4" t="str">
        <f>IF(OR($A84="RTD"),IF(AND($AH84&lt;&gt;""),"YES","NO"),"N/A")</f>
        <v>N/A</v>
      </c>
      <c r="Q84" s="4" t="str">
        <f>IF(OR($A84="RTD"),IF(AND($AI84&lt;&gt;""),"YES","NO"),"N/A")</f>
        <v>N/A</v>
      </c>
      <c r="R84" s="4" t="str">
        <f>IF(OR($AM84&lt;&gt;"",$Z84&lt;&gt;"",$AC84&lt;&gt;""),"YES","NO")</f>
        <v>NO</v>
      </c>
      <c r="S84" s="4" t="str">
        <f>IF(COUNTIF(I84:R84,"NO")=0,"YES","NO")</f>
        <v>NO</v>
      </c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inlineStr">
        <is>
          <t>Teck</t>
        </is>
      </c>
      <c r="AK84" s="9" t="inlineStr">
        <is>
          <t>10AWG</t>
        </is>
      </c>
      <c r="AL84" s="9" t="inlineStr">
        <is>
          <t>Levy Ostrup</t>
        </is>
      </c>
      <c r="AM84" s="9" t="n"/>
      <c r="AN84" s="9" t="n"/>
    </row>
    <row r="85">
      <c r="A85" s="9" t="inlineStr">
        <is>
          <t>Power Cable</t>
        </is>
      </c>
      <c r="B85" s="9" t="inlineStr">
        <is>
          <t>29103-ET-ST0001-1-PWK-1</t>
        </is>
      </c>
      <c r="C85" s="9" t="inlineStr">
        <is>
          <t>29103-ET-ST0001-1</t>
        </is>
      </c>
      <c r="D85" s="9" t="inlineStr">
        <is>
          <t>29103-HTP-102 HTC-14</t>
        </is>
      </c>
      <c r="E85" s="9" t="inlineStr">
        <is>
          <t>29103-HTP-102</t>
        </is>
      </c>
      <c r="F85" s="9" t="inlineStr"/>
      <c r="G85" s="9" t="inlineStr">
        <is>
          <t>113</t>
        </is>
      </c>
      <c r="H85" s="9" t="inlineStr">
        <is>
          <t>29103-ET-ST0001-1-PWK-1.pdf</t>
        </is>
      </c>
      <c r="I85" s="4" t="str">
        <f>IF($H85&lt;&gt;"","YES","NO")</f>
        <v>YES</v>
      </c>
      <c r="J85" s="4" t="str">
        <f>IF(N($T85)&gt;0,"YES","NO")</f>
        <v>NO</v>
      </c>
      <c r="K85" s="4" t="str">
        <f>IF(OR($A85="EHT Trace"),IF(AND($U85&lt;&gt;"",$V85&lt;&gt;""),"YES","NO"),"N/A")</f>
        <v>N/A</v>
      </c>
      <c r="L85" s="4" t="str">
        <f>IF(OR($A85="EHT Trace"),IF(AND($X85&lt;&gt;"",$Y85&lt;&gt;""),"YES","NO"),"N/A")</f>
        <v>N/A</v>
      </c>
      <c r="M85" s="4" t="str">
        <f>IF(OR($A85="EHT Trace"),IF(AND($AA85&lt;&gt;"",$AB85&lt;&gt;""),"YES","NO"),"N/A")</f>
        <v>N/A</v>
      </c>
      <c r="N85" s="4" t="str">
        <f>IF(OR($A85="Power Cable"),IF(AND($AD85&lt;&gt;""),"YES","NO"),"N/A")</f>
        <v>NO</v>
      </c>
      <c r="O85" s="4" t="str">
        <f>IF(OR($A85="Power Cable",$A85="RTD Cable",$A85="Fieldbus Cable"),IF(AND($AE85&lt;&gt;""),"YES","NO"),"N/A")</f>
        <v>NO</v>
      </c>
      <c r="P85" s="4" t="str">
        <f>IF(OR($A85="RTD"),IF(AND($AH85&lt;&gt;""),"YES","NO"),"N/A")</f>
        <v>N/A</v>
      </c>
      <c r="Q85" s="4" t="str">
        <f>IF(OR($A85="RTD"),IF(AND($AI85&lt;&gt;""),"YES","NO"),"N/A")</f>
        <v>N/A</v>
      </c>
      <c r="R85" s="4" t="str">
        <f>IF(OR($AM85&lt;&gt;"",$Z85&lt;&gt;"",$AC85&lt;&gt;""),"YES","NO")</f>
        <v>NO</v>
      </c>
      <c r="S85" s="4" t="str">
        <f>IF(COUNTIF(I85:R85,"NO")=0,"YES","NO")</f>
        <v>NO</v>
      </c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inlineStr">
        <is>
          <t>Teck</t>
        </is>
      </c>
      <c r="AK85" s="9" t="inlineStr">
        <is>
          <t>10AWG</t>
        </is>
      </c>
      <c r="AL85" s="9" t="inlineStr">
        <is>
          <t>Levy Ostrup</t>
        </is>
      </c>
      <c r="AM85" s="9" t="n"/>
      <c r="AN85" s="9" t="n"/>
    </row>
    <row r="86">
      <c r="A86" s="9" t="inlineStr">
        <is>
          <t>Power Cable</t>
        </is>
      </c>
      <c r="B86" s="9" t="inlineStr">
        <is>
          <t>29103-ET-ST0003-1-PWK-1</t>
        </is>
      </c>
      <c r="C86" s="9" t="inlineStr">
        <is>
          <t>29103-ET-ST0003-1</t>
        </is>
      </c>
      <c r="D86" s="9" t="inlineStr">
        <is>
          <t>29103-AMB-016</t>
        </is>
      </c>
      <c r="E86" s="9" t="inlineStr">
        <is>
          <t>29103-HTP-102</t>
        </is>
      </c>
      <c r="F86" s="9" t="inlineStr"/>
      <c r="G86" s="9" t="inlineStr">
        <is>
          <t>113</t>
        </is>
      </c>
      <c r="H86" s="9" t="inlineStr">
        <is>
          <t>29103-ET-ST0003-1-PWK-1.pdf</t>
        </is>
      </c>
      <c r="I86" s="4" t="str">
        <f>IF($H86&lt;&gt;"","YES","NO")</f>
        <v>YES</v>
      </c>
      <c r="J86" s="4" t="str">
        <f>IF(N($T86)&gt;0,"YES","NO")</f>
        <v>NO</v>
      </c>
      <c r="K86" s="4" t="str">
        <f>IF(OR($A86="EHT Trace"),IF(AND($U86&lt;&gt;"",$V86&lt;&gt;""),"YES","NO"),"N/A")</f>
        <v>N/A</v>
      </c>
      <c r="L86" s="4" t="str">
        <f>IF(OR($A86="EHT Trace"),IF(AND($X86&lt;&gt;"",$Y86&lt;&gt;""),"YES","NO"),"N/A")</f>
        <v>N/A</v>
      </c>
      <c r="M86" s="4" t="str">
        <f>IF(OR($A86="EHT Trace"),IF(AND($AA86&lt;&gt;"",$AB86&lt;&gt;""),"YES","NO"),"N/A")</f>
        <v>N/A</v>
      </c>
      <c r="N86" s="4" t="str">
        <f>IF(OR($A86="Power Cable"),IF(AND($AD86&lt;&gt;""),"YES","NO"),"N/A")</f>
        <v>NO</v>
      </c>
      <c r="O86" s="4" t="str">
        <f>IF(OR($A86="Power Cable",$A86="RTD Cable",$A86="Fieldbus Cable"),IF(AND($AE86&lt;&gt;""),"YES","NO"),"N/A")</f>
        <v>NO</v>
      </c>
      <c r="P86" s="4" t="str">
        <f>IF(OR($A86="RTD"),IF(AND($AH86&lt;&gt;""),"YES","NO"),"N/A")</f>
        <v>N/A</v>
      </c>
      <c r="Q86" s="4" t="str">
        <f>IF(OR($A86="RTD"),IF(AND($AI86&lt;&gt;""),"YES","NO"),"N/A")</f>
        <v>N/A</v>
      </c>
      <c r="R86" s="4" t="str">
        <f>IF(OR($AM86&lt;&gt;"",$Z86&lt;&gt;"",$AC86&lt;&gt;""),"YES","NO")</f>
        <v>NO</v>
      </c>
      <c r="S86" s="4" t="str">
        <f>IF(COUNTIF(I86:R86,"NO")=0,"YES","NO")</f>
        <v>NO</v>
      </c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inlineStr">
        <is>
          <t>Teck</t>
        </is>
      </c>
      <c r="AK86" s="9" t="inlineStr">
        <is>
          <t>10AWG</t>
        </is>
      </c>
      <c r="AL86" s="9" t="inlineStr">
        <is>
          <t>Levy Ostrup</t>
        </is>
      </c>
      <c r="AM86" s="9" t="n"/>
      <c r="AN86" s="9" t="n"/>
    </row>
    <row r="87">
      <c r="A87" s="9" t="inlineStr">
        <is>
          <t>Power Cable</t>
        </is>
      </c>
      <c r="B87" s="9" t="inlineStr">
        <is>
          <t>29103-ET-ST1816-1-PWK-1</t>
        </is>
      </c>
      <c r="C87" s="9" t="inlineStr">
        <is>
          <t>29103-ET-ST1816-1</t>
        </is>
      </c>
      <c r="D87" s="9" t="inlineStr">
        <is>
          <t>29103-AMB-016</t>
        </is>
      </c>
      <c r="E87" s="9" t="inlineStr">
        <is>
          <t>29103-HTP-102</t>
        </is>
      </c>
      <c r="F87" s="9" t="inlineStr"/>
      <c r="G87" s="9" t="inlineStr">
        <is>
          <t>113</t>
        </is>
      </c>
      <c r="H87" s="9" t="inlineStr">
        <is>
          <t>29103-ET-ST1816-1-PWK-1.pdf</t>
        </is>
      </c>
      <c r="I87" s="4" t="str">
        <f>IF($H87&lt;&gt;"","YES","NO")</f>
        <v>YES</v>
      </c>
      <c r="J87" s="4" t="str">
        <f>IF(N($T87)&gt;0,"YES","NO")</f>
        <v>NO</v>
      </c>
      <c r="K87" s="4" t="str">
        <f>IF(OR($A87="EHT Trace"),IF(AND($U87&lt;&gt;"",$V87&lt;&gt;""),"YES","NO"),"N/A")</f>
        <v>N/A</v>
      </c>
      <c r="L87" s="4" t="str">
        <f>IF(OR($A87="EHT Trace"),IF(AND($X87&lt;&gt;"",$Y87&lt;&gt;""),"YES","NO"),"N/A")</f>
        <v>N/A</v>
      </c>
      <c r="M87" s="4" t="str">
        <f>IF(OR($A87="EHT Trace"),IF(AND($AA87&lt;&gt;"",$AB87&lt;&gt;""),"YES","NO"),"N/A")</f>
        <v>N/A</v>
      </c>
      <c r="N87" s="4" t="str">
        <f>IF(OR($A87="Power Cable"),IF(AND($AD87&lt;&gt;""),"YES","NO"),"N/A")</f>
        <v>NO</v>
      </c>
      <c r="O87" s="4" t="str">
        <f>IF(OR($A87="Power Cable",$A87="RTD Cable",$A87="Fieldbus Cable"),IF(AND($AE87&lt;&gt;""),"YES","NO"),"N/A")</f>
        <v>NO</v>
      </c>
      <c r="P87" s="4" t="str">
        <f>IF(OR($A87="RTD"),IF(AND($AH87&lt;&gt;""),"YES","NO"),"N/A")</f>
        <v>N/A</v>
      </c>
      <c r="Q87" s="4" t="str">
        <f>IF(OR($A87="RTD"),IF(AND($AI87&lt;&gt;""),"YES","NO"),"N/A")</f>
        <v>N/A</v>
      </c>
      <c r="R87" s="4" t="str">
        <f>IF(OR($AM87&lt;&gt;"",$Z87&lt;&gt;"",$AC87&lt;&gt;""),"YES","NO")</f>
        <v>NO</v>
      </c>
      <c r="S87" s="4" t="str">
        <f>IF(COUNTIF(I87:R87,"NO")=0,"YES","NO")</f>
        <v>NO</v>
      </c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inlineStr">
        <is>
          <t>Teck</t>
        </is>
      </c>
      <c r="AK87" s="9" t="inlineStr">
        <is>
          <t>10AWG</t>
        </is>
      </c>
      <c r="AL87" s="9" t="inlineStr">
        <is>
          <t>Levy Ostrup</t>
        </is>
      </c>
      <c r="AM87" s="9" t="n"/>
      <c r="AN87" s="9" t="n"/>
    </row>
    <row r="88">
      <c r="A88" s="9" t="inlineStr">
        <is>
          <t>Power Cable</t>
        </is>
      </c>
      <c r="B88" s="9" t="inlineStr">
        <is>
          <t>29103-ET-V004-1-PWK-1</t>
        </is>
      </c>
      <c r="C88" s="9" t="inlineStr">
        <is>
          <t>29103-ET-V004-1</t>
        </is>
      </c>
      <c r="D88" s="9" t="inlineStr">
        <is>
          <t>29103-HTP-102 HTC-30</t>
        </is>
      </c>
      <c r="E88" s="9" t="inlineStr">
        <is>
          <t>29103-HTP-102</t>
        </is>
      </c>
      <c r="F88" s="9" t="inlineStr"/>
      <c r="G88" s="9" t="inlineStr">
        <is>
          <t>113</t>
        </is>
      </c>
      <c r="H88" s="9" t="inlineStr">
        <is>
          <t>29103-ET-V004-1-PWK-1.pdf</t>
        </is>
      </c>
      <c r="I88" s="4" t="str">
        <f>IF($H88&lt;&gt;"","YES","NO")</f>
        <v>YES</v>
      </c>
      <c r="J88" s="4" t="str">
        <f>IF(N($T88)&gt;0,"YES","NO")</f>
        <v>NO</v>
      </c>
      <c r="K88" s="4" t="str">
        <f>IF(OR($A88="EHT Trace"),IF(AND($U88&lt;&gt;"",$V88&lt;&gt;""),"YES","NO"),"N/A")</f>
        <v>N/A</v>
      </c>
      <c r="L88" s="4" t="str">
        <f>IF(OR($A88="EHT Trace"),IF(AND($X88&lt;&gt;"",$Y88&lt;&gt;""),"YES","NO"),"N/A")</f>
        <v>N/A</v>
      </c>
      <c r="M88" s="4" t="str">
        <f>IF(OR($A88="EHT Trace"),IF(AND($AA88&lt;&gt;"",$AB88&lt;&gt;""),"YES","NO"),"N/A")</f>
        <v>N/A</v>
      </c>
      <c r="N88" s="4" t="str">
        <f>IF(OR($A88="Power Cable"),IF(AND($AD88&lt;&gt;""),"YES","NO"),"N/A")</f>
        <v>NO</v>
      </c>
      <c r="O88" s="4" t="str">
        <f>IF(OR($A88="Power Cable",$A88="RTD Cable",$A88="Fieldbus Cable"),IF(AND($AE88&lt;&gt;""),"YES","NO"),"N/A")</f>
        <v>NO</v>
      </c>
      <c r="P88" s="4" t="str">
        <f>IF(OR($A88="RTD"),IF(AND($AH88&lt;&gt;""),"YES","NO"),"N/A")</f>
        <v>N/A</v>
      </c>
      <c r="Q88" s="4" t="str">
        <f>IF(OR($A88="RTD"),IF(AND($AI88&lt;&gt;""),"YES","NO"),"N/A")</f>
        <v>N/A</v>
      </c>
      <c r="R88" s="4" t="str">
        <f>IF(OR($AM88&lt;&gt;"",$Z88&lt;&gt;"",$AC88&lt;&gt;""),"YES","NO")</f>
        <v>NO</v>
      </c>
      <c r="S88" s="4" t="str">
        <f>IF(COUNTIF(I88:R88,"NO")=0,"YES","NO")</f>
        <v>NO</v>
      </c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inlineStr">
        <is>
          <t>Teck</t>
        </is>
      </c>
      <c r="AK88" s="9" t="inlineStr">
        <is>
          <t>10AWG</t>
        </is>
      </c>
      <c r="AL88" s="9" t="inlineStr">
        <is>
          <t>Levy Ostrup</t>
        </is>
      </c>
      <c r="AM88" s="9" t="n"/>
      <c r="AN88" s="9" t="n"/>
    </row>
    <row r="89">
      <c r="A89" s="9" t="inlineStr">
        <is>
          <t>Power Cable</t>
        </is>
      </c>
      <c r="B89" s="9" t="inlineStr">
        <is>
          <t>29103-ET-V004-1-PWK-2</t>
        </is>
      </c>
      <c r="C89" s="9" t="inlineStr">
        <is>
          <t>29103-ET-V004-1</t>
        </is>
      </c>
      <c r="D89" s="9" t="inlineStr">
        <is>
          <t>29103-HTP-102 HTC-32</t>
        </is>
      </c>
      <c r="E89" s="9" t="inlineStr">
        <is>
          <t>29103-HTP-102</t>
        </is>
      </c>
      <c r="F89" s="9" t="inlineStr"/>
      <c r="G89" s="9" t="inlineStr">
        <is>
          <t>113</t>
        </is>
      </c>
      <c r="H89" s="9" t="inlineStr">
        <is>
          <t>29103-ET-V004-1-PWK-2.pdf</t>
        </is>
      </c>
      <c r="I89" s="4" t="str">
        <f>IF($H89&lt;&gt;"","YES","NO")</f>
        <v>YES</v>
      </c>
      <c r="J89" s="4" t="str">
        <f>IF(N($T89)&gt;0,"YES","NO")</f>
        <v>NO</v>
      </c>
      <c r="K89" s="4" t="str">
        <f>IF(OR($A89="EHT Trace"),IF(AND($U89&lt;&gt;"",$V89&lt;&gt;""),"YES","NO"),"N/A")</f>
        <v>N/A</v>
      </c>
      <c r="L89" s="4" t="str">
        <f>IF(OR($A89="EHT Trace"),IF(AND($X89&lt;&gt;"",$Y89&lt;&gt;""),"YES","NO"),"N/A")</f>
        <v>N/A</v>
      </c>
      <c r="M89" s="4" t="str">
        <f>IF(OR($A89="EHT Trace"),IF(AND($AA89&lt;&gt;"",$AB89&lt;&gt;""),"YES","NO"),"N/A")</f>
        <v>N/A</v>
      </c>
      <c r="N89" s="4" t="str">
        <f>IF(OR($A89="Power Cable"),IF(AND($AD89&lt;&gt;""),"YES","NO"),"N/A")</f>
        <v>NO</v>
      </c>
      <c r="O89" s="4" t="str">
        <f>IF(OR($A89="Power Cable",$A89="RTD Cable",$A89="Fieldbus Cable"),IF(AND($AE89&lt;&gt;""),"YES","NO"),"N/A")</f>
        <v>NO</v>
      </c>
      <c r="P89" s="4" t="str">
        <f>IF(OR($A89="RTD"),IF(AND($AH89&lt;&gt;""),"YES","NO"),"N/A")</f>
        <v>N/A</v>
      </c>
      <c r="Q89" s="4" t="str">
        <f>IF(OR($A89="RTD"),IF(AND($AI89&lt;&gt;""),"YES","NO"),"N/A")</f>
        <v>N/A</v>
      </c>
      <c r="R89" s="4" t="str">
        <f>IF(OR($AM89&lt;&gt;"",$Z89&lt;&gt;"",$AC89&lt;&gt;""),"YES","NO")</f>
        <v>NO</v>
      </c>
      <c r="S89" s="4" t="str">
        <f>IF(COUNTIF(I89:R89,"NO")=0,"YES","NO")</f>
        <v>NO</v>
      </c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inlineStr">
        <is>
          <t>Teck</t>
        </is>
      </c>
      <c r="AK89" s="9" t="inlineStr">
        <is>
          <t>10AWG</t>
        </is>
      </c>
      <c r="AL89" s="9" t="inlineStr">
        <is>
          <t>Levy Ostrup</t>
        </is>
      </c>
      <c r="AM89" s="9" t="n"/>
      <c r="AN89" s="9" t="n"/>
    </row>
    <row r="90">
      <c r="A90" s="9" t="inlineStr">
        <is>
          <t>Power Cable</t>
        </is>
      </c>
      <c r="B90" s="9" t="inlineStr">
        <is>
          <t>29103-ET-V1900-1-PWK-1</t>
        </is>
      </c>
      <c r="C90" s="9" t="inlineStr">
        <is>
          <t>29103-ET-V1900-1</t>
        </is>
      </c>
      <c r="D90" s="9" t="inlineStr">
        <is>
          <t>29103-HTP-102 HTC-17</t>
        </is>
      </c>
      <c r="E90" s="9" t="inlineStr">
        <is>
          <t>29103-HTP-102</t>
        </is>
      </c>
      <c r="F90" s="9" t="inlineStr"/>
      <c r="G90" s="9" t="inlineStr">
        <is>
          <t>113</t>
        </is>
      </c>
      <c r="H90" s="9" t="inlineStr">
        <is>
          <t>29103-ET-V1900-1-PWK-1.pdf</t>
        </is>
      </c>
      <c r="I90" s="4" t="str">
        <f>IF($H90&lt;&gt;"","YES","NO")</f>
        <v>YES</v>
      </c>
      <c r="J90" s="4" t="str">
        <f>IF(N($T90)&gt;0,"YES","NO")</f>
        <v>NO</v>
      </c>
      <c r="K90" s="4" t="str">
        <f>IF(OR($A90="EHT Trace"),IF(AND($U90&lt;&gt;"",$V90&lt;&gt;""),"YES","NO"),"N/A")</f>
        <v>N/A</v>
      </c>
      <c r="L90" s="4" t="str">
        <f>IF(OR($A90="EHT Trace"),IF(AND($X90&lt;&gt;"",$Y90&lt;&gt;""),"YES","NO"),"N/A")</f>
        <v>N/A</v>
      </c>
      <c r="M90" s="4" t="str">
        <f>IF(OR($A90="EHT Trace"),IF(AND($AA90&lt;&gt;"",$AB90&lt;&gt;""),"YES","NO"),"N/A")</f>
        <v>N/A</v>
      </c>
      <c r="N90" s="4" t="str">
        <f>IF(OR($A90="Power Cable"),IF(AND($AD90&lt;&gt;""),"YES","NO"),"N/A")</f>
        <v>NO</v>
      </c>
      <c r="O90" s="4" t="str">
        <f>IF(OR($A90="Power Cable",$A90="RTD Cable",$A90="Fieldbus Cable"),IF(AND($AE90&lt;&gt;""),"YES","NO"),"N/A")</f>
        <v>NO</v>
      </c>
      <c r="P90" s="4" t="str">
        <f>IF(OR($A90="RTD"),IF(AND($AH90&lt;&gt;""),"YES","NO"),"N/A")</f>
        <v>N/A</v>
      </c>
      <c r="Q90" s="4" t="str">
        <f>IF(OR($A90="RTD"),IF(AND($AI90&lt;&gt;""),"YES","NO"),"N/A")</f>
        <v>N/A</v>
      </c>
      <c r="R90" s="4" t="str">
        <f>IF(OR($AM90&lt;&gt;"",$Z90&lt;&gt;"",$AC90&lt;&gt;""),"YES","NO")</f>
        <v>NO</v>
      </c>
      <c r="S90" s="4" t="str">
        <f>IF(COUNTIF(I90:R90,"NO")=0,"YES","NO")</f>
        <v>NO</v>
      </c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inlineStr">
        <is>
          <t>Teck</t>
        </is>
      </c>
      <c r="AK90" s="9" t="inlineStr">
        <is>
          <t>10AWG</t>
        </is>
      </c>
      <c r="AL90" s="9" t="inlineStr">
        <is>
          <t>Levy Ostrup</t>
        </is>
      </c>
      <c r="AM90" s="9" t="n"/>
      <c r="AN90" s="9" t="n"/>
    </row>
    <row r="91">
      <c r="A91" s="9" t="inlineStr">
        <is>
          <t>Power Cable</t>
        </is>
      </c>
      <c r="B91" s="9" t="inlineStr">
        <is>
          <t>29209-ET-A001-1-PWK-1</t>
        </is>
      </c>
      <c r="C91" s="9" t="inlineStr">
        <is>
          <t>29209-ET-A001-1</t>
        </is>
      </c>
      <c r="D91" s="9" t="inlineStr">
        <is>
          <t>29103-HTP-102 HTC-29</t>
        </is>
      </c>
      <c r="E91" s="9" t="inlineStr">
        <is>
          <t>29103-HTP-102</t>
        </is>
      </c>
      <c r="F91" s="9" t="inlineStr"/>
      <c r="G91" s="9" t="inlineStr">
        <is>
          <t>113</t>
        </is>
      </c>
      <c r="H91" s="9" t="inlineStr">
        <is>
          <t>29209-ET-A001-1-PWK-1.pdf</t>
        </is>
      </c>
      <c r="I91" s="4" t="str">
        <f>IF($H91&lt;&gt;"","YES","NO")</f>
        <v>YES</v>
      </c>
      <c r="J91" s="4" t="str">
        <f>IF(N($T91)&gt;0,"YES","NO")</f>
        <v>NO</v>
      </c>
      <c r="K91" s="4" t="str">
        <f>IF(OR($A91="EHT Trace"),IF(AND($U91&lt;&gt;"",$V91&lt;&gt;""),"YES","NO"),"N/A")</f>
        <v>N/A</v>
      </c>
      <c r="L91" s="4" t="str">
        <f>IF(OR($A91="EHT Trace"),IF(AND($X91&lt;&gt;"",$Y91&lt;&gt;""),"YES","NO"),"N/A")</f>
        <v>N/A</v>
      </c>
      <c r="M91" s="4" t="str">
        <f>IF(OR($A91="EHT Trace"),IF(AND($AA91&lt;&gt;"",$AB91&lt;&gt;""),"YES","NO"),"N/A")</f>
        <v>N/A</v>
      </c>
      <c r="N91" s="4" t="str">
        <f>IF(OR($A91="Power Cable"),IF(AND($AD91&lt;&gt;""),"YES","NO"),"N/A")</f>
        <v>NO</v>
      </c>
      <c r="O91" s="4" t="str">
        <f>IF(OR($A91="Power Cable",$A91="RTD Cable",$A91="Fieldbus Cable"),IF(AND($AE91&lt;&gt;""),"YES","NO"),"N/A")</f>
        <v>NO</v>
      </c>
      <c r="P91" s="4" t="str">
        <f>IF(OR($A91="RTD"),IF(AND($AH91&lt;&gt;""),"YES","NO"),"N/A")</f>
        <v>N/A</v>
      </c>
      <c r="Q91" s="4" t="str">
        <f>IF(OR($A91="RTD"),IF(AND($AI91&lt;&gt;""),"YES","NO"),"N/A")</f>
        <v>N/A</v>
      </c>
      <c r="R91" s="4" t="str">
        <f>IF(OR($AM91&lt;&gt;"",$Z91&lt;&gt;"",$AC91&lt;&gt;""),"YES","NO")</f>
        <v>NO</v>
      </c>
      <c r="S91" s="4" t="str">
        <f>IF(COUNTIF(I91:R91,"NO")=0,"YES","NO")</f>
        <v>NO</v>
      </c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inlineStr">
        <is>
          <t>Teck</t>
        </is>
      </c>
      <c r="AK91" s="9" t="inlineStr">
        <is>
          <t>10AWG</t>
        </is>
      </c>
      <c r="AL91" s="9" t="inlineStr">
        <is>
          <t>Levy Ostrup</t>
        </is>
      </c>
      <c r="AM91" s="9" t="n"/>
      <c r="AN91" s="9" t="n"/>
    </row>
    <row r="92">
      <c r="A92" s="9" t="inlineStr">
        <is>
          <t>Power Cable</t>
        </is>
      </c>
      <c r="B92" s="9" t="inlineStr">
        <is>
          <t>29209-ET-HC6010-1-PWK-1</t>
        </is>
      </c>
      <c r="C92" s="9" t="inlineStr">
        <is>
          <t>29209-ET-HC6010-1</t>
        </is>
      </c>
      <c r="D92" s="9" t="inlineStr">
        <is>
          <t>29103-HTP-102 HTC-25</t>
        </is>
      </c>
      <c r="E92" s="9" t="inlineStr">
        <is>
          <t>29103-HTP-102</t>
        </is>
      </c>
      <c r="F92" s="9" t="inlineStr"/>
      <c r="G92" s="9" t="inlineStr">
        <is>
          <t>113</t>
        </is>
      </c>
      <c r="H92" s="9" t="inlineStr">
        <is>
          <t>29209-ET-HC6010-1-PWK-1.pdf</t>
        </is>
      </c>
      <c r="I92" s="4" t="str">
        <f>IF($H92&lt;&gt;"","YES","NO")</f>
        <v>YES</v>
      </c>
      <c r="J92" s="4" t="str">
        <f>IF(N($T92)&gt;0,"YES","NO")</f>
        <v>NO</v>
      </c>
      <c r="K92" s="4" t="str">
        <f>IF(OR($A92="EHT Trace"),IF(AND($U92&lt;&gt;"",$V92&lt;&gt;""),"YES","NO"),"N/A")</f>
        <v>N/A</v>
      </c>
      <c r="L92" s="4" t="str">
        <f>IF(OR($A92="EHT Trace"),IF(AND($X92&lt;&gt;"",$Y92&lt;&gt;""),"YES","NO"),"N/A")</f>
        <v>N/A</v>
      </c>
      <c r="M92" s="4" t="str">
        <f>IF(OR($A92="EHT Trace"),IF(AND($AA92&lt;&gt;"",$AB92&lt;&gt;""),"YES","NO"),"N/A")</f>
        <v>N/A</v>
      </c>
      <c r="N92" s="4" t="str">
        <f>IF(OR($A92="Power Cable"),IF(AND($AD92&lt;&gt;""),"YES","NO"),"N/A")</f>
        <v>NO</v>
      </c>
      <c r="O92" s="4" t="str">
        <f>IF(OR($A92="Power Cable",$A92="RTD Cable",$A92="Fieldbus Cable"),IF(AND($AE92&lt;&gt;""),"YES","NO"),"N/A")</f>
        <v>NO</v>
      </c>
      <c r="P92" s="4" t="str">
        <f>IF(OR($A92="RTD"),IF(AND($AH92&lt;&gt;""),"YES","NO"),"N/A")</f>
        <v>N/A</v>
      </c>
      <c r="Q92" s="4" t="str">
        <f>IF(OR($A92="RTD"),IF(AND($AI92&lt;&gt;""),"YES","NO"),"N/A")</f>
        <v>N/A</v>
      </c>
      <c r="R92" s="4" t="str">
        <f>IF(OR($AM92&lt;&gt;"",$Z92&lt;&gt;"",$AC92&lt;&gt;""),"YES","NO")</f>
        <v>NO</v>
      </c>
      <c r="S92" s="4" t="str">
        <f>IF(COUNTIF(I92:R92,"NO")=0,"YES","NO")</f>
        <v>NO</v>
      </c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inlineStr">
        <is>
          <t>Teck</t>
        </is>
      </c>
      <c r="AK92" s="9" t="inlineStr">
        <is>
          <t>10AWG</t>
        </is>
      </c>
      <c r="AL92" s="9" t="inlineStr">
        <is>
          <t>Levy Ostrup</t>
        </is>
      </c>
      <c r="AM92" s="9" t="n"/>
      <c r="AN92" s="9" t="n"/>
    </row>
    <row r="93">
      <c r="A93" s="9" t="inlineStr">
        <is>
          <t>Power Cable</t>
        </is>
      </c>
      <c r="B93" s="9" t="inlineStr">
        <is>
          <t>29209-ET-P6020-1-PWK-1</t>
        </is>
      </c>
      <c r="C93" s="9" t="inlineStr">
        <is>
          <t>29209-ET-P6020-1</t>
        </is>
      </c>
      <c r="D93" s="9" t="inlineStr">
        <is>
          <t>29103-HTP-102 HTC-23</t>
        </is>
      </c>
      <c r="E93" s="9" t="inlineStr">
        <is>
          <t>29103-HTP-102</t>
        </is>
      </c>
      <c r="F93" s="9" t="inlineStr"/>
      <c r="G93" s="9" t="inlineStr">
        <is>
          <t>113</t>
        </is>
      </c>
      <c r="H93" s="9" t="inlineStr">
        <is>
          <t>29209-ET-P6020-1-PWK-1.pdf</t>
        </is>
      </c>
      <c r="I93" s="4" t="str">
        <f>IF($H93&lt;&gt;"","YES","NO")</f>
        <v>YES</v>
      </c>
      <c r="J93" s="4" t="str">
        <f>IF(N($T93)&gt;0,"YES","NO")</f>
        <v>NO</v>
      </c>
      <c r="K93" s="4" t="str">
        <f>IF(OR($A93="EHT Trace"),IF(AND($U93&lt;&gt;"",$V93&lt;&gt;""),"YES","NO"),"N/A")</f>
        <v>N/A</v>
      </c>
      <c r="L93" s="4" t="str">
        <f>IF(OR($A93="EHT Trace"),IF(AND($X93&lt;&gt;"",$Y93&lt;&gt;""),"YES","NO"),"N/A")</f>
        <v>N/A</v>
      </c>
      <c r="M93" s="4" t="str">
        <f>IF(OR($A93="EHT Trace"),IF(AND($AA93&lt;&gt;"",$AB93&lt;&gt;""),"YES","NO"),"N/A")</f>
        <v>N/A</v>
      </c>
      <c r="N93" s="4" t="str">
        <f>IF(OR($A93="Power Cable"),IF(AND($AD93&lt;&gt;""),"YES","NO"),"N/A")</f>
        <v>NO</v>
      </c>
      <c r="O93" s="4" t="str">
        <f>IF(OR($A93="Power Cable",$A93="RTD Cable",$A93="Fieldbus Cable"),IF(AND($AE93&lt;&gt;""),"YES","NO"),"N/A")</f>
        <v>NO</v>
      </c>
      <c r="P93" s="4" t="str">
        <f>IF(OR($A93="RTD"),IF(AND($AH93&lt;&gt;""),"YES","NO"),"N/A")</f>
        <v>N/A</v>
      </c>
      <c r="Q93" s="4" t="str">
        <f>IF(OR($A93="RTD"),IF(AND($AI93&lt;&gt;""),"YES","NO"),"N/A")</f>
        <v>N/A</v>
      </c>
      <c r="R93" s="4" t="str">
        <f>IF(OR($AM93&lt;&gt;"",$Z93&lt;&gt;"",$AC93&lt;&gt;""),"YES","NO")</f>
        <v>NO</v>
      </c>
      <c r="S93" s="4" t="str">
        <f>IF(COUNTIF(I93:R93,"NO")=0,"YES","NO")</f>
        <v>NO</v>
      </c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inlineStr">
        <is>
          <t>Teck</t>
        </is>
      </c>
      <c r="AK93" s="9" t="inlineStr">
        <is>
          <t>10AWG</t>
        </is>
      </c>
      <c r="AL93" s="9" t="inlineStr">
        <is>
          <t>Levy Ostrup</t>
        </is>
      </c>
      <c r="AM93" s="9" t="n"/>
      <c r="AN93" s="9" t="n"/>
    </row>
    <row r="94">
      <c r="A94" s="9" t="inlineStr">
        <is>
          <t>Power Cable</t>
        </is>
      </c>
      <c r="B94" s="9" t="inlineStr">
        <is>
          <t>29209-ET-P6021-1-PWK-1</t>
        </is>
      </c>
      <c r="C94" s="9" t="inlineStr">
        <is>
          <t>29209-ET-P6021-1</t>
        </is>
      </c>
      <c r="D94" s="9" t="inlineStr">
        <is>
          <t>29103-HTP-102 HTC-18</t>
        </is>
      </c>
      <c r="E94" s="9" t="inlineStr">
        <is>
          <t>29103-HTP-102</t>
        </is>
      </c>
      <c r="F94" s="9" t="inlineStr"/>
      <c r="G94" s="9" t="inlineStr">
        <is>
          <t>113</t>
        </is>
      </c>
      <c r="H94" s="9" t="inlineStr">
        <is>
          <t>29209-ET-P6021-1-PWK-1.pdf</t>
        </is>
      </c>
      <c r="I94" s="4" t="str">
        <f>IF($H94&lt;&gt;"","YES","NO")</f>
        <v>YES</v>
      </c>
      <c r="J94" s="4" t="str">
        <f>IF(N($T94)&gt;0,"YES","NO")</f>
        <v>NO</v>
      </c>
      <c r="K94" s="4" t="str">
        <f>IF(OR($A94="EHT Trace"),IF(AND($U94&lt;&gt;"",$V94&lt;&gt;""),"YES","NO"),"N/A")</f>
        <v>N/A</v>
      </c>
      <c r="L94" s="4" t="str">
        <f>IF(OR($A94="EHT Trace"),IF(AND($X94&lt;&gt;"",$Y94&lt;&gt;""),"YES","NO"),"N/A")</f>
        <v>N/A</v>
      </c>
      <c r="M94" s="4" t="str">
        <f>IF(OR($A94="EHT Trace"),IF(AND($AA94&lt;&gt;"",$AB94&lt;&gt;""),"YES","NO"),"N/A")</f>
        <v>N/A</v>
      </c>
      <c r="N94" s="4" t="str">
        <f>IF(OR($A94="Power Cable"),IF(AND($AD94&lt;&gt;""),"YES","NO"),"N/A")</f>
        <v>NO</v>
      </c>
      <c r="O94" s="4" t="str">
        <f>IF(OR($A94="Power Cable",$A94="RTD Cable",$A94="Fieldbus Cable"),IF(AND($AE94&lt;&gt;""),"YES","NO"),"N/A")</f>
        <v>NO</v>
      </c>
      <c r="P94" s="4" t="str">
        <f>IF(OR($A94="RTD"),IF(AND($AH94&lt;&gt;""),"YES","NO"),"N/A")</f>
        <v>N/A</v>
      </c>
      <c r="Q94" s="4" t="str">
        <f>IF(OR($A94="RTD"),IF(AND($AI94&lt;&gt;""),"YES","NO"),"N/A")</f>
        <v>N/A</v>
      </c>
      <c r="R94" s="4" t="str">
        <f>IF(OR($AM94&lt;&gt;"",$Z94&lt;&gt;"",$AC94&lt;&gt;""),"YES","NO")</f>
        <v>NO</v>
      </c>
      <c r="S94" s="4" t="str">
        <f>IF(COUNTIF(I94:R94,"NO")=0,"YES","NO")</f>
        <v>NO</v>
      </c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inlineStr">
        <is>
          <t>Teck</t>
        </is>
      </c>
      <c r="AK94" s="9" t="inlineStr">
        <is>
          <t>10AWG</t>
        </is>
      </c>
      <c r="AL94" s="9" t="inlineStr">
        <is>
          <t>Levy Ostrup</t>
        </is>
      </c>
      <c r="AM94" s="9" t="n"/>
      <c r="AN94" s="9" t="n"/>
    </row>
    <row r="95">
      <c r="A95" s="9" t="inlineStr">
        <is>
          <t>Power Cable</t>
        </is>
      </c>
      <c r="B95" s="9" t="inlineStr">
        <is>
          <t>29209-ET-P6022-1-PWK-1</t>
        </is>
      </c>
      <c r="C95" s="9" t="inlineStr">
        <is>
          <t>29209-ET-P6022-1</t>
        </is>
      </c>
      <c r="D95" s="9" t="inlineStr">
        <is>
          <t>29103-HTP-102 HTC-21</t>
        </is>
      </c>
      <c r="E95" s="9" t="inlineStr">
        <is>
          <t>29103-HTP-102</t>
        </is>
      </c>
      <c r="F95" s="9" t="inlineStr"/>
      <c r="G95" s="9" t="inlineStr">
        <is>
          <t>113</t>
        </is>
      </c>
      <c r="H95" s="9" t="inlineStr">
        <is>
          <t>29209-ET-P6022-1-PWK-1.pdf</t>
        </is>
      </c>
      <c r="I95" s="4" t="str">
        <f>IF($H95&lt;&gt;"","YES","NO")</f>
        <v>YES</v>
      </c>
      <c r="J95" s="4" t="str">
        <f>IF(N($T95)&gt;0,"YES","NO")</f>
        <v>NO</v>
      </c>
      <c r="K95" s="4" t="str">
        <f>IF(OR($A95="EHT Trace"),IF(AND($U95&lt;&gt;"",$V95&lt;&gt;""),"YES","NO"),"N/A")</f>
        <v>N/A</v>
      </c>
      <c r="L95" s="4" t="str">
        <f>IF(OR($A95="EHT Trace"),IF(AND($X95&lt;&gt;"",$Y95&lt;&gt;""),"YES","NO"),"N/A")</f>
        <v>N/A</v>
      </c>
      <c r="M95" s="4" t="str">
        <f>IF(OR($A95="EHT Trace"),IF(AND($AA95&lt;&gt;"",$AB95&lt;&gt;""),"YES","NO"),"N/A")</f>
        <v>N/A</v>
      </c>
      <c r="N95" s="4" t="str">
        <f>IF(OR($A95="Power Cable"),IF(AND($AD95&lt;&gt;""),"YES","NO"),"N/A")</f>
        <v>NO</v>
      </c>
      <c r="O95" s="4" t="str">
        <f>IF(OR($A95="Power Cable",$A95="RTD Cable",$A95="Fieldbus Cable"),IF(AND($AE95&lt;&gt;""),"YES","NO"),"N/A")</f>
        <v>NO</v>
      </c>
      <c r="P95" s="4" t="str">
        <f>IF(OR($A95="RTD"),IF(AND($AH95&lt;&gt;""),"YES","NO"),"N/A")</f>
        <v>N/A</v>
      </c>
      <c r="Q95" s="4" t="str">
        <f>IF(OR($A95="RTD"),IF(AND($AI95&lt;&gt;""),"YES","NO"),"N/A")</f>
        <v>N/A</v>
      </c>
      <c r="R95" s="4" t="str">
        <f>IF(OR($AM95&lt;&gt;"",$Z95&lt;&gt;"",$AC95&lt;&gt;""),"YES","NO")</f>
        <v>NO</v>
      </c>
      <c r="S95" s="4" t="str">
        <f>IF(COUNTIF(I95:R95,"NO")=0,"YES","NO")</f>
        <v>NO</v>
      </c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inlineStr">
        <is>
          <t>Teck</t>
        </is>
      </c>
      <c r="AK95" s="9" t="inlineStr">
        <is>
          <t>10AWG</t>
        </is>
      </c>
      <c r="AL95" s="9" t="inlineStr">
        <is>
          <t>Levy Ostrup</t>
        </is>
      </c>
      <c r="AM95" s="9" t="n"/>
      <c r="AN95" s="9" t="n"/>
    </row>
    <row r="96">
      <c r="A96" s="9" t="inlineStr">
        <is>
          <t>Power Cable</t>
        </is>
      </c>
      <c r="B96" s="9" t="inlineStr">
        <is>
          <t>29209-ET-PG6003-1-PWK-1</t>
        </is>
      </c>
      <c r="C96" s="9" t="inlineStr">
        <is>
          <t>29209-ET-PG6003-1</t>
        </is>
      </c>
      <c r="D96" s="9" t="inlineStr">
        <is>
          <t>29103-HTP-102 HTC-27</t>
        </is>
      </c>
      <c r="E96" s="9" t="inlineStr">
        <is>
          <t>29103-HTP-102</t>
        </is>
      </c>
      <c r="F96" s="9" t="inlineStr"/>
      <c r="G96" s="9" t="inlineStr">
        <is>
          <t>113</t>
        </is>
      </c>
      <c r="H96" s="9" t="inlineStr">
        <is>
          <t>29209-ET-PG6003-1-PWK-1.pdf</t>
        </is>
      </c>
      <c r="I96" s="4" t="str">
        <f>IF($H96&lt;&gt;"","YES","NO")</f>
        <v>YES</v>
      </c>
      <c r="J96" s="4" t="str">
        <f>IF(N($T96)&gt;0,"YES","NO")</f>
        <v>NO</v>
      </c>
      <c r="K96" s="4" t="str">
        <f>IF(OR($A96="EHT Trace"),IF(AND($U96&lt;&gt;"",$V96&lt;&gt;""),"YES","NO"),"N/A")</f>
        <v>N/A</v>
      </c>
      <c r="L96" s="4" t="str">
        <f>IF(OR($A96="EHT Trace"),IF(AND($X96&lt;&gt;"",$Y96&lt;&gt;""),"YES","NO"),"N/A")</f>
        <v>N/A</v>
      </c>
      <c r="M96" s="4" t="str">
        <f>IF(OR($A96="EHT Trace"),IF(AND($AA96&lt;&gt;"",$AB96&lt;&gt;""),"YES","NO"),"N/A")</f>
        <v>N/A</v>
      </c>
      <c r="N96" s="4" t="str">
        <f>IF(OR($A96="Power Cable"),IF(AND($AD96&lt;&gt;""),"YES","NO"),"N/A")</f>
        <v>NO</v>
      </c>
      <c r="O96" s="4" t="str">
        <f>IF(OR($A96="Power Cable",$A96="RTD Cable",$A96="Fieldbus Cable"),IF(AND($AE96&lt;&gt;""),"YES","NO"),"N/A")</f>
        <v>NO</v>
      </c>
      <c r="P96" s="4" t="str">
        <f>IF(OR($A96="RTD"),IF(AND($AH96&lt;&gt;""),"YES","NO"),"N/A")</f>
        <v>N/A</v>
      </c>
      <c r="Q96" s="4" t="str">
        <f>IF(OR($A96="RTD"),IF(AND($AI96&lt;&gt;""),"YES","NO"),"N/A")</f>
        <v>N/A</v>
      </c>
      <c r="R96" s="4" t="str">
        <f>IF(OR($AM96&lt;&gt;"",$Z96&lt;&gt;"",$AC96&lt;&gt;""),"YES","NO")</f>
        <v>NO</v>
      </c>
      <c r="S96" s="4" t="str">
        <f>IF(COUNTIF(I96:R96,"NO")=0,"YES","NO")</f>
        <v>NO</v>
      </c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inlineStr">
        <is>
          <t>Teck</t>
        </is>
      </c>
      <c r="AK96" s="9" t="inlineStr">
        <is>
          <t>10AWG</t>
        </is>
      </c>
      <c r="AL96" s="9" t="inlineStr">
        <is>
          <t>Levy Ostrup</t>
        </is>
      </c>
      <c r="AM96" s="9" t="n"/>
      <c r="AN96" s="9" t="n"/>
    </row>
    <row r="97">
      <c r="A97" s="9" t="inlineStr">
        <is>
          <t>Power Cable</t>
        </is>
      </c>
      <c r="B97" s="9" t="inlineStr">
        <is>
          <t>29209-ET-ST6005-1-PWK-1</t>
        </is>
      </c>
      <c r="C97" s="9" t="inlineStr">
        <is>
          <t>29209-ET-ST6005-1</t>
        </is>
      </c>
      <c r="D97" s="9" t="inlineStr">
        <is>
          <t>29103-HTP-102 HTC-24</t>
        </is>
      </c>
      <c r="E97" s="9" t="inlineStr">
        <is>
          <t>29103-HTP-102</t>
        </is>
      </c>
      <c r="F97" s="9" t="inlineStr"/>
      <c r="G97" s="9" t="inlineStr">
        <is>
          <t>113</t>
        </is>
      </c>
      <c r="H97" s="9" t="inlineStr">
        <is>
          <t>29209-ET-ST6005-1-PWK-1.pdf</t>
        </is>
      </c>
      <c r="I97" s="4" t="str">
        <f>IF($H97&lt;&gt;"","YES","NO")</f>
        <v>YES</v>
      </c>
      <c r="J97" s="4" t="str">
        <f>IF(N($T97)&gt;0,"YES","NO")</f>
        <v>NO</v>
      </c>
      <c r="K97" s="4" t="str">
        <f>IF(OR($A97="EHT Trace"),IF(AND($U97&lt;&gt;"",$V97&lt;&gt;""),"YES","NO"),"N/A")</f>
        <v>N/A</v>
      </c>
      <c r="L97" s="4" t="str">
        <f>IF(OR($A97="EHT Trace"),IF(AND($X97&lt;&gt;"",$Y97&lt;&gt;""),"YES","NO"),"N/A")</f>
        <v>N/A</v>
      </c>
      <c r="M97" s="4" t="str">
        <f>IF(OR($A97="EHT Trace"),IF(AND($AA97&lt;&gt;"",$AB97&lt;&gt;""),"YES","NO"),"N/A")</f>
        <v>N/A</v>
      </c>
      <c r="N97" s="4" t="str">
        <f>IF(OR($A97="Power Cable"),IF(AND($AD97&lt;&gt;""),"YES","NO"),"N/A")</f>
        <v>NO</v>
      </c>
      <c r="O97" s="4" t="str">
        <f>IF(OR($A97="Power Cable",$A97="RTD Cable",$A97="Fieldbus Cable"),IF(AND($AE97&lt;&gt;""),"YES","NO"),"N/A")</f>
        <v>NO</v>
      </c>
      <c r="P97" s="4" t="str">
        <f>IF(OR($A97="RTD"),IF(AND($AH97&lt;&gt;""),"YES","NO"),"N/A")</f>
        <v>N/A</v>
      </c>
      <c r="Q97" s="4" t="str">
        <f>IF(OR($A97="RTD"),IF(AND($AI97&lt;&gt;""),"YES","NO"),"N/A")</f>
        <v>N/A</v>
      </c>
      <c r="R97" s="4" t="str">
        <f>IF(OR($AM97&lt;&gt;"",$Z97&lt;&gt;"",$AC97&lt;&gt;""),"YES","NO")</f>
        <v>NO</v>
      </c>
      <c r="S97" s="4" t="str">
        <f>IF(COUNTIF(I97:R97,"NO")=0,"YES","NO")</f>
        <v>NO</v>
      </c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inlineStr">
        <is>
          <t>Teck</t>
        </is>
      </c>
      <c r="AK97" s="9" t="inlineStr">
        <is>
          <t>10AWG</t>
        </is>
      </c>
      <c r="AL97" s="9" t="inlineStr">
        <is>
          <t>Levy Ostrup</t>
        </is>
      </c>
      <c r="AM97" s="9" t="n"/>
      <c r="AN97" s="9" t="n"/>
    </row>
    <row r="98">
      <c r="A98" s="9" t="inlineStr">
        <is>
          <t>Power Cable</t>
        </is>
      </c>
      <c r="B98" s="9" t="inlineStr">
        <is>
          <t>29209-ET-ST6005-2-PWK-1</t>
        </is>
      </c>
      <c r="C98" s="9" t="inlineStr">
        <is>
          <t>29209-ET-ST6005-2</t>
        </is>
      </c>
      <c r="D98" s="9" t="inlineStr">
        <is>
          <t>29103-HTP-102 HTC-26</t>
        </is>
      </c>
      <c r="E98" s="9" t="inlineStr">
        <is>
          <t>29103-HTP-102</t>
        </is>
      </c>
      <c r="F98" s="9" t="inlineStr"/>
      <c r="G98" s="9" t="inlineStr">
        <is>
          <t>113</t>
        </is>
      </c>
      <c r="H98" s="9" t="inlineStr">
        <is>
          <t>29209-ET-ST6005-2-PWK-1.pdf</t>
        </is>
      </c>
      <c r="I98" s="4" t="str">
        <f>IF($H98&lt;&gt;"","YES","NO")</f>
        <v>YES</v>
      </c>
      <c r="J98" s="4" t="str">
        <f>IF(N($T98)&gt;0,"YES","NO")</f>
        <v>NO</v>
      </c>
      <c r="K98" s="4" t="str">
        <f>IF(OR($A98="EHT Trace"),IF(AND($U98&lt;&gt;"",$V98&lt;&gt;""),"YES","NO"),"N/A")</f>
        <v>N/A</v>
      </c>
      <c r="L98" s="4" t="str">
        <f>IF(OR($A98="EHT Trace"),IF(AND($X98&lt;&gt;"",$Y98&lt;&gt;""),"YES","NO"),"N/A")</f>
        <v>N/A</v>
      </c>
      <c r="M98" s="4" t="str">
        <f>IF(OR($A98="EHT Trace"),IF(AND($AA98&lt;&gt;"",$AB98&lt;&gt;""),"YES","NO"),"N/A")</f>
        <v>N/A</v>
      </c>
      <c r="N98" s="4" t="str">
        <f>IF(OR($A98="Power Cable"),IF(AND($AD98&lt;&gt;""),"YES","NO"),"N/A")</f>
        <v>NO</v>
      </c>
      <c r="O98" s="4" t="str">
        <f>IF(OR($A98="Power Cable",$A98="RTD Cable",$A98="Fieldbus Cable"),IF(AND($AE98&lt;&gt;""),"YES","NO"),"N/A")</f>
        <v>NO</v>
      </c>
      <c r="P98" s="4" t="str">
        <f>IF(OR($A98="RTD"),IF(AND($AH98&lt;&gt;""),"YES","NO"),"N/A")</f>
        <v>N/A</v>
      </c>
      <c r="Q98" s="4" t="str">
        <f>IF(OR($A98="RTD"),IF(AND($AI98&lt;&gt;""),"YES","NO"),"N/A")</f>
        <v>N/A</v>
      </c>
      <c r="R98" s="4" t="str">
        <f>IF(OR($AM98&lt;&gt;"",$Z98&lt;&gt;"",$AC98&lt;&gt;""),"YES","NO")</f>
        <v>NO</v>
      </c>
      <c r="S98" s="4" t="str">
        <f>IF(COUNTIF(I98:R98,"NO")=0,"YES","NO")</f>
        <v>NO</v>
      </c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inlineStr">
        <is>
          <t>Teck</t>
        </is>
      </c>
      <c r="AK98" s="9" t="inlineStr">
        <is>
          <t>10AWG</t>
        </is>
      </c>
      <c r="AL98" s="9" t="inlineStr">
        <is>
          <t>Levy Ostrup</t>
        </is>
      </c>
      <c r="AM98" s="9" t="n"/>
      <c r="AN98" s="9" t="n"/>
    </row>
    <row r="99">
      <c r="A99" s="9" t="inlineStr">
        <is>
          <t>RTD</t>
        </is>
      </c>
      <c r="B99" s="9" t="inlineStr">
        <is>
          <t>29103-ET-HC1901-1-R-1</t>
        </is>
      </c>
      <c r="C99" s="9" t="inlineStr">
        <is>
          <t>29103-ET-HC1901-1</t>
        </is>
      </c>
      <c r="D99" s="9" t="inlineStr">
        <is>
          <t>29103-HTP-102 HTC-05</t>
        </is>
      </c>
      <c r="E99" s="9" t="inlineStr">
        <is>
          <t>PRODUCED EMULSION</t>
        </is>
      </c>
      <c r="F99" s="9" t="inlineStr">
        <is>
          <t>29103-65R-ET-HC1901-01-01</t>
        </is>
      </c>
      <c r="G99" s="9" t="inlineStr">
        <is>
          <t>13.2</t>
        </is>
      </c>
      <c r="H99" s="9" t="inlineStr">
        <is>
          <t>29103-ET-HC1901-1-R-1.pdf</t>
        </is>
      </c>
      <c r="I99" s="4" t="str">
        <f>IF($H99&lt;&gt;"","YES","NO")</f>
        <v>YES</v>
      </c>
      <c r="J99" s="4" t="str">
        <f>IF(N($T99)&gt;0,"YES","NO")</f>
        <v>NO</v>
      </c>
      <c r="K99" s="4" t="str">
        <f>IF(OR($A99="EHT Trace"),IF(AND($U99&lt;&gt;"",$V99&lt;&gt;""),"YES","NO"),"N/A")</f>
        <v>N/A</v>
      </c>
      <c r="L99" s="4" t="str">
        <f>IF(OR($A99="EHT Trace"),IF(AND($X99&lt;&gt;"",$Y99&lt;&gt;""),"YES","NO"),"N/A")</f>
        <v>N/A</v>
      </c>
      <c r="M99" s="4" t="str">
        <f>IF(OR($A99="EHT Trace"),IF(AND($AA99&lt;&gt;"",$AB99&lt;&gt;""),"YES","NO"),"N/A")</f>
        <v>N/A</v>
      </c>
      <c r="N99" s="4" t="str">
        <f>IF(OR($A99="Power Cable"),IF(AND($AD99&lt;&gt;""),"YES","NO"),"N/A")</f>
        <v>N/A</v>
      </c>
      <c r="O99" s="4" t="str">
        <f>IF(OR($A99="Power Cable",$A99="RTD Cable",$A99="Fieldbus Cable"),IF(AND($AE99&lt;&gt;""),"YES","NO"),"N/A")</f>
        <v>N/A</v>
      </c>
      <c r="P99" s="4" t="str">
        <f>IF(OR($A99="RTD"),IF(AND($AH99&lt;&gt;""),"YES","NO"),"N/A")</f>
        <v>NO</v>
      </c>
      <c r="Q99" s="4" t="str">
        <f>IF(OR($A99="RTD"),IF(AND($AI99&lt;&gt;""),"YES","NO"),"N/A")</f>
        <v>NO</v>
      </c>
      <c r="R99" s="4" t="str">
        <f>IF(OR($AM99&lt;&gt;"",$Z99&lt;&gt;"",$AC99&lt;&gt;""),"YES","NO")</f>
        <v>NO</v>
      </c>
      <c r="S99" s="4" t="str">
        <f>IF(COUNTIF(I99:R99,"NO")=0,"YES","NO")</f>
        <v>NO</v>
      </c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inlineStr">
        <is>
          <t>Levy Ostrup</t>
        </is>
      </c>
      <c r="AM99" s="9" t="n"/>
      <c r="AN99" s="9" t="n"/>
    </row>
    <row r="100">
      <c r="A100" s="9" t="inlineStr">
        <is>
          <t>RTD</t>
        </is>
      </c>
      <c r="B100" s="9" t="inlineStr">
        <is>
          <t>29103-ET-MT0001-1-R-1</t>
        </is>
      </c>
      <c r="C100" s="9" t="inlineStr">
        <is>
          <t>29103-ET-MT0001-1</t>
        </is>
      </c>
      <c r="D100" s="9" t="inlineStr">
        <is>
          <t>29103-HTP-102 HTC-09</t>
        </is>
      </c>
      <c r="E100" s="9" t="inlineStr"/>
      <c r="F100" s="9" t="inlineStr">
        <is>
          <t>29103-65R-ET-MT0001-01-01</t>
        </is>
      </c>
      <c r="G100" s="9" t="inlineStr">
        <is>
          <t>13.2</t>
        </is>
      </c>
      <c r="H100" s="9" t="inlineStr">
        <is>
          <t>29103-ET-MT0001-1-R-1.pdf</t>
        </is>
      </c>
      <c r="I100" s="4" t="str">
        <f>IF($H100&lt;&gt;"","YES","NO")</f>
        <v>YES</v>
      </c>
      <c r="J100" s="4" t="str">
        <f>IF(N($T100)&gt;0,"YES","NO")</f>
        <v>NO</v>
      </c>
      <c r="K100" s="4" t="str">
        <f>IF(OR($A100="EHT Trace"),IF(AND($U100&lt;&gt;"",$V100&lt;&gt;""),"YES","NO"),"N/A")</f>
        <v>N/A</v>
      </c>
      <c r="L100" s="4" t="str">
        <f>IF(OR($A100="EHT Trace"),IF(AND($X100&lt;&gt;"",$Y100&lt;&gt;""),"YES","NO"),"N/A")</f>
        <v>N/A</v>
      </c>
      <c r="M100" s="4" t="str">
        <f>IF(OR($A100="EHT Trace"),IF(AND($AA100&lt;&gt;"",$AB100&lt;&gt;""),"YES","NO"),"N/A")</f>
        <v>N/A</v>
      </c>
      <c r="N100" s="4" t="str">
        <f>IF(OR($A100="Power Cable"),IF(AND($AD100&lt;&gt;""),"YES","NO"),"N/A")</f>
        <v>N/A</v>
      </c>
      <c r="O100" s="4" t="str">
        <f>IF(OR($A100="Power Cable",$A100="RTD Cable",$A100="Fieldbus Cable"),IF(AND($AE100&lt;&gt;""),"YES","NO"),"N/A")</f>
        <v>N/A</v>
      </c>
      <c r="P100" s="4" t="str">
        <f>IF(OR($A100="RTD"),IF(AND($AH100&lt;&gt;""),"YES","NO"),"N/A")</f>
        <v>NO</v>
      </c>
      <c r="Q100" s="4" t="str">
        <f>IF(OR($A100="RTD"),IF(AND($AI100&lt;&gt;""),"YES","NO"),"N/A")</f>
        <v>NO</v>
      </c>
      <c r="R100" s="4" t="str">
        <f>IF(OR($AM100&lt;&gt;"",$Z100&lt;&gt;"",$AC100&lt;&gt;""),"YES","NO")</f>
        <v>NO</v>
      </c>
      <c r="S100" s="4" t="str">
        <f>IF(COUNTIF(I100:R100,"NO")=0,"YES","NO")</f>
        <v>NO</v>
      </c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inlineStr">
        <is>
          <t>Levy Ostrup</t>
        </is>
      </c>
      <c r="AM100" s="9" t="n"/>
      <c r="AN100" s="9" t="n"/>
    </row>
    <row r="101">
      <c r="A101" s="9" t="inlineStr">
        <is>
          <t>RTD</t>
        </is>
      </c>
      <c r="B101" s="9" t="inlineStr">
        <is>
          <t>29103-ET-MT0001-1-R-2</t>
        </is>
      </c>
      <c r="C101" s="9" t="inlineStr">
        <is>
          <t>29103-ET-MT0001-1</t>
        </is>
      </c>
      <c r="D101" s="9" t="inlineStr">
        <is>
          <t>29103-HTP-102 I/O-1-3</t>
        </is>
      </c>
      <c r="E101" s="9" t="inlineStr"/>
      <c r="F101" s="9" t="inlineStr">
        <is>
          <t>29103-65R-ET-MT0001-01-01</t>
        </is>
      </c>
      <c r="G101" s="9" t="inlineStr">
        <is>
          <t>13.2</t>
        </is>
      </c>
      <c r="H101" s="9" t="inlineStr">
        <is>
          <t>29103-ET-MT0001-1-R-2.pdf</t>
        </is>
      </c>
      <c r="I101" s="4" t="str">
        <f>IF($H101&lt;&gt;"","YES","NO")</f>
        <v>YES</v>
      </c>
      <c r="J101" s="4" t="str">
        <f>IF(N($T101)&gt;0,"YES","NO")</f>
        <v>NO</v>
      </c>
      <c r="K101" s="4" t="str">
        <f>IF(OR($A101="EHT Trace"),IF(AND($U101&lt;&gt;"",$V101&lt;&gt;""),"YES","NO"),"N/A")</f>
        <v>N/A</v>
      </c>
      <c r="L101" s="4" t="str">
        <f>IF(OR($A101="EHT Trace"),IF(AND($X101&lt;&gt;"",$Y101&lt;&gt;""),"YES","NO"),"N/A")</f>
        <v>N/A</v>
      </c>
      <c r="M101" s="4" t="str">
        <f>IF(OR($A101="EHT Trace"),IF(AND($AA101&lt;&gt;"",$AB101&lt;&gt;""),"YES","NO"),"N/A")</f>
        <v>N/A</v>
      </c>
      <c r="N101" s="4" t="str">
        <f>IF(OR($A101="Power Cable"),IF(AND($AD101&lt;&gt;""),"YES","NO"),"N/A")</f>
        <v>N/A</v>
      </c>
      <c r="O101" s="4" t="str">
        <f>IF(OR($A101="Power Cable",$A101="RTD Cable",$A101="Fieldbus Cable"),IF(AND($AE101&lt;&gt;""),"YES","NO"),"N/A")</f>
        <v>N/A</v>
      </c>
      <c r="P101" s="4" t="str">
        <f>IF(OR($A101="RTD"),IF(AND($AH101&lt;&gt;""),"YES","NO"),"N/A")</f>
        <v>NO</v>
      </c>
      <c r="Q101" s="4" t="str">
        <f>IF(OR($A101="RTD"),IF(AND($AI101&lt;&gt;""),"YES","NO"),"N/A")</f>
        <v>NO</v>
      </c>
      <c r="R101" s="4" t="str">
        <f>IF(OR($AM101&lt;&gt;"",$Z101&lt;&gt;"",$AC101&lt;&gt;""),"YES","NO")</f>
        <v>NO</v>
      </c>
      <c r="S101" s="4" t="str">
        <f>IF(COUNTIF(I101:R101,"NO")=0,"YES","NO")</f>
        <v>NO</v>
      </c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inlineStr">
        <is>
          <t>Levy Ostrup</t>
        </is>
      </c>
      <c r="AM101" s="9" t="n"/>
      <c r="AN101" s="9" t="n"/>
    </row>
    <row r="102">
      <c r="A102" s="9" t="inlineStr">
        <is>
          <t>RTD</t>
        </is>
      </c>
      <c r="B102" s="9" t="inlineStr">
        <is>
          <t>29103-ET-P001A-2-R-1</t>
        </is>
      </c>
      <c r="C102" s="9" t="inlineStr">
        <is>
          <t>29103-ET-P001A-2</t>
        </is>
      </c>
      <c r="D102" s="9" t="inlineStr">
        <is>
          <t>29103-HTP-102 HTC-07</t>
        </is>
      </c>
      <c r="E102" s="9" t="inlineStr">
        <is>
          <t>PRODUCED EMULSION</t>
        </is>
      </c>
      <c r="F102" s="9" t="inlineStr">
        <is>
          <t>29103-65R-ET-P001A-02-01</t>
        </is>
      </c>
      <c r="G102" s="9" t="inlineStr">
        <is>
          <t>13.2</t>
        </is>
      </c>
      <c r="H102" s="9" t="inlineStr">
        <is>
          <t>29103-ET-P001A-2-R-1.pdf</t>
        </is>
      </c>
      <c r="I102" s="4" t="str">
        <f>IF($H102&lt;&gt;"","YES","NO")</f>
        <v>YES</v>
      </c>
      <c r="J102" s="4" t="str">
        <f>IF(N($T102)&gt;0,"YES","NO")</f>
        <v>NO</v>
      </c>
      <c r="K102" s="4" t="str">
        <f>IF(OR($A102="EHT Trace"),IF(AND($U102&lt;&gt;"",$V102&lt;&gt;""),"YES","NO"),"N/A")</f>
        <v>N/A</v>
      </c>
      <c r="L102" s="4" t="str">
        <f>IF(OR($A102="EHT Trace"),IF(AND($X102&lt;&gt;"",$Y102&lt;&gt;""),"YES","NO"),"N/A")</f>
        <v>N/A</v>
      </c>
      <c r="M102" s="4" t="str">
        <f>IF(OR($A102="EHT Trace"),IF(AND($AA102&lt;&gt;"",$AB102&lt;&gt;""),"YES","NO"),"N/A")</f>
        <v>N/A</v>
      </c>
      <c r="N102" s="4" t="str">
        <f>IF(OR($A102="Power Cable"),IF(AND($AD102&lt;&gt;""),"YES","NO"),"N/A")</f>
        <v>N/A</v>
      </c>
      <c r="O102" s="4" t="str">
        <f>IF(OR($A102="Power Cable",$A102="RTD Cable",$A102="Fieldbus Cable"),IF(AND($AE102&lt;&gt;""),"YES","NO"),"N/A")</f>
        <v>N/A</v>
      </c>
      <c r="P102" s="4" t="str">
        <f>IF(OR($A102="RTD"),IF(AND($AH102&lt;&gt;""),"YES","NO"),"N/A")</f>
        <v>NO</v>
      </c>
      <c r="Q102" s="4" t="str">
        <f>IF(OR($A102="RTD"),IF(AND($AI102&lt;&gt;""),"YES","NO"),"N/A")</f>
        <v>NO</v>
      </c>
      <c r="R102" s="4" t="str">
        <f>IF(OR($AM102&lt;&gt;"",$Z102&lt;&gt;"",$AC102&lt;&gt;""),"YES","NO")</f>
        <v>NO</v>
      </c>
      <c r="S102" s="4" t="str">
        <f>IF(COUNTIF(I102:R102,"NO")=0,"YES","NO")</f>
        <v>NO</v>
      </c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inlineStr">
        <is>
          <t>Levy Ostrup</t>
        </is>
      </c>
      <c r="AM102" s="9" t="n"/>
      <c r="AN102" s="9" t="n"/>
    </row>
    <row r="103">
      <c r="A103" s="9" t="inlineStr">
        <is>
          <t>RTD</t>
        </is>
      </c>
      <c r="B103" s="9" t="inlineStr">
        <is>
          <t>29103-ET-P001A-2-R-2</t>
        </is>
      </c>
      <c r="C103" s="9" t="inlineStr">
        <is>
          <t>29103-ET-P001A-2</t>
        </is>
      </c>
      <c r="D103" s="9" t="inlineStr">
        <is>
          <t>29103-HTP-102 I/O-1-4</t>
        </is>
      </c>
      <c r="E103" s="9" t="inlineStr">
        <is>
          <t>PRODUCED EMULSION</t>
        </is>
      </c>
      <c r="F103" s="9" t="inlineStr">
        <is>
          <t>29103-65R-ET-P001A-02-01</t>
        </is>
      </c>
      <c r="G103" s="9" t="inlineStr">
        <is>
          <t>13.2</t>
        </is>
      </c>
      <c r="H103" s="9" t="inlineStr">
        <is>
          <t>29103-ET-P001A-2-R-2.pdf</t>
        </is>
      </c>
      <c r="I103" s="4" t="str">
        <f>IF($H103&lt;&gt;"","YES","NO")</f>
        <v>YES</v>
      </c>
      <c r="J103" s="4" t="str">
        <f>IF(N($T103)&gt;0,"YES","NO")</f>
        <v>NO</v>
      </c>
      <c r="K103" s="4" t="str">
        <f>IF(OR($A103="EHT Trace"),IF(AND($U103&lt;&gt;"",$V103&lt;&gt;""),"YES","NO"),"N/A")</f>
        <v>N/A</v>
      </c>
      <c r="L103" s="4" t="str">
        <f>IF(OR($A103="EHT Trace"),IF(AND($X103&lt;&gt;"",$Y103&lt;&gt;""),"YES","NO"),"N/A")</f>
        <v>N/A</v>
      </c>
      <c r="M103" s="4" t="str">
        <f>IF(OR($A103="EHT Trace"),IF(AND($AA103&lt;&gt;"",$AB103&lt;&gt;""),"YES","NO"),"N/A")</f>
        <v>N/A</v>
      </c>
      <c r="N103" s="4" t="str">
        <f>IF(OR($A103="Power Cable"),IF(AND($AD103&lt;&gt;""),"YES","NO"),"N/A")</f>
        <v>N/A</v>
      </c>
      <c r="O103" s="4" t="str">
        <f>IF(OR($A103="Power Cable",$A103="RTD Cable",$A103="Fieldbus Cable"),IF(AND($AE103&lt;&gt;""),"YES","NO"),"N/A")</f>
        <v>N/A</v>
      </c>
      <c r="P103" s="4" t="str">
        <f>IF(OR($A103="RTD"),IF(AND($AH103&lt;&gt;""),"YES","NO"),"N/A")</f>
        <v>NO</v>
      </c>
      <c r="Q103" s="4" t="str">
        <f>IF(OR($A103="RTD"),IF(AND($AI103&lt;&gt;""),"YES","NO"),"N/A")</f>
        <v>NO</v>
      </c>
      <c r="R103" s="4" t="str">
        <f>IF(OR($AM103&lt;&gt;"",$Z103&lt;&gt;"",$AC103&lt;&gt;""),"YES","NO")</f>
        <v>NO</v>
      </c>
      <c r="S103" s="4" t="str">
        <f>IF(COUNTIF(I103:R103,"NO")=0,"YES","NO")</f>
        <v>NO</v>
      </c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inlineStr">
        <is>
          <t>Levy Ostrup</t>
        </is>
      </c>
      <c r="AM103" s="9" t="n"/>
      <c r="AN103" s="9" t="n"/>
    </row>
    <row r="104">
      <c r="A104" s="9" t="inlineStr">
        <is>
          <t>RTD</t>
        </is>
      </c>
      <c r="B104" s="9" t="inlineStr">
        <is>
          <t>29103-ET-P001A-2-R-3</t>
        </is>
      </c>
      <c r="C104" s="9" t="inlineStr">
        <is>
          <t>29103-ET-P001A-2</t>
        </is>
      </c>
      <c r="D104" s="9" t="inlineStr">
        <is>
          <t>29103-HTP-102 I/O-2-1</t>
        </is>
      </c>
      <c r="E104" s="9" t="inlineStr">
        <is>
          <t>PRODUCED EMULSION</t>
        </is>
      </c>
      <c r="F104" s="9" t="inlineStr">
        <is>
          <t>29103-65R-ET-P001A-02-01</t>
        </is>
      </c>
      <c r="G104" s="9" t="inlineStr">
        <is>
          <t>13.2</t>
        </is>
      </c>
      <c r="H104" s="9" t="inlineStr">
        <is>
          <t>29103-ET-P001A-2-R-3.pdf</t>
        </is>
      </c>
      <c r="I104" s="4" t="str">
        <f>IF($H104&lt;&gt;"","YES","NO")</f>
        <v>YES</v>
      </c>
      <c r="J104" s="4" t="str">
        <f>IF(N($T104)&gt;0,"YES","NO")</f>
        <v>NO</v>
      </c>
      <c r="K104" s="4" t="str">
        <f>IF(OR($A104="EHT Trace"),IF(AND($U104&lt;&gt;"",$V104&lt;&gt;""),"YES","NO"),"N/A")</f>
        <v>N/A</v>
      </c>
      <c r="L104" s="4" t="str">
        <f>IF(OR($A104="EHT Trace"),IF(AND($X104&lt;&gt;"",$Y104&lt;&gt;""),"YES","NO"),"N/A")</f>
        <v>N/A</v>
      </c>
      <c r="M104" s="4" t="str">
        <f>IF(OR($A104="EHT Trace"),IF(AND($AA104&lt;&gt;"",$AB104&lt;&gt;""),"YES","NO"),"N/A")</f>
        <v>N/A</v>
      </c>
      <c r="N104" s="4" t="str">
        <f>IF(OR($A104="Power Cable"),IF(AND($AD104&lt;&gt;""),"YES","NO"),"N/A")</f>
        <v>N/A</v>
      </c>
      <c r="O104" s="4" t="str">
        <f>IF(OR($A104="Power Cable",$A104="RTD Cable",$A104="Fieldbus Cable"),IF(AND($AE104&lt;&gt;""),"YES","NO"),"N/A")</f>
        <v>N/A</v>
      </c>
      <c r="P104" s="4" t="str">
        <f>IF(OR($A104="RTD"),IF(AND($AH104&lt;&gt;""),"YES","NO"),"N/A")</f>
        <v>NO</v>
      </c>
      <c r="Q104" s="4" t="str">
        <f>IF(OR($A104="RTD"),IF(AND($AI104&lt;&gt;""),"YES","NO"),"N/A")</f>
        <v>NO</v>
      </c>
      <c r="R104" s="4" t="str">
        <f>IF(OR($AM104&lt;&gt;"",$Z104&lt;&gt;"",$AC104&lt;&gt;""),"YES","NO")</f>
        <v>NO</v>
      </c>
      <c r="S104" s="4" t="str">
        <f>IF(COUNTIF(I104:R104,"NO")=0,"YES","NO")</f>
        <v>NO</v>
      </c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inlineStr">
        <is>
          <t>Levy Ostrup</t>
        </is>
      </c>
      <c r="AM104" s="9" t="n"/>
      <c r="AN104" s="9" t="n"/>
    </row>
    <row r="105">
      <c r="A105" s="9" t="inlineStr">
        <is>
          <t>RTD</t>
        </is>
      </c>
      <c r="B105" s="9" t="inlineStr">
        <is>
          <t>29103-ET-P001B-2-R-1</t>
        </is>
      </c>
      <c r="C105" s="9" t="inlineStr">
        <is>
          <t>29103-ET-P001B-2</t>
        </is>
      </c>
      <c r="D105" s="9" t="inlineStr">
        <is>
          <t>29103-HTP-102 HTC-15</t>
        </is>
      </c>
      <c r="E105" s="9" t="inlineStr">
        <is>
          <t>PRODUCED EMULSION</t>
        </is>
      </c>
      <c r="F105" s="9" t="inlineStr">
        <is>
          <t>29103-65R-ET-P001B-02-01</t>
        </is>
      </c>
      <c r="G105" s="9" t="inlineStr">
        <is>
          <t>13.2</t>
        </is>
      </c>
      <c r="H105" s="9" t="inlineStr">
        <is>
          <t>29103-ET-P001B-2-R-1.pdf</t>
        </is>
      </c>
      <c r="I105" s="4" t="str">
        <f>IF($H105&lt;&gt;"","YES","NO")</f>
        <v>YES</v>
      </c>
      <c r="J105" s="4" t="str">
        <f>IF(N($T105)&gt;0,"YES","NO")</f>
        <v>NO</v>
      </c>
      <c r="K105" s="4" t="str">
        <f>IF(OR($A105="EHT Trace"),IF(AND($U105&lt;&gt;"",$V105&lt;&gt;""),"YES","NO"),"N/A")</f>
        <v>N/A</v>
      </c>
      <c r="L105" s="4" t="str">
        <f>IF(OR($A105="EHT Trace"),IF(AND($X105&lt;&gt;"",$Y105&lt;&gt;""),"YES","NO"),"N/A")</f>
        <v>N/A</v>
      </c>
      <c r="M105" s="4" t="str">
        <f>IF(OR($A105="EHT Trace"),IF(AND($AA105&lt;&gt;"",$AB105&lt;&gt;""),"YES","NO"),"N/A")</f>
        <v>N/A</v>
      </c>
      <c r="N105" s="4" t="str">
        <f>IF(OR($A105="Power Cable"),IF(AND($AD105&lt;&gt;""),"YES","NO"),"N/A")</f>
        <v>N/A</v>
      </c>
      <c r="O105" s="4" t="str">
        <f>IF(OR($A105="Power Cable",$A105="RTD Cable",$A105="Fieldbus Cable"),IF(AND($AE105&lt;&gt;""),"YES","NO"),"N/A")</f>
        <v>N/A</v>
      </c>
      <c r="P105" s="4" t="str">
        <f>IF(OR($A105="RTD"),IF(AND($AH105&lt;&gt;""),"YES","NO"),"N/A")</f>
        <v>NO</v>
      </c>
      <c r="Q105" s="4" t="str">
        <f>IF(OR($A105="RTD"),IF(AND($AI105&lt;&gt;""),"YES","NO"),"N/A")</f>
        <v>NO</v>
      </c>
      <c r="R105" s="4" t="str">
        <f>IF(OR($AM105&lt;&gt;"",$Z105&lt;&gt;"",$AC105&lt;&gt;""),"YES","NO")</f>
        <v>NO</v>
      </c>
      <c r="S105" s="4" t="str">
        <f>IF(COUNTIF(I105:R105,"NO")=0,"YES","NO")</f>
        <v>NO</v>
      </c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inlineStr">
        <is>
          <t>Levy Ostrup</t>
        </is>
      </c>
      <c r="AM105" s="9" t="n"/>
      <c r="AN105" s="9" t="n"/>
    </row>
    <row r="106">
      <c r="A106" s="9" t="inlineStr">
        <is>
          <t>RTD</t>
        </is>
      </c>
      <c r="B106" s="9" t="inlineStr">
        <is>
          <t>29103-ET-P001B-2-R-2</t>
        </is>
      </c>
      <c r="C106" s="9" t="inlineStr">
        <is>
          <t>29103-ET-P001B-2</t>
        </is>
      </c>
      <c r="D106" s="9" t="inlineStr">
        <is>
          <t>29103-HTP-102 I/O-2-4</t>
        </is>
      </c>
      <c r="E106" s="9" t="inlineStr">
        <is>
          <t>PRODUCED EMULSION</t>
        </is>
      </c>
      <c r="F106" s="9" t="inlineStr">
        <is>
          <t>29103-65R-ET-P001B-02-01</t>
        </is>
      </c>
      <c r="G106" s="9" t="inlineStr">
        <is>
          <t>13.2</t>
        </is>
      </c>
      <c r="H106" s="9" t="inlineStr">
        <is>
          <t>29103-ET-P001B-2-R-2.pdf</t>
        </is>
      </c>
      <c r="I106" s="4" t="str">
        <f>IF($H106&lt;&gt;"","YES","NO")</f>
        <v>YES</v>
      </c>
      <c r="J106" s="4" t="str">
        <f>IF(N($T106)&gt;0,"YES","NO")</f>
        <v>NO</v>
      </c>
      <c r="K106" s="4" t="str">
        <f>IF(OR($A106="EHT Trace"),IF(AND($U106&lt;&gt;"",$V106&lt;&gt;""),"YES","NO"),"N/A")</f>
        <v>N/A</v>
      </c>
      <c r="L106" s="4" t="str">
        <f>IF(OR($A106="EHT Trace"),IF(AND($X106&lt;&gt;"",$Y106&lt;&gt;""),"YES","NO"),"N/A")</f>
        <v>N/A</v>
      </c>
      <c r="M106" s="4" t="str">
        <f>IF(OR($A106="EHT Trace"),IF(AND($AA106&lt;&gt;"",$AB106&lt;&gt;""),"YES","NO"),"N/A")</f>
        <v>N/A</v>
      </c>
      <c r="N106" s="4" t="str">
        <f>IF(OR($A106="Power Cable"),IF(AND($AD106&lt;&gt;""),"YES","NO"),"N/A")</f>
        <v>N/A</v>
      </c>
      <c r="O106" s="4" t="str">
        <f>IF(OR($A106="Power Cable",$A106="RTD Cable",$A106="Fieldbus Cable"),IF(AND($AE106&lt;&gt;""),"YES","NO"),"N/A")</f>
        <v>N/A</v>
      </c>
      <c r="P106" s="4" t="str">
        <f>IF(OR($A106="RTD"),IF(AND($AH106&lt;&gt;""),"YES","NO"),"N/A")</f>
        <v>NO</v>
      </c>
      <c r="Q106" s="4" t="str">
        <f>IF(OR($A106="RTD"),IF(AND($AI106&lt;&gt;""),"YES","NO"),"N/A")</f>
        <v>NO</v>
      </c>
      <c r="R106" s="4" t="str">
        <f>IF(OR($AM106&lt;&gt;"",$Z106&lt;&gt;"",$AC106&lt;&gt;""),"YES","NO")</f>
        <v>NO</v>
      </c>
      <c r="S106" s="4" t="str">
        <f>IF(COUNTIF(I106:R106,"NO")=0,"YES","NO")</f>
        <v>NO</v>
      </c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inlineStr">
        <is>
          <t>Levy Ostrup</t>
        </is>
      </c>
      <c r="AM106" s="9" t="n"/>
      <c r="AN106" s="9" t="n"/>
    </row>
    <row r="107">
      <c r="A107" s="9" t="inlineStr">
        <is>
          <t>RTD</t>
        </is>
      </c>
      <c r="B107" s="9" t="inlineStr">
        <is>
          <t>29103-ET-P001B-2-R-3</t>
        </is>
      </c>
      <c r="C107" s="9" t="inlineStr">
        <is>
          <t>29103-ET-P001B-2</t>
        </is>
      </c>
      <c r="D107" s="9" t="inlineStr">
        <is>
          <t>29103-HTP-102 I/O-3-1</t>
        </is>
      </c>
      <c r="E107" s="9" t="inlineStr">
        <is>
          <t>PRODUCED EMULSION</t>
        </is>
      </c>
      <c r="F107" s="9" t="inlineStr">
        <is>
          <t>29103-65R-ET-P001B-02-01</t>
        </is>
      </c>
      <c r="G107" s="9" t="inlineStr">
        <is>
          <t>13.2</t>
        </is>
      </c>
      <c r="H107" s="9" t="inlineStr">
        <is>
          <t>29103-ET-P001B-2-R-3.pdf</t>
        </is>
      </c>
      <c r="I107" s="4" t="str">
        <f>IF($H107&lt;&gt;"","YES","NO")</f>
        <v>YES</v>
      </c>
      <c r="J107" s="4" t="str">
        <f>IF(N($T107)&gt;0,"YES","NO")</f>
        <v>NO</v>
      </c>
      <c r="K107" s="4" t="str">
        <f>IF(OR($A107="EHT Trace"),IF(AND($U107&lt;&gt;"",$V107&lt;&gt;""),"YES","NO"),"N/A")</f>
        <v>N/A</v>
      </c>
      <c r="L107" s="4" t="str">
        <f>IF(OR($A107="EHT Trace"),IF(AND($X107&lt;&gt;"",$Y107&lt;&gt;""),"YES","NO"),"N/A")</f>
        <v>N/A</v>
      </c>
      <c r="M107" s="4" t="str">
        <f>IF(OR($A107="EHT Trace"),IF(AND($AA107&lt;&gt;"",$AB107&lt;&gt;""),"YES","NO"),"N/A")</f>
        <v>N/A</v>
      </c>
      <c r="N107" s="4" t="str">
        <f>IF(OR($A107="Power Cable"),IF(AND($AD107&lt;&gt;""),"YES","NO"),"N/A")</f>
        <v>N/A</v>
      </c>
      <c r="O107" s="4" t="str">
        <f>IF(OR($A107="Power Cable",$A107="RTD Cable",$A107="Fieldbus Cable"),IF(AND($AE107&lt;&gt;""),"YES","NO"),"N/A")</f>
        <v>N/A</v>
      </c>
      <c r="P107" s="4" t="str">
        <f>IF(OR($A107="RTD"),IF(AND($AH107&lt;&gt;""),"YES","NO"),"N/A")</f>
        <v>NO</v>
      </c>
      <c r="Q107" s="4" t="str">
        <f>IF(OR($A107="RTD"),IF(AND($AI107&lt;&gt;""),"YES","NO"),"N/A")</f>
        <v>NO</v>
      </c>
      <c r="R107" s="4" t="str">
        <f>IF(OR($AM107&lt;&gt;"",$Z107&lt;&gt;"",$AC107&lt;&gt;""),"YES","NO")</f>
        <v>NO</v>
      </c>
      <c r="S107" s="4" t="str">
        <f>IF(COUNTIF(I107:R107,"NO")=0,"YES","NO")</f>
        <v>NO</v>
      </c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inlineStr">
        <is>
          <t>Levy Ostrup</t>
        </is>
      </c>
      <c r="AM107" s="9" t="n"/>
      <c r="AN107" s="9" t="n"/>
    </row>
    <row r="108">
      <c r="A108" s="9" t="inlineStr">
        <is>
          <t>RTD</t>
        </is>
      </c>
      <c r="B108" s="9" t="inlineStr">
        <is>
          <t>29103-ET-P1003-1-R-1</t>
        </is>
      </c>
      <c r="C108" s="9" t="inlineStr">
        <is>
          <t>29103-ET-P1003-1</t>
        </is>
      </c>
      <c r="D108" s="9" t="inlineStr">
        <is>
          <t>29103-HTP-102 HTC-19</t>
        </is>
      </c>
      <c r="E108" s="9" t="inlineStr">
        <is>
          <t>PRODUCED EMULSION</t>
        </is>
      </c>
      <c r="F108" s="9" t="inlineStr">
        <is>
          <t>29103-65R-ET-P1003-01-01</t>
        </is>
      </c>
      <c r="G108" s="9" t="inlineStr">
        <is>
          <t>13.2</t>
        </is>
      </c>
      <c r="H108" s="9" t="inlineStr">
        <is>
          <t>29103-ET-P1003-1-R-1.pdf</t>
        </is>
      </c>
      <c r="I108" s="4" t="str">
        <f>IF($H108&lt;&gt;"","YES","NO")</f>
        <v>YES</v>
      </c>
      <c r="J108" s="4" t="str">
        <f>IF(N($T108)&gt;0,"YES","NO")</f>
        <v>NO</v>
      </c>
      <c r="K108" s="4" t="str">
        <f>IF(OR($A108="EHT Trace"),IF(AND($U108&lt;&gt;"",$V108&lt;&gt;""),"YES","NO"),"N/A")</f>
        <v>N/A</v>
      </c>
      <c r="L108" s="4" t="str">
        <f>IF(OR($A108="EHT Trace"),IF(AND($X108&lt;&gt;"",$Y108&lt;&gt;""),"YES","NO"),"N/A")</f>
        <v>N/A</v>
      </c>
      <c r="M108" s="4" t="str">
        <f>IF(OR($A108="EHT Trace"),IF(AND($AA108&lt;&gt;"",$AB108&lt;&gt;""),"YES","NO"),"N/A")</f>
        <v>N/A</v>
      </c>
      <c r="N108" s="4" t="str">
        <f>IF(OR($A108="Power Cable"),IF(AND($AD108&lt;&gt;""),"YES","NO"),"N/A")</f>
        <v>N/A</v>
      </c>
      <c r="O108" s="4" t="str">
        <f>IF(OR($A108="Power Cable",$A108="RTD Cable",$A108="Fieldbus Cable"),IF(AND($AE108&lt;&gt;""),"YES","NO"),"N/A")</f>
        <v>N/A</v>
      </c>
      <c r="P108" s="4" t="str">
        <f>IF(OR($A108="RTD"),IF(AND($AH108&lt;&gt;""),"YES","NO"),"N/A")</f>
        <v>NO</v>
      </c>
      <c r="Q108" s="4" t="str">
        <f>IF(OR($A108="RTD"),IF(AND($AI108&lt;&gt;""),"YES","NO"),"N/A")</f>
        <v>NO</v>
      </c>
      <c r="R108" s="4" t="str">
        <f>IF(OR($AM108&lt;&gt;"",$Z108&lt;&gt;"",$AC108&lt;&gt;""),"YES","NO")</f>
        <v>NO</v>
      </c>
      <c r="S108" s="4" t="str">
        <f>IF(COUNTIF(I108:R108,"NO")=0,"YES","NO")</f>
        <v>NO</v>
      </c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inlineStr">
        <is>
          <t>Levy Ostrup</t>
        </is>
      </c>
      <c r="AM108" s="9" t="n"/>
      <c r="AN108" s="9" t="n"/>
    </row>
    <row r="109">
      <c r="A109" s="9" t="inlineStr">
        <is>
          <t>RTD</t>
        </is>
      </c>
      <c r="B109" s="9" t="inlineStr">
        <is>
          <t>29103-ET-P1004-1-R-1</t>
        </is>
      </c>
      <c r="C109" s="9" t="inlineStr">
        <is>
          <t>29103-ET-P1004-1</t>
        </is>
      </c>
      <c r="D109" s="9" t="inlineStr">
        <is>
          <t>29103-HTP-102 HTC-20</t>
        </is>
      </c>
      <c r="E109" s="9" t="inlineStr">
        <is>
          <t>PRODUCED EMULSION</t>
        </is>
      </c>
      <c r="F109" s="9" t="inlineStr">
        <is>
          <t>29103-65R-ET-P1004-01-01</t>
        </is>
      </c>
      <c r="G109" s="9" t="inlineStr">
        <is>
          <t>13.2</t>
        </is>
      </c>
      <c r="H109" s="9" t="inlineStr">
        <is>
          <t>29103-ET-P1004-1-R-1.pdf</t>
        </is>
      </c>
      <c r="I109" s="4" t="str">
        <f>IF($H109&lt;&gt;"","YES","NO")</f>
        <v>YES</v>
      </c>
      <c r="J109" s="4" t="str">
        <f>IF(N($T109)&gt;0,"YES","NO")</f>
        <v>NO</v>
      </c>
      <c r="K109" s="4" t="str">
        <f>IF(OR($A109="EHT Trace"),IF(AND($U109&lt;&gt;"",$V109&lt;&gt;""),"YES","NO"),"N/A")</f>
        <v>N/A</v>
      </c>
      <c r="L109" s="4" t="str">
        <f>IF(OR($A109="EHT Trace"),IF(AND($X109&lt;&gt;"",$Y109&lt;&gt;""),"YES","NO"),"N/A")</f>
        <v>N/A</v>
      </c>
      <c r="M109" s="4" t="str">
        <f>IF(OR($A109="EHT Trace"),IF(AND($AA109&lt;&gt;"",$AB109&lt;&gt;""),"YES","NO"),"N/A")</f>
        <v>N/A</v>
      </c>
      <c r="N109" s="4" t="str">
        <f>IF(OR($A109="Power Cable"),IF(AND($AD109&lt;&gt;""),"YES","NO"),"N/A")</f>
        <v>N/A</v>
      </c>
      <c r="O109" s="4" t="str">
        <f>IF(OR($A109="Power Cable",$A109="RTD Cable",$A109="Fieldbus Cable"),IF(AND($AE109&lt;&gt;""),"YES","NO"),"N/A")</f>
        <v>N/A</v>
      </c>
      <c r="P109" s="4" t="str">
        <f>IF(OR($A109="RTD"),IF(AND($AH109&lt;&gt;""),"YES","NO"),"N/A")</f>
        <v>NO</v>
      </c>
      <c r="Q109" s="4" t="str">
        <f>IF(OR($A109="RTD"),IF(AND($AI109&lt;&gt;""),"YES","NO"),"N/A")</f>
        <v>NO</v>
      </c>
      <c r="R109" s="4" t="str">
        <f>IF(OR($AM109&lt;&gt;"",$Z109&lt;&gt;"",$AC109&lt;&gt;""),"YES","NO")</f>
        <v>NO</v>
      </c>
      <c r="S109" s="4" t="str">
        <f>IF(COUNTIF(I109:R109,"NO")=0,"YES","NO")</f>
        <v>NO</v>
      </c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inlineStr">
        <is>
          <t>Levy Ostrup</t>
        </is>
      </c>
      <c r="AM109" s="9" t="n"/>
      <c r="AN109" s="9" t="n"/>
    </row>
    <row r="110">
      <c r="A110" s="9" t="inlineStr">
        <is>
          <t>RTD</t>
        </is>
      </c>
      <c r="B110" s="9" t="inlineStr">
        <is>
          <t>29103-ET-V004-1-R-1</t>
        </is>
      </c>
      <c r="C110" s="9" t="inlineStr">
        <is>
          <t>29103-ET-V004-1</t>
        </is>
      </c>
      <c r="D110" s="9" t="inlineStr">
        <is>
          <t>29103-HTP-102 HTC-30</t>
        </is>
      </c>
      <c r="E110" s="9" t="inlineStr"/>
      <c r="F110" s="9" t="inlineStr"/>
      <c r="G110" s="9" t="inlineStr">
        <is>
          <t>13.2</t>
        </is>
      </c>
      <c r="H110" s="9" t="inlineStr">
        <is>
          <t>29103-ET-V004-1-R-1.pdf</t>
        </is>
      </c>
      <c r="I110" s="4" t="str">
        <f>IF($H110&lt;&gt;"","YES","NO")</f>
        <v>YES</v>
      </c>
      <c r="J110" s="4" t="str">
        <f>IF(N($T110)&gt;0,"YES","NO")</f>
        <v>NO</v>
      </c>
      <c r="K110" s="4" t="str">
        <f>IF(OR($A110="EHT Trace"),IF(AND($U110&lt;&gt;"",$V110&lt;&gt;""),"YES","NO"),"N/A")</f>
        <v>N/A</v>
      </c>
      <c r="L110" s="4" t="str">
        <f>IF(OR($A110="EHT Trace"),IF(AND($X110&lt;&gt;"",$Y110&lt;&gt;""),"YES","NO"),"N/A")</f>
        <v>N/A</v>
      </c>
      <c r="M110" s="4" t="str">
        <f>IF(OR($A110="EHT Trace"),IF(AND($AA110&lt;&gt;"",$AB110&lt;&gt;""),"YES","NO"),"N/A")</f>
        <v>N/A</v>
      </c>
      <c r="N110" s="4" t="str">
        <f>IF(OR($A110="Power Cable"),IF(AND($AD110&lt;&gt;""),"YES","NO"),"N/A")</f>
        <v>N/A</v>
      </c>
      <c r="O110" s="4" t="str">
        <f>IF(OR($A110="Power Cable",$A110="RTD Cable",$A110="Fieldbus Cable"),IF(AND($AE110&lt;&gt;""),"YES","NO"),"N/A")</f>
        <v>N/A</v>
      </c>
      <c r="P110" s="4" t="str">
        <f>IF(OR($A110="RTD"),IF(AND($AH110&lt;&gt;""),"YES","NO"),"N/A")</f>
        <v>NO</v>
      </c>
      <c r="Q110" s="4" t="str">
        <f>IF(OR($A110="RTD"),IF(AND($AI110&lt;&gt;""),"YES","NO"),"N/A")</f>
        <v>NO</v>
      </c>
      <c r="R110" s="4" t="str">
        <f>IF(OR($AM110&lt;&gt;"",$Z110&lt;&gt;"",$AC110&lt;&gt;""),"YES","NO")</f>
        <v>NO</v>
      </c>
      <c r="S110" s="4" t="str">
        <f>IF(COUNTIF(I110:R110,"NO")=0,"YES","NO")</f>
        <v>NO</v>
      </c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inlineStr">
        <is>
          <t>Levy Ostrup</t>
        </is>
      </c>
      <c r="AM110" s="9" t="n"/>
      <c r="AN110" s="9" t="n"/>
    </row>
    <row r="111">
      <c r="A111" s="9" t="inlineStr">
        <is>
          <t>RTD</t>
        </is>
      </c>
      <c r="B111" s="9" t="inlineStr">
        <is>
          <t>29103-ET-V004-1-R-2</t>
        </is>
      </c>
      <c r="C111" s="9" t="inlineStr">
        <is>
          <t>29103-ET-V004-1</t>
        </is>
      </c>
      <c r="D111" s="9" t="inlineStr">
        <is>
          <t>29103-HTP-102 HTC-32</t>
        </is>
      </c>
      <c r="E111" s="9" t="inlineStr"/>
      <c r="F111" s="9" t="inlineStr"/>
      <c r="G111" s="9" t="inlineStr">
        <is>
          <t>13.2</t>
        </is>
      </c>
      <c r="H111" s="9" t="inlineStr">
        <is>
          <t>29103-ET-V004-1-R-2.pdf</t>
        </is>
      </c>
      <c r="I111" s="4" t="str">
        <f>IF($H111&lt;&gt;"","YES","NO")</f>
        <v>YES</v>
      </c>
      <c r="J111" s="4" t="str">
        <f>IF(N($T111)&gt;0,"YES","NO")</f>
        <v>NO</v>
      </c>
      <c r="K111" s="4" t="str">
        <f>IF(OR($A111="EHT Trace"),IF(AND($U111&lt;&gt;"",$V111&lt;&gt;""),"YES","NO"),"N/A")</f>
        <v>N/A</v>
      </c>
      <c r="L111" s="4" t="str">
        <f>IF(OR($A111="EHT Trace"),IF(AND($X111&lt;&gt;"",$Y111&lt;&gt;""),"YES","NO"),"N/A")</f>
        <v>N/A</v>
      </c>
      <c r="M111" s="4" t="str">
        <f>IF(OR($A111="EHT Trace"),IF(AND($AA111&lt;&gt;"",$AB111&lt;&gt;""),"YES","NO"),"N/A")</f>
        <v>N/A</v>
      </c>
      <c r="N111" s="4" t="str">
        <f>IF(OR($A111="Power Cable"),IF(AND($AD111&lt;&gt;""),"YES","NO"),"N/A")</f>
        <v>N/A</v>
      </c>
      <c r="O111" s="4" t="str">
        <f>IF(OR($A111="Power Cable",$A111="RTD Cable",$A111="Fieldbus Cable"),IF(AND($AE111&lt;&gt;""),"YES","NO"),"N/A")</f>
        <v>N/A</v>
      </c>
      <c r="P111" s="4" t="str">
        <f>IF(OR($A111="RTD"),IF(AND($AH111&lt;&gt;""),"YES","NO"),"N/A")</f>
        <v>NO</v>
      </c>
      <c r="Q111" s="4" t="str">
        <f>IF(OR($A111="RTD"),IF(AND($AI111&lt;&gt;""),"YES","NO"),"N/A")</f>
        <v>NO</v>
      </c>
      <c r="R111" s="4" t="str">
        <f>IF(OR($AM111&lt;&gt;"",$Z111&lt;&gt;"",$AC111&lt;&gt;""),"YES","NO")</f>
        <v>NO</v>
      </c>
      <c r="S111" s="4" t="str">
        <f>IF(COUNTIF(I111:R111,"NO")=0,"YES","NO")</f>
        <v>NO</v>
      </c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inlineStr">
        <is>
          <t>Levy Ostrup</t>
        </is>
      </c>
      <c r="AM111" s="9" t="n"/>
      <c r="AN111" s="9" t="n"/>
    </row>
    <row r="112">
      <c r="A112" s="9" t="inlineStr">
        <is>
          <t>RTD</t>
        </is>
      </c>
      <c r="B112" s="9" t="inlineStr">
        <is>
          <t>29103-ET-V1900-1-R-1</t>
        </is>
      </c>
      <c r="C112" s="9" t="inlineStr">
        <is>
          <t>29103-ET-V1900-1</t>
        </is>
      </c>
      <c r="D112" s="9" t="inlineStr">
        <is>
          <t>29103-HTP-102 HTC-17</t>
        </is>
      </c>
      <c r="E112" s="9" t="inlineStr"/>
      <c r="F112" s="9" t="inlineStr">
        <is>
          <t>29103-65R-ET-V1900-01-01</t>
        </is>
      </c>
      <c r="G112" s="9" t="inlineStr">
        <is>
          <t>13.2</t>
        </is>
      </c>
      <c r="H112" s="9" t="inlineStr">
        <is>
          <t>29103-ET-V1900-1-R-1.pdf</t>
        </is>
      </c>
      <c r="I112" s="4" t="str">
        <f>IF($H112&lt;&gt;"","YES","NO")</f>
        <v>YES</v>
      </c>
      <c r="J112" s="4" t="str">
        <f>IF(N($T112)&gt;0,"YES","NO")</f>
        <v>NO</v>
      </c>
      <c r="K112" s="4" t="str">
        <f>IF(OR($A112="EHT Trace"),IF(AND($U112&lt;&gt;"",$V112&lt;&gt;""),"YES","NO"),"N/A")</f>
        <v>N/A</v>
      </c>
      <c r="L112" s="4" t="str">
        <f>IF(OR($A112="EHT Trace"),IF(AND($X112&lt;&gt;"",$Y112&lt;&gt;""),"YES","NO"),"N/A")</f>
        <v>N/A</v>
      </c>
      <c r="M112" s="4" t="str">
        <f>IF(OR($A112="EHT Trace"),IF(AND($AA112&lt;&gt;"",$AB112&lt;&gt;""),"YES","NO"),"N/A")</f>
        <v>N/A</v>
      </c>
      <c r="N112" s="4" t="str">
        <f>IF(OR($A112="Power Cable"),IF(AND($AD112&lt;&gt;""),"YES","NO"),"N/A")</f>
        <v>N/A</v>
      </c>
      <c r="O112" s="4" t="str">
        <f>IF(OR($A112="Power Cable",$A112="RTD Cable",$A112="Fieldbus Cable"),IF(AND($AE112&lt;&gt;""),"YES","NO"),"N/A")</f>
        <v>N/A</v>
      </c>
      <c r="P112" s="4" t="str">
        <f>IF(OR($A112="RTD"),IF(AND($AH112&lt;&gt;""),"YES","NO"),"N/A")</f>
        <v>NO</v>
      </c>
      <c r="Q112" s="4" t="str">
        <f>IF(OR($A112="RTD"),IF(AND($AI112&lt;&gt;""),"YES","NO"),"N/A")</f>
        <v>NO</v>
      </c>
      <c r="R112" s="4" t="str">
        <f>IF(OR($AM112&lt;&gt;"",$Z112&lt;&gt;"",$AC112&lt;&gt;""),"YES","NO")</f>
        <v>NO</v>
      </c>
      <c r="S112" s="4" t="str">
        <f>IF(COUNTIF(I112:R112,"NO")=0,"YES","NO")</f>
        <v>NO</v>
      </c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inlineStr">
        <is>
          <t>Levy Ostrup</t>
        </is>
      </c>
      <c r="AM112" s="9" t="n"/>
      <c r="AN112" s="9" t="n"/>
    </row>
    <row r="113">
      <c r="A113" s="9" t="inlineStr">
        <is>
          <t>RTD</t>
        </is>
      </c>
      <c r="B113" s="9" t="inlineStr">
        <is>
          <t>29209-ET-P6020-1-R-1</t>
        </is>
      </c>
      <c r="C113" s="9" t="inlineStr">
        <is>
          <t>29209-ET-P6020-1</t>
        </is>
      </c>
      <c r="D113" s="9" t="inlineStr">
        <is>
          <t>29103-HTP-102 HTC-23</t>
        </is>
      </c>
      <c r="E113" s="9" t="inlineStr">
        <is>
          <t>PRODUCED EMULSION</t>
        </is>
      </c>
      <c r="F113" s="9" t="inlineStr">
        <is>
          <t>29209-65R-ET-P6020-01-01</t>
        </is>
      </c>
      <c r="G113" s="9" t="inlineStr">
        <is>
          <t>13.2</t>
        </is>
      </c>
      <c r="H113" s="9" t="inlineStr">
        <is>
          <t>29209-ET-P6020-1-R-1.pdf</t>
        </is>
      </c>
      <c r="I113" s="4" t="str">
        <f>IF($H113&lt;&gt;"","YES","NO")</f>
        <v>YES</v>
      </c>
      <c r="J113" s="4" t="str">
        <f>IF(N($T113)&gt;0,"YES","NO")</f>
        <v>NO</v>
      </c>
      <c r="K113" s="4" t="str">
        <f>IF(OR($A113="EHT Trace"),IF(AND($U113&lt;&gt;"",$V113&lt;&gt;""),"YES","NO"),"N/A")</f>
        <v>N/A</v>
      </c>
      <c r="L113" s="4" t="str">
        <f>IF(OR($A113="EHT Trace"),IF(AND($X113&lt;&gt;"",$Y113&lt;&gt;""),"YES","NO"),"N/A")</f>
        <v>N/A</v>
      </c>
      <c r="M113" s="4" t="str">
        <f>IF(OR($A113="EHT Trace"),IF(AND($AA113&lt;&gt;"",$AB113&lt;&gt;""),"YES","NO"),"N/A")</f>
        <v>N/A</v>
      </c>
      <c r="N113" s="4" t="str">
        <f>IF(OR($A113="Power Cable"),IF(AND($AD113&lt;&gt;""),"YES","NO"),"N/A")</f>
        <v>N/A</v>
      </c>
      <c r="O113" s="4" t="str">
        <f>IF(OR($A113="Power Cable",$A113="RTD Cable",$A113="Fieldbus Cable"),IF(AND($AE113&lt;&gt;""),"YES","NO"),"N/A")</f>
        <v>N/A</v>
      </c>
      <c r="P113" s="4" t="str">
        <f>IF(OR($A113="RTD"),IF(AND($AH113&lt;&gt;""),"YES","NO"),"N/A")</f>
        <v>NO</v>
      </c>
      <c r="Q113" s="4" t="str">
        <f>IF(OR($A113="RTD"),IF(AND($AI113&lt;&gt;""),"YES","NO"),"N/A")</f>
        <v>NO</v>
      </c>
      <c r="R113" s="4" t="str">
        <f>IF(OR($AM113&lt;&gt;"",$Z113&lt;&gt;"",$AC113&lt;&gt;""),"YES","NO")</f>
        <v>NO</v>
      </c>
      <c r="S113" s="4" t="str">
        <f>IF(COUNTIF(I113:R113,"NO")=0,"YES","NO")</f>
        <v>NO</v>
      </c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inlineStr">
        <is>
          <t>Levy Ostrup</t>
        </is>
      </c>
      <c r="AM113" s="9" t="n"/>
      <c r="AN113" s="9" t="n"/>
    </row>
    <row r="114">
      <c r="A114" s="9" t="inlineStr">
        <is>
          <t>RTD</t>
        </is>
      </c>
      <c r="B114" s="9" t="inlineStr">
        <is>
          <t>29209-ET-P6020-1-R-2</t>
        </is>
      </c>
      <c r="C114" s="9" t="inlineStr">
        <is>
          <t>29209-ET-P6020-1</t>
        </is>
      </c>
      <c r="D114" s="9" t="inlineStr">
        <is>
          <t>29103-HTP-102 HTC-38</t>
        </is>
      </c>
      <c r="E114" s="9" t="inlineStr">
        <is>
          <t>PRODUCED EMULSION</t>
        </is>
      </c>
      <c r="F114" s="9" t="inlineStr">
        <is>
          <t>29209-65R-ET-P6020-01-01</t>
        </is>
      </c>
      <c r="G114" s="9" t="inlineStr">
        <is>
          <t>13.2</t>
        </is>
      </c>
      <c r="H114" s="9" t="inlineStr">
        <is>
          <t>29209-ET-P6020-1-R-2.pdf</t>
        </is>
      </c>
      <c r="I114" s="4" t="str">
        <f>IF($H114&lt;&gt;"","YES","NO")</f>
        <v>YES</v>
      </c>
      <c r="J114" s="4" t="str">
        <f>IF(N($T114)&gt;0,"YES","NO")</f>
        <v>NO</v>
      </c>
      <c r="K114" s="4" t="str">
        <f>IF(OR($A114="EHT Trace"),IF(AND($U114&lt;&gt;"",$V114&lt;&gt;""),"YES","NO"),"N/A")</f>
        <v>N/A</v>
      </c>
      <c r="L114" s="4" t="str">
        <f>IF(OR($A114="EHT Trace"),IF(AND($X114&lt;&gt;"",$Y114&lt;&gt;""),"YES","NO"),"N/A")</f>
        <v>N/A</v>
      </c>
      <c r="M114" s="4" t="str">
        <f>IF(OR($A114="EHT Trace"),IF(AND($AA114&lt;&gt;"",$AB114&lt;&gt;""),"YES","NO"),"N/A")</f>
        <v>N/A</v>
      </c>
      <c r="N114" s="4" t="str">
        <f>IF(OR($A114="Power Cable"),IF(AND($AD114&lt;&gt;""),"YES","NO"),"N/A")</f>
        <v>N/A</v>
      </c>
      <c r="O114" s="4" t="str">
        <f>IF(OR($A114="Power Cable",$A114="RTD Cable",$A114="Fieldbus Cable"),IF(AND($AE114&lt;&gt;""),"YES","NO"),"N/A")</f>
        <v>N/A</v>
      </c>
      <c r="P114" s="4" t="str">
        <f>IF(OR($A114="RTD"),IF(AND($AH114&lt;&gt;""),"YES","NO"),"N/A")</f>
        <v>NO</v>
      </c>
      <c r="Q114" s="4" t="str">
        <f>IF(OR($A114="RTD"),IF(AND($AI114&lt;&gt;""),"YES","NO"),"N/A")</f>
        <v>NO</v>
      </c>
      <c r="R114" s="4" t="str">
        <f>IF(OR($AM114&lt;&gt;"",$Z114&lt;&gt;"",$AC114&lt;&gt;""),"YES","NO")</f>
        <v>NO</v>
      </c>
      <c r="S114" s="4" t="str">
        <f>IF(COUNTIF(I114:R114,"NO")=0,"YES","NO")</f>
        <v>NO</v>
      </c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inlineStr">
        <is>
          <t>Levy Ostrup</t>
        </is>
      </c>
      <c r="AM114" s="9" t="n"/>
      <c r="AN114" s="9" t="n"/>
    </row>
    <row r="115">
      <c r="A115" s="9" t="inlineStr">
        <is>
          <t>RTD</t>
        </is>
      </c>
      <c r="B115" s="9" t="inlineStr">
        <is>
          <t>29209-ET-P6021-1-R-1</t>
        </is>
      </c>
      <c r="C115" s="9" t="inlineStr">
        <is>
          <t>29209-ET-P6021-1</t>
        </is>
      </c>
      <c r="D115" s="9" t="inlineStr">
        <is>
          <t>29103-HTP-102 HTC-18</t>
        </is>
      </c>
      <c r="E115" s="9" t="inlineStr">
        <is>
          <t>PRODUCED EMULSION</t>
        </is>
      </c>
      <c r="F115" s="9" t="inlineStr">
        <is>
          <t>29209-65R-ET-P6021-01-01</t>
        </is>
      </c>
      <c r="G115" s="9" t="inlineStr">
        <is>
          <t>13.2</t>
        </is>
      </c>
      <c r="H115" s="9" t="inlineStr">
        <is>
          <t>29209-ET-P6021-1-R-1.pdf</t>
        </is>
      </c>
      <c r="I115" s="4" t="str">
        <f>IF($H115&lt;&gt;"","YES","NO")</f>
        <v>YES</v>
      </c>
      <c r="J115" s="4" t="str">
        <f>IF(N($T115)&gt;0,"YES","NO")</f>
        <v>NO</v>
      </c>
      <c r="K115" s="4" t="str">
        <f>IF(OR($A115="EHT Trace"),IF(AND($U115&lt;&gt;"",$V115&lt;&gt;""),"YES","NO"),"N/A")</f>
        <v>N/A</v>
      </c>
      <c r="L115" s="4" t="str">
        <f>IF(OR($A115="EHT Trace"),IF(AND($X115&lt;&gt;"",$Y115&lt;&gt;""),"YES","NO"),"N/A")</f>
        <v>N/A</v>
      </c>
      <c r="M115" s="4" t="str">
        <f>IF(OR($A115="EHT Trace"),IF(AND($AA115&lt;&gt;"",$AB115&lt;&gt;""),"YES","NO"),"N/A")</f>
        <v>N/A</v>
      </c>
      <c r="N115" s="4" t="str">
        <f>IF(OR($A115="Power Cable"),IF(AND($AD115&lt;&gt;""),"YES","NO"),"N/A")</f>
        <v>N/A</v>
      </c>
      <c r="O115" s="4" t="str">
        <f>IF(OR($A115="Power Cable",$A115="RTD Cable",$A115="Fieldbus Cable"),IF(AND($AE115&lt;&gt;""),"YES","NO"),"N/A")</f>
        <v>N/A</v>
      </c>
      <c r="P115" s="4" t="str">
        <f>IF(OR($A115="RTD"),IF(AND($AH115&lt;&gt;""),"YES","NO"),"N/A")</f>
        <v>NO</v>
      </c>
      <c r="Q115" s="4" t="str">
        <f>IF(OR($A115="RTD"),IF(AND($AI115&lt;&gt;""),"YES","NO"),"N/A")</f>
        <v>NO</v>
      </c>
      <c r="R115" s="4" t="str">
        <f>IF(OR($AM115&lt;&gt;"",$Z115&lt;&gt;"",$AC115&lt;&gt;""),"YES","NO")</f>
        <v>NO</v>
      </c>
      <c r="S115" s="4" t="str">
        <f>IF(COUNTIF(I115:R115,"NO")=0,"YES","NO")</f>
        <v>NO</v>
      </c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inlineStr">
        <is>
          <t>Levy Ostrup</t>
        </is>
      </c>
      <c r="AM115" s="9" t="n"/>
      <c r="AN115" s="9" t="n"/>
    </row>
    <row r="116">
      <c r="A116" s="9" t="inlineStr">
        <is>
          <t>RTD</t>
        </is>
      </c>
      <c r="B116" s="9" t="inlineStr">
        <is>
          <t>29209-ET-P6021-1-R-2</t>
        </is>
      </c>
      <c r="C116" s="9" t="inlineStr">
        <is>
          <t>29209-ET-P6021-1</t>
        </is>
      </c>
      <c r="D116" s="9" t="inlineStr">
        <is>
          <t>29103-HTP-102 HTC-39</t>
        </is>
      </c>
      <c r="E116" s="9" t="inlineStr">
        <is>
          <t>PRODUCED EMULSION</t>
        </is>
      </c>
      <c r="F116" s="9" t="inlineStr">
        <is>
          <t>29209-65R-ET-P6021-01-01</t>
        </is>
      </c>
      <c r="G116" s="9" t="inlineStr">
        <is>
          <t>13.2</t>
        </is>
      </c>
      <c r="H116" s="9" t="inlineStr">
        <is>
          <t>29209-ET-P6021-1-R-2.pdf</t>
        </is>
      </c>
      <c r="I116" s="4" t="str">
        <f>IF($H116&lt;&gt;"","YES","NO")</f>
        <v>YES</v>
      </c>
      <c r="J116" s="4" t="str">
        <f>IF(N($T116)&gt;0,"YES","NO")</f>
        <v>NO</v>
      </c>
      <c r="K116" s="4" t="str">
        <f>IF(OR($A116="EHT Trace"),IF(AND($U116&lt;&gt;"",$V116&lt;&gt;""),"YES","NO"),"N/A")</f>
        <v>N/A</v>
      </c>
      <c r="L116" s="4" t="str">
        <f>IF(OR($A116="EHT Trace"),IF(AND($X116&lt;&gt;"",$Y116&lt;&gt;""),"YES","NO"),"N/A")</f>
        <v>N/A</v>
      </c>
      <c r="M116" s="4" t="str">
        <f>IF(OR($A116="EHT Trace"),IF(AND($AA116&lt;&gt;"",$AB116&lt;&gt;""),"YES","NO"),"N/A")</f>
        <v>N/A</v>
      </c>
      <c r="N116" s="4" t="str">
        <f>IF(OR($A116="Power Cable"),IF(AND($AD116&lt;&gt;""),"YES","NO"),"N/A")</f>
        <v>N/A</v>
      </c>
      <c r="O116" s="4" t="str">
        <f>IF(OR($A116="Power Cable",$A116="RTD Cable",$A116="Fieldbus Cable"),IF(AND($AE116&lt;&gt;""),"YES","NO"),"N/A")</f>
        <v>N/A</v>
      </c>
      <c r="P116" s="4" t="str">
        <f>IF(OR($A116="RTD"),IF(AND($AH116&lt;&gt;""),"YES","NO"),"N/A")</f>
        <v>NO</v>
      </c>
      <c r="Q116" s="4" t="str">
        <f>IF(OR($A116="RTD"),IF(AND($AI116&lt;&gt;""),"YES","NO"),"N/A")</f>
        <v>NO</v>
      </c>
      <c r="R116" s="4" t="str">
        <f>IF(OR($AM116&lt;&gt;"",$Z116&lt;&gt;"",$AC116&lt;&gt;""),"YES","NO")</f>
        <v>NO</v>
      </c>
      <c r="S116" s="4" t="str">
        <f>IF(COUNTIF(I116:R116,"NO")=0,"YES","NO")</f>
        <v>NO</v>
      </c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inlineStr">
        <is>
          <t>Levy Ostrup</t>
        </is>
      </c>
      <c r="AM116" s="9" t="n"/>
      <c r="AN116" s="9" t="n"/>
    </row>
    <row r="117">
      <c r="A117" s="9" t="inlineStr">
        <is>
          <t>RTD</t>
        </is>
      </c>
      <c r="B117" s="9" t="inlineStr">
        <is>
          <t>29209-ET-P6022-1-R-1</t>
        </is>
      </c>
      <c r="C117" s="9" t="inlineStr">
        <is>
          <t>29209-ET-P6022-1</t>
        </is>
      </c>
      <c r="D117" s="9" t="inlineStr">
        <is>
          <t>29103-HTP-102 HTC-21</t>
        </is>
      </c>
      <c r="E117" s="9" t="inlineStr">
        <is>
          <t>PRODUCED EMULSION</t>
        </is>
      </c>
      <c r="F117" s="9" t="inlineStr">
        <is>
          <t>29209-65R-ET-P6022-01-01</t>
        </is>
      </c>
      <c r="G117" s="9" t="inlineStr">
        <is>
          <t>13.2</t>
        </is>
      </c>
      <c r="H117" s="9" t="inlineStr">
        <is>
          <t>29209-ET-P6022-1-R-1.pdf</t>
        </is>
      </c>
      <c r="I117" s="4" t="str">
        <f>IF($H117&lt;&gt;"","YES","NO")</f>
        <v>YES</v>
      </c>
      <c r="J117" s="4" t="str">
        <f>IF(N($T117)&gt;0,"YES","NO")</f>
        <v>NO</v>
      </c>
      <c r="K117" s="4" t="str">
        <f>IF(OR($A117="EHT Trace"),IF(AND($U117&lt;&gt;"",$V117&lt;&gt;""),"YES","NO"),"N/A")</f>
        <v>N/A</v>
      </c>
      <c r="L117" s="4" t="str">
        <f>IF(OR($A117="EHT Trace"),IF(AND($X117&lt;&gt;"",$Y117&lt;&gt;""),"YES","NO"),"N/A")</f>
        <v>N/A</v>
      </c>
      <c r="M117" s="4" t="str">
        <f>IF(OR($A117="EHT Trace"),IF(AND($AA117&lt;&gt;"",$AB117&lt;&gt;""),"YES","NO"),"N/A")</f>
        <v>N/A</v>
      </c>
      <c r="N117" s="4" t="str">
        <f>IF(OR($A117="Power Cable"),IF(AND($AD117&lt;&gt;""),"YES","NO"),"N/A")</f>
        <v>N/A</v>
      </c>
      <c r="O117" s="4" t="str">
        <f>IF(OR($A117="Power Cable",$A117="RTD Cable",$A117="Fieldbus Cable"),IF(AND($AE117&lt;&gt;""),"YES","NO"),"N/A")</f>
        <v>N/A</v>
      </c>
      <c r="P117" s="4" t="str">
        <f>IF(OR($A117="RTD"),IF(AND($AH117&lt;&gt;""),"YES","NO"),"N/A")</f>
        <v>NO</v>
      </c>
      <c r="Q117" s="4" t="str">
        <f>IF(OR($A117="RTD"),IF(AND($AI117&lt;&gt;""),"YES","NO"),"N/A")</f>
        <v>NO</v>
      </c>
      <c r="R117" s="4" t="str">
        <f>IF(OR($AM117&lt;&gt;"",$Z117&lt;&gt;"",$AC117&lt;&gt;""),"YES","NO")</f>
        <v>NO</v>
      </c>
      <c r="S117" s="4" t="str">
        <f>IF(COUNTIF(I117:R117,"NO")=0,"YES","NO")</f>
        <v>NO</v>
      </c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inlineStr">
        <is>
          <t>Levy Ostrup</t>
        </is>
      </c>
      <c r="AM117" s="9" t="n"/>
      <c r="AN117" s="9" t="n"/>
    </row>
    <row r="118">
      <c r="A118" s="9" t="inlineStr">
        <is>
          <t>RTD</t>
        </is>
      </c>
      <c r="B118" s="9" t="inlineStr">
        <is>
          <t>29209-ET-P6022-1-R-2</t>
        </is>
      </c>
      <c r="C118" s="9" t="inlineStr">
        <is>
          <t>29209-ET-P6022-1</t>
        </is>
      </c>
      <c r="D118" s="9" t="inlineStr">
        <is>
          <t>29103-HTP-102 HTC-40</t>
        </is>
      </c>
      <c r="E118" s="9" t="inlineStr">
        <is>
          <t>PRODUCED EMULSION</t>
        </is>
      </c>
      <c r="F118" s="9" t="inlineStr">
        <is>
          <t>29209-65R-ET-P6022-01-01</t>
        </is>
      </c>
      <c r="G118" s="9" t="inlineStr">
        <is>
          <t>13.2</t>
        </is>
      </c>
      <c r="H118" s="9" t="inlineStr">
        <is>
          <t>29209-ET-P6022-1-R-2.pdf</t>
        </is>
      </c>
      <c r="I118" s="4" t="str">
        <f>IF($H118&lt;&gt;"","YES","NO")</f>
        <v>YES</v>
      </c>
      <c r="J118" s="4" t="str">
        <f>IF(N($T118)&gt;0,"YES","NO")</f>
        <v>NO</v>
      </c>
      <c r="K118" s="4" t="str">
        <f>IF(OR($A118="EHT Trace"),IF(AND($U118&lt;&gt;"",$V118&lt;&gt;""),"YES","NO"),"N/A")</f>
        <v>N/A</v>
      </c>
      <c r="L118" s="4" t="str">
        <f>IF(OR($A118="EHT Trace"),IF(AND($X118&lt;&gt;"",$Y118&lt;&gt;""),"YES","NO"),"N/A")</f>
        <v>N/A</v>
      </c>
      <c r="M118" s="4" t="str">
        <f>IF(OR($A118="EHT Trace"),IF(AND($AA118&lt;&gt;"",$AB118&lt;&gt;""),"YES","NO"),"N/A")</f>
        <v>N/A</v>
      </c>
      <c r="N118" s="4" t="str">
        <f>IF(OR($A118="Power Cable"),IF(AND($AD118&lt;&gt;""),"YES","NO"),"N/A")</f>
        <v>N/A</v>
      </c>
      <c r="O118" s="4" t="str">
        <f>IF(OR($A118="Power Cable",$A118="RTD Cable",$A118="Fieldbus Cable"),IF(AND($AE118&lt;&gt;""),"YES","NO"),"N/A")</f>
        <v>N/A</v>
      </c>
      <c r="P118" s="4" t="str">
        <f>IF(OR($A118="RTD"),IF(AND($AH118&lt;&gt;""),"YES","NO"),"N/A")</f>
        <v>NO</v>
      </c>
      <c r="Q118" s="4" t="str">
        <f>IF(OR($A118="RTD"),IF(AND($AI118&lt;&gt;""),"YES","NO"),"N/A")</f>
        <v>NO</v>
      </c>
      <c r="R118" s="4" t="str">
        <f>IF(OR($AM118&lt;&gt;"",$Z118&lt;&gt;"",$AC118&lt;&gt;""),"YES","NO")</f>
        <v>NO</v>
      </c>
      <c r="S118" s="4" t="str">
        <f>IF(COUNTIF(I118:R118,"NO")=0,"YES","NO")</f>
        <v>NO</v>
      </c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inlineStr">
        <is>
          <t>Levy Ostrup</t>
        </is>
      </c>
      <c r="AM118" s="9" t="n"/>
      <c r="AN118" s="9" t="n"/>
    </row>
    <row r="119">
      <c r="A119" s="9" t="inlineStr">
        <is>
          <t>RTD</t>
        </is>
      </c>
      <c r="B119" s="9" t="inlineStr">
        <is>
          <t>29209-ET-PG6003-1-R-1</t>
        </is>
      </c>
      <c r="C119" s="9" t="inlineStr">
        <is>
          <t>29209-ET-PG6003-1</t>
        </is>
      </c>
      <c r="D119" s="9" t="inlineStr">
        <is>
          <t>29103-HTP-102 HTC-27</t>
        </is>
      </c>
      <c r="E119" s="9" t="inlineStr">
        <is>
          <t>PRODUCED GAS</t>
        </is>
      </c>
      <c r="F119" s="9" t="inlineStr">
        <is>
          <t>29209-65R-ET-PG6003-01-01</t>
        </is>
      </c>
      <c r="G119" s="9" t="inlineStr">
        <is>
          <t>13.2</t>
        </is>
      </c>
      <c r="H119" s="9" t="inlineStr">
        <is>
          <t>29209-ET-PG6003-1-R-1.pdf</t>
        </is>
      </c>
      <c r="I119" s="4" t="str">
        <f>IF($H119&lt;&gt;"","YES","NO")</f>
        <v>YES</v>
      </c>
      <c r="J119" s="4" t="str">
        <f>IF(N($T119)&gt;0,"YES","NO")</f>
        <v>NO</v>
      </c>
      <c r="K119" s="4" t="str">
        <f>IF(OR($A119="EHT Trace"),IF(AND($U119&lt;&gt;"",$V119&lt;&gt;""),"YES","NO"),"N/A")</f>
        <v>N/A</v>
      </c>
      <c r="L119" s="4" t="str">
        <f>IF(OR($A119="EHT Trace"),IF(AND($X119&lt;&gt;"",$Y119&lt;&gt;""),"YES","NO"),"N/A")</f>
        <v>N/A</v>
      </c>
      <c r="M119" s="4" t="str">
        <f>IF(OR($A119="EHT Trace"),IF(AND($AA119&lt;&gt;"",$AB119&lt;&gt;""),"YES","NO"),"N/A")</f>
        <v>N/A</v>
      </c>
      <c r="N119" s="4" t="str">
        <f>IF(OR($A119="Power Cable"),IF(AND($AD119&lt;&gt;""),"YES","NO"),"N/A")</f>
        <v>N/A</v>
      </c>
      <c r="O119" s="4" t="str">
        <f>IF(OR($A119="Power Cable",$A119="RTD Cable",$A119="Fieldbus Cable"),IF(AND($AE119&lt;&gt;""),"YES","NO"),"N/A")</f>
        <v>N/A</v>
      </c>
      <c r="P119" s="4" t="str">
        <f>IF(OR($A119="RTD"),IF(AND($AH119&lt;&gt;""),"YES","NO"),"N/A")</f>
        <v>NO</v>
      </c>
      <c r="Q119" s="4" t="str">
        <f>IF(OR($A119="RTD"),IF(AND($AI119&lt;&gt;""),"YES","NO"),"N/A")</f>
        <v>NO</v>
      </c>
      <c r="R119" s="4" t="str">
        <f>IF(OR($AM119&lt;&gt;"",$Z119&lt;&gt;"",$AC119&lt;&gt;""),"YES","NO")</f>
        <v>NO</v>
      </c>
      <c r="S119" s="4" t="str">
        <f>IF(COUNTIF(I119:R119,"NO")=0,"YES","NO")</f>
        <v>NO</v>
      </c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inlineStr">
        <is>
          <t>Levy Ostrup</t>
        </is>
      </c>
      <c r="AM119" s="9" t="n"/>
      <c r="AN119" s="9" t="n"/>
    </row>
    <row r="120">
      <c r="A120" s="9" t="inlineStr">
        <is>
          <t>RTD</t>
        </is>
      </c>
      <c r="B120" s="9" t="inlineStr">
        <is>
          <t>29209-ET-PG6003-1-R-2</t>
        </is>
      </c>
      <c r="C120" s="9" t="inlineStr">
        <is>
          <t>29209-ET-PG6003-1</t>
        </is>
      </c>
      <c r="D120" s="9" t="inlineStr">
        <is>
          <t>29103-HTP-102 I/O-3-4</t>
        </is>
      </c>
      <c r="E120" s="9" t="inlineStr">
        <is>
          <t>PRODUCED GAS</t>
        </is>
      </c>
      <c r="F120" s="9" t="inlineStr">
        <is>
          <t>29209-65R-ET-PG6003-01-01</t>
        </is>
      </c>
      <c r="G120" s="9" t="inlineStr">
        <is>
          <t>13.2</t>
        </is>
      </c>
      <c r="H120" s="9" t="inlineStr">
        <is>
          <t>29209-ET-PG6003-1-R-2.pdf</t>
        </is>
      </c>
      <c r="I120" s="4" t="str">
        <f>IF($H120&lt;&gt;"","YES","NO")</f>
        <v>YES</v>
      </c>
      <c r="J120" s="4" t="str">
        <f>IF(N($T120)&gt;0,"YES","NO")</f>
        <v>NO</v>
      </c>
      <c r="K120" s="4" t="str">
        <f>IF(OR($A120="EHT Trace"),IF(AND($U120&lt;&gt;"",$V120&lt;&gt;""),"YES","NO"),"N/A")</f>
        <v>N/A</v>
      </c>
      <c r="L120" s="4" t="str">
        <f>IF(OR($A120="EHT Trace"),IF(AND($X120&lt;&gt;"",$Y120&lt;&gt;""),"YES","NO"),"N/A")</f>
        <v>N/A</v>
      </c>
      <c r="M120" s="4" t="str">
        <f>IF(OR($A120="EHT Trace"),IF(AND($AA120&lt;&gt;"",$AB120&lt;&gt;""),"YES","NO"),"N/A")</f>
        <v>N/A</v>
      </c>
      <c r="N120" s="4" t="str">
        <f>IF(OR($A120="Power Cable"),IF(AND($AD120&lt;&gt;""),"YES","NO"),"N/A")</f>
        <v>N/A</v>
      </c>
      <c r="O120" s="4" t="str">
        <f>IF(OR($A120="Power Cable",$A120="RTD Cable",$A120="Fieldbus Cable"),IF(AND($AE120&lt;&gt;""),"YES","NO"),"N/A")</f>
        <v>N/A</v>
      </c>
      <c r="P120" s="4" t="str">
        <f>IF(OR($A120="RTD"),IF(AND($AH120&lt;&gt;""),"YES","NO"),"N/A")</f>
        <v>NO</v>
      </c>
      <c r="Q120" s="4" t="str">
        <f>IF(OR($A120="RTD"),IF(AND($AI120&lt;&gt;""),"YES","NO"),"N/A")</f>
        <v>NO</v>
      </c>
      <c r="R120" s="4" t="str">
        <f>IF(OR($AM120&lt;&gt;"",$Z120&lt;&gt;"",$AC120&lt;&gt;""),"YES","NO")</f>
        <v>NO</v>
      </c>
      <c r="S120" s="4" t="str">
        <f>IF(COUNTIF(I120:R120,"NO")=0,"YES","NO")</f>
        <v>NO</v>
      </c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inlineStr">
        <is>
          <t>Levy Ostrup</t>
        </is>
      </c>
      <c r="AM120" s="9" t="n"/>
      <c r="AN120" s="9" t="n"/>
    </row>
    <row r="121">
      <c r="A121" s="9" t="inlineStr">
        <is>
          <t>RTD Cable</t>
        </is>
      </c>
      <c r="B121" s="9" t="inlineStr">
        <is>
          <t>29103-ET-HC1901-1-R-1</t>
        </is>
      </c>
      <c r="C121" s="9" t="inlineStr">
        <is>
          <t>29103-ET-HC1901-1</t>
        </is>
      </c>
      <c r="D121" s="9" t="inlineStr">
        <is>
          <t>29103-HTP-102 HTC-05</t>
        </is>
      </c>
      <c r="E121" s="9" t="inlineStr">
        <is>
          <t>29103-HTP-102</t>
        </is>
      </c>
      <c r="F121" s="9" t="inlineStr"/>
      <c r="G121" s="9" t="inlineStr">
        <is>
          <t>113</t>
        </is>
      </c>
      <c r="H121" s="9" t="inlineStr">
        <is>
          <t>29103-ET-HC1901-1-R-1.pdf</t>
        </is>
      </c>
      <c r="I121" s="4" t="str">
        <f>IF($H121&lt;&gt;"","YES","NO")</f>
        <v>YES</v>
      </c>
      <c r="J121" s="4" t="str">
        <f>IF(N($T121)&gt;0,"YES","NO")</f>
        <v>NO</v>
      </c>
      <c r="K121" s="4" t="str">
        <f>IF(OR($A121="EHT Trace"),IF(AND($U121&lt;&gt;"",$V121&lt;&gt;""),"YES","NO"),"N/A")</f>
        <v>N/A</v>
      </c>
      <c r="L121" s="4" t="str">
        <f>IF(OR($A121="EHT Trace"),IF(AND($X121&lt;&gt;"",$Y121&lt;&gt;""),"YES","NO"),"N/A")</f>
        <v>N/A</v>
      </c>
      <c r="M121" s="4" t="str">
        <f>IF(OR($A121="EHT Trace"),IF(AND($AA121&lt;&gt;"",$AB121&lt;&gt;""),"YES","NO"),"N/A")</f>
        <v>N/A</v>
      </c>
      <c r="N121" s="4" t="str">
        <f>IF(OR($A121="Power Cable"),IF(AND($AD121&lt;&gt;""),"YES","NO"),"N/A")</f>
        <v>N/A</v>
      </c>
      <c r="O121" s="4" t="str">
        <f>IF(OR($A121="Power Cable",$A121="RTD Cable",$A121="Fieldbus Cable"),IF(AND($AE121&lt;&gt;""),"YES","NO"),"N/A")</f>
        <v>NO</v>
      </c>
      <c r="P121" s="4" t="str">
        <f>IF(OR($A121="RTD"),IF(AND($AH121&lt;&gt;""),"YES","NO"),"N/A")</f>
        <v>N/A</v>
      </c>
      <c r="Q121" s="4" t="str">
        <f>IF(OR($A121="RTD"),IF(AND($AI121&lt;&gt;""),"YES","NO"),"N/A")</f>
        <v>N/A</v>
      </c>
      <c r="R121" s="4" t="str">
        <f>IF(OR($AM121&lt;&gt;"",$Z121&lt;&gt;"",$AC121&lt;&gt;""),"YES","NO")</f>
        <v>NO</v>
      </c>
      <c r="S121" s="4" t="str">
        <f>IF(COUNTIF(I121:R121,"NO")=0,"YES","NO")</f>
        <v>NO</v>
      </c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inlineStr">
        <is>
          <t>ACIC</t>
        </is>
      </c>
      <c r="AK121" s="9" t="inlineStr">
        <is>
          <t>16AWG</t>
        </is>
      </c>
      <c r="AL121" s="9" t="inlineStr">
        <is>
          <t>Levy Ostrup</t>
        </is>
      </c>
      <c r="AM121" s="9" t="n"/>
      <c r="AN121" s="9" t="n"/>
    </row>
    <row r="122">
      <c r="A122" s="9" t="inlineStr">
        <is>
          <t>RTD Cable</t>
        </is>
      </c>
      <c r="B122" s="9" t="inlineStr">
        <is>
          <t>29103-ET-MT0001-1-R-1</t>
        </is>
      </c>
      <c r="C122" s="9" t="inlineStr">
        <is>
          <t>29103-ET-MT0001-1</t>
        </is>
      </c>
      <c r="D122" s="9" t="inlineStr">
        <is>
          <t>29103-HTP-102 HTC-09</t>
        </is>
      </c>
      <c r="E122" s="9" t="inlineStr">
        <is>
          <t>29103-HTP-102</t>
        </is>
      </c>
      <c r="F122" s="9" t="inlineStr"/>
      <c r="G122" s="9" t="inlineStr">
        <is>
          <t>113</t>
        </is>
      </c>
      <c r="H122" s="9" t="inlineStr">
        <is>
          <t>29103-ET-MT0001-1-R-1.pdf</t>
        </is>
      </c>
      <c r="I122" s="4" t="str">
        <f>IF($H122&lt;&gt;"","YES","NO")</f>
        <v>YES</v>
      </c>
      <c r="J122" s="4" t="str">
        <f>IF(N($T122)&gt;0,"YES","NO")</f>
        <v>NO</v>
      </c>
      <c r="K122" s="4" t="str">
        <f>IF(OR($A122="EHT Trace"),IF(AND($U122&lt;&gt;"",$V122&lt;&gt;""),"YES","NO"),"N/A")</f>
        <v>N/A</v>
      </c>
      <c r="L122" s="4" t="str">
        <f>IF(OR($A122="EHT Trace"),IF(AND($X122&lt;&gt;"",$Y122&lt;&gt;""),"YES","NO"),"N/A")</f>
        <v>N/A</v>
      </c>
      <c r="M122" s="4" t="str">
        <f>IF(OR($A122="EHT Trace"),IF(AND($AA122&lt;&gt;"",$AB122&lt;&gt;""),"YES","NO"),"N/A")</f>
        <v>N/A</v>
      </c>
      <c r="N122" s="4" t="str">
        <f>IF(OR($A122="Power Cable"),IF(AND($AD122&lt;&gt;""),"YES","NO"),"N/A")</f>
        <v>N/A</v>
      </c>
      <c r="O122" s="4" t="str">
        <f>IF(OR($A122="Power Cable",$A122="RTD Cable",$A122="Fieldbus Cable"),IF(AND($AE122&lt;&gt;""),"YES","NO"),"N/A")</f>
        <v>NO</v>
      </c>
      <c r="P122" s="4" t="str">
        <f>IF(OR($A122="RTD"),IF(AND($AH122&lt;&gt;""),"YES","NO"),"N/A")</f>
        <v>N/A</v>
      </c>
      <c r="Q122" s="4" t="str">
        <f>IF(OR($A122="RTD"),IF(AND($AI122&lt;&gt;""),"YES","NO"),"N/A")</f>
        <v>N/A</v>
      </c>
      <c r="R122" s="4" t="str">
        <f>IF(OR($AM122&lt;&gt;"",$Z122&lt;&gt;"",$AC122&lt;&gt;""),"YES","NO")</f>
        <v>NO</v>
      </c>
      <c r="S122" s="4" t="str">
        <f>IF(COUNTIF(I122:R122,"NO")=0,"YES","NO")</f>
        <v>NO</v>
      </c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inlineStr">
        <is>
          <t>ACIC</t>
        </is>
      </c>
      <c r="AK122" s="9" t="inlineStr">
        <is>
          <t>16AWG</t>
        </is>
      </c>
      <c r="AL122" s="9" t="inlineStr">
        <is>
          <t>Levy Ostrup</t>
        </is>
      </c>
      <c r="AM122" s="9" t="n"/>
      <c r="AN122" s="9" t="n"/>
    </row>
    <row r="123">
      <c r="A123" s="9" t="inlineStr">
        <is>
          <t>RTD Cable</t>
        </is>
      </c>
      <c r="B123" s="9" t="inlineStr">
        <is>
          <t>29103-ET-MT0001-1-R-2</t>
        </is>
      </c>
      <c r="C123" s="9" t="inlineStr">
        <is>
          <t>29103-ET-MT0001-1</t>
        </is>
      </c>
      <c r="D123" s="9" t="inlineStr">
        <is>
          <t>29103-HTP-102 I/O-1-3</t>
        </is>
      </c>
      <c r="E123" s="9" t="inlineStr">
        <is>
          <t>29103-HTP-102</t>
        </is>
      </c>
      <c r="F123" s="9" t="inlineStr"/>
      <c r="G123" s="9" t="inlineStr">
        <is>
          <t>113</t>
        </is>
      </c>
      <c r="H123" s="9" t="inlineStr">
        <is>
          <t>29103-ET-MT0001-1-R-2.pdf</t>
        </is>
      </c>
      <c r="I123" s="4" t="str">
        <f>IF($H123&lt;&gt;"","YES","NO")</f>
        <v>YES</v>
      </c>
      <c r="J123" s="4" t="str">
        <f>IF(N($T123)&gt;0,"YES","NO")</f>
        <v>NO</v>
      </c>
      <c r="K123" s="4" t="str">
        <f>IF(OR($A123="EHT Trace"),IF(AND($U123&lt;&gt;"",$V123&lt;&gt;""),"YES","NO"),"N/A")</f>
        <v>N/A</v>
      </c>
      <c r="L123" s="4" t="str">
        <f>IF(OR($A123="EHT Trace"),IF(AND($X123&lt;&gt;"",$Y123&lt;&gt;""),"YES","NO"),"N/A")</f>
        <v>N/A</v>
      </c>
      <c r="M123" s="4" t="str">
        <f>IF(OR($A123="EHT Trace"),IF(AND($AA123&lt;&gt;"",$AB123&lt;&gt;""),"YES","NO"),"N/A")</f>
        <v>N/A</v>
      </c>
      <c r="N123" s="4" t="str">
        <f>IF(OR($A123="Power Cable"),IF(AND($AD123&lt;&gt;""),"YES","NO"),"N/A")</f>
        <v>N/A</v>
      </c>
      <c r="O123" s="4" t="str">
        <f>IF(OR($A123="Power Cable",$A123="RTD Cable",$A123="Fieldbus Cable"),IF(AND($AE123&lt;&gt;""),"YES","NO"),"N/A")</f>
        <v>NO</v>
      </c>
      <c r="P123" s="4" t="str">
        <f>IF(OR($A123="RTD"),IF(AND($AH123&lt;&gt;""),"YES","NO"),"N/A")</f>
        <v>N/A</v>
      </c>
      <c r="Q123" s="4" t="str">
        <f>IF(OR($A123="RTD"),IF(AND($AI123&lt;&gt;""),"YES","NO"),"N/A")</f>
        <v>N/A</v>
      </c>
      <c r="R123" s="4" t="str">
        <f>IF(OR($AM123&lt;&gt;"",$Z123&lt;&gt;"",$AC123&lt;&gt;""),"YES","NO")</f>
        <v>NO</v>
      </c>
      <c r="S123" s="4" t="str">
        <f>IF(COUNTIF(I123:R123,"NO")=0,"YES","NO")</f>
        <v>NO</v>
      </c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inlineStr">
        <is>
          <t>ACIC</t>
        </is>
      </c>
      <c r="AK123" s="9" t="inlineStr">
        <is>
          <t>16AWG</t>
        </is>
      </c>
      <c r="AL123" s="9" t="inlineStr">
        <is>
          <t>Levy Ostrup</t>
        </is>
      </c>
      <c r="AM123" s="9" t="n"/>
      <c r="AN123" s="9" t="n"/>
    </row>
    <row r="124">
      <c r="A124" s="9" t="inlineStr">
        <is>
          <t>RTD Cable</t>
        </is>
      </c>
      <c r="B124" s="9" t="inlineStr">
        <is>
          <t>29103-ET-P001A-2-R-1</t>
        </is>
      </c>
      <c r="C124" s="9" t="inlineStr">
        <is>
          <t>29103-ET-P001A-2</t>
        </is>
      </c>
      <c r="D124" s="9" t="inlineStr">
        <is>
          <t>29103-HTP-102 HTC-07</t>
        </is>
      </c>
      <c r="E124" s="9" t="inlineStr">
        <is>
          <t>29103-HTP-102</t>
        </is>
      </c>
      <c r="F124" s="9" t="inlineStr"/>
      <c r="G124" s="9" t="inlineStr">
        <is>
          <t>113</t>
        </is>
      </c>
      <c r="H124" s="9" t="inlineStr">
        <is>
          <t>29103-ET-P001A-2-R-1.pdf</t>
        </is>
      </c>
      <c r="I124" s="4" t="str">
        <f>IF($H124&lt;&gt;"","YES","NO")</f>
        <v>YES</v>
      </c>
      <c r="J124" s="4" t="str">
        <f>IF(N($T124)&gt;0,"YES","NO")</f>
        <v>NO</v>
      </c>
      <c r="K124" s="4" t="str">
        <f>IF(OR($A124="EHT Trace"),IF(AND($U124&lt;&gt;"",$V124&lt;&gt;""),"YES","NO"),"N/A")</f>
        <v>N/A</v>
      </c>
      <c r="L124" s="4" t="str">
        <f>IF(OR($A124="EHT Trace"),IF(AND($X124&lt;&gt;"",$Y124&lt;&gt;""),"YES","NO"),"N/A")</f>
        <v>N/A</v>
      </c>
      <c r="M124" s="4" t="str">
        <f>IF(OR($A124="EHT Trace"),IF(AND($AA124&lt;&gt;"",$AB124&lt;&gt;""),"YES","NO"),"N/A")</f>
        <v>N/A</v>
      </c>
      <c r="N124" s="4" t="str">
        <f>IF(OR($A124="Power Cable"),IF(AND($AD124&lt;&gt;""),"YES","NO"),"N/A")</f>
        <v>N/A</v>
      </c>
      <c r="O124" s="4" t="str">
        <f>IF(OR($A124="Power Cable",$A124="RTD Cable",$A124="Fieldbus Cable"),IF(AND($AE124&lt;&gt;""),"YES","NO"),"N/A")</f>
        <v>NO</v>
      </c>
      <c r="P124" s="4" t="str">
        <f>IF(OR($A124="RTD"),IF(AND($AH124&lt;&gt;""),"YES","NO"),"N/A")</f>
        <v>N/A</v>
      </c>
      <c r="Q124" s="4" t="str">
        <f>IF(OR($A124="RTD"),IF(AND($AI124&lt;&gt;""),"YES","NO"),"N/A")</f>
        <v>N/A</v>
      </c>
      <c r="R124" s="4" t="str">
        <f>IF(OR($AM124&lt;&gt;"",$Z124&lt;&gt;"",$AC124&lt;&gt;""),"YES","NO")</f>
        <v>NO</v>
      </c>
      <c r="S124" s="4" t="str">
        <f>IF(COUNTIF(I124:R124,"NO")=0,"YES","NO")</f>
        <v>NO</v>
      </c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inlineStr">
        <is>
          <t>ACIC</t>
        </is>
      </c>
      <c r="AK124" s="9" t="inlineStr">
        <is>
          <t>16AWG</t>
        </is>
      </c>
      <c r="AL124" s="9" t="inlineStr">
        <is>
          <t>Levy Ostrup</t>
        </is>
      </c>
      <c r="AM124" s="9" t="n"/>
      <c r="AN124" s="9" t="n"/>
    </row>
    <row r="125">
      <c r="A125" s="9" t="inlineStr">
        <is>
          <t>RTD Cable</t>
        </is>
      </c>
      <c r="B125" s="9" t="inlineStr">
        <is>
          <t>29103-ET-P001A-2-R-2</t>
        </is>
      </c>
      <c r="C125" s="9" t="inlineStr">
        <is>
          <t>29103-ET-P001A-2</t>
        </is>
      </c>
      <c r="D125" s="9" t="inlineStr">
        <is>
          <t>29103-HTP-102 I/O-1-4</t>
        </is>
      </c>
      <c r="E125" s="9" t="inlineStr">
        <is>
          <t>29103-HTP-102</t>
        </is>
      </c>
      <c r="F125" s="9" t="inlineStr"/>
      <c r="G125" s="9" t="inlineStr">
        <is>
          <t>113</t>
        </is>
      </c>
      <c r="H125" s="9" t="inlineStr">
        <is>
          <t>29103-ET-P001A-2-R-2.pdf</t>
        </is>
      </c>
      <c r="I125" s="4" t="str">
        <f>IF($H125&lt;&gt;"","YES","NO")</f>
        <v>YES</v>
      </c>
      <c r="J125" s="4" t="str">
        <f>IF(N($T125)&gt;0,"YES","NO")</f>
        <v>NO</v>
      </c>
      <c r="K125" s="4" t="str">
        <f>IF(OR($A125="EHT Trace"),IF(AND($U125&lt;&gt;"",$V125&lt;&gt;""),"YES","NO"),"N/A")</f>
        <v>N/A</v>
      </c>
      <c r="L125" s="4" t="str">
        <f>IF(OR($A125="EHT Trace"),IF(AND($X125&lt;&gt;"",$Y125&lt;&gt;""),"YES","NO"),"N/A")</f>
        <v>N/A</v>
      </c>
      <c r="M125" s="4" t="str">
        <f>IF(OR($A125="EHT Trace"),IF(AND($AA125&lt;&gt;"",$AB125&lt;&gt;""),"YES","NO"),"N/A")</f>
        <v>N/A</v>
      </c>
      <c r="N125" s="4" t="str">
        <f>IF(OR($A125="Power Cable"),IF(AND($AD125&lt;&gt;""),"YES","NO"),"N/A")</f>
        <v>N/A</v>
      </c>
      <c r="O125" s="4" t="str">
        <f>IF(OR($A125="Power Cable",$A125="RTD Cable",$A125="Fieldbus Cable"),IF(AND($AE125&lt;&gt;""),"YES","NO"),"N/A")</f>
        <v>NO</v>
      </c>
      <c r="P125" s="4" t="str">
        <f>IF(OR($A125="RTD"),IF(AND($AH125&lt;&gt;""),"YES","NO"),"N/A")</f>
        <v>N/A</v>
      </c>
      <c r="Q125" s="4" t="str">
        <f>IF(OR($A125="RTD"),IF(AND($AI125&lt;&gt;""),"YES","NO"),"N/A")</f>
        <v>N/A</v>
      </c>
      <c r="R125" s="4" t="str">
        <f>IF(OR($AM125&lt;&gt;"",$Z125&lt;&gt;"",$AC125&lt;&gt;""),"YES","NO")</f>
        <v>NO</v>
      </c>
      <c r="S125" s="4" t="str">
        <f>IF(COUNTIF(I125:R125,"NO")=0,"YES","NO")</f>
        <v>NO</v>
      </c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inlineStr">
        <is>
          <t>ACIC</t>
        </is>
      </c>
      <c r="AK125" s="9" t="inlineStr">
        <is>
          <t>16AWG</t>
        </is>
      </c>
      <c r="AL125" s="9" t="inlineStr">
        <is>
          <t>Levy Ostrup</t>
        </is>
      </c>
      <c r="AM125" s="9" t="n"/>
      <c r="AN125" s="9" t="n"/>
    </row>
    <row r="126">
      <c r="A126" s="9" t="inlineStr">
        <is>
          <t>RTD Cable</t>
        </is>
      </c>
      <c r="B126" s="9" t="inlineStr">
        <is>
          <t>29103-ET-P001A-2-R-3</t>
        </is>
      </c>
      <c r="C126" s="9" t="inlineStr">
        <is>
          <t>29103-ET-P001A-2</t>
        </is>
      </c>
      <c r="D126" s="9" t="inlineStr">
        <is>
          <t>29103-HTP-102 I/O-2-1</t>
        </is>
      </c>
      <c r="E126" s="9" t="inlineStr">
        <is>
          <t>29103-HTP-102</t>
        </is>
      </c>
      <c r="F126" s="9" t="inlineStr"/>
      <c r="G126" s="9" t="inlineStr">
        <is>
          <t>113</t>
        </is>
      </c>
      <c r="H126" s="9" t="inlineStr">
        <is>
          <t>29103-ET-P001A-2-R-3.pdf</t>
        </is>
      </c>
      <c r="I126" s="4" t="str">
        <f>IF($H126&lt;&gt;"","YES","NO")</f>
        <v>YES</v>
      </c>
      <c r="J126" s="4" t="str">
        <f>IF(N($T126)&gt;0,"YES","NO")</f>
        <v>NO</v>
      </c>
      <c r="K126" s="4" t="str">
        <f>IF(OR($A126="EHT Trace"),IF(AND($U126&lt;&gt;"",$V126&lt;&gt;""),"YES","NO"),"N/A")</f>
        <v>N/A</v>
      </c>
      <c r="L126" s="4" t="str">
        <f>IF(OR($A126="EHT Trace"),IF(AND($X126&lt;&gt;"",$Y126&lt;&gt;""),"YES","NO"),"N/A")</f>
        <v>N/A</v>
      </c>
      <c r="M126" s="4" t="str">
        <f>IF(OR($A126="EHT Trace"),IF(AND($AA126&lt;&gt;"",$AB126&lt;&gt;""),"YES","NO"),"N/A")</f>
        <v>N/A</v>
      </c>
      <c r="N126" s="4" t="str">
        <f>IF(OR($A126="Power Cable"),IF(AND($AD126&lt;&gt;""),"YES","NO"),"N/A")</f>
        <v>N/A</v>
      </c>
      <c r="O126" s="4" t="str">
        <f>IF(OR($A126="Power Cable",$A126="RTD Cable",$A126="Fieldbus Cable"),IF(AND($AE126&lt;&gt;""),"YES","NO"),"N/A")</f>
        <v>NO</v>
      </c>
      <c r="P126" s="4" t="str">
        <f>IF(OR($A126="RTD"),IF(AND($AH126&lt;&gt;""),"YES","NO"),"N/A")</f>
        <v>N/A</v>
      </c>
      <c r="Q126" s="4" t="str">
        <f>IF(OR($A126="RTD"),IF(AND($AI126&lt;&gt;""),"YES","NO"),"N/A")</f>
        <v>N/A</v>
      </c>
      <c r="R126" s="4" t="str">
        <f>IF(OR($AM126&lt;&gt;"",$Z126&lt;&gt;"",$AC126&lt;&gt;""),"YES","NO")</f>
        <v>NO</v>
      </c>
      <c r="S126" s="4" t="str">
        <f>IF(COUNTIF(I126:R126,"NO")=0,"YES","NO")</f>
        <v>NO</v>
      </c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inlineStr">
        <is>
          <t>ACIC</t>
        </is>
      </c>
      <c r="AK126" s="9" t="inlineStr">
        <is>
          <t>16AWG</t>
        </is>
      </c>
      <c r="AL126" s="9" t="inlineStr">
        <is>
          <t>Levy Ostrup</t>
        </is>
      </c>
      <c r="AM126" s="9" t="n"/>
      <c r="AN126" s="9" t="n"/>
    </row>
    <row r="127">
      <c r="A127" s="9" t="inlineStr">
        <is>
          <t>RTD Cable</t>
        </is>
      </c>
      <c r="B127" s="9" t="inlineStr">
        <is>
          <t>29103-ET-P001B-2-R-1</t>
        </is>
      </c>
      <c r="C127" s="9" t="inlineStr">
        <is>
          <t>29103-ET-P001B-2</t>
        </is>
      </c>
      <c r="D127" s="9" t="inlineStr">
        <is>
          <t>29103-HTP-102 HTC-15</t>
        </is>
      </c>
      <c r="E127" s="9" t="inlineStr">
        <is>
          <t>29103-HTP-102</t>
        </is>
      </c>
      <c r="F127" s="9" t="inlineStr"/>
      <c r="G127" s="9" t="inlineStr">
        <is>
          <t>113</t>
        </is>
      </c>
      <c r="H127" s="9" t="inlineStr">
        <is>
          <t>29103-ET-P001B-2-R-1.pdf</t>
        </is>
      </c>
      <c r="I127" s="4" t="str">
        <f>IF($H127&lt;&gt;"","YES","NO")</f>
        <v>YES</v>
      </c>
      <c r="J127" s="4" t="str">
        <f>IF(N($T127)&gt;0,"YES","NO")</f>
        <v>NO</v>
      </c>
      <c r="K127" s="4" t="str">
        <f>IF(OR($A127="EHT Trace"),IF(AND($U127&lt;&gt;"",$V127&lt;&gt;""),"YES","NO"),"N/A")</f>
        <v>N/A</v>
      </c>
      <c r="L127" s="4" t="str">
        <f>IF(OR($A127="EHT Trace"),IF(AND($X127&lt;&gt;"",$Y127&lt;&gt;""),"YES","NO"),"N/A")</f>
        <v>N/A</v>
      </c>
      <c r="M127" s="4" t="str">
        <f>IF(OR($A127="EHT Trace"),IF(AND($AA127&lt;&gt;"",$AB127&lt;&gt;""),"YES","NO"),"N/A")</f>
        <v>N/A</v>
      </c>
      <c r="N127" s="4" t="str">
        <f>IF(OR($A127="Power Cable"),IF(AND($AD127&lt;&gt;""),"YES","NO"),"N/A")</f>
        <v>N/A</v>
      </c>
      <c r="O127" s="4" t="str">
        <f>IF(OR($A127="Power Cable",$A127="RTD Cable",$A127="Fieldbus Cable"),IF(AND($AE127&lt;&gt;""),"YES","NO"),"N/A")</f>
        <v>NO</v>
      </c>
      <c r="P127" s="4" t="str">
        <f>IF(OR($A127="RTD"),IF(AND($AH127&lt;&gt;""),"YES","NO"),"N/A")</f>
        <v>N/A</v>
      </c>
      <c r="Q127" s="4" t="str">
        <f>IF(OR($A127="RTD"),IF(AND($AI127&lt;&gt;""),"YES","NO"),"N/A")</f>
        <v>N/A</v>
      </c>
      <c r="R127" s="4" t="str">
        <f>IF(OR($AM127&lt;&gt;"",$Z127&lt;&gt;"",$AC127&lt;&gt;""),"YES","NO")</f>
        <v>NO</v>
      </c>
      <c r="S127" s="4" t="str">
        <f>IF(COUNTIF(I127:R127,"NO")=0,"YES","NO")</f>
        <v>NO</v>
      </c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inlineStr">
        <is>
          <t>ACIC</t>
        </is>
      </c>
      <c r="AK127" s="9" t="inlineStr">
        <is>
          <t>16AWG</t>
        </is>
      </c>
      <c r="AL127" s="9" t="inlineStr">
        <is>
          <t>Levy Ostrup</t>
        </is>
      </c>
      <c r="AM127" s="9" t="n"/>
      <c r="AN127" s="9" t="n"/>
    </row>
    <row r="128">
      <c r="A128" s="9" t="inlineStr">
        <is>
          <t>RTD Cable</t>
        </is>
      </c>
      <c r="B128" s="9" t="inlineStr">
        <is>
          <t>29103-ET-P001B-2-R-2</t>
        </is>
      </c>
      <c r="C128" s="9" t="inlineStr">
        <is>
          <t>29103-ET-P001B-2</t>
        </is>
      </c>
      <c r="D128" s="9" t="inlineStr">
        <is>
          <t>29103-HTP-102 I/O-2-4</t>
        </is>
      </c>
      <c r="E128" s="9" t="inlineStr">
        <is>
          <t>29103-HTP-102</t>
        </is>
      </c>
      <c r="F128" s="9" t="inlineStr"/>
      <c r="G128" s="9" t="inlineStr">
        <is>
          <t>113</t>
        </is>
      </c>
      <c r="H128" s="9" t="inlineStr">
        <is>
          <t>29103-ET-P001B-2-R-2.pdf</t>
        </is>
      </c>
      <c r="I128" s="4" t="str">
        <f>IF($H128&lt;&gt;"","YES","NO")</f>
        <v>YES</v>
      </c>
      <c r="J128" s="4" t="str">
        <f>IF(N($T128)&gt;0,"YES","NO")</f>
        <v>NO</v>
      </c>
      <c r="K128" s="4" t="str">
        <f>IF(OR($A128="EHT Trace"),IF(AND($U128&lt;&gt;"",$V128&lt;&gt;""),"YES","NO"),"N/A")</f>
        <v>N/A</v>
      </c>
      <c r="L128" s="4" t="str">
        <f>IF(OR($A128="EHT Trace"),IF(AND($X128&lt;&gt;"",$Y128&lt;&gt;""),"YES","NO"),"N/A")</f>
        <v>N/A</v>
      </c>
      <c r="M128" s="4" t="str">
        <f>IF(OR($A128="EHT Trace"),IF(AND($AA128&lt;&gt;"",$AB128&lt;&gt;""),"YES","NO"),"N/A")</f>
        <v>N/A</v>
      </c>
      <c r="N128" s="4" t="str">
        <f>IF(OR($A128="Power Cable"),IF(AND($AD128&lt;&gt;""),"YES","NO"),"N/A")</f>
        <v>N/A</v>
      </c>
      <c r="O128" s="4" t="str">
        <f>IF(OR($A128="Power Cable",$A128="RTD Cable",$A128="Fieldbus Cable"),IF(AND($AE128&lt;&gt;""),"YES","NO"),"N/A")</f>
        <v>NO</v>
      </c>
      <c r="P128" s="4" t="str">
        <f>IF(OR($A128="RTD"),IF(AND($AH128&lt;&gt;""),"YES","NO"),"N/A")</f>
        <v>N/A</v>
      </c>
      <c r="Q128" s="4" t="str">
        <f>IF(OR($A128="RTD"),IF(AND($AI128&lt;&gt;""),"YES","NO"),"N/A")</f>
        <v>N/A</v>
      </c>
      <c r="R128" s="4" t="str">
        <f>IF(OR($AM128&lt;&gt;"",$Z128&lt;&gt;"",$AC128&lt;&gt;""),"YES","NO")</f>
        <v>NO</v>
      </c>
      <c r="S128" s="4" t="str">
        <f>IF(COUNTIF(I128:R128,"NO")=0,"YES","NO")</f>
        <v>NO</v>
      </c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inlineStr">
        <is>
          <t>ACIC</t>
        </is>
      </c>
      <c r="AK128" s="9" t="inlineStr">
        <is>
          <t>16AWG</t>
        </is>
      </c>
      <c r="AL128" s="9" t="inlineStr">
        <is>
          <t>Levy Ostrup</t>
        </is>
      </c>
      <c r="AM128" s="9" t="n"/>
      <c r="AN128" s="9" t="n"/>
    </row>
    <row r="129">
      <c r="A129" s="9" t="inlineStr">
        <is>
          <t>RTD Cable</t>
        </is>
      </c>
      <c r="B129" s="9" t="inlineStr">
        <is>
          <t>29103-ET-P001B-2-R-3</t>
        </is>
      </c>
      <c r="C129" s="9" t="inlineStr">
        <is>
          <t>29103-ET-P001B-2</t>
        </is>
      </c>
      <c r="D129" s="9" t="inlineStr">
        <is>
          <t>29103-HTP-102 I/O-3-1</t>
        </is>
      </c>
      <c r="E129" s="9" t="inlineStr">
        <is>
          <t>29103-HTP-102</t>
        </is>
      </c>
      <c r="F129" s="9" t="inlineStr"/>
      <c r="G129" s="9" t="inlineStr">
        <is>
          <t>113</t>
        </is>
      </c>
      <c r="H129" s="9" t="inlineStr">
        <is>
          <t>29103-ET-P001B-2-R-3.pdf</t>
        </is>
      </c>
      <c r="I129" s="4" t="str">
        <f>IF($H129&lt;&gt;"","YES","NO")</f>
        <v>YES</v>
      </c>
      <c r="J129" s="4" t="str">
        <f>IF(N($T129)&gt;0,"YES","NO")</f>
        <v>NO</v>
      </c>
      <c r="K129" s="4" t="str">
        <f>IF(OR($A129="EHT Trace"),IF(AND($U129&lt;&gt;"",$V129&lt;&gt;""),"YES","NO"),"N/A")</f>
        <v>N/A</v>
      </c>
      <c r="L129" s="4" t="str">
        <f>IF(OR($A129="EHT Trace"),IF(AND($X129&lt;&gt;"",$Y129&lt;&gt;""),"YES","NO"),"N/A")</f>
        <v>N/A</v>
      </c>
      <c r="M129" s="4" t="str">
        <f>IF(OR($A129="EHT Trace"),IF(AND($AA129&lt;&gt;"",$AB129&lt;&gt;""),"YES","NO"),"N/A")</f>
        <v>N/A</v>
      </c>
      <c r="N129" s="4" t="str">
        <f>IF(OR($A129="Power Cable"),IF(AND($AD129&lt;&gt;""),"YES","NO"),"N/A")</f>
        <v>N/A</v>
      </c>
      <c r="O129" s="4" t="str">
        <f>IF(OR($A129="Power Cable",$A129="RTD Cable",$A129="Fieldbus Cable"),IF(AND($AE129&lt;&gt;""),"YES","NO"),"N/A")</f>
        <v>NO</v>
      </c>
      <c r="P129" s="4" t="str">
        <f>IF(OR($A129="RTD"),IF(AND($AH129&lt;&gt;""),"YES","NO"),"N/A")</f>
        <v>N/A</v>
      </c>
      <c r="Q129" s="4" t="str">
        <f>IF(OR($A129="RTD"),IF(AND($AI129&lt;&gt;""),"YES","NO"),"N/A")</f>
        <v>N/A</v>
      </c>
      <c r="R129" s="4" t="str">
        <f>IF(OR($AM129&lt;&gt;"",$Z129&lt;&gt;"",$AC129&lt;&gt;""),"YES","NO")</f>
        <v>NO</v>
      </c>
      <c r="S129" s="4" t="str">
        <f>IF(COUNTIF(I129:R129,"NO")=0,"YES","NO")</f>
        <v>NO</v>
      </c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inlineStr">
        <is>
          <t>ACIC</t>
        </is>
      </c>
      <c r="AK129" s="9" t="inlineStr">
        <is>
          <t>16AWG</t>
        </is>
      </c>
      <c r="AL129" s="9" t="inlineStr">
        <is>
          <t>Levy Ostrup</t>
        </is>
      </c>
      <c r="AM129" s="9" t="n"/>
      <c r="AN129" s="9" t="n"/>
    </row>
    <row r="130">
      <c r="A130" s="9" t="inlineStr">
        <is>
          <t>RTD Cable</t>
        </is>
      </c>
      <c r="B130" s="9" t="inlineStr">
        <is>
          <t>29103-ET-P1003-1-R-1</t>
        </is>
      </c>
      <c r="C130" s="9" t="inlineStr">
        <is>
          <t>29103-ET-P1003-1</t>
        </is>
      </c>
      <c r="D130" s="9" t="inlineStr">
        <is>
          <t>29103-HTP-102 HTC-19</t>
        </is>
      </c>
      <c r="E130" s="9" t="inlineStr">
        <is>
          <t>29103-HTP-102</t>
        </is>
      </c>
      <c r="F130" s="9" t="inlineStr"/>
      <c r="G130" s="9" t="inlineStr">
        <is>
          <t>113</t>
        </is>
      </c>
      <c r="H130" s="9" t="inlineStr">
        <is>
          <t>29103-ET-P1003-1-R-1.pdf</t>
        </is>
      </c>
      <c r="I130" s="4" t="str">
        <f>IF($H130&lt;&gt;"","YES","NO")</f>
        <v>YES</v>
      </c>
      <c r="J130" s="4" t="str">
        <f>IF(N($T130)&gt;0,"YES","NO")</f>
        <v>NO</v>
      </c>
      <c r="K130" s="4" t="str">
        <f>IF(OR($A130="EHT Trace"),IF(AND($U130&lt;&gt;"",$V130&lt;&gt;""),"YES","NO"),"N/A")</f>
        <v>N/A</v>
      </c>
      <c r="L130" s="4" t="str">
        <f>IF(OR($A130="EHT Trace"),IF(AND($X130&lt;&gt;"",$Y130&lt;&gt;""),"YES","NO"),"N/A")</f>
        <v>N/A</v>
      </c>
      <c r="M130" s="4" t="str">
        <f>IF(OR($A130="EHT Trace"),IF(AND($AA130&lt;&gt;"",$AB130&lt;&gt;""),"YES","NO"),"N/A")</f>
        <v>N/A</v>
      </c>
      <c r="N130" s="4" t="str">
        <f>IF(OR($A130="Power Cable"),IF(AND($AD130&lt;&gt;""),"YES","NO"),"N/A")</f>
        <v>N/A</v>
      </c>
      <c r="O130" s="4" t="str">
        <f>IF(OR($A130="Power Cable",$A130="RTD Cable",$A130="Fieldbus Cable"),IF(AND($AE130&lt;&gt;""),"YES","NO"),"N/A")</f>
        <v>NO</v>
      </c>
      <c r="P130" s="4" t="str">
        <f>IF(OR($A130="RTD"),IF(AND($AH130&lt;&gt;""),"YES","NO"),"N/A")</f>
        <v>N/A</v>
      </c>
      <c r="Q130" s="4" t="str">
        <f>IF(OR($A130="RTD"),IF(AND($AI130&lt;&gt;""),"YES","NO"),"N/A")</f>
        <v>N/A</v>
      </c>
      <c r="R130" s="4" t="str">
        <f>IF(OR($AM130&lt;&gt;"",$Z130&lt;&gt;"",$AC130&lt;&gt;""),"YES","NO")</f>
        <v>NO</v>
      </c>
      <c r="S130" s="4" t="str">
        <f>IF(COUNTIF(I130:R130,"NO")=0,"YES","NO")</f>
        <v>NO</v>
      </c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inlineStr">
        <is>
          <t>ACIC</t>
        </is>
      </c>
      <c r="AK130" s="9" t="inlineStr">
        <is>
          <t>16AWG</t>
        </is>
      </c>
      <c r="AL130" s="9" t="inlineStr">
        <is>
          <t>Levy Ostrup</t>
        </is>
      </c>
      <c r="AM130" s="9" t="n"/>
      <c r="AN130" s="9" t="n"/>
    </row>
    <row r="131">
      <c r="A131" s="9" t="inlineStr">
        <is>
          <t>RTD Cable</t>
        </is>
      </c>
      <c r="B131" s="9" t="inlineStr">
        <is>
          <t>29103-ET-P1004-1-R-1</t>
        </is>
      </c>
      <c r="C131" s="9" t="inlineStr">
        <is>
          <t>29103-ET-P1004-1</t>
        </is>
      </c>
      <c r="D131" s="9" t="inlineStr">
        <is>
          <t>29103-HTP-102 HTC-20</t>
        </is>
      </c>
      <c r="E131" s="9" t="inlineStr">
        <is>
          <t>29103-HTP-102</t>
        </is>
      </c>
      <c r="F131" s="9" t="inlineStr"/>
      <c r="G131" s="9" t="inlineStr">
        <is>
          <t>113</t>
        </is>
      </c>
      <c r="H131" s="9" t="inlineStr">
        <is>
          <t>29103-ET-P1004-1-R-1.pdf</t>
        </is>
      </c>
      <c r="I131" s="4" t="str">
        <f>IF($H131&lt;&gt;"","YES","NO")</f>
        <v>YES</v>
      </c>
      <c r="J131" s="4" t="str">
        <f>IF(N($T131)&gt;0,"YES","NO")</f>
        <v>NO</v>
      </c>
      <c r="K131" s="4" t="str">
        <f>IF(OR($A131="EHT Trace"),IF(AND($U131&lt;&gt;"",$V131&lt;&gt;""),"YES","NO"),"N/A")</f>
        <v>N/A</v>
      </c>
      <c r="L131" s="4" t="str">
        <f>IF(OR($A131="EHT Trace"),IF(AND($X131&lt;&gt;"",$Y131&lt;&gt;""),"YES","NO"),"N/A")</f>
        <v>N/A</v>
      </c>
      <c r="M131" s="4" t="str">
        <f>IF(OR($A131="EHT Trace"),IF(AND($AA131&lt;&gt;"",$AB131&lt;&gt;""),"YES","NO"),"N/A")</f>
        <v>N/A</v>
      </c>
      <c r="N131" s="4" t="str">
        <f>IF(OR($A131="Power Cable"),IF(AND($AD131&lt;&gt;""),"YES","NO"),"N/A")</f>
        <v>N/A</v>
      </c>
      <c r="O131" s="4" t="str">
        <f>IF(OR($A131="Power Cable",$A131="RTD Cable",$A131="Fieldbus Cable"),IF(AND($AE131&lt;&gt;""),"YES","NO"),"N/A")</f>
        <v>NO</v>
      </c>
      <c r="P131" s="4" t="str">
        <f>IF(OR($A131="RTD"),IF(AND($AH131&lt;&gt;""),"YES","NO"),"N/A")</f>
        <v>N/A</v>
      </c>
      <c r="Q131" s="4" t="str">
        <f>IF(OR($A131="RTD"),IF(AND($AI131&lt;&gt;""),"YES","NO"),"N/A")</f>
        <v>N/A</v>
      </c>
      <c r="R131" s="4" t="str">
        <f>IF(OR($AM131&lt;&gt;"",$Z131&lt;&gt;"",$AC131&lt;&gt;""),"YES","NO")</f>
        <v>NO</v>
      </c>
      <c r="S131" s="4" t="str">
        <f>IF(COUNTIF(I131:R131,"NO")=0,"YES","NO")</f>
        <v>NO</v>
      </c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inlineStr">
        <is>
          <t>ACIC</t>
        </is>
      </c>
      <c r="AK131" s="9" t="inlineStr">
        <is>
          <t>16AWG</t>
        </is>
      </c>
      <c r="AL131" s="9" t="inlineStr">
        <is>
          <t>Levy Ostrup</t>
        </is>
      </c>
      <c r="AM131" s="9" t="n"/>
      <c r="AN131" s="9" t="n"/>
    </row>
    <row r="132">
      <c r="A132" s="9" t="inlineStr">
        <is>
          <t>RTD Cable</t>
        </is>
      </c>
      <c r="B132" s="9" t="inlineStr">
        <is>
          <t>29103-ET-V004-1-R-1</t>
        </is>
      </c>
      <c r="C132" s="9" t="inlineStr">
        <is>
          <t>29103-ET-V004-1</t>
        </is>
      </c>
      <c r="D132" s="9" t="inlineStr">
        <is>
          <t>29103-HTP-102 HTC-30</t>
        </is>
      </c>
      <c r="E132" s="9" t="inlineStr">
        <is>
          <t>29103-HTP-102</t>
        </is>
      </c>
      <c r="F132" s="9" t="inlineStr"/>
      <c r="G132" s="9" t="inlineStr">
        <is>
          <t>113</t>
        </is>
      </c>
      <c r="H132" s="9" t="inlineStr">
        <is>
          <t>29103-ET-V004-1-R-1.pdf</t>
        </is>
      </c>
      <c r="I132" s="4" t="str">
        <f>IF($H132&lt;&gt;"","YES","NO")</f>
        <v>YES</v>
      </c>
      <c r="J132" s="4" t="str">
        <f>IF(N($T132)&gt;0,"YES","NO")</f>
        <v>NO</v>
      </c>
      <c r="K132" s="4" t="str">
        <f>IF(OR($A132="EHT Trace"),IF(AND($U132&lt;&gt;"",$V132&lt;&gt;""),"YES","NO"),"N/A")</f>
        <v>N/A</v>
      </c>
      <c r="L132" s="4" t="str">
        <f>IF(OR($A132="EHT Trace"),IF(AND($X132&lt;&gt;"",$Y132&lt;&gt;""),"YES","NO"),"N/A")</f>
        <v>N/A</v>
      </c>
      <c r="M132" s="4" t="str">
        <f>IF(OR($A132="EHT Trace"),IF(AND($AA132&lt;&gt;"",$AB132&lt;&gt;""),"YES","NO"),"N/A")</f>
        <v>N/A</v>
      </c>
      <c r="N132" s="4" t="str">
        <f>IF(OR($A132="Power Cable"),IF(AND($AD132&lt;&gt;""),"YES","NO"),"N/A")</f>
        <v>N/A</v>
      </c>
      <c r="O132" s="4" t="str">
        <f>IF(OR($A132="Power Cable",$A132="RTD Cable",$A132="Fieldbus Cable"),IF(AND($AE132&lt;&gt;""),"YES","NO"),"N/A")</f>
        <v>NO</v>
      </c>
      <c r="P132" s="4" t="str">
        <f>IF(OR($A132="RTD"),IF(AND($AH132&lt;&gt;""),"YES","NO"),"N/A")</f>
        <v>N/A</v>
      </c>
      <c r="Q132" s="4" t="str">
        <f>IF(OR($A132="RTD"),IF(AND($AI132&lt;&gt;""),"YES","NO"),"N/A")</f>
        <v>N/A</v>
      </c>
      <c r="R132" s="4" t="str">
        <f>IF(OR($AM132&lt;&gt;"",$Z132&lt;&gt;"",$AC132&lt;&gt;""),"YES","NO")</f>
        <v>NO</v>
      </c>
      <c r="S132" s="4" t="str">
        <f>IF(COUNTIF(I132:R132,"NO")=0,"YES","NO")</f>
        <v>NO</v>
      </c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inlineStr">
        <is>
          <t>ACIC</t>
        </is>
      </c>
      <c r="AK132" s="9" t="inlineStr">
        <is>
          <t>16AWG</t>
        </is>
      </c>
      <c r="AL132" s="9" t="inlineStr">
        <is>
          <t>Levy Ostrup</t>
        </is>
      </c>
      <c r="AM132" s="9" t="n"/>
      <c r="AN132" s="9" t="n"/>
    </row>
    <row r="133">
      <c r="A133" s="9" t="inlineStr">
        <is>
          <t>RTD Cable</t>
        </is>
      </c>
      <c r="B133" s="9" t="inlineStr">
        <is>
          <t>29103-ET-V004-1-R-2</t>
        </is>
      </c>
      <c r="C133" s="9" t="inlineStr">
        <is>
          <t>29103-ET-V004-1</t>
        </is>
      </c>
      <c r="D133" s="9" t="inlineStr">
        <is>
          <t>29103-HTP-102 HTC-32</t>
        </is>
      </c>
      <c r="E133" s="9" t="inlineStr">
        <is>
          <t>29103-HTP-102</t>
        </is>
      </c>
      <c r="F133" s="9" t="inlineStr"/>
      <c r="G133" s="9" t="inlineStr">
        <is>
          <t>113</t>
        </is>
      </c>
      <c r="H133" s="9" t="inlineStr">
        <is>
          <t>29103-ET-V004-1-R-2.pdf</t>
        </is>
      </c>
      <c r="I133" s="4" t="str">
        <f>IF($H133&lt;&gt;"","YES","NO")</f>
        <v>YES</v>
      </c>
      <c r="J133" s="4" t="str">
        <f>IF(N($T133)&gt;0,"YES","NO")</f>
        <v>NO</v>
      </c>
      <c r="K133" s="4" t="str">
        <f>IF(OR($A133="EHT Trace"),IF(AND($U133&lt;&gt;"",$V133&lt;&gt;""),"YES","NO"),"N/A")</f>
        <v>N/A</v>
      </c>
      <c r="L133" s="4" t="str">
        <f>IF(OR($A133="EHT Trace"),IF(AND($X133&lt;&gt;"",$Y133&lt;&gt;""),"YES","NO"),"N/A")</f>
        <v>N/A</v>
      </c>
      <c r="M133" s="4" t="str">
        <f>IF(OR($A133="EHT Trace"),IF(AND($AA133&lt;&gt;"",$AB133&lt;&gt;""),"YES","NO"),"N/A")</f>
        <v>N/A</v>
      </c>
      <c r="N133" s="4" t="str">
        <f>IF(OR($A133="Power Cable"),IF(AND($AD133&lt;&gt;""),"YES","NO"),"N/A")</f>
        <v>N/A</v>
      </c>
      <c r="O133" s="4" t="str">
        <f>IF(OR($A133="Power Cable",$A133="RTD Cable",$A133="Fieldbus Cable"),IF(AND($AE133&lt;&gt;""),"YES","NO"),"N/A")</f>
        <v>NO</v>
      </c>
      <c r="P133" s="4" t="str">
        <f>IF(OR($A133="RTD"),IF(AND($AH133&lt;&gt;""),"YES","NO"),"N/A")</f>
        <v>N/A</v>
      </c>
      <c r="Q133" s="4" t="str">
        <f>IF(OR($A133="RTD"),IF(AND($AI133&lt;&gt;""),"YES","NO"),"N/A")</f>
        <v>N/A</v>
      </c>
      <c r="R133" s="4" t="str">
        <f>IF(OR($AM133&lt;&gt;"",$Z133&lt;&gt;"",$AC133&lt;&gt;""),"YES","NO")</f>
        <v>NO</v>
      </c>
      <c r="S133" s="4" t="str">
        <f>IF(COUNTIF(I133:R133,"NO")=0,"YES","NO")</f>
        <v>NO</v>
      </c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inlineStr">
        <is>
          <t>ACIC</t>
        </is>
      </c>
      <c r="AK133" s="9" t="inlineStr">
        <is>
          <t>16AWG</t>
        </is>
      </c>
      <c r="AL133" s="9" t="inlineStr">
        <is>
          <t>Levy Ostrup</t>
        </is>
      </c>
      <c r="AM133" s="9" t="n"/>
      <c r="AN133" s="9" t="n"/>
    </row>
    <row r="134">
      <c r="A134" s="9" t="inlineStr">
        <is>
          <t>RTD Cable</t>
        </is>
      </c>
      <c r="B134" s="9" t="inlineStr">
        <is>
          <t>29103-ET-V1900-1-R-1</t>
        </is>
      </c>
      <c r="C134" s="9" t="inlineStr">
        <is>
          <t>29103-ET-V1900-1</t>
        </is>
      </c>
      <c r="D134" s="9" t="inlineStr">
        <is>
          <t>29103-HTP-102 HTC-17</t>
        </is>
      </c>
      <c r="E134" s="9" t="inlineStr">
        <is>
          <t>29103-HTP-102</t>
        </is>
      </c>
      <c r="F134" s="9" t="inlineStr"/>
      <c r="G134" s="9" t="inlineStr">
        <is>
          <t>113</t>
        </is>
      </c>
      <c r="H134" s="9" t="inlineStr">
        <is>
          <t>29103-ET-V1900-1-R-1.pdf</t>
        </is>
      </c>
      <c r="I134" s="4" t="str">
        <f>IF($H134&lt;&gt;"","YES","NO")</f>
        <v>YES</v>
      </c>
      <c r="J134" s="4" t="str">
        <f>IF(N($T134)&gt;0,"YES","NO")</f>
        <v>NO</v>
      </c>
      <c r="K134" s="4" t="str">
        <f>IF(OR($A134="EHT Trace"),IF(AND($U134&lt;&gt;"",$V134&lt;&gt;""),"YES","NO"),"N/A")</f>
        <v>N/A</v>
      </c>
      <c r="L134" s="4" t="str">
        <f>IF(OR($A134="EHT Trace"),IF(AND($X134&lt;&gt;"",$Y134&lt;&gt;""),"YES","NO"),"N/A")</f>
        <v>N/A</v>
      </c>
      <c r="M134" s="4" t="str">
        <f>IF(OR($A134="EHT Trace"),IF(AND($AA134&lt;&gt;"",$AB134&lt;&gt;""),"YES","NO"),"N/A")</f>
        <v>N/A</v>
      </c>
      <c r="N134" s="4" t="str">
        <f>IF(OR($A134="Power Cable"),IF(AND($AD134&lt;&gt;""),"YES","NO"),"N/A")</f>
        <v>N/A</v>
      </c>
      <c r="O134" s="4" t="str">
        <f>IF(OR($A134="Power Cable",$A134="RTD Cable",$A134="Fieldbus Cable"),IF(AND($AE134&lt;&gt;""),"YES","NO"),"N/A")</f>
        <v>NO</v>
      </c>
      <c r="P134" s="4" t="str">
        <f>IF(OR($A134="RTD"),IF(AND($AH134&lt;&gt;""),"YES","NO"),"N/A")</f>
        <v>N/A</v>
      </c>
      <c r="Q134" s="4" t="str">
        <f>IF(OR($A134="RTD"),IF(AND($AI134&lt;&gt;""),"YES","NO"),"N/A")</f>
        <v>N/A</v>
      </c>
      <c r="R134" s="4" t="str">
        <f>IF(OR($AM134&lt;&gt;"",$Z134&lt;&gt;"",$AC134&lt;&gt;""),"YES","NO")</f>
        <v>NO</v>
      </c>
      <c r="S134" s="4" t="str">
        <f>IF(COUNTIF(I134:R134,"NO")=0,"YES","NO")</f>
        <v>NO</v>
      </c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inlineStr">
        <is>
          <t>ACIC</t>
        </is>
      </c>
      <c r="AK134" s="9" t="inlineStr">
        <is>
          <t>16AWG</t>
        </is>
      </c>
      <c r="AL134" s="9" t="inlineStr">
        <is>
          <t>Levy Ostrup</t>
        </is>
      </c>
      <c r="AM134" s="9" t="n"/>
      <c r="AN134" s="9" t="n"/>
    </row>
    <row r="135">
      <c r="A135" s="9" t="inlineStr">
        <is>
          <t>RTD Cable</t>
        </is>
      </c>
      <c r="B135" s="9" t="inlineStr">
        <is>
          <t>29103-RJB-016</t>
        </is>
      </c>
      <c r="C135" s="9" t="inlineStr"/>
      <c r="D135" s="9" t="inlineStr">
        <is>
          <t>29103-HTP-102 HTC-02</t>
        </is>
      </c>
      <c r="E135" s="9" t="inlineStr">
        <is>
          <t>29103-HTP-102</t>
        </is>
      </c>
      <c r="F135" s="9" t="inlineStr"/>
      <c r="G135" s="9" t="inlineStr">
        <is>
          <t>113</t>
        </is>
      </c>
      <c r="H135" s="9" t="inlineStr">
        <is>
          <t>29103-RJB-016.pdf</t>
        </is>
      </c>
      <c r="I135" s="4" t="str">
        <f>IF($H135&lt;&gt;"","YES","NO")</f>
        <v>YES</v>
      </c>
      <c r="J135" s="4" t="str">
        <f>IF(N($T135)&gt;0,"YES","NO")</f>
        <v>NO</v>
      </c>
      <c r="K135" s="4" t="str">
        <f>IF(OR($A135="EHT Trace"),IF(AND($U135&lt;&gt;"",$V135&lt;&gt;""),"YES","NO"),"N/A")</f>
        <v>N/A</v>
      </c>
      <c r="L135" s="4" t="str">
        <f>IF(OR($A135="EHT Trace"),IF(AND($X135&lt;&gt;"",$Y135&lt;&gt;""),"YES","NO"),"N/A")</f>
        <v>N/A</v>
      </c>
      <c r="M135" s="4" t="str">
        <f>IF(OR($A135="EHT Trace"),IF(AND($AA135&lt;&gt;"",$AB135&lt;&gt;""),"YES","NO"),"N/A")</f>
        <v>N/A</v>
      </c>
      <c r="N135" s="4" t="str">
        <f>IF(OR($A135="Power Cable"),IF(AND($AD135&lt;&gt;""),"YES","NO"),"N/A")</f>
        <v>N/A</v>
      </c>
      <c r="O135" s="4" t="str">
        <f>IF(OR($A135="Power Cable",$A135="RTD Cable",$A135="Fieldbus Cable"),IF(AND($AE135&lt;&gt;""),"YES","NO"),"N/A")</f>
        <v>NO</v>
      </c>
      <c r="P135" s="4" t="str">
        <f>IF(OR($A135="RTD"),IF(AND($AH135&lt;&gt;""),"YES","NO"),"N/A")</f>
        <v>N/A</v>
      </c>
      <c r="Q135" s="4" t="str">
        <f>IF(OR($A135="RTD"),IF(AND($AI135&lt;&gt;""),"YES","NO"),"N/A")</f>
        <v>N/A</v>
      </c>
      <c r="R135" s="4" t="str">
        <f>IF(OR($AM135&lt;&gt;"",$Z135&lt;&gt;"",$AC135&lt;&gt;""),"YES","NO")</f>
        <v>NO</v>
      </c>
      <c r="S135" s="4" t="str">
        <f>IF(COUNTIF(I135:R135,"NO")=0,"YES","NO")</f>
        <v>NO</v>
      </c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inlineStr">
        <is>
          <t>ACIC</t>
        </is>
      </c>
      <c r="AK135" s="9" t="inlineStr">
        <is>
          <t>16AWG</t>
        </is>
      </c>
      <c r="AL135" s="9" t="inlineStr">
        <is>
          <t>Levy Ostrup</t>
        </is>
      </c>
      <c r="AM135" s="9" t="n"/>
      <c r="AN135" s="9" t="n"/>
    </row>
    <row r="136">
      <c r="A136" s="9" t="inlineStr">
        <is>
          <t>RTD Cable</t>
        </is>
      </c>
      <c r="B136" s="9" t="inlineStr">
        <is>
          <t>29103-RJB-017</t>
        </is>
      </c>
      <c r="C136" s="9" t="inlineStr"/>
      <c r="D136" s="9" t="inlineStr">
        <is>
          <t>29103-HTP-102 HTC-10</t>
        </is>
      </c>
      <c r="E136" s="9" t="inlineStr">
        <is>
          <t>29103-HTP-102</t>
        </is>
      </c>
      <c r="F136" s="9" t="inlineStr"/>
      <c r="G136" s="9" t="inlineStr">
        <is>
          <t>113</t>
        </is>
      </c>
      <c r="H136" s="9" t="inlineStr">
        <is>
          <t>29103-RJB-017.pdf</t>
        </is>
      </c>
      <c r="I136" s="4" t="str">
        <f>IF($H136&lt;&gt;"","YES","NO")</f>
        <v>YES</v>
      </c>
      <c r="J136" s="4" t="str">
        <f>IF(N($T136)&gt;0,"YES","NO")</f>
        <v>NO</v>
      </c>
      <c r="K136" s="4" t="str">
        <f>IF(OR($A136="EHT Trace"),IF(AND($U136&lt;&gt;"",$V136&lt;&gt;""),"YES","NO"),"N/A")</f>
        <v>N/A</v>
      </c>
      <c r="L136" s="4" t="str">
        <f>IF(OR($A136="EHT Trace"),IF(AND($X136&lt;&gt;"",$Y136&lt;&gt;""),"YES","NO"),"N/A")</f>
        <v>N/A</v>
      </c>
      <c r="M136" s="4" t="str">
        <f>IF(OR($A136="EHT Trace"),IF(AND($AA136&lt;&gt;"",$AB136&lt;&gt;""),"YES","NO"),"N/A")</f>
        <v>N/A</v>
      </c>
      <c r="N136" s="4" t="str">
        <f>IF(OR($A136="Power Cable"),IF(AND($AD136&lt;&gt;""),"YES","NO"),"N/A")</f>
        <v>N/A</v>
      </c>
      <c r="O136" s="4" t="str">
        <f>IF(OR($A136="Power Cable",$A136="RTD Cable",$A136="Fieldbus Cable"),IF(AND($AE136&lt;&gt;""),"YES","NO"),"N/A")</f>
        <v>NO</v>
      </c>
      <c r="P136" s="4" t="str">
        <f>IF(OR($A136="RTD"),IF(AND($AH136&lt;&gt;""),"YES","NO"),"N/A")</f>
        <v>N/A</v>
      </c>
      <c r="Q136" s="4" t="str">
        <f>IF(OR($A136="RTD"),IF(AND($AI136&lt;&gt;""),"YES","NO"),"N/A")</f>
        <v>N/A</v>
      </c>
      <c r="R136" s="4" t="str">
        <f>IF(OR($AM136&lt;&gt;"",$Z136&lt;&gt;"",$AC136&lt;&gt;""),"YES","NO")</f>
        <v>NO</v>
      </c>
      <c r="S136" s="4" t="str">
        <f>IF(COUNTIF(I136:R136,"NO")=0,"YES","NO")</f>
        <v>NO</v>
      </c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inlineStr">
        <is>
          <t>ACIC</t>
        </is>
      </c>
      <c r="AK136" s="9" t="inlineStr">
        <is>
          <t>16AWG</t>
        </is>
      </c>
      <c r="AL136" s="9" t="inlineStr">
        <is>
          <t>Levy Ostrup</t>
        </is>
      </c>
      <c r="AM136" s="9" t="n"/>
      <c r="AN136" s="9" t="n"/>
    </row>
    <row r="137">
      <c r="A137" s="9" t="inlineStr">
        <is>
          <t>RTD Cable</t>
        </is>
      </c>
      <c r="B137" s="9" t="inlineStr">
        <is>
          <t>29103-RJB-019</t>
        </is>
      </c>
      <c r="C137" s="9" t="inlineStr"/>
      <c r="D137" s="9" t="inlineStr">
        <is>
          <t>29103-HTP-102 HTC-08</t>
        </is>
      </c>
      <c r="E137" s="9" t="inlineStr">
        <is>
          <t>29103-HTP-102</t>
        </is>
      </c>
      <c r="F137" s="9" t="inlineStr"/>
      <c r="G137" s="9" t="inlineStr">
        <is>
          <t>113</t>
        </is>
      </c>
      <c r="H137" s="9" t="inlineStr">
        <is>
          <t>29103-RJB-019.pdf</t>
        </is>
      </c>
      <c r="I137" s="4" t="str">
        <f>IF($H137&lt;&gt;"","YES","NO")</f>
        <v>YES</v>
      </c>
      <c r="J137" s="4" t="str">
        <f>IF(N($T137)&gt;0,"YES","NO")</f>
        <v>NO</v>
      </c>
      <c r="K137" s="4" t="str">
        <f>IF(OR($A137="EHT Trace"),IF(AND($U137&lt;&gt;"",$V137&lt;&gt;""),"YES","NO"),"N/A")</f>
        <v>N/A</v>
      </c>
      <c r="L137" s="4" t="str">
        <f>IF(OR($A137="EHT Trace"),IF(AND($X137&lt;&gt;"",$Y137&lt;&gt;""),"YES","NO"),"N/A")</f>
        <v>N/A</v>
      </c>
      <c r="M137" s="4" t="str">
        <f>IF(OR($A137="EHT Trace"),IF(AND($AA137&lt;&gt;"",$AB137&lt;&gt;""),"YES","NO"),"N/A")</f>
        <v>N/A</v>
      </c>
      <c r="N137" s="4" t="str">
        <f>IF(OR($A137="Power Cable"),IF(AND($AD137&lt;&gt;""),"YES","NO"),"N/A")</f>
        <v>N/A</v>
      </c>
      <c r="O137" s="4" t="str">
        <f>IF(OR($A137="Power Cable",$A137="RTD Cable",$A137="Fieldbus Cable"),IF(AND($AE137&lt;&gt;""),"YES","NO"),"N/A")</f>
        <v>NO</v>
      </c>
      <c r="P137" s="4" t="str">
        <f>IF(OR($A137="RTD"),IF(AND($AH137&lt;&gt;""),"YES","NO"),"N/A")</f>
        <v>N/A</v>
      </c>
      <c r="Q137" s="4" t="str">
        <f>IF(OR($A137="RTD"),IF(AND($AI137&lt;&gt;""),"YES","NO"),"N/A")</f>
        <v>N/A</v>
      </c>
      <c r="R137" s="4" t="str">
        <f>IF(OR($AM137&lt;&gt;"",$Z137&lt;&gt;"",$AC137&lt;&gt;""),"YES","NO")</f>
        <v>NO</v>
      </c>
      <c r="S137" s="4" t="str">
        <f>IF(COUNTIF(I137:R137,"NO")=0,"YES","NO")</f>
        <v>NO</v>
      </c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inlineStr">
        <is>
          <t>ACIC</t>
        </is>
      </c>
      <c r="AK137" s="9" t="inlineStr">
        <is>
          <t>16AWG</t>
        </is>
      </c>
      <c r="AL137" s="9" t="inlineStr">
        <is>
          <t>Levy Ostrup</t>
        </is>
      </c>
      <c r="AM137" s="9" t="n"/>
      <c r="AN137" s="9" t="n"/>
    </row>
    <row r="138">
      <c r="A138" s="9" t="inlineStr">
        <is>
          <t>RTD Cable</t>
        </is>
      </c>
      <c r="B138" s="9" t="inlineStr">
        <is>
          <t>29103-RJB-020</t>
        </is>
      </c>
      <c r="C138" s="9" t="inlineStr"/>
      <c r="D138" s="9" t="inlineStr">
        <is>
          <t>29103-HTP-102 HTC-13,I/O-2-2, I/O-2-3</t>
        </is>
      </c>
      <c r="E138" s="9" t="inlineStr">
        <is>
          <t>29103-HTP-102</t>
        </is>
      </c>
      <c r="F138" s="9" t="inlineStr"/>
      <c r="G138" s="9" t="inlineStr">
        <is>
          <t>113</t>
        </is>
      </c>
      <c r="H138" s="9" t="inlineStr">
        <is>
          <t>29103-RJB-020.pdf</t>
        </is>
      </c>
      <c r="I138" s="4" t="str">
        <f>IF($H138&lt;&gt;"","YES","NO")</f>
        <v>YES</v>
      </c>
      <c r="J138" s="4" t="str">
        <f>IF(N($T138)&gt;0,"YES","NO")</f>
        <v>NO</v>
      </c>
      <c r="K138" s="4" t="str">
        <f>IF(OR($A138="EHT Trace"),IF(AND($U138&lt;&gt;"",$V138&lt;&gt;""),"YES","NO"),"N/A")</f>
        <v>N/A</v>
      </c>
      <c r="L138" s="4" t="str">
        <f>IF(OR($A138="EHT Trace"),IF(AND($X138&lt;&gt;"",$Y138&lt;&gt;""),"YES","NO"),"N/A")</f>
        <v>N/A</v>
      </c>
      <c r="M138" s="4" t="str">
        <f>IF(OR($A138="EHT Trace"),IF(AND($AA138&lt;&gt;"",$AB138&lt;&gt;""),"YES","NO"),"N/A")</f>
        <v>N/A</v>
      </c>
      <c r="N138" s="4" t="str">
        <f>IF(OR($A138="Power Cable"),IF(AND($AD138&lt;&gt;""),"YES","NO"),"N/A")</f>
        <v>N/A</v>
      </c>
      <c r="O138" s="4" t="str">
        <f>IF(OR($A138="Power Cable",$A138="RTD Cable",$A138="Fieldbus Cable"),IF(AND($AE138&lt;&gt;""),"YES","NO"),"N/A")</f>
        <v>NO</v>
      </c>
      <c r="P138" s="4" t="str">
        <f>IF(OR($A138="RTD"),IF(AND($AH138&lt;&gt;""),"YES","NO"),"N/A")</f>
        <v>N/A</v>
      </c>
      <c r="Q138" s="4" t="str">
        <f>IF(OR($A138="RTD"),IF(AND($AI138&lt;&gt;""),"YES","NO"),"N/A")</f>
        <v>N/A</v>
      </c>
      <c r="R138" s="4" t="str">
        <f>IF(OR($AM138&lt;&gt;"",$Z138&lt;&gt;"",$AC138&lt;&gt;""),"YES","NO")</f>
        <v>NO</v>
      </c>
      <c r="S138" s="4" t="str">
        <f>IF(COUNTIF(I138:R138,"NO")=0,"YES","NO")</f>
        <v>NO</v>
      </c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inlineStr">
        <is>
          <t>ACIC</t>
        </is>
      </c>
      <c r="AK138" s="9" t="inlineStr">
        <is>
          <t>16AWG</t>
        </is>
      </c>
      <c r="AL138" s="9" t="inlineStr">
        <is>
          <t>Levy Ostrup</t>
        </is>
      </c>
      <c r="AM138" s="9" t="n"/>
      <c r="AN138" s="9" t="n"/>
    </row>
    <row r="139">
      <c r="A139" s="9" t="inlineStr">
        <is>
          <t>RTD Cable</t>
        </is>
      </c>
      <c r="B139" s="9" t="inlineStr">
        <is>
          <t>29103-RJB-021</t>
        </is>
      </c>
      <c r="C139" s="9" t="inlineStr"/>
      <c r="D139" s="9" t="inlineStr">
        <is>
          <t>29103-HTP-102 HTC-11</t>
        </is>
      </c>
      <c r="E139" s="9" t="inlineStr">
        <is>
          <t>29103-HTP-102</t>
        </is>
      </c>
      <c r="F139" s="9" t="inlineStr"/>
      <c r="G139" s="9" t="inlineStr">
        <is>
          <t>113</t>
        </is>
      </c>
      <c r="H139" s="9" t="inlineStr">
        <is>
          <t>29103-RJB-021.pdf</t>
        </is>
      </c>
      <c r="I139" s="4" t="str">
        <f>IF($H139&lt;&gt;"","YES","NO")</f>
        <v>YES</v>
      </c>
      <c r="J139" s="4" t="str">
        <f>IF(N($T139)&gt;0,"YES","NO")</f>
        <v>NO</v>
      </c>
      <c r="K139" s="4" t="str">
        <f>IF(OR($A139="EHT Trace"),IF(AND($U139&lt;&gt;"",$V139&lt;&gt;""),"YES","NO"),"N/A")</f>
        <v>N/A</v>
      </c>
      <c r="L139" s="4" t="str">
        <f>IF(OR($A139="EHT Trace"),IF(AND($X139&lt;&gt;"",$Y139&lt;&gt;""),"YES","NO"),"N/A")</f>
        <v>N/A</v>
      </c>
      <c r="M139" s="4" t="str">
        <f>IF(OR($A139="EHT Trace"),IF(AND($AA139&lt;&gt;"",$AB139&lt;&gt;""),"YES","NO"),"N/A")</f>
        <v>N/A</v>
      </c>
      <c r="N139" s="4" t="str">
        <f>IF(OR($A139="Power Cable"),IF(AND($AD139&lt;&gt;""),"YES","NO"),"N/A")</f>
        <v>N/A</v>
      </c>
      <c r="O139" s="4" t="str">
        <f>IF(OR($A139="Power Cable",$A139="RTD Cable",$A139="Fieldbus Cable"),IF(AND($AE139&lt;&gt;""),"YES","NO"),"N/A")</f>
        <v>NO</v>
      </c>
      <c r="P139" s="4" t="str">
        <f>IF(OR($A139="RTD"),IF(AND($AH139&lt;&gt;""),"YES","NO"),"N/A")</f>
        <v>N/A</v>
      </c>
      <c r="Q139" s="4" t="str">
        <f>IF(OR($A139="RTD"),IF(AND($AI139&lt;&gt;""),"YES","NO"),"N/A")</f>
        <v>N/A</v>
      </c>
      <c r="R139" s="4" t="str">
        <f>IF(OR($AM139&lt;&gt;"",$Z139&lt;&gt;"",$AC139&lt;&gt;""),"YES","NO")</f>
        <v>NO</v>
      </c>
      <c r="S139" s="4" t="str">
        <f>IF(COUNTIF(I139:R139,"NO")=0,"YES","NO")</f>
        <v>NO</v>
      </c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inlineStr">
        <is>
          <t>ACIC</t>
        </is>
      </c>
      <c r="AK139" s="9" t="inlineStr">
        <is>
          <t>16AWG</t>
        </is>
      </c>
      <c r="AL139" s="9" t="inlineStr">
        <is>
          <t>Levy Ostrup</t>
        </is>
      </c>
      <c r="AM139" s="9" t="n"/>
      <c r="AN139" s="9" t="n"/>
    </row>
    <row r="140">
      <c r="A140" s="9" t="inlineStr">
        <is>
          <t>RTD Cable</t>
        </is>
      </c>
      <c r="B140" s="9" t="inlineStr">
        <is>
          <t>29103-RJB-022</t>
        </is>
      </c>
      <c r="C140" s="9" t="inlineStr"/>
      <c r="D140" s="9" t="inlineStr">
        <is>
          <t>29103-HTP-102 HTC-16,I/O-3-2, I/O-3-3</t>
        </is>
      </c>
      <c r="E140" s="9" t="inlineStr">
        <is>
          <t>29103-HTP-102</t>
        </is>
      </c>
      <c r="F140" s="9" t="inlineStr"/>
      <c r="G140" s="9" t="inlineStr">
        <is>
          <t>113</t>
        </is>
      </c>
      <c r="H140" s="9" t="inlineStr">
        <is>
          <t>29103-RJB-022.pdf</t>
        </is>
      </c>
      <c r="I140" s="4" t="str">
        <f>IF($H140&lt;&gt;"","YES","NO")</f>
        <v>YES</v>
      </c>
      <c r="J140" s="4" t="str">
        <f>IF(N($T140)&gt;0,"YES","NO")</f>
        <v>NO</v>
      </c>
      <c r="K140" s="4" t="str">
        <f>IF(OR($A140="EHT Trace"),IF(AND($U140&lt;&gt;"",$V140&lt;&gt;""),"YES","NO"),"N/A")</f>
        <v>N/A</v>
      </c>
      <c r="L140" s="4" t="str">
        <f>IF(OR($A140="EHT Trace"),IF(AND($X140&lt;&gt;"",$Y140&lt;&gt;""),"YES","NO"),"N/A")</f>
        <v>N/A</v>
      </c>
      <c r="M140" s="4" t="str">
        <f>IF(OR($A140="EHT Trace"),IF(AND($AA140&lt;&gt;"",$AB140&lt;&gt;""),"YES","NO"),"N/A")</f>
        <v>N/A</v>
      </c>
      <c r="N140" s="4" t="str">
        <f>IF(OR($A140="Power Cable"),IF(AND($AD140&lt;&gt;""),"YES","NO"),"N/A")</f>
        <v>N/A</v>
      </c>
      <c r="O140" s="4" t="str">
        <f>IF(OR($A140="Power Cable",$A140="RTD Cable",$A140="Fieldbus Cable"),IF(AND($AE140&lt;&gt;""),"YES","NO"),"N/A")</f>
        <v>NO</v>
      </c>
      <c r="P140" s="4" t="str">
        <f>IF(OR($A140="RTD"),IF(AND($AH140&lt;&gt;""),"YES","NO"),"N/A")</f>
        <v>N/A</v>
      </c>
      <c r="Q140" s="4" t="str">
        <f>IF(OR($A140="RTD"),IF(AND($AI140&lt;&gt;""),"YES","NO"),"N/A")</f>
        <v>N/A</v>
      </c>
      <c r="R140" s="4" t="str">
        <f>IF(OR($AM140&lt;&gt;"",$Z140&lt;&gt;"",$AC140&lt;&gt;""),"YES","NO")</f>
        <v>NO</v>
      </c>
      <c r="S140" s="4" t="str">
        <f>IF(COUNTIF(I140:R140,"NO")=0,"YES","NO")</f>
        <v>NO</v>
      </c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inlineStr">
        <is>
          <t>ACIC</t>
        </is>
      </c>
      <c r="AK140" s="9" t="inlineStr">
        <is>
          <t>16AWG</t>
        </is>
      </c>
      <c r="AL140" s="9" t="inlineStr">
        <is>
          <t>Levy Ostrup</t>
        </is>
      </c>
      <c r="AM140" s="9" t="n"/>
      <c r="AN140" s="9" t="n"/>
    </row>
    <row r="141">
      <c r="A141" s="9" t="inlineStr">
        <is>
          <t>RTD Cable</t>
        </is>
      </c>
      <c r="B141" s="9" t="inlineStr">
        <is>
          <t>29209-ET-P6020-1-R-1</t>
        </is>
      </c>
      <c r="C141" s="9" t="inlineStr">
        <is>
          <t>29209-ET-P6020-1</t>
        </is>
      </c>
      <c r="D141" s="9" t="inlineStr">
        <is>
          <t>29103-HTP-102 HTC-23</t>
        </is>
      </c>
      <c r="E141" s="9" t="inlineStr">
        <is>
          <t>29103-HTP-102</t>
        </is>
      </c>
      <c r="F141" s="9" t="inlineStr"/>
      <c r="G141" s="9" t="inlineStr">
        <is>
          <t>113</t>
        </is>
      </c>
      <c r="H141" s="9" t="inlineStr">
        <is>
          <t>29209-ET-P6020-1-R-1.pdf</t>
        </is>
      </c>
      <c r="I141" s="4" t="str">
        <f>IF($H141&lt;&gt;"","YES","NO")</f>
        <v>YES</v>
      </c>
      <c r="J141" s="4" t="str">
        <f>IF(N($T141)&gt;0,"YES","NO")</f>
        <v>NO</v>
      </c>
      <c r="K141" s="4" t="str">
        <f>IF(OR($A141="EHT Trace"),IF(AND($U141&lt;&gt;"",$V141&lt;&gt;""),"YES","NO"),"N/A")</f>
        <v>N/A</v>
      </c>
      <c r="L141" s="4" t="str">
        <f>IF(OR($A141="EHT Trace"),IF(AND($X141&lt;&gt;"",$Y141&lt;&gt;""),"YES","NO"),"N/A")</f>
        <v>N/A</v>
      </c>
      <c r="M141" s="4" t="str">
        <f>IF(OR($A141="EHT Trace"),IF(AND($AA141&lt;&gt;"",$AB141&lt;&gt;""),"YES","NO"),"N/A")</f>
        <v>N/A</v>
      </c>
      <c r="N141" s="4" t="str">
        <f>IF(OR($A141="Power Cable"),IF(AND($AD141&lt;&gt;""),"YES","NO"),"N/A")</f>
        <v>N/A</v>
      </c>
      <c r="O141" s="4" t="str">
        <f>IF(OR($A141="Power Cable",$A141="RTD Cable",$A141="Fieldbus Cable"),IF(AND($AE141&lt;&gt;""),"YES","NO"),"N/A")</f>
        <v>NO</v>
      </c>
      <c r="P141" s="4" t="str">
        <f>IF(OR($A141="RTD"),IF(AND($AH141&lt;&gt;""),"YES","NO"),"N/A")</f>
        <v>N/A</v>
      </c>
      <c r="Q141" s="4" t="str">
        <f>IF(OR($A141="RTD"),IF(AND($AI141&lt;&gt;""),"YES","NO"),"N/A")</f>
        <v>N/A</v>
      </c>
      <c r="R141" s="4" t="str">
        <f>IF(OR($AM141&lt;&gt;"",$Z141&lt;&gt;"",$AC141&lt;&gt;""),"YES","NO")</f>
        <v>NO</v>
      </c>
      <c r="S141" s="4" t="str">
        <f>IF(COUNTIF(I141:R141,"NO")=0,"YES","NO")</f>
        <v>NO</v>
      </c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inlineStr">
        <is>
          <t>ACIC</t>
        </is>
      </c>
      <c r="AK141" s="9" t="inlineStr">
        <is>
          <t>16AWG</t>
        </is>
      </c>
      <c r="AL141" s="9" t="inlineStr">
        <is>
          <t>Levy Ostrup</t>
        </is>
      </c>
      <c r="AM141" s="9" t="n"/>
      <c r="AN141" s="9" t="n"/>
    </row>
    <row r="142">
      <c r="A142" s="9" t="inlineStr">
        <is>
          <t>RTD Cable</t>
        </is>
      </c>
      <c r="B142" s="9" t="inlineStr">
        <is>
          <t>29209-ET-P6020-1-R-2</t>
        </is>
      </c>
      <c r="C142" s="9" t="inlineStr">
        <is>
          <t>29209-ET-P6020-1</t>
        </is>
      </c>
      <c r="D142" s="9" t="inlineStr">
        <is>
          <t>29103-HTP-102 HTC-38</t>
        </is>
      </c>
      <c r="E142" s="9" t="inlineStr">
        <is>
          <t>29103-HTP-102</t>
        </is>
      </c>
      <c r="F142" s="9" t="inlineStr"/>
      <c r="G142" s="9" t="inlineStr">
        <is>
          <t>113</t>
        </is>
      </c>
      <c r="H142" s="9" t="inlineStr">
        <is>
          <t>29209-ET-P6020-1-R-2.pdf</t>
        </is>
      </c>
      <c r="I142" s="4" t="str">
        <f>IF($H142&lt;&gt;"","YES","NO")</f>
        <v>YES</v>
      </c>
      <c r="J142" s="4" t="str">
        <f>IF(N($T142)&gt;0,"YES","NO")</f>
        <v>NO</v>
      </c>
      <c r="K142" s="4" t="str">
        <f>IF(OR($A142="EHT Trace"),IF(AND($U142&lt;&gt;"",$V142&lt;&gt;""),"YES","NO"),"N/A")</f>
        <v>N/A</v>
      </c>
      <c r="L142" s="4" t="str">
        <f>IF(OR($A142="EHT Trace"),IF(AND($X142&lt;&gt;"",$Y142&lt;&gt;""),"YES","NO"),"N/A")</f>
        <v>N/A</v>
      </c>
      <c r="M142" s="4" t="str">
        <f>IF(OR($A142="EHT Trace"),IF(AND($AA142&lt;&gt;"",$AB142&lt;&gt;""),"YES","NO"),"N/A")</f>
        <v>N/A</v>
      </c>
      <c r="N142" s="4" t="str">
        <f>IF(OR($A142="Power Cable"),IF(AND($AD142&lt;&gt;""),"YES","NO"),"N/A")</f>
        <v>N/A</v>
      </c>
      <c r="O142" s="4" t="str">
        <f>IF(OR($A142="Power Cable",$A142="RTD Cable",$A142="Fieldbus Cable"),IF(AND($AE142&lt;&gt;""),"YES","NO"),"N/A")</f>
        <v>NO</v>
      </c>
      <c r="P142" s="4" t="str">
        <f>IF(OR($A142="RTD"),IF(AND($AH142&lt;&gt;""),"YES","NO"),"N/A")</f>
        <v>N/A</v>
      </c>
      <c r="Q142" s="4" t="str">
        <f>IF(OR($A142="RTD"),IF(AND($AI142&lt;&gt;""),"YES","NO"),"N/A")</f>
        <v>N/A</v>
      </c>
      <c r="R142" s="4" t="str">
        <f>IF(OR($AM142&lt;&gt;"",$Z142&lt;&gt;"",$AC142&lt;&gt;""),"YES","NO")</f>
        <v>NO</v>
      </c>
      <c r="S142" s="4" t="str">
        <f>IF(COUNTIF(I142:R142,"NO")=0,"YES","NO")</f>
        <v>NO</v>
      </c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inlineStr">
        <is>
          <t>ACIC</t>
        </is>
      </c>
      <c r="AK142" s="9" t="inlineStr">
        <is>
          <t>16AWG</t>
        </is>
      </c>
      <c r="AL142" s="9" t="inlineStr">
        <is>
          <t>Levy Ostrup</t>
        </is>
      </c>
      <c r="AM142" s="9" t="n"/>
      <c r="AN142" s="9" t="n"/>
    </row>
    <row r="143">
      <c r="A143" s="9" t="inlineStr">
        <is>
          <t>RTD Cable</t>
        </is>
      </c>
      <c r="B143" s="9" t="inlineStr">
        <is>
          <t>29209-ET-P6021-1-R-1</t>
        </is>
      </c>
      <c r="C143" s="9" t="inlineStr">
        <is>
          <t>29209-ET-P6021-1</t>
        </is>
      </c>
      <c r="D143" s="9" t="inlineStr">
        <is>
          <t>29103-HTP-102 HTC-18</t>
        </is>
      </c>
      <c r="E143" s="9" t="inlineStr">
        <is>
          <t>29103-HTP-102</t>
        </is>
      </c>
      <c r="F143" s="9" t="inlineStr"/>
      <c r="G143" s="9" t="inlineStr">
        <is>
          <t>113</t>
        </is>
      </c>
      <c r="H143" s="9" t="inlineStr">
        <is>
          <t>29209-ET-P6021-1-R-1.pdf</t>
        </is>
      </c>
      <c r="I143" s="4" t="str">
        <f>IF($H143&lt;&gt;"","YES","NO")</f>
        <v>YES</v>
      </c>
      <c r="J143" s="4" t="str">
        <f>IF(N($T143)&gt;0,"YES","NO")</f>
        <v>NO</v>
      </c>
      <c r="K143" s="4" t="str">
        <f>IF(OR($A143="EHT Trace"),IF(AND($U143&lt;&gt;"",$V143&lt;&gt;""),"YES","NO"),"N/A")</f>
        <v>N/A</v>
      </c>
      <c r="L143" s="4" t="str">
        <f>IF(OR($A143="EHT Trace"),IF(AND($X143&lt;&gt;"",$Y143&lt;&gt;""),"YES","NO"),"N/A")</f>
        <v>N/A</v>
      </c>
      <c r="M143" s="4" t="str">
        <f>IF(OR($A143="EHT Trace"),IF(AND($AA143&lt;&gt;"",$AB143&lt;&gt;""),"YES","NO"),"N/A")</f>
        <v>N/A</v>
      </c>
      <c r="N143" s="4" t="str">
        <f>IF(OR($A143="Power Cable"),IF(AND($AD143&lt;&gt;""),"YES","NO"),"N/A")</f>
        <v>N/A</v>
      </c>
      <c r="O143" s="4" t="str">
        <f>IF(OR($A143="Power Cable",$A143="RTD Cable",$A143="Fieldbus Cable"),IF(AND($AE143&lt;&gt;""),"YES","NO"),"N/A")</f>
        <v>NO</v>
      </c>
      <c r="P143" s="4" t="str">
        <f>IF(OR($A143="RTD"),IF(AND($AH143&lt;&gt;""),"YES","NO"),"N/A")</f>
        <v>N/A</v>
      </c>
      <c r="Q143" s="4" t="str">
        <f>IF(OR($A143="RTD"),IF(AND($AI143&lt;&gt;""),"YES","NO"),"N/A")</f>
        <v>N/A</v>
      </c>
      <c r="R143" s="4" t="str">
        <f>IF(OR($AM143&lt;&gt;"",$Z143&lt;&gt;"",$AC143&lt;&gt;""),"YES","NO")</f>
        <v>NO</v>
      </c>
      <c r="S143" s="4" t="str">
        <f>IF(COUNTIF(I143:R143,"NO")=0,"YES","NO")</f>
        <v>NO</v>
      </c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inlineStr">
        <is>
          <t>ACIC</t>
        </is>
      </c>
      <c r="AK143" s="9" t="inlineStr">
        <is>
          <t>16AWG</t>
        </is>
      </c>
      <c r="AL143" s="9" t="inlineStr">
        <is>
          <t>Levy Ostrup</t>
        </is>
      </c>
      <c r="AM143" s="9" t="n"/>
      <c r="AN143" s="9" t="n"/>
    </row>
    <row r="144">
      <c r="A144" s="9" t="inlineStr">
        <is>
          <t>RTD Cable</t>
        </is>
      </c>
      <c r="B144" s="9" t="inlineStr">
        <is>
          <t>29209-ET-P6021-1-R-2</t>
        </is>
      </c>
      <c r="C144" s="9" t="inlineStr">
        <is>
          <t>29209-ET-P6021-1</t>
        </is>
      </c>
      <c r="D144" s="9" t="inlineStr">
        <is>
          <t>29103-HTP-102 HTC-39</t>
        </is>
      </c>
      <c r="E144" s="9" t="inlineStr">
        <is>
          <t>29103-HTP-102</t>
        </is>
      </c>
      <c r="F144" s="9" t="inlineStr"/>
      <c r="G144" s="9" t="inlineStr">
        <is>
          <t>113</t>
        </is>
      </c>
      <c r="H144" s="9" t="inlineStr">
        <is>
          <t>29209-ET-P6021-1-R-2.pdf</t>
        </is>
      </c>
      <c r="I144" s="4" t="str">
        <f>IF($H144&lt;&gt;"","YES","NO")</f>
        <v>YES</v>
      </c>
      <c r="J144" s="4" t="str">
        <f>IF(N($T144)&gt;0,"YES","NO")</f>
        <v>NO</v>
      </c>
      <c r="K144" s="4" t="str">
        <f>IF(OR($A144="EHT Trace"),IF(AND($U144&lt;&gt;"",$V144&lt;&gt;""),"YES","NO"),"N/A")</f>
        <v>N/A</v>
      </c>
      <c r="L144" s="4" t="str">
        <f>IF(OR($A144="EHT Trace"),IF(AND($X144&lt;&gt;"",$Y144&lt;&gt;""),"YES","NO"),"N/A")</f>
        <v>N/A</v>
      </c>
      <c r="M144" s="4" t="str">
        <f>IF(OR($A144="EHT Trace"),IF(AND($AA144&lt;&gt;"",$AB144&lt;&gt;""),"YES","NO"),"N/A")</f>
        <v>N/A</v>
      </c>
      <c r="N144" s="4" t="str">
        <f>IF(OR($A144="Power Cable"),IF(AND($AD144&lt;&gt;""),"YES","NO"),"N/A")</f>
        <v>N/A</v>
      </c>
      <c r="O144" s="4" t="str">
        <f>IF(OR($A144="Power Cable",$A144="RTD Cable",$A144="Fieldbus Cable"),IF(AND($AE144&lt;&gt;""),"YES","NO"),"N/A")</f>
        <v>NO</v>
      </c>
      <c r="P144" s="4" t="str">
        <f>IF(OR($A144="RTD"),IF(AND($AH144&lt;&gt;""),"YES","NO"),"N/A")</f>
        <v>N/A</v>
      </c>
      <c r="Q144" s="4" t="str">
        <f>IF(OR($A144="RTD"),IF(AND($AI144&lt;&gt;""),"YES","NO"),"N/A")</f>
        <v>N/A</v>
      </c>
      <c r="R144" s="4" t="str">
        <f>IF(OR($AM144&lt;&gt;"",$Z144&lt;&gt;"",$AC144&lt;&gt;""),"YES","NO")</f>
        <v>NO</v>
      </c>
      <c r="S144" s="4" t="str">
        <f>IF(COUNTIF(I144:R144,"NO")=0,"YES","NO")</f>
        <v>NO</v>
      </c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inlineStr">
        <is>
          <t>ACIC</t>
        </is>
      </c>
      <c r="AK144" s="9" t="inlineStr">
        <is>
          <t>16AWG</t>
        </is>
      </c>
      <c r="AL144" s="9" t="inlineStr">
        <is>
          <t>Levy Ostrup</t>
        </is>
      </c>
      <c r="AM144" s="9" t="n"/>
      <c r="AN144" s="9" t="n"/>
    </row>
    <row r="145">
      <c r="A145" s="9" t="inlineStr">
        <is>
          <t>RTD Cable</t>
        </is>
      </c>
      <c r="B145" s="9" t="inlineStr">
        <is>
          <t>29209-ET-P6022-1-R-1</t>
        </is>
      </c>
      <c r="C145" s="9" t="inlineStr">
        <is>
          <t>29209-ET-P6022-1</t>
        </is>
      </c>
      <c r="D145" s="9" t="inlineStr">
        <is>
          <t>29103-HTP-102 HTC-21</t>
        </is>
      </c>
      <c r="E145" s="9" t="inlineStr">
        <is>
          <t>29103-HTP-102</t>
        </is>
      </c>
      <c r="F145" s="9" t="inlineStr"/>
      <c r="G145" s="9" t="inlineStr">
        <is>
          <t>113</t>
        </is>
      </c>
      <c r="H145" s="9" t="inlineStr">
        <is>
          <t>29209-ET-P6022-1-R-1.pdf</t>
        </is>
      </c>
      <c r="I145" s="4" t="str">
        <f>IF($H145&lt;&gt;"","YES","NO")</f>
        <v>YES</v>
      </c>
      <c r="J145" s="4" t="str">
        <f>IF(N($T145)&gt;0,"YES","NO")</f>
        <v>NO</v>
      </c>
      <c r="K145" s="4" t="str">
        <f>IF(OR($A145="EHT Trace"),IF(AND($U145&lt;&gt;"",$V145&lt;&gt;""),"YES","NO"),"N/A")</f>
        <v>N/A</v>
      </c>
      <c r="L145" s="4" t="str">
        <f>IF(OR($A145="EHT Trace"),IF(AND($X145&lt;&gt;"",$Y145&lt;&gt;""),"YES","NO"),"N/A")</f>
        <v>N/A</v>
      </c>
      <c r="M145" s="4" t="str">
        <f>IF(OR($A145="EHT Trace"),IF(AND($AA145&lt;&gt;"",$AB145&lt;&gt;""),"YES","NO"),"N/A")</f>
        <v>N/A</v>
      </c>
      <c r="N145" s="4" t="str">
        <f>IF(OR($A145="Power Cable"),IF(AND($AD145&lt;&gt;""),"YES","NO"),"N/A")</f>
        <v>N/A</v>
      </c>
      <c r="O145" s="4" t="str">
        <f>IF(OR($A145="Power Cable",$A145="RTD Cable",$A145="Fieldbus Cable"),IF(AND($AE145&lt;&gt;""),"YES","NO"),"N/A")</f>
        <v>NO</v>
      </c>
      <c r="P145" s="4" t="str">
        <f>IF(OR($A145="RTD"),IF(AND($AH145&lt;&gt;""),"YES","NO"),"N/A")</f>
        <v>N/A</v>
      </c>
      <c r="Q145" s="4" t="str">
        <f>IF(OR($A145="RTD"),IF(AND($AI145&lt;&gt;""),"YES","NO"),"N/A")</f>
        <v>N/A</v>
      </c>
      <c r="R145" s="4" t="str">
        <f>IF(OR($AM145&lt;&gt;"",$Z145&lt;&gt;"",$AC145&lt;&gt;""),"YES","NO")</f>
        <v>NO</v>
      </c>
      <c r="S145" s="4" t="str">
        <f>IF(COUNTIF(I145:R145,"NO")=0,"YES","NO")</f>
        <v>NO</v>
      </c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inlineStr">
        <is>
          <t>ACIC</t>
        </is>
      </c>
      <c r="AK145" s="9" t="inlineStr">
        <is>
          <t>16AWG</t>
        </is>
      </c>
      <c r="AL145" s="9" t="inlineStr">
        <is>
          <t>Levy Ostrup</t>
        </is>
      </c>
      <c r="AM145" s="9" t="n"/>
      <c r="AN145" s="9" t="n"/>
    </row>
    <row r="146">
      <c r="A146" s="9" t="inlineStr">
        <is>
          <t>RTD Cable</t>
        </is>
      </c>
      <c r="B146" s="9" t="inlineStr">
        <is>
          <t>29209-ET-P6022-1-R-2</t>
        </is>
      </c>
      <c r="C146" s="9" t="inlineStr">
        <is>
          <t>29209-ET-P6022-1</t>
        </is>
      </c>
      <c r="D146" s="9" t="inlineStr">
        <is>
          <t>29103-HTP-102 HTC-40</t>
        </is>
      </c>
      <c r="E146" s="9" t="inlineStr">
        <is>
          <t>29103-HTP-102</t>
        </is>
      </c>
      <c r="F146" s="9" t="inlineStr"/>
      <c r="G146" s="9" t="inlineStr">
        <is>
          <t>113</t>
        </is>
      </c>
      <c r="H146" s="9" t="inlineStr">
        <is>
          <t>29209-ET-P6022-1-R-2.pdf</t>
        </is>
      </c>
      <c r="I146" s="4" t="str">
        <f>IF($H146&lt;&gt;"","YES","NO")</f>
        <v>YES</v>
      </c>
      <c r="J146" s="4" t="str">
        <f>IF(N($T146)&gt;0,"YES","NO")</f>
        <v>NO</v>
      </c>
      <c r="K146" s="4" t="str">
        <f>IF(OR($A146="EHT Trace"),IF(AND($U146&lt;&gt;"",$V146&lt;&gt;""),"YES","NO"),"N/A")</f>
        <v>N/A</v>
      </c>
      <c r="L146" s="4" t="str">
        <f>IF(OR($A146="EHT Trace"),IF(AND($X146&lt;&gt;"",$Y146&lt;&gt;""),"YES","NO"),"N/A")</f>
        <v>N/A</v>
      </c>
      <c r="M146" s="4" t="str">
        <f>IF(OR($A146="EHT Trace"),IF(AND($AA146&lt;&gt;"",$AB146&lt;&gt;""),"YES","NO"),"N/A")</f>
        <v>N/A</v>
      </c>
      <c r="N146" s="4" t="str">
        <f>IF(OR($A146="Power Cable"),IF(AND($AD146&lt;&gt;""),"YES","NO"),"N/A")</f>
        <v>N/A</v>
      </c>
      <c r="O146" s="4" t="str">
        <f>IF(OR($A146="Power Cable",$A146="RTD Cable",$A146="Fieldbus Cable"),IF(AND($AE146&lt;&gt;""),"YES","NO"),"N/A")</f>
        <v>NO</v>
      </c>
      <c r="P146" s="4" t="str">
        <f>IF(OR($A146="RTD"),IF(AND($AH146&lt;&gt;""),"YES","NO"),"N/A")</f>
        <v>N/A</v>
      </c>
      <c r="Q146" s="4" t="str">
        <f>IF(OR($A146="RTD"),IF(AND($AI146&lt;&gt;""),"YES","NO"),"N/A")</f>
        <v>N/A</v>
      </c>
      <c r="R146" s="4" t="str">
        <f>IF(OR($AM146&lt;&gt;"",$Z146&lt;&gt;"",$AC146&lt;&gt;""),"YES","NO")</f>
        <v>NO</v>
      </c>
      <c r="S146" s="4" t="str">
        <f>IF(COUNTIF(I146:R146,"NO")=0,"YES","NO")</f>
        <v>NO</v>
      </c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inlineStr">
        <is>
          <t>ACIC</t>
        </is>
      </c>
      <c r="AK146" s="9" t="inlineStr">
        <is>
          <t>16AWG</t>
        </is>
      </c>
      <c r="AL146" s="9" t="inlineStr">
        <is>
          <t>Levy Ostrup</t>
        </is>
      </c>
      <c r="AM146" s="9" t="n"/>
      <c r="AN146" s="9" t="n"/>
    </row>
    <row r="147">
      <c r="A147" s="9" t="inlineStr">
        <is>
          <t>RTD Cable</t>
        </is>
      </c>
      <c r="B147" s="9" t="inlineStr">
        <is>
          <t>29209-ET-PG6003-1-R-1</t>
        </is>
      </c>
      <c r="C147" s="9" t="inlineStr">
        <is>
          <t>29209-ET-PG6003-1</t>
        </is>
      </c>
      <c r="D147" s="9" t="inlineStr">
        <is>
          <t>29103-HTP-102 HTC-27</t>
        </is>
      </c>
      <c r="E147" s="9" t="inlineStr">
        <is>
          <t>29103-HTP-102</t>
        </is>
      </c>
      <c r="F147" s="9" t="inlineStr"/>
      <c r="G147" s="9" t="inlineStr">
        <is>
          <t>113</t>
        </is>
      </c>
      <c r="H147" s="9" t="inlineStr">
        <is>
          <t>29209-ET-PG6003-1-R-1.pdf</t>
        </is>
      </c>
      <c r="I147" s="4" t="str">
        <f>IF($H147&lt;&gt;"","YES","NO")</f>
        <v>YES</v>
      </c>
      <c r="J147" s="4" t="str">
        <f>IF(N($T147)&gt;0,"YES","NO")</f>
        <v>NO</v>
      </c>
      <c r="K147" s="4" t="str">
        <f>IF(OR($A147="EHT Trace"),IF(AND($U147&lt;&gt;"",$V147&lt;&gt;""),"YES","NO"),"N/A")</f>
        <v>N/A</v>
      </c>
      <c r="L147" s="4" t="str">
        <f>IF(OR($A147="EHT Trace"),IF(AND($X147&lt;&gt;"",$Y147&lt;&gt;""),"YES","NO"),"N/A")</f>
        <v>N/A</v>
      </c>
      <c r="M147" s="4" t="str">
        <f>IF(OR($A147="EHT Trace"),IF(AND($AA147&lt;&gt;"",$AB147&lt;&gt;""),"YES","NO"),"N/A")</f>
        <v>N/A</v>
      </c>
      <c r="N147" s="4" t="str">
        <f>IF(OR($A147="Power Cable"),IF(AND($AD147&lt;&gt;""),"YES","NO"),"N/A")</f>
        <v>N/A</v>
      </c>
      <c r="O147" s="4" t="str">
        <f>IF(OR($A147="Power Cable",$A147="RTD Cable",$A147="Fieldbus Cable"),IF(AND($AE147&lt;&gt;""),"YES","NO"),"N/A")</f>
        <v>NO</v>
      </c>
      <c r="P147" s="4" t="str">
        <f>IF(OR($A147="RTD"),IF(AND($AH147&lt;&gt;""),"YES","NO"),"N/A")</f>
        <v>N/A</v>
      </c>
      <c r="Q147" s="4" t="str">
        <f>IF(OR($A147="RTD"),IF(AND($AI147&lt;&gt;""),"YES","NO"),"N/A")</f>
        <v>N/A</v>
      </c>
      <c r="R147" s="4" t="str">
        <f>IF(OR($AM147&lt;&gt;"",$Z147&lt;&gt;"",$AC147&lt;&gt;""),"YES","NO")</f>
        <v>NO</v>
      </c>
      <c r="S147" s="4" t="str">
        <f>IF(COUNTIF(I147:R147,"NO")=0,"YES","NO")</f>
        <v>NO</v>
      </c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inlineStr">
        <is>
          <t>ACIC</t>
        </is>
      </c>
      <c r="AK147" s="9" t="inlineStr">
        <is>
          <t>16AWG</t>
        </is>
      </c>
      <c r="AL147" s="9" t="inlineStr">
        <is>
          <t>Levy Ostrup</t>
        </is>
      </c>
      <c r="AM147" s="9" t="n"/>
      <c r="AN147" s="9" t="n"/>
    </row>
    <row r="148">
      <c r="A148" s="9" t="inlineStr">
        <is>
          <t>RTD Cable</t>
        </is>
      </c>
      <c r="B148" s="9" t="inlineStr">
        <is>
          <t>29209-ET-PG6003-1-R-2</t>
        </is>
      </c>
      <c r="C148" s="9" t="inlineStr">
        <is>
          <t>29209-ET-PG6003-1</t>
        </is>
      </c>
      <c r="D148" s="9" t="inlineStr">
        <is>
          <t>29103-HTP-102 I/O-3-4</t>
        </is>
      </c>
      <c r="E148" s="9" t="inlineStr">
        <is>
          <t>29103-HTP-102</t>
        </is>
      </c>
      <c r="F148" s="9" t="inlineStr"/>
      <c r="G148" s="9" t="inlineStr">
        <is>
          <t>113</t>
        </is>
      </c>
      <c r="H148" s="9" t="inlineStr">
        <is>
          <t>29209-ET-PG6003-1-R-2.pdf</t>
        </is>
      </c>
      <c r="I148" s="4" t="str">
        <f>IF($H148&lt;&gt;"","YES","NO")</f>
        <v>YES</v>
      </c>
      <c r="J148" s="4" t="str">
        <f>IF(N($T148)&gt;0,"YES","NO")</f>
        <v>NO</v>
      </c>
      <c r="K148" s="4" t="str">
        <f>IF(OR($A148="EHT Trace"),IF(AND($U148&lt;&gt;"",$V148&lt;&gt;""),"YES","NO"),"N/A")</f>
        <v>N/A</v>
      </c>
      <c r="L148" s="4" t="str">
        <f>IF(OR($A148="EHT Trace"),IF(AND($X148&lt;&gt;"",$Y148&lt;&gt;""),"YES","NO"),"N/A")</f>
        <v>N/A</v>
      </c>
      <c r="M148" s="4" t="str">
        <f>IF(OR($A148="EHT Trace"),IF(AND($AA148&lt;&gt;"",$AB148&lt;&gt;""),"YES","NO"),"N/A")</f>
        <v>N/A</v>
      </c>
      <c r="N148" s="4" t="str">
        <f>IF(OR($A148="Power Cable"),IF(AND($AD148&lt;&gt;""),"YES","NO"),"N/A")</f>
        <v>N/A</v>
      </c>
      <c r="O148" s="4" t="str">
        <f>IF(OR($A148="Power Cable",$A148="RTD Cable",$A148="Fieldbus Cable"),IF(AND($AE148&lt;&gt;""),"YES","NO"),"N/A")</f>
        <v>NO</v>
      </c>
      <c r="P148" s="4" t="str">
        <f>IF(OR($A148="RTD"),IF(AND($AH148&lt;&gt;""),"YES","NO"),"N/A")</f>
        <v>N/A</v>
      </c>
      <c r="Q148" s="4" t="str">
        <f>IF(OR($A148="RTD"),IF(AND($AI148&lt;&gt;""),"YES","NO"),"N/A")</f>
        <v>N/A</v>
      </c>
      <c r="R148" s="4" t="str">
        <f>IF(OR($AM148&lt;&gt;"",$Z148&lt;&gt;"",$AC148&lt;&gt;""),"YES","NO")</f>
        <v>NO</v>
      </c>
      <c r="S148" s="4" t="str">
        <f>IF(COUNTIF(I148:R148,"NO")=0,"YES","NO")</f>
        <v>NO</v>
      </c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inlineStr">
        <is>
          <t>ACIC</t>
        </is>
      </c>
      <c r="AK148" s="9" t="inlineStr">
        <is>
          <t>16AWG</t>
        </is>
      </c>
      <c r="AL148" s="9" t="inlineStr">
        <is>
          <t>Levy Ostrup</t>
        </is>
      </c>
      <c r="AM148" s="9" t="n"/>
      <c r="AN148" s="9" t="n"/>
    </row>
  </sheetData>
  <autoFilter ref="A4:AN148"/>
  <mergeCells count="3">
    <mergeCell ref="A3:H3"/>
    <mergeCell ref="I3:S3"/>
    <mergeCell ref="T3:AN3"/>
  </mergeCells>
  <conditionalFormatting sqref="I5:S148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"N/A"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2" customWidth="1" min="4" max="4"/>
    <col width="20" customWidth="1" min="5" max="5"/>
    <col width="27" customWidth="1" min="6" max="6"/>
    <col width="6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24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60" customWidth="1" min="40" max="40"/>
  </cols>
  <sheetData>
    <row r="1">
      <c r="A1" s="1" t="inlineStr">
        <is>
          <t>29103-HTP-100</t>
        </is>
      </c>
    </row>
    <row r="3">
      <c r="A3" s="6" t="n"/>
      <c r="I3" s="7" t="inlineStr">
        <is>
          <t>CHECKSHEETS</t>
        </is>
      </c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7" t="inlineStr">
        <is>
          <t>TEST RESULTS</t>
        </is>
      </c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</row>
    <row r="4" ht="30" customHeight="1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9" t="inlineStr">
        <is>
          <t>EHT Trace</t>
        </is>
      </c>
      <c r="B5" s="9" t="inlineStr">
        <is>
          <t>29103-ET-P1800-4-1</t>
        </is>
      </c>
      <c r="C5" s="9" t="inlineStr">
        <is>
          <t>29103-ET-P1800-4</t>
        </is>
      </c>
      <c r="D5" s="9" t="inlineStr">
        <is>
          <t>HTC-05 / CB-05</t>
        </is>
      </c>
      <c r="E5" s="9" t="inlineStr">
        <is>
          <t>29103-P-1800</t>
        </is>
      </c>
      <c r="F5" s="9" t="inlineStr">
        <is>
          <t>29103-65R-ET-P1800-04-01</t>
        </is>
      </c>
      <c r="G5" s="9" t="inlineStr">
        <is>
          <t>13.1</t>
        </is>
      </c>
      <c r="H5" s="9" t="inlineStr">
        <is>
          <t>29103-ET-P1800-4-1.pdf</t>
        </is>
      </c>
      <c r="I5" s="4" t="str">
        <f>IF($H5&lt;&gt;"","YES","NO")</f>
        <v>YES</v>
      </c>
      <c r="J5" s="4" t="str">
        <f>IF(N($T5)&gt;0,"YES","NO")</f>
        <v>NO</v>
      </c>
      <c r="K5" s="4" t="str">
        <f>IF(OR($A5="EHT Trace"),IF(AND($U5&lt;&gt;"",$V5&lt;&gt;""),"YES","NO"),"N/A")</f>
        <v>NO</v>
      </c>
      <c r="L5" s="4" t="str">
        <f>IF(OR($A5="EHT Trace"),IF(AND($X5&lt;&gt;"",$Y5&lt;&gt;""),"YES","NO"),"N/A")</f>
        <v>NO</v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NO</v>
      </c>
      <c r="S5" s="4" t="str">
        <f>IF(COUNTIF(I5:R5,"NO")=0,"YES","NO")</f>
        <v>NO</v>
      </c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inlineStr">
        <is>
          <t>D/32SQ3200/36.8M/2859/277/2.1M/LS23A/X/N12</t>
        </is>
      </c>
      <c r="AK5" s="9" t="inlineStr">
        <is>
          <t>36.8 m m</t>
        </is>
      </c>
      <c r="AL5" s="9" t="inlineStr">
        <is>
          <t>Levy Ostrup</t>
        </is>
      </c>
      <c r="AM5" s="9" t="n"/>
      <c r="AN5" s="9" t="n"/>
    </row>
    <row r="6">
      <c r="A6" s="9" t="inlineStr">
        <is>
          <t>EHT Trace</t>
        </is>
      </c>
      <c r="B6" s="9" t="inlineStr">
        <is>
          <t>29103-ET-P1800-5-1</t>
        </is>
      </c>
      <c r="C6" s="9" t="inlineStr">
        <is>
          <t>29103-ET-P1800-5</t>
        </is>
      </c>
      <c r="D6" s="9" t="inlineStr">
        <is>
          <t>HTC-02 / CB-02</t>
        </is>
      </c>
      <c r="E6" s="9" t="inlineStr">
        <is>
          <t>29103-P-1800</t>
        </is>
      </c>
      <c r="F6" s="9" t="inlineStr">
        <is>
          <t>29103-65R-ET-P1800-05-01</t>
        </is>
      </c>
      <c r="G6" s="9" t="inlineStr">
        <is>
          <t>13.1</t>
        </is>
      </c>
      <c r="H6" s="9" t="inlineStr">
        <is>
          <t>29103-ET-P1800-5-1.pdf</t>
        </is>
      </c>
      <c r="I6" s="4" t="str">
        <f>IF($H6&lt;&gt;"","YES","NO")</f>
        <v>YES</v>
      </c>
      <c r="J6" s="4" t="str">
        <f>IF(N($T6)&gt;0,"YES","NO")</f>
        <v>NO</v>
      </c>
      <c r="K6" s="4" t="str">
        <f>IF(OR($A6="EHT Trace"),IF(AND($U6&lt;&gt;"",$V6&lt;&gt;""),"YES","NO"),"N/A")</f>
        <v>NO</v>
      </c>
      <c r="L6" s="4" t="str">
        <f>IF(OR($A6="EHT Trace"),IF(AND($X6&lt;&gt;"",$Y6&lt;&gt;""),"YES","NO"),"N/A")</f>
        <v>NO</v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inlineStr">
        <is>
          <t>D/32SP4583/70.3M/4577/277/2.1M/LS23A/X/N12</t>
        </is>
      </c>
      <c r="AK6" s="9" t="inlineStr">
        <is>
          <t>70.3 m m</t>
        </is>
      </c>
      <c r="AL6" s="9" t="inlineStr">
        <is>
          <t>Levy Ostrup</t>
        </is>
      </c>
      <c r="AM6" s="9" t="n"/>
      <c r="AN6" s="9" t="n"/>
    </row>
    <row r="7">
      <c r="A7" s="9" t="inlineStr">
        <is>
          <t>EHT Trace</t>
        </is>
      </c>
      <c r="B7" s="9" t="inlineStr">
        <is>
          <t>29103-ET-P1800-6-1</t>
        </is>
      </c>
      <c r="C7" s="9" t="inlineStr">
        <is>
          <t>29103-ET-P1800-6</t>
        </is>
      </c>
      <c r="D7" s="9" t="inlineStr">
        <is>
          <t>HTC-06 / CB-06</t>
        </is>
      </c>
      <c r="E7" s="9" t="inlineStr">
        <is>
          <t>29103-P-1800</t>
        </is>
      </c>
      <c r="F7" s="9" t="inlineStr">
        <is>
          <t>29103-65R-ET-P1800-06-01</t>
        </is>
      </c>
      <c r="G7" s="9" t="inlineStr">
        <is>
          <t>13.1</t>
        </is>
      </c>
      <c r="H7" s="9" t="inlineStr">
        <is>
          <t>29103-ET-P1800-6-1.pdf</t>
        </is>
      </c>
      <c r="I7" s="4" t="str">
        <f>IF($H7&lt;&gt;"","YES","NO")</f>
        <v>YES</v>
      </c>
      <c r="J7" s="4" t="str">
        <f>IF(N($T7)&gt;0,"YES","NO")</f>
        <v>NO</v>
      </c>
      <c r="K7" s="4" t="str">
        <f>IF(OR($A7="EHT Trace"),IF(AND($U7&lt;&gt;"",$V7&lt;&gt;""),"YES","NO"),"N/A")</f>
        <v>YES</v>
      </c>
      <c r="L7" s="4" t="str">
        <f>IF(OR($A7="EHT Trace"),IF(AND($X7&lt;&gt;"",$Y7&lt;&gt;""),"YES","NO"),"N/A")</f>
        <v>NO</v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9" t="n"/>
      <c r="U7" s="9" t="inlineStr">
        <is>
          <t>&gt;2.2 GΩ</t>
        </is>
      </c>
      <c r="V7" s="9" t="inlineStr">
        <is>
          <t>15.2 Ω</t>
        </is>
      </c>
      <c r="W7" s="9" t="inlineStr">
        <is>
          <t>2026-05-17</t>
        </is>
      </c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inlineStr">
        <is>
          <t>D/32SP4583/76.2M/4282/277/2.1M/LS23A/X/N12</t>
        </is>
      </c>
      <c r="AK7" s="9" t="inlineStr">
        <is>
          <t>76.2 m m</t>
        </is>
      </c>
      <c r="AL7" s="9" t="inlineStr">
        <is>
          <t>Levy Ostrup</t>
        </is>
      </c>
      <c r="AM7" s="9" t="n"/>
      <c r="AN7" s="9" t="n"/>
    </row>
    <row r="8">
      <c r="A8" s="9" t="inlineStr">
        <is>
          <t>EHT Trace</t>
        </is>
      </c>
      <c r="B8" s="9" t="inlineStr">
        <is>
          <t>29103-ET-P1800-7-1</t>
        </is>
      </c>
      <c r="C8" s="9" t="inlineStr">
        <is>
          <t>29103-ET-P1800-7</t>
        </is>
      </c>
      <c r="D8" s="9" t="inlineStr">
        <is>
          <t>HTC-16 / CB-16</t>
        </is>
      </c>
      <c r="E8" s="9" t="inlineStr">
        <is>
          <t>29103-P-1810, 29103-P-1800</t>
        </is>
      </c>
      <c r="F8" s="9" t="inlineStr">
        <is>
          <t>29103-65R-ET-P1800-07-01</t>
        </is>
      </c>
      <c r="G8" s="9" t="inlineStr">
        <is>
          <t>13.1</t>
        </is>
      </c>
      <c r="H8" s="9" t="inlineStr">
        <is>
          <t>29103-ET-P1800-7-1.pdf</t>
        </is>
      </c>
      <c r="I8" s="4" t="str">
        <f>IF($H8&lt;&gt;"","YES","NO")</f>
        <v>YES</v>
      </c>
      <c r="J8" s="4" t="str">
        <f>IF(N($T8)&gt;0,"YES","NO")</f>
        <v>NO</v>
      </c>
      <c r="K8" s="4" t="str">
        <f>IF(OR($A8="EHT Trace"),IF(AND($U8&lt;&gt;"",$V8&lt;&gt;""),"YES","NO"),"N/A")</f>
        <v>YES</v>
      </c>
      <c r="L8" s="4" t="str">
        <f>IF(OR($A8="EHT Trace"),IF(AND($X8&lt;&gt;"",$Y8&lt;&gt;""),"YES","NO"),"N/A")</f>
        <v>YES</v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YES</v>
      </c>
      <c r="S8" s="4" t="str">
        <f>IF(COUNTIF(I8:R8,"NO")=0,"YES","NO")</f>
        <v>NO</v>
      </c>
      <c r="T8" s="9" t="n"/>
      <c r="U8" s="9" t="inlineStr">
        <is>
          <t>&gt;2.2 GΩ</t>
        </is>
      </c>
      <c r="V8" s="9" t="inlineStr">
        <is>
          <t>15.1 Ω</t>
        </is>
      </c>
      <c r="W8" s="9" t="inlineStr">
        <is>
          <t>2026-05-17</t>
        </is>
      </c>
      <c r="X8" s="9" t="inlineStr">
        <is>
          <t>550 MΩ</t>
        </is>
      </c>
      <c r="Y8" s="9" t="inlineStr">
        <is>
          <t>15.2 Ω</t>
        </is>
      </c>
      <c r="Z8" s="9" t="inlineStr">
        <is>
          <t>2026-09-21</t>
        </is>
      </c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inlineStr">
        <is>
          <t>D/32SP4583/76.3M/4280/277/2.1M/LS23A/X/N12</t>
        </is>
      </c>
      <c r="AK8" s="9" t="inlineStr">
        <is>
          <t>76.3 m m</t>
        </is>
      </c>
      <c r="AL8" s="9" t="inlineStr">
        <is>
          <t>Levy Ostrup</t>
        </is>
      </c>
      <c r="AM8" s="9" t="n"/>
      <c r="AN8" s="9" t="n"/>
    </row>
    <row r="9">
      <c r="A9" s="9" t="inlineStr">
        <is>
          <t>EHT Trace</t>
        </is>
      </c>
      <c r="B9" s="9" t="inlineStr">
        <is>
          <t>29103-ET-PE1802-3-1</t>
        </is>
      </c>
      <c r="C9" s="9" t="inlineStr">
        <is>
          <t>29103-ET-PE1802-3</t>
        </is>
      </c>
      <c r="D9" s="9" t="inlineStr">
        <is>
          <t>HTC-03 / CB-03</t>
        </is>
      </c>
      <c r="E9" s="9" t="inlineStr">
        <is>
          <t>29103-PE-1802</t>
        </is>
      </c>
      <c r="F9" s="9" t="inlineStr">
        <is>
          <t>29103-65R-ET-PE1802-03-01</t>
        </is>
      </c>
      <c r="G9" s="9" t="inlineStr">
        <is>
          <t>13.1</t>
        </is>
      </c>
      <c r="H9" s="9" t="inlineStr">
        <is>
          <t>29103-ET-PE1802-3-1.pdf</t>
        </is>
      </c>
      <c r="I9" s="4" t="str">
        <f>IF($H9&lt;&gt;"","YES","NO")</f>
        <v>YES</v>
      </c>
      <c r="J9" s="4" t="str">
        <f>IF(N($T9)&gt;0,"YES","NO")</f>
        <v>NO</v>
      </c>
      <c r="K9" s="4" t="str">
        <f>IF(OR($A9="EHT Trace"),IF(AND($U9&lt;&gt;"",$V9&lt;&gt;""),"YES","NO"),"N/A")</f>
        <v>NO</v>
      </c>
      <c r="L9" s="4" t="str">
        <f>IF(OR($A9="EHT Trace"),IF(AND($X9&lt;&gt;"",$Y9&lt;&gt;""),"YES","NO"),"N/A")</f>
        <v>NO</v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NO</v>
      </c>
      <c r="S9" s="4" t="str">
        <f>IF(COUNTIF(I9:R9,"NO")=0,"YES","NO")</f>
        <v>NO</v>
      </c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inlineStr">
        <is>
          <t>D/32SP4458/18M/1580/74.1/2.1M/LS23A/X/N12</t>
        </is>
      </c>
      <c r="AK9" s="9" t="inlineStr">
        <is>
          <t>18 m m</t>
        </is>
      </c>
      <c r="AL9" s="9" t="inlineStr">
        <is>
          <t>Levy Ostrup</t>
        </is>
      </c>
      <c r="AM9" s="9" t="n"/>
      <c r="AN9" s="9" t="n"/>
    </row>
    <row r="10">
      <c r="A10" s="9" t="inlineStr">
        <is>
          <t>EHT Trace</t>
        </is>
      </c>
      <c r="B10" s="9" t="inlineStr">
        <is>
          <t>29103-ET-PE1802-3-2</t>
        </is>
      </c>
      <c r="C10" s="9" t="inlineStr">
        <is>
          <t>29103-ET-PE1802-3</t>
        </is>
      </c>
      <c r="D10" s="9" t="inlineStr">
        <is>
          <t>HTC-03 / CB-03</t>
        </is>
      </c>
      <c r="E10" s="9" t="inlineStr">
        <is>
          <t>29103-PE-1802</t>
        </is>
      </c>
      <c r="F10" s="9" t="inlineStr">
        <is>
          <t>29103-65R-ET-PE1802-03-01</t>
        </is>
      </c>
      <c r="G10" s="9" t="inlineStr">
        <is>
          <t>13.1</t>
        </is>
      </c>
      <c r="H10" s="9" t="inlineStr">
        <is>
          <t>29103-ET-PE1802-3-2.pdf</t>
        </is>
      </c>
      <c r="I10" s="4" t="str">
        <f>IF($H10&lt;&gt;"","YES","NO")</f>
        <v>YES</v>
      </c>
      <c r="J10" s="4" t="str">
        <f>IF(N($T10)&gt;0,"YES","NO")</f>
        <v>NO</v>
      </c>
      <c r="K10" s="4" t="str">
        <f>IF(OR($A10="EHT Trace"),IF(AND($U10&lt;&gt;"",$V10&lt;&gt;""),"YES","NO"),"N/A")</f>
        <v>NO</v>
      </c>
      <c r="L10" s="4" t="str">
        <f>IF(OR($A10="EHT Trace"),IF(AND($X10&lt;&gt;"",$Y10&lt;&gt;""),"YES","NO"),"N/A")</f>
        <v>NO</v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inlineStr">
        <is>
          <t>D/32SP4458/49.3M/4329/203/1.2M/LS23A/X/N12</t>
        </is>
      </c>
      <c r="AK10" s="9" t="inlineStr">
        <is>
          <t>49.3 m m</t>
        </is>
      </c>
      <c r="AL10" s="9" t="inlineStr">
        <is>
          <t>Levy Ostrup</t>
        </is>
      </c>
      <c r="AM10" s="9" t="n"/>
      <c r="AN10" s="9" t="n"/>
    </row>
    <row r="11">
      <c r="A11" s="9" t="inlineStr">
        <is>
          <t>EHT Trace</t>
        </is>
      </c>
      <c r="B11" s="9" t="inlineStr">
        <is>
          <t>29103-ET-PE1802-4-1</t>
        </is>
      </c>
      <c r="C11" s="9" t="inlineStr">
        <is>
          <t>29103-ET-PE1802-4</t>
        </is>
      </c>
      <c r="D11" s="9" t="inlineStr">
        <is>
          <t>HTC-07 / CB-07</t>
        </is>
      </c>
      <c r="E11" s="9" t="inlineStr">
        <is>
          <t>29103-PE-1802</t>
        </is>
      </c>
      <c r="F11" s="9" t="inlineStr">
        <is>
          <t>29103-65R-ET-PE1802-04-01</t>
        </is>
      </c>
      <c r="G11" s="9" t="inlineStr">
        <is>
          <t>13.1</t>
        </is>
      </c>
      <c r="H11" s="9" t="inlineStr">
        <is>
          <t>29103-ET-PE1802-4-1.pdf</t>
        </is>
      </c>
      <c r="I11" s="4" t="str">
        <f>IF($H11&lt;&gt;"","YES","NO")</f>
        <v>YES</v>
      </c>
      <c r="J11" s="4" t="str">
        <f>IF(N($T11)&gt;0,"YES","NO")</f>
        <v>NO</v>
      </c>
      <c r="K11" s="4" t="str">
        <f>IF(OR($A11="EHT Trace"),IF(AND($U11&lt;&gt;"",$V11&lt;&gt;""),"YES","NO"),"N/A")</f>
        <v>NO</v>
      </c>
      <c r="L11" s="4" t="str">
        <f>IF(OR($A11="EHT Trace"),IF(AND($X11&lt;&gt;"",$Y11&lt;&gt;""),"YES","NO"),"N/A")</f>
        <v>NO</v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inlineStr">
        <is>
          <t>D/32SQ3150/40.8M/3435/277/1.2M/LS23A/X/N12</t>
        </is>
      </c>
      <c r="AK11" s="9" t="inlineStr">
        <is>
          <t>40.8 m m</t>
        </is>
      </c>
      <c r="AL11" s="9" t="inlineStr">
        <is>
          <t>Levy Ostrup</t>
        </is>
      </c>
      <c r="AM11" s="9" t="n"/>
      <c r="AN11" s="9" t="n"/>
    </row>
    <row r="12">
      <c r="A12" s="9" t="inlineStr">
        <is>
          <t>EHT Trace</t>
        </is>
      </c>
      <c r="B12" s="9" t="inlineStr">
        <is>
          <t>29103-ET-PE1802-5-1</t>
        </is>
      </c>
      <c r="C12" s="9" t="inlineStr">
        <is>
          <t>29103-ET-PE1802-5</t>
        </is>
      </c>
      <c r="D12" s="9" t="inlineStr">
        <is>
          <t>HTC-17 / CB-17</t>
        </is>
      </c>
      <c r="E12" s="9" t="inlineStr">
        <is>
          <t>29103-PE-1812, 29103-PE-1802</t>
        </is>
      </c>
      <c r="F12" s="9" t="inlineStr">
        <is>
          <t>29103-65R-ET-PE1802-05-01</t>
        </is>
      </c>
      <c r="G12" s="9" t="inlineStr">
        <is>
          <t>13.1</t>
        </is>
      </c>
      <c r="H12" s="9" t="inlineStr">
        <is>
          <t>29103-ET-PE1802-5-1.pdf</t>
        </is>
      </c>
      <c r="I12" s="4" t="str">
        <f>IF($H12&lt;&gt;"","YES","NO")</f>
        <v>YES</v>
      </c>
      <c r="J12" s="4" t="str">
        <f>IF(N($T12)&gt;0,"YES","NO")</f>
        <v>YES</v>
      </c>
      <c r="K12" s="4" t="str">
        <f>IF(OR($A12="EHT Trace"),IF(AND($U12&lt;&gt;"",$V12&lt;&gt;""),"YES","NO"),"N/A")</f>
        <v>NO</v>
      </c>
      <c r="L12" s="4" t="str">
        <f>IF(OR($A12="EHT Trace"),IF(AND($X12&lt;&gt;"",$Y12&lt;&gt;""),"YES","NO"),"N/A")</f>
        <v>YES</v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YES</v>
      </c>
      <c r="S12" s="4" t="str">
        <f>IF(COUNTIF(I12:R12,"NO")=0,"YES","NO")</f>
        <v>NO</v>
      </c>
      <c r="T12" s="9" t="n">
        <v>1</v>
      </c>
      <c r="U12" s="9" t="n"/>
      <c r="V12" s="9" t="n"/>
      <c r="W12" s="9" t="n"/>
      <c r="X12" s="9" t="inlineStr">
        <is>
          <t>550 MΩ</t>
        </is>
      </c>
      <c r="Y12" s="9" t="inlineStr">
        <is>
          <t>14.8 Ω</t>
        </is>
      </c>
      <c r="Z12" s="9" t="inlineStr">
        <is>
          <t>2026-09-20</t>
        </is>
      </c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inlineStr">
        <is>
          <t>D/32SP4458/90.7M/4626/277/1.2M/LS23A/X/N12</t>
        </is>
      </c>
      <c r="AK12" s="9" t="inlineStr">
        <is>
          <t>90.7 m m</t>
        </is>
      </c>
      <c r="AL12" s="9" t="inlineStr">
        <is>
          <t>Levy Ostrup</t>
        </is>
      </c>
      <c r="AM12" s="9" t="n"/>
      <c r="AN12" s="9" t="n"/>
    </row>
    <row r="13">
      <c r="A13" s="9" t="inlineStr">
        <is>
          <t>EHT Trace</t>
        </is>
      </c>
      <c r="B13" s="9" t="inlineStr">
        <is>
          <t>29103-ET-PE1803-3-1</t>
        </is>
      </c>
      <c r="C13" s="9" t="inlineStr">
        <is>
          <t>29103-ET-PE1803-3</t>
        </is>
      </c>
      <c r="D13" s="9" t="inlineStr">
        <is>
          <t>HTC-04 / CB-04</t>
        </is>
      </c>
      <c r="E13" s="9" t="inlineStr">
        <is>
          <t>29103-PE-1803</t>
        </is>
      </c>
      <c r="F13" s="9" t="inlineStr">
        <is>
          <t>29103-65R-ET-PE1803-03-01</t>
        </is>
      </c>
      <c r="G13" s="9" t="inlineStr">
        <is>
          <t>13.1</t>
        </is>
      </c>
      <c r="H13" s="9" t="inlineStr">
        <is>
          <t>29103-ET-PE1803-3-1.pdf</t>
        </is>
      </c>
      <c r="I13" s="4" t="str">
        <f>IF($H13&lt;&gt;"","YES","NO")</f>
        <v>YES</v>
      </c>
      <c r="J13" s="4" t="str">
        <f>IF(N($T13)&gt;0,"YES","NO")</f>
        <v>NO</v>
      </c>
      <c r="K13" s="4" t="str">
        <f>IF(OR($A13="EHT Trace"),IF(AND($U13&lt;&gt;"",$V13&lt;&gt;""),"YES","NO"),"N/A")</f>
        <v>NO</v>
      </c>
      <c r="L13" s="4" t="str">
        <f>IF(OR($A13="EHT Trace"),IF(AND($X13&lt;&gt;"",$Y13&lt;&gt;""),"YES","NO"),"N/A")</f>
        <v>NO</v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NO</v>
      </c>
      <c r="S13" s="4" t="str">
        <f>IF(COUNTIF(I13:R13,"NO")=0,"YES","NO")</f>
        <v>NO</v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inlineStr">
        <is>
          <t>E/32SQ3200/6.9M/328/40.2/1.2M/LS23A/X/N12/XNF</t>
        </is>
      </c>
      <c r="AK13" s="9" t="inlineStr">
        <is>
          <t>6.9 m m</t>
        </is>
      </c>
      <c r="AL13" s="9" t="inlineStr">
        <is>
          <t>Levy Ostrup</t>
        </is>
      </c>
      <c r="AM13" s="9" t="n"/>
      <c r="AN13" s="9" t="n"/>
    </row>
    <row r="14">
      <c r="A14" s="9" t="inlineStr">
        <is>
          <t>EHT Trace</t>
        </is>
      </c>
      <c r="B14" s="9" t="inlineStr">
        <is>
          <t>29103-ET-PE1803-3-2</t>
        </is>
      </c>
      <c r="C14" s="9" t="inlineStr">
        <is>
          <t>29103-ET-PE1803-3</t>
        </is>
      </c>
      <c r="D14" s="9" t="inlineStr">
        <is>
          <t>HTC-04 / CB-04</t>
        </is>
      </c>
      <c r="E14" s="9" t="inlineStr">
        <is>
          <t>29103-PE-2803</t>
        </is>
      </c>
      <c r="F14" s="9" t="inlineStr">
        <is>
          <t>29103-65R-ET-PE1803-03-01</t>
        </is>
      </c>
      <c r="G14" s="9" t="inlineStr">
        <is>
          <t>13.1</t>
        </is>
      </c>
      <c r="H14" s="9" t="inlineStr">
        <is>
          <t>29103-ET-PE1803-3-2.pdf</t>
        </is>
      </c>
      <c r="I14" s="4" t="str">
        <f>IF($H14&lt;&gt;"","YES","NO")</f>
        <v>YES</v>
      </c>
      <c r="J14" s="4" t="str">
        <f>IF(N($T14)&gt;0,"YES","NO")</f>
        <v>NO</v>
      </c>
      <c r="K14" s="4" t="str">
        <f>IF(OR($A14="EHT Trace"),IF(AND($U14&lt;&gt;"",$V14&lt;&gt;""),"YES","NO"),"N/A")</f>
        <v>NO</v>
      </c>
      <c r="L14" s="4" t="str">
        <f>IF(OR($A14="EHT Trace"),IF(AND($X14&lt;&gt;"",$Y14&lt;&gt;""),"YES","NO"),"N/A")</f>
        <v>NO</v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inlineStr">
        <is>
          <t>D/32SQ3200/18.4M/874/107/1.2M/LS23A/X/N12/XMN</t>
        </is>
      </c>
      <c r="AK14" s="9" t="inlineStr">
        <is>
          <t>18.4 m m</t>
        </is>
      </c>
      <c r="AL14" s="9" t="inlineStr">
        <is>
          <t>Levy Ostrup</t>
        </is>
      </c>
      <c r="AM14" s="9" t="n"/>
      <c r="AN14" s="9" t="n"/>
    </row>
    <row r="15">
      <c r="A15" s="9" t="inlineStr">
        <is>
          <t>EHT Trace</t>
        </is>
      </c>
      <c r="B15" s="9" t="inlineStr">
        <is>
          <t>29103-ET-PE1803-3-3</t>
        </is>
      </c>
      <c r="C15" s="9" t="inlineStr">
        <is>
          <t>29103-ET-PE1803-3</t>
        </is>
      </c>
      <c r="D15" s="9" t="inlineStr">
        <is>
          <t>HTC-04 / CB-04</t>
        </is>
      </c>
      <c r="E15" s="9" t="inlineStr">
        <is>
          <t>29103-PE-1803</t>
        </is>
      </c>
      <c r="F15" s="9" t="inlineStr">
        <is>
          <t>29103-65R-ET-PE1803-03-01</t>
        </is>
      </c>
      <c r="G15" s="9" t="inlineStr">
        <is>
          <t>13.1</t>
        </is>
      </c>
      <c r="H15" s="9" t="inlineStr">
        <is>
          <t>29103-ET-PE1803-3-3.pdf</t>
        </is>
      </c>
      <c r="I15" s="4" t="str">
        <f>IF($H15&lt;&gt;"","YES","NO")</f>
        <v>YES</v>
      </c>
      <c r="J15" s="4" t="str">
        <f>IF(N($T15)&gt;0,"YES","NO")</f>
        <v>NO</v>
      </c>
      <c r="K15" s="4" t="str">
        <f>IF(OR($A15="EHT Trace"),IF(AND($U15&lt;&gt;"",$V15&lt;&gt;""),"YES","NO"),"N/A")</f>
        <v>NO</v>
      </c>
      <c r="L15" s="4" t="str">
        <f>IF(OR($A15="EHT Trace"),IF(AND($X15&lt;&gt;"",$Y15&lt;&gt;""),"YES","NO"),"N/A")</f>
        <v>NO</v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inlineStr">
        <is>
          <t>D/32SA2200/14.2M/811/277/1.2M/LS23A/X/N12</t>
        </is>
      </c>
      <c r="AK15" s="9" t="inlineStr">
        <is>
          <t>14.2 m m</t>
        </is>
      </c>
      <c r="AL15" s="9" t="inlineStr">
        <is>
          <t>Levy Ostrup</t>
        </is>
      </c>
      <c r="AM15" s="9" t="n"/>
      <c r="AN15" s="9" t="n"/>
    </row>
    <row r="16">
      <c r="A16" s="9" t="inlineStr">
        <is>
          <t>EHT Trace</t>
        </is>
      </c>
      <c r="B16" s="9" t="inlineStr">
        <is>
          <t>29103-ET-PE1803-3-4</t>
        </is>
      </c>
      <c r="C16" s="9" t="inlineStr">
        <is>
          <t>29103-ET-PE1803-3</t>
        </is>
      </c>
      <c r="D16" s="9" t="inlineStr">
        <is>
          <t>HTC-04 / CB-04</t>
        </is>
      </c>
      <c r="E16" s="9" t="inlineStr">
        <is>
          <t>29103-PE-1803</t>
        </is>
      </c>
      <c r="F16" s="9" t="inlineStr">
        <is>
          <t>29103-65R-ET-PE1803-03-01</t>
        </is>
      </c>
      <c r="G16" s="9" t="inlineStr">
        <is>
          <t>13.1</t>
        </is>
      </c>
      <c r="H16" s="9" t="inlineStr">
        <is>
          <t>29103-ET-PE1803-3-4.pdf</t>
        </is>
      </c>
      <c r="I16" s="4" t="str">
        <f>IF($H16&lt;&gt;"","YES","NO")</f>
        <v>YES</v>
      </c>
      <c r="J16" s="4" t="str">
        <f>IF(N($T16)&gt;0,"YES","NO")</f>
        <v>NO</v>
      </c>
      <c r="K16" s="4" t="str">
        <f>IF(OR($A16="EHT Trace"),IF(AND($U16&lt;&gt;"",$V16&lt;&gt;""),"YES","NO"),"N/A")</f>
        <v>NO</v>
      </c>
      <c r="L16" s="4" t="str">
        <f>IF(OR($A16="EHT Trace"),IF(AND($X16&lt;&gt;"",$Y16&lt;&gt;""),"YES","NO"),"N/A")</f>
        <v>NO</v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inlineStr">
        <is>
          <t>D/32SQ3200/22.3M/1059/130/1.2M/LS23A/X/N12</t>
        </is>
      </c>
      <c r="AK16" s="9" t="inlineStr">
        <is>
          <t>22.3 m m</t>
        </is>
      </c>
      <c r="AL16" s="9" t="inlineStr">
        <is>
          <t>Levy Ostrup</t>
        </is>
      </c>
      <c r="AM16" s="9" t="n"/>
      <c r="AN16" s="9" t="n"/>
    </row>
    <row r="17">
      <c r="A17" s="9" t="inlineStr">
        <is>
          <t>EHT Trace</t>
        </is>
      </c>
      <c r="B17" s="9" t="inlineStr">
        <is>
          <t>29103-ET-PE1803-5-1</t>
        </is>
      </c>
      <c r="C17" s="9" t="inlineStr">
        <is>
          <t>29103-ET-PE1803-5</t>
        </is>
      </c>
      <c r="D17" s="9" t="inlineStr">
        <is>
          <t>HTC-08 / CB-08</t>
        </is>
      </c>
      <c r="E17" s="9" t="inlineStr">
        <is>
          <t>29103-PE-1803</t>
        </is>
      </c>
      <c r="F17" s="9" t="inlineStr">
        <is>
          <t>29103-65R-ET-PE1803-05-01</t>
        </is>
      </c>
      <c r="G17" s="9" t="inlineStr">
        <is>
          <t>13.1</t>
        </is>
      </c>
      <c r="H17" s="9" t="inlineStr">
        <is>
          <t>29103-ET-PE1803-5-1.pdf</t>
        </is>
      </c>
      <c r="I17" s="4" t="str">
        <f>IF($H17&lt;&gt;"","YES","NO")</f>
        <v>YES</v>
      </c>
      <c r="J17" s="4" t="str">
        <f>IF(N($T17)&gt;0,"YES","NO")</f>
        <v>NO</v>
      </c>
      <c r="K17" s="4" t="str">
        <f>IF(OR($A17="EHT Trace"),IF(AND($U17&lt;&gt;"",$V17&lt;&gt;""),"YES","NO"),"N/A")</f>
        <v>NO</v>
      </c>
      <c r="L17" s="4" t="str">
        <f>IF(OR($A17="EHT Trace"),IF(AND($X17&lt;&gt;"",$Y17&lt;&gt;""),"YES","NO"),"N/A")</f>
        <v>NO</v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inlineStr">
        <is>
          <t>D/32SQ3374/46.9M/1257/277/1.2M/LS23A/X/N12</t>
        </is>
      </c>
      <c r="AK17" s="9" t="inlineStr">
        <is>
          <t>46.9 m m</t>
        </is>
      </c>
      <c r="AL17" s="9" t="inlineStr">
        <is>
          <t>Levy Ostrup</t>
        </is>
      </c>
      <c r="AM17" s="9" t="n"/>
      <c r="AN17" s="9" t="n"/>
    </row>
    <row r="18">
      <c r="A18" s="9" t="inlineStr">
        <is>
          <t>EHT Trace</t>
        </is>
      </c>
      <c r="B18" s="9" t="inlineStr">
        <is>
          <t>29103-ET-PE1803-6-1</t>
        </is>
      </c>
      <c r="C18" s="9" t="inlineStr">
        <is>
          <t>29103-ET-PE1803-6</t>
        </is>
      </c>
      <c r="D18" s="9" t="inlineStr">
        <is>
          <t>HTC-09 / CB-09</t>
        </is>
      </c>
      <c r="E18" s="9" t="inlineStr">
        <is>
          <t>29103-PE-1803</t>
        </is>
      </c>
      <c r="F18" s="9" t="inlineStr">
        <is>
          <t>29103-65R-ET-PE1803-06-01</t>
        </is>
      </c>
      <c r="G18" s="9" t="inlineStr">
        <is>
          <t>13.1</t>
        </is>
      </c>
      <c r="H18" s="9" t="inlineStr">
        <is>
          <t>29103-ET-PE1803-6-1.pdf</t>
        </is>
      </c>
      <c r="I18" s="4" t="str">
        <f>IF($H18&lt;&gt;"","YES","NO")</f>
        <v>YES</v>
      </c>
      <c r="J18" s="4" t="str">
        <f>IF(N($T18)&gt;0,"YES","NO")</f>
        <v>NO</v>
      </c>
      <c r="K18" s="4" t="str">
        <f>IF(OR($A18="EHT Trace"),IF(AND($U18&lt;&gt;"",$V18&lt;&gt;""),"YES","NO"),"N/A")</f>
        <v>NO</v>
      </c>
      <c r="L18" s="4" t="str">
        <f>IF(OR($A18="EHT Trace"),IF(AND($X18&lt;&gt;"",$Y18&lt;&gt;""),"YES","NO"),"N/A")</f>
        <v>NO</v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inlineStr">
        <is>
          <t>D/32SQ3200/44.4M/2411/277/1.2M/LS23A/X/N12</t>
        </is>
      </c>
      <c r="AK18" s="9" t="inlineStr">
        <is>
          <t>44.4 m m</t>
        </is>
      </c>
      <c r="AL18" s="9" t="inlineStr">
        <is>
          <t>Levy Ostrup</t>
        </is>
      </c>
      <c r="AM18" s="9" t="n"/>
      <c r="AN18" s="9" t="n"/>
    </row>
    <row r="19">
      <c r="A19" s="9" t="inlineStr">
        <is>
          <t>EHT Trace</t>
        </is>
      </c>
      <c r="B19" s="9" t="inlineStr">
        <is>
          <t>29103-ET-PE1806-1-1</t>
        </is>
      </c>
      <c r="C19" s="9" t="inlineStr">
        <is>
          <t>29103-ET-PE1806-1</t>
        </is>
      </c>
      <c r="D19" s="9" t="inlineStr">
        <is>
          <t>HTC-13 / CB-13</t>
        </is>
      </c>
      <c r="E19" s="9" t="inlineStr"/>
      <c r="F19" s="9" t="inlineStr">
        <is>
          <t>29103-65R-ET-PE1806-01-01</t>
        </is>
      </c>
      <c r="G19" s="9" t="inlineStr">
        <is>
          <t>13.1</t>
        </is>
      </c>
      <c r="H19" s="9" t="inlineStr">
        <is>
          <t>29103-ET-PE1806-1-1.pdf</t>
        </is>
      </c>
      <c r="I19" s="4" t="str">
        <f>IF($H19&lt;&gt;"","YES","NO")</f>
        <v>YES</v>
      </c>
      <c r="J19" s="4" t="str">
        <f>IF(N($T19)&gt;0,"YES","NO")</f>
        <v>NO</v>
      </c>
      <c r="K19" s="4" t="str">
        <f>IF(OR($A19="EHT Trace"),IF(AND($U19&lt;&gt;"",$V19&lt;&gt;""),"YES","NO"),"N/A")</f>
        <v>NO</v>
      </c>
      <c r="L19" s="4" t="str">
        <f>IF(OR($A19="EHT Trace"),IF(AND($X19&lt;&gt;"",$Y19&lt;&gt;""),"YES","NO"),"N/A")</f>
        <v>NO</v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inlineStr">
        <is>
          <t>E/32SA2318/12.2M/346/211/1.2M/LS23A/X/N12</t>
        </is>
      </c>
      <c r="AK19" s="9" t="inlineStr">
        <is>
          <t>12.2 m m</t>
        </is>
      </c>
      <c r="AL19" s="9" t="inlineStr">
        <is>
          <t>Levy Ostrup</t>
        </is>
      </c>
      <c r="AM19" s="9" t="n"/>
      <c r="AN19" s="9" t="n"/>
    </row>
    <row r="20">
      <c r="A20" s="9" t="inlineStr">
        <is>
          <t>EHT Trace</t>
        </is>
      </c>
      <c r="B20" s="9" t="inlineStr">
        <is>
          <t>29103-ET-PE1806-1-2</t>
        </is>
      </c>
      <c r="C20" s="9" t="inlineStr">
        <is>
          <t>29103-ET-PE1806-1</t>
        </is>
      </c>
      <c r="D20" s="9" t="inlineStr">
        <is>
          <t>HTC-13 / CB-13</t>
        </is>
      </c>
      <c r="E20" s="9" t="inlineStr">
        <is>
          <t>29103-PE-1807, 29103-PE-1806</t>
        </is>
      </c>
      <c r="F20" s="9" t="inlineStr">
        <is>
          <t>29103-65R-ET-PE1806-01-01</t>
        </is>
      </c>
      <c r="G20" s="9" t="inlineStr">
        <is>
          <t>13.1</t>
        </is>
      </c>
      <c r="H20" s="9" t="inlineStr">
        <is>
          <t>29103-ET-PE1806-1-2.pdf</t>
        </is>
      </c>
      <c r="I20" s="4" t="str">
        <f>IF($H20&lt;&gt;"","YES","NO")</f>
        <v>YES</v>
      </c>
      <c r="J20" s="4" t="str">
        <f>IF(N($T20)&gt;0,"YES","NO")</f>
        <v>NO</v>
      </c>
      <c r="K20" s="4" t="str">
        <f>IF(OR($A20="EHT Trace"),IF(AND($U20&lt;&gt;"",$V20&lt;&gt;""),"YES","NO"),"N/A")</f>
        <v>NO</v>
      </c>
      <c r="L20" s="4" t="str">
        <f>IF(OR($A20="EHT Trace"),IF(AND($X20&lt;&gt;"",$Y20&lt;&gt;""),"YES","NO"),"N/A")</f>
        <v>NO</v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inlineStr">
        <is>
          <t>D/32SA2318/3.8M/108/65.8/1.2M/LS23A/X/N12</t>
        </is>
      </c>
      <c r="AK20" s="9" t="inlineStr">
        <is>
          <t>3.8 m m</t>
        </is>
      </c>
      <c r="AL20" s="9" t="inlineStr">
        <is>
          <t>Levy Ostrup</t>
        </is>
      </c>
      <c r="AM20" s="9" t="n"/>
      <c r="AN20" s="9" t="n"/>
    </row>
    <row r="21">
      <c r="A21" s="9" t="inlineStr">
        <is>
          <t>EHT Trace</t>
        </is>
      </c>
      <c r="B21" s="9" t="inlineStr">
        <is>
          <t>29103-ET-ST1801-1-1</t>
        </is>
      </c>
      <c r="C21" s="9" t="inlineStr">
        <is>
          <t>29103-ET-ST1801-1</t>
        </is>
      </c>
      <c r="D21" s="9" t="inlineStr">
        <is>
          <t>29103-AMB-013</t>
        </is>
      </c>
      <c r="E21" s="9" t="inlineStr">
        <is>
          <t>29103-ST-1801, 29103-ST-1800</t>
        </is>
      </c>
      <c r="F21" s="9" t="inlineStr">
        <is>
          <t>29103-65R-ET-ST1801-01-01</t>
        </is>
      </c>
      <c r="G21" s="9" t="inlineStr">
        <is>
          <t>13.1</t>
        </is>
      </c>
      <c r="H21" s="9" t="inlineStr">
        <is>
          <t>29103-ET-ST1801-1-1.pdf</t>
        </is>
      </c>
      <c r="I21" s="4" t="str">
        <f>IF($H21&lt;&gt;"","YES","NO")</f>
        <v>YES</v>
      </c>
      <c r="J21" s="4" t="str">
        <f>IF(N($T21)&gt;0,"YES","NO")</f>
        <v>NO</v>
      </c>
      <c r="K21" s="4" t="str">
        <f>IF(OR($A21="EHT Trace"),IF(AND($U21&lt;&gt;"",$V21&lt;&gt;""),"YES","NO"),"N/A")</f>
        <v>NO</v>
      </c>
      <c r="L21" s="4" t="str">
        <f>IF(OR($A21="EHT Trace"),IF(AND($X21&lt;&gt;"",$Y21&lt;&gt;""),"YES","NO"),"N/A")</f>
        <v>NO</v>
      </c>
      <c r="M21" s="4" t="str">
        <f>IF(OR($A21="EHT Trace"),IF(AND($AA21&lt;&gt;"",$AB21&lt;&gt;""),"YES","NO"),"N/A")</f>
        <v>NO</v>
      </c>
      <c r="N21" s="4" t="str">
        <f>IF(OR($A21="Power Cable"),IF(AND($AD21&lt;&gt;""),"YES","NO"),"N/A")</f>
        <v>N/A</v>
      </c>
      <c r="O21" s="4" t="str">
        <f>IF(OR($A21="Power Cable",$A21="RTD Cable",$A21="Fieldbus Cable"),IF(AND($AE21&lt;&gt;""),"YES","NO"),"N/A")</f>
        <v>N/A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str">
        <f>IF(OR($AM21&lt;&gt;"",$Z21&lt;&gt;"",$AC21&lt;&gt;""),"YES","NO")</f>
        <v>NO</v>
      </c>
      <c r="S21" s="4" t="str">
        <f>IF(COUNTIF(I21:R21,"NO")=0,"YES","NO")</f>
        <v>NO</v>
      </c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inlineStr">
        <is>
          <t>D/32SA2400/22.1M/265/277/1.2M/LS23A/X/N12</t>
        </is>
      </c>
      <c r="AK21" s="9" t="inlineStr">
        <is>
          <t>22.1 m m</t>
        </is>
      </c>
      <c r="AL21" s="9" t="inlineStr">
        <is>
          <t>Levy Ostrup</t>
        </is>
      </c>
      <c r="AM21" s="9" t="n"/>
      <c r="AN21" s="9" t="n"/>
    </row>
    <row r="22">
      <c r="A22" s="9" t="inlineStr">
        <is>
          <t>EHT Trace</t>
        </is>
      </c>
      <c r="B22" s="9" t="inlineStr">
        <is>
          <t>29103-ET-ST1803-1-1</t>
        </is>
      </c>
      <c r="C22" s="9" t="inlineStr">
        <is>
          <t>29103-ET-ST1803-1</t>
        </is>
      </c>
      <c r="D22" s="9" t="inlineStr">
        <is>
          <t>29103-AMB-013</t>
        </is>
      </c>
      <c r="E22" s="9" t="inlineStr">
        <is>
          <t>29103-ST-1803</t>
        </is>
      </c>
      <c r="F22" s="9" t="inlineStr">
        <is>
          <t>29103-65R-ET-ST1803-01-01</t>
        </is>
      </c>
      <c r="G22" s="9" t="inlineStr">
        <is>
          <t>13.1</t>
        </is>
      </c>
      <c r="H22" s="9" t="inlineStr">
        <is>
          <t>29103-ET-ST1803-1-1.pdf</t>
        </is>
      </c>
      <c r="I22" s="4" t="str">
        <f>IF($H22&lt;&gt;"","YES","NO")</f>
        <v>YES</v>
      </c>
      <c r="J22" s="4" t="str">
        <f>IF(N($T22)&gt;0,"YES","NO")</f>
        <v>NO</v>
      </c>
      <c r="K22" s="4" t="str">
        <f>IF(OR($A22="EHT Trace"),IF(AND($U22&lt;&gt;"",$V22&lt;&gt;""),"YES","NO"),"N/A")</f>
        <v>NO</v>
      </c>
      <c r="L22" s="4" t="str">
        <f>IF(OR($A22="EHT Trace"),IF(AND($X22&lt;&gt;"",$Y22&lt;&gt;""),"YES","NO"),"N/A")</f>
        <v>NO</v>
      </c>
      <c r="M22" s="4" t="str">
        <f>IF(OR($A22="EHT Trace"),IF(AND($AA22&lt;&gt;"",$AB22&lt;&gt;""),"YES","NO"),"N/A")</f>
        <v>NO</v>
      </c>
      <c r="N22" s="4" t="str">
        <f>IF(OR($A22="Power Cable"),IF(AND($AD22&lt;&gt;""),"YES","NO"),"N/A")</f>
        <v>N/A</v>
      </c>
      <c r="O22" s="4" t="str">
        <f>IF(OR($A22="Power Cable",$A22="RTD Cable",$A22="Fieldbus Cable"),IF(AND($AE22&lt;&gt;""),"YES","NO"),"N/A")</f>
        <v>N/A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str">
        <f>IF(OR($AM22&lt;&gt;"",$Z22&lt;&gt;"",$AC22&lt;&gt;""),"YES","NO")</f>
        <v>NO</v>
      </c>
      <c r="S22" s="4" t="str">
        <f>IF(COUNTIF(I22:R22,"NO")=0,"YES","NO")</f>
        <v>NO</v>
      </c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inlineStr">
        <is>
          <t>D/32SB3700/22.5M/608/178/1.2M/LS23A/X/N12</t>
        </is>
      </c>
      <c r="AK22" s="9" t="inlineStr">
        <is>
          <t>22.5 m m</t>
        </is>
      </c>
      <c r="AL22" s="9" t="inlineStr">
        <is>
          <t>Levy Ostrup</t>
        </is>
      </c>
      <c r="AM22" s="9" t="n"/>
      <c r="AN22" s="9" t="n"/>
    </row>
    <row r="23">
      <c r="A23" s="9" t="inlineStr">
        <is>
          <t>EHT Trace</t>
        </is>
      </c>
      <c r="B23" s="9" t="inlineStr">
        <is>
          <t>29103-ET-ST1803-1-2</t>
        </is>
      </c>
      <c r="C23" s="9" t="inlineStr">
        <is>
          <t>29103-ET-ST1803-1</t>
        </is>
      </c>
      <c r="D23" s="9" t="inlineStr">
        <is>
          <t>29103-AMB-013</t>
        </is>
      </c>
      <c r="E23" s="9" t="inlineStr">
        <is>
          <t>29103-ST-1804</t>
        </is>
      </c>
      <c r="F23" s="9" t="inlineStr">
        <is>
          <t>29103-65R-ET-ST1803-01-01</t>
        </is>
      </c>
      <c r="G23" s="9" t="inlineStr">
        <is>
          <t>13.1</t>
        </is>
      </c>
      <c r="H23" s="9" t="inlineStr">
        <is>
          <t>29103-ET-ST1803-1-2.pdf</t>
        </is>
      </c>
      <c r="I23" s="4" t="str">
        <f>IF($H23&lt;&gt;"","YES","NO")</f>
        <v>YES</v>
      </c>
      <c r="J23" s="4" t="str">
        <f>IF(N($T23)&gt;0,"YES","NO")</f>
        <v>NO</v>
      </c>
      <c r="K23" s="4" t="str">
        <f>IF(OR($A23="EHT Trace"),IF(AND($U23&lt;&gt;"",$V23&lt;&gt;""),"YES","NO"),"N/A")</f>
        <v>NO</v>
      </c>
      <c r="L23" s="4" t="str">
        <f>IF(OR($A23="EHT Trace"),IF(AND($X23&lt;&gt;"",$Y23&lt;&gt;""),"YES","NO"),"N/A")</f>
        <v>NO</v>
      </c>
      <c r="M23" s="4" t="str">
        <f>IF(OR($A23="EHT Trace"),IF(AND($AA23&lt;&gt;"",$AB23&lt;&gt;""),"YES","NO"),"N/A")</f>
        <v>NO</v>
      </c>
      <c r="N23" s="4" t="str">
        <f>IF(OR($A23="Power Cable"),IF(AND($AD23&lt;&gt;""),"YES","NO"),"N/A")</f>
        <v>N/A</v>
      </c>
      <c r="O23" s="4" t="str">
        <f>IF(OR($A23="Power Cable",$A23="RTD Cable",$A23="Fieldbus Cable"),IF(AND($AE23&lt;&gt;""),"YES","NO"),"N/A")</f>
        <v>N/A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str">
        <f>IF(OR($AM23&lt;&gt;"",$Z23&lt;&gt;"",$AC23&lt;&gt;""),"YES","NO")</f>
        <v>NO</v>
      </c>
      <c r="S23" s="4" t="str">
        <f>IF(COUNTIF(I23:R23,"NO")=0,"YES","NO")</f>
        <v>NO</v>
      </c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inlineStr">
        <is>
          <t>D/32SB3700/12.6M/340/99.4/1.2M/LS23A/X/N12</t>
        </is>
      </c>
      <c r="AK23" s="9" t="inlineStr">
        <is>
          <t>12.6 m m</t>
        </is>
      </c>
      <c r="AL23" s="9" t="inlineStr">
        <is>
          <t>Levy Ostrup</t>
        </is>
      </c>
      <c r="AM23" s="9" t="n"/>
      <c r="AN23" s="9" t="n"/>
    </row>
    <row r="24">
      <c r="A24" s="9" t="inlineStr">
        <is>
          <t>EHT Trace</t>
        </is>
      </c>
      <c r="B24" s="9" t="inlineStr">
        <is>
          <t>29103-ET-ST1805-1-1</t>
        </is>
      </c>
      <c r="C24" s="9" t="inlineStr">
        <is>
          <t>29103-ET-ST1805-1</t>
        </is>
      </c>
      <c r="D24" s="9" t="inlineStr">
        <is>
          <t>29103-AMB-013</t>
        </is>
      </c>
      <c r="E24" s="9" t="inlineStr">
        <is>
          <t>29103-ST-1805</t>
        </is>
      </c>
      <c r="F24" s="9" t="inlineStr">
        <is>
          <t>29103-65R-ET-ST1805-01-01</t>
        </is>
      </c>
      <c r="G24" s="9" t="inlineStr">
        <is>
          <t>13.1</t>
        </is>
      </c>
      <c r="H24" s="9" t="inlineStr">
        <is>
          <t>29103-ET-ST1805-1-1.pdf</t>
        </is>
      </c>
      <c r="I24" s="4" t="str">
        <f>IF($H24&lt;&gt;"","YES","NO")</f>
        <v>YES</v>
      </c>
      <c r="J24" s="4" t="str">
        <f>IF(N($T24)&gt;0,"YES","NO")</f>
        <v>NO</v>
      </c>
      <c r="K24" s="4" t="str">
        <f>IF(OR($A24="EHT Trace"),IF(AND($U24&lt;&gt;"",$V24&lt;&gt;""),"YES","NO"),"N/A")</f>
        <v>NO</v>
      </c>
      <c r="L24" s="4" t="str">
        <f>IF(OR($A24="EHT Trace"),IF(AND($X24&lt;&gt;"",$Y24&lt;&gt;""),"YES","NO"),"N/A")</f>
        <v>NO</v>
      </c>
      <c r="M24" s="4" t="str">
        <f>IF(OR($A24="EHT Trace"),IF(AND($AA24&lt;&gt;"",$AB24&lt;&gt;""),"YES","NO"),"N/A")</f>
        <v>NO</v>
      </c>
      <c r="N24" s="4" t="str">
        <f>IF(OR($A24="Power Cable"),IF(AND($AD24&lt;&gt;""),"YES","NO"),"N/A")</f>
        <v>N/A</v>
      </c>
      <c r="O24" s="4" t="str">
        <f>IF(OR($A24="Power Cable",$A24="RTD Cable",$A24="Fieldbus Cable"),IF(AND($AE24&lt;&gt;""),"YES","NO"),"N/A")</f>
        <v>N/A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str">
        <f>IF(OR($AM24&lt;&gt;"",$Z24&lt;&gt;"",$AC24&lt;&gt;""),"YES","NO")</f>
        <v>NO</v>
      </c>
      <c r="S24" s="4" t="str">
        <f>IF(COUNTIF(I24:R24,"NO")=0,"YES","NO")</f>
        <v>NO</v>
      </c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inlineStr">
        <is>
          <t>D/32SB3700/22.3M/611/177/1.2M/LS23A/X/N12</t>
        </is>
      </c>
      <c r="AK24" s="9" t="inlineStr">
        <is>
          <t>22.3 m m</t>
        </is>
      </c>
      <c r="AL24" s="9" t="inlineStr">
        <is>
          <t>Levy Ostrup</t>
        </is>
      </c>
      <c r="AM24" s="9" t="n"/>
      <c r="AN24" s="9" t="n"/>
    </row>
    <row r="25">
      <c r="A25" s="9" t="inlineStr">
        <is>
          <t>EHT Trace</t>
        </is>
      </c>
      <c r="B25" s="9" t="inlineStr">
        <is>
          <t>29103-ET-ST1805-1-2</t>
        </is>
      </c>
      <c r="C25" s="9" t="inlineStr">
        <is>
          <t>29103-ET-ST1805-1</t>
        </is>
      </c>
      <c r="D25" s="9" t="inlineStr">
        <is>
          <t>29103-AMB-013</t>
        </is>
      </c>
      <c r="E25" s="9" t="inlineStr">
        <is>
          <t>29103-ST-1806</t>
        </is>
      </c>
      <c r="F25" s="9" t="inlineStr">
        <is>
          <t>29103-65R-ET-ST1805-01-01</t>
        </is>
      </c>
      <c r="G25" s="9" t="inlineStr">
        <is>
          <t>13.1</t>
        </is>
      </c>
      <c r="H25" s="9" t="inlineStr">
        <is>
          <t>29103-ET-ST1805-1-2.pdf</t>
        </is>
      </c>
      <c r="I25" s="4" t="str">
        <f>IF($H25&lt;&gt;"","YES","NO")</f>
        <v>YES</v>
      </c>
      <c r="J25" s="4" t="str">
        <f>IF(N($T25)&gt;0,"YES","NO")</f>
        <v>NO</v>
      </c>
      <c r="K25" s="4" t="str">
        <f>IF(OR($A25="EHT Trace"),IF(AND($U25&lt;&gt;"",$V25&lt;&gt;""),"YES","NO"),"N/A")</f>
        <v>NO</v>
      </c>
      <c r="L25" s="4" t="str">
        <f>IF(OR($A25="EHT Trace"),IF(AND($X25&lt;&gt;"",$Y25&lt;&gt;""),"YES","NO"),"N/A")</f>
        <v>NO</v>
      </c>
      <c r="M25" s="4" t="str">
        <f>IF(OR($A25="EHT Trace"),IF(AND($AA25&lt;&gt;"",$AB25&lt;&gt;""),"YES","NO"),"N/A")</f>
        <v>NO</v>
      </c>
      <c r="N25" s="4" t="str">
        <f>IF(OR($A25="Power Cable"),IF(AND($AD25&lt;&gt;""),"YES","NO"),"N/A")</f>
        <v>N/A</v>
      </c>
      <c r="O25" s="4" t="str">
        <f>IF(OR($A25="Power Cable",$A25="RTD Cable",$A25="Fieldbus Cable"),IF(AND($AE25&lt;&gt;""),"YES","NO"),"N/A")</f>
        <v>N/A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str">
        <f>IF(OR($AM25&lt;&gt;"",$Z25&lt;&gt;"",$AC25&lt;&gt;""),"YES","NO")</f>
        <v>NO</v>
      </c>
      <c r="S25" s="4" t="str">
        <f>IF(COUNTIF(I25:R25,"NO")=0,"YES","NO")</f>
        <v>NO</v>
      </c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inlineStr">
        <is>
          <t>D/32SB3700/12.6M/345/100/1.2M/LS23A/X/N12</t>
        </is>
      </c>
      <c r="AK25" s="9" t="inlineStr">
        <is>
          <t>12.6 m m</t>
        </is>
      </c>
      <c r="AL25" s="9" t="inlineStr">
        <is>
          <t>Levy Ostrup</t>
        </is>
      </c>
      <c r="AM25" s="9" t="n"/>
      <c r="AN25" s="9" t="n"/>
    </row>
    <row r="26">
      <c r="A26" s="9" t="inlineStr">
        <is>
          <t>Power Cable</t>
        </is>
      </c>
      <c r="B26" s="9" t="inlineStr">
        <is>
          <t>29103-AMB-013</t>
        </is>
      </c>
      <c r="C26" s="9" t="inlineStr"/>
      <c r="D26" s="9" t="inlineStr">
        <is>
          <t>29103-HTP-100 HTC-01</t>
        </is>
      </c>
      <c r="E26" s="9" t="inlineStr">
        <is>
          <t>29103-HTP-100</t>
        </is>
      </c>
      <c r="F26" s="9" t="inlineStr"/>
      <c r="G26" s="9" t="inlineStr">
        <is>
          <t>113</t>
        </is>
      </c>
      <c r="H26" s="9" t="inlineStr">
        <is>
          <t>29103-AMB-013.pdf</t>
        </is>
      </c>
      <c r="I26" s="4" t="str">
        <f>IF($H26&lt;&gt;"","YES","NO")</f>
        <v>YES</v>
      </c>
      <c r="J26" s="4" t="str">
        <f>IF(N($T26)&gt;0,"YES","NO")</f>
        <v>NO</v>
      </c>
      <c r="K26" s="4" t="str">
        <f>IF(OR($A26="EHT Trace"),IF(AND($U26&lt;&gt;"",$V26&lt;&gt;""),"YES","NO"),"N/A")</f>
        <v>N/A</v>
      </c>
      <c r="L26" s="4" t="str">
        <f>IF(OR($A26="EHT Trace"),IF(AND($X26&lt;&gt;"",$Y26&lt;&gt;""),"YES","NO"),"N/A")</f>
        <v>N/A</v>
      </c>
      <c r="M26" s="4" t="str">
        <f>IF(OR($A26="EHT Trace"),IF(AND($AA26&lt;&gt;"",$AB26&lt;&gt;""),"YES","NO"),"N/A")</f>
        <v>N/A</v>
      </c>
      <c r="N26" s="4" t="str">
        <f>IF(OR($A26="Power Cable"),IF(AND($AD26&lt;&gt;""),"YES","NO"),"N/A")</f>
        <v>NO</v>
      </c>
      <c r="O26" s="4" t="str">
        <f>IF(OR($A26="Power Cable",$A26="RTD Cable",$A26="Fieldbus Cable"),IF(AND($AE26&lt;&gt;""),"YES","NO"),"N/A")</f>
        <v>NO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str">
        <f>IF(OR($AM26&lt;&gt;"",$Z26&lt;&gt;"",$AC26&lt;&gt;""),"YES","NO")</f>
        <v>NO</v>
      </c>
      <c r="S26" s="4" t="str">
        <f>IF(COUNTIF(I26:R26,"NO")=0,"YES","NO")</f>
        <v>NO</v>
      </c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inlineStr">
        <is>
          <t>Teck</t>
        </is>
      </c>
      <c r="AK26" s="9" t="inlineStr">
        <is>
          <t>8AWG</t>
        </is>
      </c>
      <c r="AL26" s="9" t="inlineStr">
        <is>
          <t>Levy Ostrup</t>
        </is>
      </c>
      <c r="AM26" s="9" t="n"/>
      <c r="AN26" s="9" t="n"/>
    </row>
    <row r="27">
      <c r="A27" s="9" t="inlineStr">
        <is>
          <t>Power Cable</t>
        </is>
      </c>
      <c r="B27" s="9" t="inlineStr">
        <is>
          <t>29103-ET-P1800-4-PWK-1</t>
        </is>
      </c>
      <c r="C27" s="9" t="inlineStr">
        <is>
          <t>29103-ET-P1800-4</t>
        </is>
      </c>
      <c r="D27" s="9" t="inlineStr">
        <is>
          <t>29103-HTP-100 HTC-05</t>
        </is>
      </c>
      <c r="E27" s="9" t="inlineStr">
        <is>
          <t>29103-HTP-100</t>
        </is>
      </c>
      <c r="F27" s="9" t="inlineStr"/>
      <c r="G27" s="9" t="inlineStr">
        <is>
          <t>113</t>
        </is>
      </c>
      <c r="H27" s="9" t="inlineStr">
        <is>
          <t>29103-ET-P1800-4-PWK-1.pdf</t>
        </is>
      </c>
      <c r="I27" s="4" t="str">
        <f>IF($H27&lt;&gt;"","YES","NO")</f>
        <v>YES</v>
      </c>
      <c r="J27" s="4" t="str">
        <f>IF(N($T27)&gt;0,"YES","NO")</f>
        <v>NO</v>
      </c>
      <c r="K27" s="4" t="str">
        <f>IF(OR($A27="EHT Trace"),IF(AND($U27&lt;&gt;"",$V27&lt;&gt;""),"YES","NO"),"N/A")</f>
        <v>N/A</v>
      </c>
      <c r="L27" s="4" t="str">
        <f>IF(OR($A27="EHT Trace"),IF(AND($X27&lt;&gt;"",$Y27&lt;&gt;""),"YES","NO"),"N/A")</f>
        <v>N/A</v>
      </c>
      <c r="M27" s="4" t="str">
        <f>IF(OR($A27="EHT Trace"),IF(AND($AA27&lt;&gt;"",$AB27&lt;&gt;""),"YES","NO"),"N/A")</f>
        <v>N/A</v>
      </c>
      <c r="N27" s="4" t="str">
        <f>IF(OR($A27="Power Cable"),IF(AND($AD27&lt;&gt;""),"YES","NO"),"N/A")</f>
        <v>NO</v>
      </c>
      <c r="O27" s="4" t="str">
        <f>IF(OR($A27="Power Cable",$A27="RTD Cable",$A27="Fieldbus Cable"),IF(AND($AE27&lt;&gt;""),"YES","NO"),"N/A")</f>
        <v>NO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str">
        <f>IF(OR($AM27&lt;&gt;"",$Z27&lt;&gt;"",$AC27&lt;&gt;""),"YES","NO")</f>
        <v>NO</v>
      </c>
      <c r="S27" s="4" t="str">
        <f>IF(COUNTIF(I27:R27,"NO")=0,"YES","NO")</f>
        <v>NO</v>
      </c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inlineStr">
        <is>
          <t>Teck</t>
        </is>
      </c>
      <c r="AK27" s="9" t="inlineStr">
        <is>
          <t>10AWG</t>
        </is>
      </c>
      <c r="AL27" s="9" t="inlineStr">
        <is>
          <t>Levy Ostrup</t>
        </is>
      </c>
      <c r="AM27" s="9" t="n"/>
      <c r="AN27" s="9" t="n"/>
    </row>
    <row r="28">
      <c r="A28" s="9" t="inlineStr">
        <is>
          <t>Power Cable</t>
        </is>
      </c>
      <c r="B28" s="9" t="inlineStr">
        <is>
          <t>29103-ET-P1800-5-PWK-1</t>
        </is>
      </c>
      <c r="C28" s="9" t="inlineStr">
        <is>
          <t>29103-ET-P1800-5</t>
        </is>
      </c>
      <c r="D28" s="9" t="inlineStr">
        <is>
          <t>29103-HTP-100 HTC-02</t>
        </is>
      </c>
      <c r="E28" s="9" t="inlineStr">
        <is>
          <t>29103-HTP-100</t>
        </is>
      </c>
      <c r="F28" s="9" t="inlineStr"/>
      <c r="G28" s="9" t="inlineStr">
        <is>
          <t>113</t>
        </is>
      </c>
      <c r="H28" s="9" t="inlineStr">
        <is>
          <t>29103-ET-P1800-5-PWK-1.pdf</t>
        </is>
      </c>
      <c r="I28" s="4" t="str">
        <f>IF($H28&lt;&gt;"","YES","NO")</f>
        <v>YES</v>
      </c>
      <c r="J28" s="4" t="str">
        <f>IF(N($T28)&gt;0,"YES","NO")</f>
        <v>NO</v>
      </c>
      <c r="K28" s="4" t="str">
        <f>IF(OR($A28="EHT Trace"),IF(AND($U28&lt;&gt;"",$V28&lt;&gt;""),"YES","NO"),"N/A")</f>
        <v>N/A</v>
      </c>
      <c r="L28" s="4" t="str">
        <f>IF(OR($A28="EHT Trace"),IF(AND($X28&lt;&gt;"",$Y28&lt;&gt;""),"YES","NO"),"N/A")</f>
        <v>N/A</v>
      </c>
      <c r="M28" s="4" t="str">
        <f>IF(OR($A28="EHT Trace"),IF(AND($AA28&lt;&gt;"",$AB28&lt;&gt;""),"YES","NO"),"N/A")</f>
        <v>N/A</v>
      </c>
      <c r="N28" s="4" t="str">
        <f>IF(OR($A28="Power Cable"),IF(AND($AD28&lt;&gt;""),"YES","NO"),"N/A")</f>
        <v>NO</v>
      </c>
      <c r="O28" s="4" t="str">
        <f>IF(OR($A28="Power Cable",$A28="RTD Cable",$A28="Fieldbus Cable"),IF(AND($AE28&lt;&gt;""),"YES","NO"),"N/A")</f>
        <v>NO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str">
        <f>IF(OR($AM28&lt;&gt;"",$Z28&lt;&gt;"",$AC28&lt;&gt;""),"YES","NO")</f>
        <v>NO</v>
      </c>
      <c r="S28" s="4" t="str">
        <f>IF(COUNTIF(I28:R28,"NO")=0,"YES","NO")</f>
        <v>NO</v>
      </c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inlineStr">
        <is>
          <t>Teck</t>
        </is>
      </c>
      <c r="AK28" s="9" t="inlineStr">
        <is>
          <t>10AWG</t>
        </is>
      </c>
      <c r="AL28" s="9" t="inlineStr">
        <is>
          <t>Levy Ostrup</t>
        </is>
      </c>
      <c r="AM28" s="9" t="n"/>
      <c r="AN28" s="9" t="n"/>
    </row>
    <row r="29">
      <c r="A29" s="9" t="inlineStr">
        <is>
          <t>Power Cable</t>
        </is>
      </c>
      <c r="B29" s="9" t="inlineStr">
        <is>
          <t>29103-ET-P1800-6-PWK-1</t>
        </is>
      </c>
      <c r="C29" s="9" t="inlineStr">
        <is>
          <t>29103-ET-P1800-6</t>
        </is>
      </c>
      <c r="D29" s="9" t="inlineStr">
        <is>
          <t>29103-HTP-100 HTC-06</t>
        </is>
      </c>
      <c r="E29" s="9" t="inlineStr">
        <is>
          <t>29103-HTP-100</t>
        </is>
      </c>
      <c r="F29" s="9" t="inlineStr"/>
      <c r="G29" s="9" t="inlineStr">
        <is>
          <t>113</t>
        </is>
      </c>
      <c r="H29" s="9" t="inlineStr">
        <is>
          <t>29103-ET-P1800-6-PWK-1.pdf</t>
        </is>
      </c>
      <c r="I29" s="4" t="str">
        <f>IF($H29&lt;&gt;"","YES","NO")</f>
        <v>YES</v>
      </c>
      <c r="J29" s="4" t="str">
        <f>IF(N($T29)&gt;0,"YES","NO")</f>
        <v>NO</v>
      </c>
      <c r="K29" s="4" t="str">
        <f>IF(OR($A29="EHT Trace"),IF(AND($U29&lt;&gt;"",$V29&lt;&gt;""),"YES","NO"),"N/A")</f>
        <v>N/A</v>
      </c>
      <c r="L29" s="4" t="str">
        <f>IF(OR($A29="EHT Trace"),IF(AND($X29&lt;&gt;"",$Y29&lt;&gt;""),"YES","NO"),"N/A")</f>
        <v>N/A</v>
      </c>
      <c r="M29" s="4" t="str">
        <f>IF(OR($A29="EHT Trace"),IF(AND($AA29&lt;&gt;"",$AB29&lt;&gt;""),"YES","NO"),"N/A")</f>
        <v>N/A</v>
      </c>
      <c r="N29" s="4" t="str">
        <f>IF(OR($A29="Power Cable"),IF(AND($AD29&lt;&gt;""),"YES","NO"),"N/A")</f>
        <v>NO</v>
      </c>
      <c r="O29" s="4" t="str">
        <f>IF(OR($A29="Power Cable",$A29="RTD Cable",$A29="Fieldbus Cable"),IF(AND($AE29&lt;&gt;""),"YES","NO"),"N/A")</f>
        <v>NO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str">
        <f>IF(OR($AM29&lt;&gt;"",$Z29&lt;&gt;"",$AC29&lt;&gt;""),"YES","NO")</f>
        <v>NO</v>
      </c>
      <c r="S29" s="4" t="str">
        <f>IF(COUNTIF(I29:R29,"NO")=0,"YES","NO")</f>
        <v>NO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inlineStr">
        <is>
          <t>Teck</t>
        </is>
      </c>
      <c r="AK29" s="9" t="inlineStr">
        <is>
          <t>10AWG</t>
        </is>
      </c>
      <c r="AL29" s="9" t="inlineStr">
        <is>
          <t>Levy Ostrup</t>
        </is>
      </c>
      <c r="AM29" s="9" t="n"/>
      <c r="AN29" s="9" t="n"/>
    </row>
    <row r="30">
      <c r="A30" s="9" t="inlineStr">
        <is>
          <t>Power Cable</t>
        </is>
      </c>
      <c r="B30" s="9" t="inlineStr">
        <is>
          <t>29103-ET-P1800-7-PWK-1</t>
        </is>
      </c>
      <c r="C30" s="9" t="inlineStr">
        <is>
          <t>29103-ET-P1800-7</t>
        </is>
      </c>
      <c r="D30" s="9" t="inlineStr">
        <is>
          <t>29103-HTP-100 HTC-16</t>
        </is>
      </c>
      <c r="E30" s="9" t="inlineStr">
        <is>
          <t>29103-HTP-100</t>
        </is>
      </c>
      <c r="F30" s="9" t="inlineStr"/>
      <c r="G30" s="9" t="inlineStr">
        <is>
          <t>113</t>
        </is>
      </c>
      <c r="H30" s="9" t="inlineStr">
        <is>
          <t>29103-ET-P1800-7-PWK-1.pdf</t>
        </is>
      </c>
      <c r="I30" s="4" t="str">
        <f>IF($H30&lt;&gt;"","YES","NO")</f>
        <v>YES</v>
      </c>
      <c r="J30" s="4" t="str">
        <f>IF(N($T30)&gt;0,"YES","NO")</f>
        <v>NO</v>
      </c>
      <c r="K30" s="4" t="str">
        <f>IF(OR($A30="EHT Trace"),IF(AND($U30&lt;&gt;"",$V30&lt;&gt;""),"YES","NO"),"N/A")</f>
        <v>N/A</v>
      </c>
      <c r="L30" s="4" t="str">
        <f>IF(OR($A30="EHT Trace"),IF(AND($X30&lt;&gt;"",$Y30&lt;&gt;""),"YES","NO"),"N/A")</f>
        <v>N/A</v>
      </c>
      <c r="M30" s="4" t="str">
        <f>IF(OR($A30="EHT Trace"),IF(AND($AA30&lt;&gt;"",$AB30&lt;&gt;""),"YES","NO"),"N/A")</f>
        <v>N/A</v>
      </c>
      <c r="N30" s="4" t="str">
        <f>IF(OR($A30="Power Cable"),IF(AND($AD30&lt;&gt;""),"YES","NO"),"N/A")</f>
        <v>NO</v>
      </c>
      <c r="O30" s="4" t="str">
        <f>IF(OR($A30="Power Cable",$A30="RTD Cable",$A30="Fieldbus Cable"),IF(AND($AE30&lt;&gt;""),"YES","NO"),"N/A")</f>
        <v>NO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str">
        <f>IF(OR($AM30&lt;&gt;"",$Z30&lt;&gt;"",$AC30&lt;&gt;""),"YES","NO")</f>
        <v>NO</v>
      </c>
      <c r="S30" s="4" t="str">
        <f>IF(COUNTIF(I30:R30,"NO")=0,"YES","NO")</f>
        <v>NO</v>
      </c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inlineStr">
        <is>
          <t>Teck</t>
        </is>
      </c>
      <c r="AK30" s="9" t="inlineStr">
        <is>
          <t>10AWG</t>
        </is>
      </c>
      <c r="AL30" s="9" t="inlineStr">
        <is>
          <t>Levy Ostrup</t>
        </is>
      </c>
      <c r="AM30" s="9" t="n"/>
      <c r="AN30" s="9" t="n"/>
    </row>
    <row r="31">
      <c r="A31" s="9" t="inlineStr">
        <is>
          <t>Power Cable</t>
        </is>
      </c>
      <c r="B31" s="9" t="inlineStr">
        <is>
          <t>29103-ET-PE1802-3-PWK-1</t>
        </is>
      </c>
      <c r="C31" s="9" t="inlineStr">
        <is>
          <t>29103-ET-PE1802-3</t>
        </is>
      </c>
      <c r="D31" s="9" t="inlineStr">
        <is>
          <t>29103-HTP-100 HTC-03</t>
        </is>
      </c>
      <c r="E31" s="9" t="inlineStr">
        <is>
          <t>29103-HTP-100</t>
        </is>
      </c>
      <c r="F31" s="9" t="inlineStr"/>
      <c r="G31" s="9" t="inlineStr">
        <is>
          <t>113</t>
        </is>
      </c>
      <c r="H31" s="9" t="inlineStr">
        <is>
          <t>29103-ET-PE1802-3-PWK-1.pdf</t>
        </is>
      </c>
      <c r="I31" s="4" t="str">
        <f>IF($H31&lt;&gt;"","YES","NO")</f>
        <v>YES</v>
      </c>
      <c r="J31" s="4" t="str">
        <f>IF(N($T31)&gt;0,"YES","NO")</f>
        <v>NO</v>
      </c>
      <c r="K31" s="4" t="str">
        <f>IF(OR($A31="EHT Trace"),IF(AND($U31&lt;&gt;"",$V31&lt;&gt;""),"YES","NO"),"N/A")</f>
        <v>N/A</v>
      </c>
      <c r="L31" s="4" t="str">
        <f>IF(OR($A31="EHT Trace"),IF(AND($X31&lt;&gt;"",$Y31&lt;&gt;""),"YES","NO"),"N/A")</f>
        <v>N/A</v>
      </c>
      <c r="M31" s="4" t="str">
        <f>IF(OR($A31="EHT Trace"),IF(AND($AA31&lt;&gt;"",$AB31&lt;&gt;""),"YES","NO"),"N/A")</f>
        <v>N/A</v>
      </c>
      <c r="N31" s="4" t="str">
        <f>IF(OR($A31="Power Cable"),IF(AND($AD31&lt;&gt;""),"YES","NO"),"N/A")</f>
        <v>NO</v>
      </c>
      <c r="O31" s="4" t="str">
        <f>IF(OR($A31="Power Cable",$A31="RTD Cable",$A31="Fieldbus Cable"),IF(AND($AE31&lt;&gt;""),"YES","NO"),"N/A")</f>
        <v>NO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str">
        <f>IF(OR($AM31&lt;&gt;"",$Z31&lt;&gt;"",$AC31&lt;&gt;""),"YES","NO")</f>
        <v>NO</v>
      </c>
      <c r="S31" s="4" t="str">
        <f>IF(COUNTIF(I31:R31,"NO")=0,"YES","NO")</f>
        <v>NO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inlineStr">
        <is>
          <t>Teck</t>
        </is>
      </c>
      <c r="AK31" s="9" t="inlineStr">
        <is>
          <t>8AWG</t>
        </is>
      </c>
      <c r="AL31" s="9" t="inlineStr">
        <is>
          <t>Levy Ostrup</t>
        </is>
      </c>
      <c r="AM31" s="9" t="n"/>
      <c r="AN31" s="9" t="n"/>
    </row>
    <row r="32">
      <c r="A32" s="9" t="inlineStr">
        <is>
          <t>Power Cable</t>
        </is>
      </c>
      <c r="B32" s="9" t="inlineStr">
        <is>
          <t>29103-ET-PE1802-4-PWK-1</t>
        </is>
      </c>
      <c r="C32" s="9" t="inlineStr">
        <is>
          <t>29103-ET-PE1802-4</t>
        </is>
      </c>
      <c r="D32" s="9" t="inlineStr">
        <is>
          <t>29103-HTP-100 HTC-07</t>
        </is>
      </c>
      <c r="E32" s="9" t="inlineStr">
        <is>
          <t>29103-HTP-100</t>
        </is>
      </c>
      <c r="F32" s="9" t="inlineStr"/>
      <c r="G32" s="9" t="inlineStr">
        <is>
          <t>113</t>
        </is>
      </c>
      <c r="H32" s="9" t="inlineStr">
        <is>
          <t>29103-ET-PE1802-4-PWK-1.pdf</t>
        </is>
      </c>
      <c r="I32" s="4" t="str">
        <f>IF($H32&lt;&gt;"","YES","NO")</f>
        <v>YES</v>
      </c>
      <c r="J32" s="4" t="str">
        <f>IF(N($T32)&gt;0,"YES","NO")</f>
        <v>NO</v>
      </c>
      <c r="K32" s="4" t="str">
        <f>IF(OR($A32="EHT Trace"),IF(AND($U32&lt;&gt;"",$V32&lt;&gt;""),"YES","NO"),"N/A")</f>
        <v>N/A</v>
      </c>
      <c r="L32" s="4" t="str">
        <f>IF(OR($A32="EHT Trace"),IF(AND($X32&lt;&gt;"",$Y32&lt;&gt;""),"YES","NO"),"N/A")</f>
        <v>N/A</v>
      </c>
      <c r="M32" s="4" t="str">
        <f>IF(OR($A32="EHT Trace"),IF(AND($AA32&lt;&gt;"",$AB32&lt;&gt;""),"YES","NO"),"N/A")</f>
        <v>N/A</v>
      </c>
      <c r="N32" s="4" t="str">
        <f>IF(OR($A32="Power Cable"),IF(AND($AD32&lt;&gt;""),"YES","NO"),"N/A")</f>
        <v>NO</v>
      </c>
      <c r="O32" s="4" t="str">
        <f>IF(OR($A32="Power Cable",$A32="RTD Cable",$A32="Fieldbus Cable"),IF(AND($AE32&lt;&gt;""),"YES","NO"),"N/A")</f>
        <v>NO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str">
        <f>IF(OR($AM32&lt;&gt;"",$Z32&lt;&gt;"",$AC32&lt;&gt;""),"YES","NO")</f>
        <v>NO</v>
      </c>
      <c r="S32" s="4" t="str">
        <f>IF(COUNTIF(I32:R32,"NO")=0,"YES","NO")</f>
        <v>NO</v>
      </c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inlineStr">
        <is>
          <t>Teck</t>
        </is>
      </c>
      <c r="AK32" s="9" t="inlineStr">
        <is>
          <t>10AWG</t>
        </is>
      </c>
      <c r="AL32" s="9" t="inlineStr">
        <is>
          <t>Levy Ostrup</t>
        </is>
      </c>
      <c r="AM32" s="9" t="n"/>
      <c r="AN32" s="9" t="n"/>
    </row>
    <row r="33">
      <c r="A33" s="9" t="inlineStr">
        <is>
          <t>Power Cable</t>
        </is>
      </c>
      <c r="B33" s="9" t="inlineStr">
        <is>
          <t>29103-ET-PE1802-5-PWK-1</t>
        </is>
      </c>
      <c r="C33" s="9" t="inlineStr">
        <is>
          <t>29103-ET-PE1802-5</t>
        </is>
      </c>
      <c r="D33" s="9" t="inlineStr">
        <is>
          <t>29103-HTP-100 HTC-17</t>
        </is>
      </c>
      <c r="E33" s="9" t="inlineStr">
        <is>
          <t>29103-HTP-100</t>
        </is>
      </c>
      <c r="F33" s="9" t="inlineStr"/>
      <c r="G33" s="9" t="inlineStr">
        <is>
          <t>113</t>
        </is>
      </c>
      <c r="H33" s="9" t="inlineStr">
        <is>
          <t>29103-ET-PE1802-5-PWK-1.pdf</t>
        </is>
      </c>
      <c r="I33" s="4" t="str">
        <f>IF($H33&lt;&gt;"","YES","NO")</f>
        <v>YES</v>
      </c>
      <c r="J33" s="4" t="str">
        <f>IF(N($T33)&gt;0,"YES","NO")</f>
        <v>NO</v>
      </c>
      <c r="K33" s="4" t="str">
        <f>IF(OR($A33="EHT Trace"),IF(AND($U33&lt;&gt;"",$V33&lt;&gt;""),"YES","NO"),"N/A")</f>
        <v>N/A</v>
      </c>
      <c r="L33" s="4" t="str">
        <f>IF(OR($A33="EHT Trace"),IF(AND($X33&lt;&gt;"",$Y33&lt;&gt;""),"YES","NO"),"N/A")</f>
        <v>N/A</v>
      </c>
      <c r="M33" s="4" t="str">
        <f>IF(OR($A33="EHT Trace"),IF(AND($AA33&lt;&gt;"",$AB33&lt;&gt;""),"YES","NO"),"N/A")</f>
        <v>N/A</v>
      </c>
      <c r="N33" s="4" t="str">
        <f>IF(OR($A33="Power Cable"),IF(AND($AD33&lt;&gt;""),"YES","NO"),"N/A")</f>
        <v>NO</v>
      </c>
      <c r="O33" s="4" t="str">
        <f>IF(OR($A33="Power Cable",$A33="RTD Cable",$A33="Fieldbus Cable"),IF(AND($AE33&lt;&gt;""),"YES","NO"),"N/A")</f>
        <v>NO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str">
        <f>IF(OR($AM33&lt;&gt;"",$Z33&lt;&gt;"",$AC33&lt;&gt;""),"YES","NO")</f>
        <v>NO</v>
      </c>
      <c r="S33" s="4" t="str">
        <f>IF(COUNTIF(I33:R33,"NO")=0,"YES","NO")</f>
        <v>NO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inlineStr">
        <is>
          <t>Teck</t>
        </is>
      </c>
      <c r="AK33" s="9" t="inlineStr">
        <is>
          <t>10AWG</t>
        </is>
      </c>
      <c r="AL33" s="9" t="inlineStr">
        <is>
          <t>Levy Ostrup</t>
        </is>
      </c>
      <c r="AM33" s="9" t="n"/>
      <c r="AN33" s="9" t="n"/>
    </row>
    <row r="34">
      <c r="A34" s="9" t="inlineStr">
        <is>
          <t>Power Cable</t>
        </is>
      </c>
      <c r="B34" s="9" t="inlineStr">
        <is>
          <t>29103-ET-PE1803-3-PWK-1</t>
        </is>
      </c>
      <c r="C34" s="9" t="inlineStr">
        <is>
          <t>29103-ET-PE1803-3</t>
        </is>
      </c>
      <c r="D34" s="9" t="inlineStr">
        <is>
          <t>29103-HTP-100 HTC-04</t>
        </is>
      </c>
      <c r="E34" s="9" t="inlineStr">
        <is>
          <t>29103-HTP-100</t>
        </is>
      </c>
      <c r="F34" s="9" t="inlineStr"/>
      <c r="G34" s="9" t="inlineStr">
        <is>
          <t>113</t>
        </is>
      </c>
      <c r="H34" s="9" t="inlineStr">
        <is>
          <t>29103-ET-PE1803-3-PWK-1.pdf</t>
        </is>
      </c>
      <c r="I34" s="4" t="str">
        <f>IF($H34&lt;&gt;"","YES","NO")</f>
        <v>YES</v>
      </c>
      <c r="J34" s="4" t="str">
        <f>IF(N($T34)&gt;0,"YES","NO")</f>
        <v>NO</v>
      </c>
      <c r="K34" s="4" t="str">
        <f>IF(OR($A34="EHT Trace"),IF(AND($U34&lt;&gt;"",$V34&lt;&gt;""),"YES","NO"),"N/A")</f>
        <v>N/A</v>
      </c>
      <c r="L34" s="4" t="str">
        <f>IF(OR($A34="EHT Trace"),IF(AND($X34&lt;&gt;"",$Y34&lt;&gt;""),"YES","NO"),"N/A")</f>
        <v>N/A</v>
      </c>
      <c r="M34" s="4" t="str">
        <f>IF(OR($A34="EHT Trace"),IF(AND($AA34&lt;&gt;"",$AB34&lt;&gt;""),"YES","NO"),"N/A")</f>
        <v>N/A</v>
      </c>
      <c r="N34" s="4" t="str">
        <f>IF(OR($A34="Power Cable"),IF(AND($AD34&lt;&gt;""),"YES","NO"),"N/A")</f>
        <v>NO</v>
      </c>
      <c r="O34" s="4" t="str">
        <f>IF(OR($A34="Power Cable",$A34="RTD Cable",$A34="Fieldbus Cable"),IF(AND($AE34&lt;&gt;""),"YES","NO"),"N/A")</f>
        <v>NO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str">
        <f>IF(OR($AM34&lt;&gt;"",$Z34&lt;&gt;"",$AC34&lt;&gt;""),"YES","NO")</f>
        <v>NO</v>
      </c>
      <c r="S34" s="4" t="str">
        <f>IF(COUNTIF(I34:R34,"NO")=0,"YES","NO")</f>
        <v>NO</v>
      </c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inlineStr">
        <is>
          <t>Teck</t>
        </is>
      </c>
      <c r="AK34" s="9" t="inlineStr">
        <is>
          <t>10AWG</t>
        </is>
      </c>
      <c r="AL34" s="9" t="inlineStr">
        <is>
          <t>Levy Ostrup</t>
        </is>
      </c>
      <c r="AM34" s="9" t="n"/>
      <c r="AN34" s="9" t="n"/>
    </row>
    <row r="35">
      <c r="A35" s="9" t="inlineStr">
        <is>
          <t>Power Cable</t>
        </is>
      </c>
      <c r="B35" s="9" t="inlineStr">
        <is>
          <t>29103-ET-PE1803-5-PWK-1</t>
        </is>
      </c>
      <c r="C35" s="9" t="inlineStr">
        <is>
          <t>29103-ET-PE1803-5</t>
        </is>
      </c>
      <c r="D35" s="9" t="inlineStr">
        <is>
          <t>29103-HTP-100 HTC-08</t>
        </is>
      </c>
      <c r="E35" s="9" t="inlineStr">
        <is>
          <t>29103-HTP-100</t>
        </is>
      </c>
      <c r="F35" s="9" t="inlineStr"/>
      <c r="G35" s="9" t="inlineStr">
        <is>
          <t>113</t>
        </is>
      </c>
      <c r="H35" s="9" t="inlineStr">
        <is>
          <t>29103-ET-PE1803-5-PWK-1.pdf</t>
        </is>
      </c>
      <c r="I35" s="4" t="str">
        <f>IF($H35&lt;&gt;"","YES","NO")</f>
        <v>YES</v>
      </c>
      <c r="J35" s="4" t="str">
        <f>IF(N($T35)&gt;0,"YES","NO")</f>
        <v>NO</v>
      </c>
      <c r="K35" s="4" t="str">
        <f>IF(OR($A35="EHT Trace"),IF(AND($U35&lt;&gt;"",$V35&lt;&gt;""),"YES","NO"),"N/A")</f>
        <v>N/A</v>
      </c>
      <c r="L35" s="4" t="str">
        <f>IF(OR($A35="EHT Trace"),IF(AND($X35&lt;&gt;"",$Y35&lt;&gt;""),"YES","NO"),"N/A")</f>
        <v>N/A</v>
      </c>
      <c r="M35" s="4" t="str">
        <f>IF(OR($A35="EHT Trace"),IF(AND($AA35&lt;&gt;"",$AB35&lt;&gt;""),"YES","NO"),"N/A")</f>
        <v>N/A</v>
      </c>
      <c r="N35" s="4" t="str">
        <f>IF(OR($A35="Power Cable"),IF(AND($AD35&lt;&gt;""),"YES","NO"),"N/A")</f>
        <v>NO</v>
      </c>
      <c r="O35" s="4" t="str">
        <f>IF(OR($A35="Power Cable",$A35="RTD Cable",$A35="Fieldbus Cable"),IF(AND($AE35&lt;&gt;""),"YES","NO"),"N/A")</f>
        <v>NO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str">
        <f>IF(OR($AM35&lt;&gt;"",$Z35&lt;&gt;"",$AC35&lt;&gt;""),"YES","NO")</f>
        <v>NO</v>
      </c>
      <c r="S35" s="4" t="str">
        <f>IF(COUNTIF(I35:R35,"NO")=0,"YES","NO")</f>
        <v>NO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inlineStr">
        <is>
          <t>Teck</t>
        </is>
      </c>
      <c r="AK35" s="9" t="inlineStr">
        <is>
          <t>10AWG</t>
        </is>
      </c>
      <c r="AL35" s="9" t="inlineStr">
        <is>
          <t>Levy Ostrup</t>
        </is>
      </c>
      <c r="AM35" s="9" t="n"/>
      <c r="AN35" s="9" t="n"/>
    </row>
    <row r="36">
      <c r="A36" s="9" t="inlineStr">
        <is>
          <t>Power Cable</t>
        </is>
      </c>
      <c r="B36" s="9" t="inlineStr">
        <is>
          <t>29103-ET-PE1803-6-PWK-1</t>
        </is>
      </c>
      <c r="C36" s="9" t="inlineStr">
        <is>
          <t>29103-ET-PE1803-6</t>
        </is>
      </c>
      <c r="D36" s="9" t="inlineStr">
        <is>
          <t>29103-HTP-100 HTC-09</t>
        </is>
      </c>
      <c r="E36" s="9" t="inlineStr">
        <is>
          <t>29103-HTP-100</t>
        </is>
      </c>
      <c r="F36" s="9" t="inlineStr"/>
      <c r="G36" s="9" t="inlineStr">
        <is>
          <t>113</t>
        </is>
      </c>
      <c r="H36" s="9" t="inlineStr">
        <is>
          <t>29103-ET-PE1803-6-PWK-1.pdf</t>
        </is>
      </c>
      <c r="I36" s="4" t="str">
        <f>IF($H36&lt;&gt;"","YES","NO")</f>
        <v>YES</v>
      </c>
      <c r="J36" s="4" t="str">
        <f>IF(N($T36)&gt;0,"YES","NO")</f>
        <v>NO</v>
      </c>
      <c r="K36" s="4" t="str">
        <f>IF(OR($A36="EHT Trace"),IF(AND($U36&lt;&gt;"",$V36&lt;&gt;""),"YES","NO"),"N/A")</f>
        <v>N/A</v>
      </c>
      <c r="L36" s="4" t="str">
        <f>IF(OR($A36="EHT Trace"),IF(AND($X36&lt;&gt;"",$Y36&lt;&gt;""),"YES","NO"),"N/A")</f>
        <v>N/A</v>
      </c>
      <c r="M36" s="4" t="str">
        <f>IF(OR($A36="EHT Trace"),IF(AND($AA36&lt;&gt;"",$AB36&lt;&gt;""),"YES","NO"),"N/A")</f>
        <v>N/A</v>
      </c>
      <c r="N36" s="4" t="str">
        <f>IF(OR($A36="Power Cable"),IF(AND($AD36&lt;&gt;""),"YES","NO"),"N/A")</f>
        <v>NO</v>
      </c>
      <c r="O36" s="4" t="str">
        <f>IF(OR($A36="Power Cable",$A36="RTD Cable",$A36="Fieldbus Cable"),IF(AND($AE36&lt;&gt;""),"YES","NO"),"N/A")</f>
        <v>NO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str">
        <f>IF(OR($AM36&lt;&gt;"",$Z36&lt;&gt;"",$AC36&lt;&gt;""),"YES","NO")</f>
        <v>NO</v>
      </c>
      <c r="S36" s="4" t="str">
        <f>IF(COUNTIF(I36:R36,"NO")=0,"YES","NO")</f>
        <v>NO</v>
      </c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inlineStr">
        <is>
          <t>Teck</t>
        </is>
      </c>
      <c r="AK36" s="9" t="inlineStr">
        <is>
          <t>10AWG</t>
        </is>
      </c>
      <c r="AL36" s="9" t="inlineStr">
        <is>
          <t>Levy Ostrup</t>
        </is>
      </c>
      <c r="AM36" s="9" t="n"/>
      <c r="AN36" s="9" t="n"/>
    </row>
    <row r="37">
      <c r="A37" s="9" t="inlineStr">
        <is>
          <t>Power Cable</t>
        </is>
      </c>
      <c r="B37" s="9" t="inlineStr">
        <is>
          <t>29103-ET-PE1806-1-PWK-1</t>
        </is>
      </c>
      <c r="C37" s="9" t="inlineStr">
        <is>
          <t>29103-ET-PE1806-1</t>
        </is>
      </c>
      <c r="D37" s="9" t="inlineStr">
        <is>
          <t>29103-HTP-100 HTC-13</t>
        </is>
      </c>
      <c r="E37" s="9" t="inlineStr">
        <is>
          <t>29103-HTP-100</t>
        </is>
      </c>
      <c r="F37" s="9" t="inlineStr"/>
      <c r="G37" s="9" t="inlineStr">
        <is>
          <t>113</t>
        </is>
      </c>
      <c r="H37" s="9" t="inlineStr">
        <is>
          <t>29103-ET-PE1806-1-PWK-1.pdf</t>
        </is>
      </c>
      <c r="I37" s="4" t="str">
        <f>IF($H37&lt;&gt;"","YES","NO")</f>
        <v>YES</v>
      </c>
      <c r="J37" s="4" t="str">
        <f>IF(N($T37)&gt;0,"YES","NO")</f>
        <v>NO</v>
      </c>
      <c r="K37" s="4" t="str">
        <f>IF(OR($A37="EHT Trace"),IF(AND($U37&lt;&gt;"",$V37&lt;&gt;""),"YES","NO"),"N/A")</f>
        <v>N/A</v>
      </c>
      <c r="L37" s="4" t="str">
        <f>IF(OR($A37="EHT Trace"),IF(AND($X37&lt;&gt;"",$Y37&lt;&gt;""),"YES","NO"),"N/A")</f>
        <v>N/A</v>
      </c>
      <c r="M37" s="4" t="str">
        <f>IF(OR($A37="EHT Trace"),IF(AND($AA37&lt;&gt;"",$AB37&lt;&gt;""),"YES","NO"),"N/A")</f>
        <v>N/A</v>
      </c>
      <c r="N37" s="4" t="str">
        <f>IF(OR($A37="Power Cable"),IF(AND($AD37&lt;&gt;""),"YES","NO"),"N/A")</f>
        <v>NO</v>
      </c>
      <c r="O37" s="4" t="str">
        <f>IF(OR($A37="Power Cable",$A37="RTD Cable",$A37="Fieldbus Cable"),IF(AND($AE37&lt;&gt;""),"YES","NO"),"N/A")</f>
        <v>NO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str">
        <f>IF(OR($AM37&lt;&gt;"",$Z37&lt;&gt;"",$AC37&lt;&gt;""),"YES","NO")</f>
        <v>NO</v>
      </c>
      <c r="S37" s="4" t="str">
        <f>IF(COUNTIF(I37:R37,"NO")=0,"YES","NO")</f>
        <v>NO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inlineStr">
        <is>
          <t>Teck</t>
        </is>
      </c>
      <c r="AK37" s="9" t="inlineStr">
        <is>
          <t>10AWG</t>
        </is>
      </c>
      <c r="AL37" s="9" t="inlineStr">
        <is>
          <t>Levy Ostrup</t>
        </is>
      </c>
      <c r="AM37" s="9" t="n"/>
      <c r="AN37" s="9" t="n"/>
    </row>
    <row r="38">
      <c r="A38" s="9" t="inlineStr">
        <is>
          <t>Power Cable</t>
        </is>
      </c>
      <c r="B38" s="9" t="inlineStr">
        <is>
          <t>29103-ET-ST1801-1-PWK-1</t>
        </is>
      </c>
      <c r="C38" s="9" t="inlineStr">
        <is>
          <t>29103-ET-ST1801-1</t>
        </is>
      </c>
      <c r="D38" s="9" t="inlineStr">
        <is>
          <t>29103-AMB-013</t>
        </is>
      </c>
      <c r="E38" s="9" t="inlineStr">
        <is>
          <t>29103-HTP-100</t>
        </is>
      </c>
      <c r="F38" s="9" t="inlineStr"/>
      <c r="G38" s="9" t="inlineStr">
        <is>
          <t>113</t>
        </is>
      </c>
      <c r="H38" s="9" t="inlineStr">
        <is>
          <t>29103-ET-ST1801-1-PWK-1.pdf</t>
        </is>
      </c>
      <c r="I38" s="4" t="str">
        <f>IF($H38&lt;&gt;"","YES","NO")</f>
        <v>YES</v>
      </c>
      <c r="J38" s="4" t="str">
        <f>IF(N($T38)&gt;0,"YES","NO")</f>
        <v>NO</v>
      </c>
      <c r="K38" s="4" t="str">
        <f>IF(OR($A38="EHT Trace"),IF(AND($U38&lt;&gt;"",$V38&lt;&gt;""),"YES","NO"),"N/A")</f>
        <v>N/A</v>
      </c>
      <c r="L38" s="4" t="str">
        <f>IF(OR($A38="EHT Trace"),IF(AND($X38&lt;&gt;"",$Y38&lt;&gt;""),"YES","NO"),"N/A")</f>
        <v>N/A</v>
      </c>
      <c r="M38" s="4" t="str">
        <f>IF(OR($A38="EHT Trace"),IF(AND($AA38&lt;&gt;"",$AB38&lt;&gt;""),"YES","NO"),"N/A")</f>
        <v>N/A</v>
      </c>
      <c r="N38" s="4" t="str">
        <f>IF(OR($A38="Power Cable"),IF(AND($AD38&lt;&gt;""),"YES","NO"),"N/A")</f>
        <v>NO</v>
      </c>
      <c r="O38" s="4" t="str">
        <f>IF(OR($A38="Power Cable",$A38="RTD Cable",$A38="Fieldbus Cable"),IF(AND($AE38&lt;&gt;""),"YES","NO"),"N/A")</f>
        <v>NO</v>
      </c>
      <c r="P38" s="4" t="str">
        <f>IF(OR($A38="RTD"),IF(AND($AH38&lt;&gt;""),"YES","NO"),"N/A")</f>
        <v>N/A</v>
      </c>
      <c r="Q38" s="4" t="str">
        <f>IF(OR($A38="RTD"),IF(AND($AI38&lt;&gt;""),"YES","NO"),"N/A")</f>
        <v>N/A</v>
      </c>
      <c r="R38" s="4" t="str">
        <f>IF(OR($AM38&lt;&gt;"",$Z38&lt;&gt;"",$AC38&lt;&gt;""),"YES","NO")</f>
        <v>NO</v>
      </c>
      <c r="S38" s="4" t="str">
        <f>IF(COUNTIF(I38:R38,"NO")=0,"YES","NO")</f>
        <v>NO</v>
      </c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inlineStr">
        <is>
          <t>Teck</t>
        </is>
      </c>
      <c r="AK38" s="9" t="inlineStr">
        <is>
          <t>10AWG</t>
        </is>
      </c>
      <c r="AL38" s="9" t="inlineStr">
        <is>
          <t>Levy Ostrup</t>
        </is>
      </c>
      <c r="AM38" s="9" t="n"/>
      <c r="AN38" s="9" t="n"/>
    </row>
    <row r="39">
      <c r="A39" s="9" t="inlineStr">
        <is>
          <t>Power Cable</t>
        </is>
      </c>
      <c r="B39" s="9" t="inlineStr">
        <is>
          <t>29103-ET-ST1803-1-PWK-1</t>
        </is>
      </c>
      <c r="C39" s="9" t="inlineStr">
        <is>
          <t>29103-ET-ST1803-1</t>
        </is>
      </c>
      <c r="D39" s="9" t="inlineStr">
        <is>
          <t>29103-AMB-013</t>
        </is>
      </c>
      <c r="E39" s="9" t="inlineStr">
        <is>
          <t>29103-HTP-100</t>
        </is>
      </c>
      <c r="F39" s="9" t="inlineStr"/>
      <c r="G39" s="9" t="inlineStr">
        <is>
          <t>113</t>
        </is>
      </c>
      <c r="H39" s="9" t="inlineStr">
        <is>
          <t>29103-ET-ST1803-1-PWK-1.pdf</t>
        </is>
      </c>
      <c r="I39" s="4" t="str">
        <f>IF($H39&lt;&gt;"","YES","NO")</f>
        <v>YES</v>
      </c>
      <c r="J39" s="4" t="str">
        <f>IF(N($T39)&gt;0,"YES","NO")</f>
        <v>NO</v>
      </c>
      <c r="K39" s="4" t="str">
        <f>IF(OR($A39="EHT Trace"),IF(AND($U39&lt;&gt;"",$V39&lt;&gt;""),"YES","NO"),"N/A")</f>
        <v>N/A</v>
      </c>
      <c r="L39" s="4" t="str">
        <f>IF(OR($A39="EHT Trace"),IF(AND($X39&lt;&gt;"",$Y39&lt;&gt;""),"YES","NO"),"N/A")</f>
        <v>N/A</v>
      </c>
      <c r="M39" s="4" t="str">
        <f>IF(OR($A39="EHT Trace"),IF(AND($AA39&lt;&gt;"",$AB39&lt;&gt;""),"YES","NO"),"N/A")</f>
        <v>N/A</v>
      </c>
      <c r="N39" s="4" t="str">
        <f>IF(OR($A39="Power Cable"),IF(AND($AD39&lt;&gt;""),"YES","NO"),"N/A")</f>
        <v>NO</v>
      </c>
      <c r="O39" s="4" t="str">
        <f>IF(OR($A39="Power Cable",$A39="RTD Cable",$A39="Fieldbus Cable"),IF(AND($AE39&lt;&gt;""),"YES","NO"),"N/A")</f>
        <v>NO</v>
      </c>
      <c r="P39" s="4" t="str">
        <f>IF(OR($A39="RTD"),IF(AND($AH39&lt;&gt;""),"YES","NO"),"N/A")</f>
        <v>N/A</v>
      </c>
      <c r="Q39" s="4" t="str">
        <f>IF(OR($A39="RTD"),IF(AND($AI39&lt;&gt;""),"YES","NO"),"N/A")</f>
        <v>N/A</v>
      </c>
      <c r="R39" s="4" t="str">
        <f>IF(OR($AM39&lt;&gt;"",$Z39&lt;&gt;"",$AC39&lt;&gt;""),"YES","NO")</f>
        <v>NO</v>
      </c>
      <c r="S39" s="4" t="str">
        <f>IF(COUNTIF(I39:R39,"NO")=0,"YES","NO")</f>
        <v>NO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inlineStr">
        <is>
          <t>Teck</t>
        </is>
      </c>
      <c r="AK39" s="9" t="inlineStr">
        <is>
          <t>10AWG</t>
        </is>
      </c>
      <c r="AL39" s="9" t="inlineStr">
        <is>
          <t>Levy Ostrup</t>
        </is>
      </c>
      <c r="AM39" s="9" t="n"/>
      <c r="AN39" s="9" t="n"/>
    </row>
    <row r="40">
      <c r="A40" s="9" t="inlineStr">
        <is>
          <t>Power Cable</t>
        </is>
      </c>
      <c r="B40" s="9" t="inlineStr">
        <is>
          <t>29103-ET-ST1805-1-PWK-1</t>
        </is>
      </c>
      <c r="C40" s="9" t="inlineStr">
        <is>
          <t>29103-ET-ST1805-1</t>
        </is>
      </c>
      <c r="D40" s="9" t="inlineStr">
        <is>
          <t>29103-AMB-013</t>
        </is>
      </c>
      <c r="E40" s="9" t="inlineStr">
        <is>
          <t>29103-HTP-100</t>
        </is>
      </c>
      <c r="F40" s="9" t="inlineStr"/>
      <c r="G40" s="9" t="inlineStr">
        <is>
          <t>113</t>
        </is>
      </c>
      <c r="H40" s="9" t="inlineStr">
        <is>
          <t>29103-ET-ST1805-1-PWK-1.pdf</t>
        </is>
      </c>
      <c r="I40" s="4" t="str">
        <f>IF($H40&lt;&gt;"","YES","NO")</f>
        <v>YES</v>
      </c>
      <c r="J40" s="4" t="str">
        <f>IF(N($T40)&gt;0,"YES","NO")</f>
        <v>NO</v>
      </c>
      <c r="K40" s="4" t="str">
        <f>IF(OR($A40="EHT Trace"),IF(AND($U40&lt;&gt;"",$V40&lt;&gt;""),"YES","NO"),"N/A")</f>
        <v>N/A</v>
      </c>
      <c r="L40" s="4" t="str">
        <f>IF(OR($A40="EHT Trace"),IF(AND($X40&lt;&gt;"",$Y40&lt;&gt;""),"YES","NO"),"N/A")</f>
        <v>N/A</v>
      </c>
      <c r="M40" s="4" t="str">
        <f>IF(OR($A40="EHT Trace"),IF(AND($AA40&lt;&gt;"",$AB40&lt;&gt;""),"YES","NO"),"N/A")</f>
        <v>N/A</v>
      </c>
      <c r="N40" s="4" t="str">
        <f>IF(OR($A40="Power Cable"),IF(AND($AD40&lt;&gt;""),"YES","NO"),"N/A")</f>
        <v>NO</v>
      </c>
      <c r="O40" s="4" t="str">
        <f>IF(OR($A40="Power Cable",$A40="RTD Cable",$A40="Fieldbus Cable"),IF(AND($AE40&lt;&gt;""),"YES","NO"),"N/A")</f>
        <v>NO</v>
      </c>
      <c r="P40" s="4" t="str">
        <f>IF(OR($A40="RTD"),IF(AND($AH40&lt;&gt;""),"YES","NO"),"N/A")</f>
        <v>N/A</v>
      </c>
      <c r="Q40" s="4" t="str">
        <f>IF(OR($A40="RTD"),IF(AND($AI40&lt;&gt;""),"YES","NO"),"N/A")</f>
        <v>N/A</v>
      </c>
      <c r="R40" s="4" t="str">
        <f>IF(OR($AM40&lt;&gt;"",$Z40&lt;&gt;"",$AC40&lt;&gt;""),"YES","NO")</f>
        <v>NO</v>
      </c>
      <c r="S40" s="4" t="str">
        <f>IF(COUNTIF(I40:R40,"NO")=0,"YES","NO")</f>
        <v>NO</v>
      </c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inlineStr">
        <is>
          <t>Teck</t>
        </is>
      </c>
      <c r="AK40" s="9" t="inlineStr">
        <is>
          <t>10AWG</t>
        </is>
      </c>
      <c r="AL40" s="9" t="inlineStr">
        <is>
          <t>Levy Ostrup</t>
        </is>
      </c>
      <c r="AM40" s="9" t="n"/>
      <c r="AN40" s="9" t="n"/>
    </row>
    <row r="41">
      <c r="A41" s="9" t="inlineStr">
        <is>
          <t>RTD</t>
        </is>
      </c>
      <c r="B41" s="9" t="inlineStr">
        <is>
          <t>29103-ET-P1800-4-R-1</t>
        </is>
      </c>
      <c r="C41" s="9" t="inlineStr">
        <is>
          <t>29103-ET-P1800-4</t>
        </is>
      </c>
      <c r="D41" s="9" t="inlineStr">
        <is>
          <t>29103-HTP-100 HTC-05</t>
        </is>
      </c>
      <c r="E41" s="9" t="inlineStr">
        <is>
          <t>PRODUCED EMULSION</t>
        </is>
      </c>
      <c r="F41" s="9" t="inlineStr">
        <is>
          <t>29103-65R-ET-P1800-04-01</t>
        </is>
      </c>
      <c r="G41" s="9" t="inlineStr">
        <is>
          <t>13.2</t>
        </is>
      </c>
      <c r="H41" s="9" t="inlineStr">
        <is>
          <t>29103-ET-P1800-4-R-1.pdf</t>
        </is>
      </c>
      <c r="I41" s="4" t="str">
        <f>IF($H41&lt;&gt;"","YES","NO")</f>
        <v>YES</v>
      </c>
      <c r="J41" s="4" t="str">
        <f>IF(N($T41)&gt;0,"YES","NO")</f>
        <v>NO</v>
      </c>
      <c r="K41" s="4" t="str">
        <f>IF(OR($A41="EHT Trace"),IF(AND($U41&lt;&gt;"",$V41&lt;&gt;""),"YES","NO"),"N/A")</f>
        <v>N/A</v>
      </c>
      <c r="L41" s="4" t="str">
        <f>IF(OR($A41="EHT Trace"),IF(AND($X41&lt;&gt;"",$Y41&lt;&gt;""),"YES","NO"),"N/A")</f>
        <v>N/A</v>
      </c>
      <c r="M41" s="4" t="str">
        <f>IF(OR($A41="EHT Trace"),IF(AND($AA41&lt;&gt;"",$AB41&lt;&gt;""),"YES","NO"),"N/A")</f>
        <v>N/A</v>
      </c>
      <c r="N41" s="4" t="str">
        <f>IF(OR($A41="Power Cable"),IF(AND($AD41&lt;&gt;""),"YES","NO"),"N/A")</f>
        <v>N/A</v>
      </c>
      <c r="O41" s="4" t="str">
        <f>IF(OR($A41="Power Cable",$A41="RTD Cable",$A41="Fieldbus Cable"),IF(AND($AE41&lt;&gt;""),"YES","NO"),"N/A")</f>
        <v>N/A</v>
      </c>
      <c r="P41" s="4" t="str">
        <f>IF(OR($A41="RTD"),IF(AND($AH41&lt;&gt;""),"YES","NO"),"N/A")</f>
        <v>NO</v>
      </c>
      <c r="Q41" s="4" t="str">
        <f>IF(OR($A41="RTD"),IF(AND($AI41&lt;&gt;""),"YES","NO"),"N/A")</f>
        <v>NO</v>
      </c>
      <c r="R41" s="4" t="str">
        <f>IF(OR($AM41&lt;&gt;"",$Z41&lt;&gt;"",$AC41&lt;&gt;""),"YES","NO")</f>
        <v>NO</v>
      </c>
      <c r="S41" s="4" t="str">
        <f>IF(COUNTIF(I41:R41,"NO")=0,"YES","NO")</f>
        <v>NO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inlineStr">
        <is>
          <t>Levy Ostrup</t>
        </is>
      </c>
      <c r="AM41" s="9" t="n"/>
      <c r="AN41" s="9" t="n"/>
    </row>
    <row r="42">
      <c r="A42" s="9" t="inlineStr">
        <is>
          <t>RTD</t>
        </is>
      </c>
      <c r="B42" s="9" t="inlineStr">
        <is>
          <t>29103-ET-P1800-5-R-1</t>
        </is>
      </c>
      <c r="C42" s="9" t="inlineStr">
        <is>
          <t>29103-ET-P1800-5</t>
        </is>
      </c>
      <c r="D42" s="9" t="inlineStr">
        <is>
          <t>29103-HTP-100 HTC-02</t>
        </is>
      </c>
      <c r="E42" s="9" t="inlineStr">
        <is>
          <t>PRODUCED EMULSION</t>
        </is>
      </c>
      <c r="F42" s="9" t="inlineStr">
        <is>
          <t>29103-65R-ET-P1800-05-01</t>
        </is>
      </c>
      <c r="G42" s="9" t="inlineStr">
        <is>
          <t>13.2</t>
        </is>
      </c>
      <c r="H42" s="9" t="inlineStr">
        <is>
          <t>29103-ET-P1800-5-R-1.pdf</t>
        </is>
      </c>
      <c r="I42" s="4" t="str">
        <f>IF($H42&lt;&gt;"","YES","NO")</f>
        <v>YES</v>
      </c>
      <c r="J42" s="4" t="str">
        <f>IF(N($T42)&gt;0,"YES","NO")</f>
        <v>NO</v>
      </c>
      <c r="K42" s="4" t="str">
        <f>IF(OR($A42="EHT Trace"),IF(AND($U42&lt;&gt;"",$V42&lt;&gt;""),"YES","NO"),"N/A")</f>
        <v>N/A</v>
      </c>
      <c r="L42" s="4" t="str">
        <f>IF(OR($A42="EHT Trace"),IF(AND($X42&lt;&gt;"",$Y42&lt;&gt;""),"YES","NO"),"N/A")</f>
        <v>N/A</v>
      </c>
      <c r="M42" s="4" t="str">
        <f>IF(OR($A42="EHT Trace"),IF(AND($AA42&lt;&gt;"",$AB42&lt;&gt;""),"YES","NO"),"N/A")</f>
        <v>N/A</v>
      </c>
      <c r="N42" s="4" t="str">
        <f>IF(OR($A42="Power Cable"),IF(AND($AD42&lt;&gt;""),"YES","NO"),"N/A")</f>
        <v>N/A</v>
      </c>
      <c r="O42" s="4" t="str">
        <f>IF(OR($A42="Power Cable",$A42="RTD Cable",$A42="Fieldbus Cable"),IF(AND($AE42&lt;&gt;""),"YES","NO"),"N/A")</f>
        <v>N/A</v>
      </c>
      <c r="P42" s="4" t="str">
        <f>IF(OR($A42="RTD"),IF(AND($AH42&lt;&gt;""),"YES","NO"),"N/A")</f>
        <v>NO</v>
      </c>
      <c r="Q42" s="4" t="str">
        <f>IF(OR($A42="RTD"),IF(AND($AI42&lt;&gt;""),"YES","NO"),"N/A")</f>
        <v>NO</v>
      </c>
      <c r="R42" s="4" t="str">
        <f>IF(OR($AM42&lt;&gt;"",$Z42&lt;&gt;"",$AC42&lt;&gt;""),"YES","NO")</f>
        <v>NO</v>
      </c>
      <c r="S42" s="4" t="str">
        <f>IF(COUNTIF(I42:R42,"NO")=0,"YES","NO")</f>
        <v>NO</v>
      </c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inlineStr">
        <is>
          <t>Levy Ostrup</t>
        </is>
      </c>
      <c r="AM42" s="9" t="n"/>
      <c r="AN42" s="9" t="n"/>
    </row>
    <row r="43">
      <c r="A43" s="9" t="inlineStr">
        <is>
          <t>RTD</t>
        </is>
      </c>
      <c r="B43" s="9" t="inlineStr">
        <is>
          <t>29103-ET-P1800-6-R-1</t>
        </is>
      </c>
      <c r="C43" s="9" t="inlineStr">
        <is>
          <t>29103-ET-P1800-6</t>
        </is>
      </c>
      <c r="D43" s="9" t="inlineStr">
        <is>
          <t>29103-HTP-100 HTC-06</t>
        </is>
      </c>
      <c r="E43" s="9" t="inlineStr">
        <is>
          <t>PRODUCED EMULSION</t>
        </is>
      </c>
      <c r="F43" s="9" t="inlineStr">
        <is>
          <t>29103-65R-ET-P1800-06-01</t>
        </is>
      </c>
      <c r="G43" s="9" t="inlineStr">
        <is>
          <t>13.2</t>
        </is>
      </c>
      <c r="H43" s="9" t="inlineStr">
        <is>
          <t>29103-ET-P1800-6-R-1.pdf</t>
        </is>
      </c>
      <c r="I43" s="4" t="str">
        <f>IF($H43&lt;&gt;"","YES","NO")</f>
        <v>YES</v>
      </c>
      <c r="J43" s="4" t="str">
        <f>IF(N($T43)&gt;0,"YES","NO")</f>
        <v>NO</v>
      </c>
      <c r="K43" s="4" t="str">
        <f>IF(OR($A43="EHT Trace"),IF(AND($U43&lt;&gt;"",$V43&lt;&gt;""),"YES","NO"),"N/A")</f>
        <v>N/A</v>
      </c>
      <c r="L43" s="4" t="str">
        <f>IF(OR($A43="EHT Trace"),IF(AND($X43&lt;&gt;"",$Y43&lt;&gt;""),"YES","NO"),"N/A")</f>
        <v>N/A</v>
      </c>
      <c r="M43" s="4" t="str">
        <f>IF(OR($A43="EHT Trace"),IF(AND($AA43&lt;&gt;"",$AB43&lt;&gt;""),"YES","NO"),"N/A")</f>
        <v>N/A</v>
      </c>
      <c r="N43" s="4" t="str">
        <f>IF(OR($A43="Power Cable"),IF(AND($AD43&lt;&gt;""),"YES","NO"),"N/A")</f>
        <v>N/A</v>
      </c>
      <c r="O43" s="4" t="str">
        <f>IF(OR($A43="Power Cable",$A43="RTD Cable",$A43="Fieldbus Cable"),IF(AND($AE43&lt;&gt;""),"YES","NO"),"N/A")</f>
        <v>N/A</v>
      </c>
      <c r="P43" s="4" t="str">
        <f>IF(OR($A43="RTD"),IF(AND($AH43&lt;&gt;""),"YES","NO"),"N/A")</f>
        <v>NO</v>
      </c>
      <c r="Q43" s="4" t="str">
        <f>IF(OR($A43="RTD"),IF(AND($AI43&lt;&gt;""),"YES","NO"),"N/A")</f>
        <v>NO</v>
      </c>
      <c r="R43" s="4" t="str">
        <f>IF(OR($AM43&lt;&gt;"",$Z43&lt;&gt;"",$AC43&lt;&gt;""),"YES","NO")</f>
        <v>NO</v>
      </c>
      <c r="S43" s="4" t="str">
        <f>IF(COUNTIF(I43:R43,"NO")=0,"YES","NO")</f>
        <v>NO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inlineStr">
        <is>
          <t>Levy Ostrup</t>
        </is>
      </c>
      <c r="AM43" s="9" t="n"/>
      <c r="AN43" s="9" t="n"/>
    </row>
    <row r="44">
      <c r="A44" s="9" t="inlineStr">
        <is>
          <t>RTD</t>
        </is>
      </c>
      <c r="B44" s="9" t="inlineStr">
        <is>
          <t>29103-ET-P1800-7-R-1</t>
        </is>
      </c>
      <c r="C44" s="9" t="inlineStr">
        <is>
          <t>29103-ET-P1800-7</t>
        </is>
      </c>
      <c r="D44" s="9" t="inlineStr">
        <is>
          <t>29103-HTP-100 HTC-16</t>
        </is>
      </c>
      <c r="E44" s="9" t="inlineStr">
        <is>
          <t>PRODUCED EMULSION</t>
        </is>
      </c>
      <c r="F44" s="9" t="inlineStr">
        <is>
          <t>Trace: 29103-ET-P1800-7-1</t>
        </is>
      </c>
      <c r="G44" s="9" t="inlineStr">
        <is>
          <t>13.2</t>
        </is>
      </c>
      <c r="H44" s="9" t="inlineStr">
        <is>
          <t>29103-ET-P1800-7-R-1.pdf</t>
        </is>
      </c>
      <c r="I44" s="4" t="str">
        <f>IF($H44&lt;&gt;"","YES","NO")</f>
        <v>YES</v>
      </c>
      <c r="J44" s="4" t="str">
        <f>IF(N($T44)&gt;0,"YES","NO")</f>
        <v>NO</v>
      </c>
      <c r="K44" s="4" t="str">
        <f>IF(OR($A44="EHT Trace"),IF(AND($U44&lt;&gt;"",$V44&lt;&gt;""),"YES","NO"),"N/A")</f>
        <v>N/A</v>
      </c>
      <c r="L44" s="4" t="str">
        <f>IF(OR($A44="EHT Trace"),IF(AND($X44&lt;&gt;"",$Y44&lt;&gt;""),"YES","NO"),"N/A")</f>
        <v>N/A</v>
      </c>
      <c r="M44" s="4" t="str">
        <f>IF(OR($A44="EHT Trace"),IF(AND($AA44&lt;&gt;"",$AB44&lt;&gt;""),"YES","NO"),"N/A")</f>
        <v>N/A</v>
      </c>
      <c r="N44" s="4" t="str">
        <f>IF(OR($A44="Power Cable"),IF(AND($AD44&lt;&gt;""),"YES","NO"),"N/A")</f>
        <v>N/A</v>
      </c>
      <c r="O44" s="4" t="str">
        <f>IF(OR($A44="Power Cable",$A44="RTD Cable",$A44="Fieldbus Cable"),IF(AND($AE44&lt;&gt;""),"YES","NO"),"N/A")</f>
        <v>N/A</v>
      </c>
      <c r="P44" s="4" t="str">
        <f>IF(OR($A44="RTD"),IF(AND($AH44&lt;&gt;""),"YES","NO"),"N/A")</f>
        <v>NO</v>
      </c>
      <c r="Q44" s="4" t="str">
        <f>IF(OR($A44="RTD"),IF(AND($AI44&lt;&gt;""),"YES","NO"),"N/A")</f>
        <v>NO</v>
      </c>
      <c r="R44" s="4" t="str">
        <f>IF(OR($AM44&lt;&gt;"",$Z44&lt;&gt;"",$AC44&lt;&gt;""),"YES","NO")</f>
        <v>YES</v>
      </c>
      <c r="S44" s="4" t="str">
        <f>IF(COUNTIF(I44:R44,"NO")=0,"YES","NO")</f>
        <v>NO</v>
      </c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inlineStr">
        <is>
          <t>Levy Ostrup</t>
        </is>
      </c>
      <c r="AM44" s="9" t="inlineStr">
        <is>
          <t>09/21/2026</t>
        </is>
      </c>
      <c r="AN44" s="9" t="n"/>
    </row>
    <row r="45">
      <c r="A45" s="9" t="inlineStr">
        <is>
          <t>RTD</t>
        </is>
      </c>
      <c r="B45" s="9" t="inlineStr">
        <is>
          <t>29103-ET-PE1802-3-R-1</t>
        </is>
      </c>
      <c r="C45" s="9" t="inlineStr">
        <is>
          <t>29103-ET-PE1802-3</t>
        </is>
      </c>
      <c r="D45" s="9" t="inlineStr">
        <is>
          <t>29103-HTP-100 HTC-03</t>
        </is>
      </c>
      <c r="E45" s="9" t="inlineStr">
        <is>
          <t>PRODUCED EMULSION</t>
        </is>
      </c>
      <c r="F45" s="9" t="inlineStr">
        <is>
          <t>29103-65R-ET-PE1802-03-01</t>
        </is>
      </c>
      <c r="G45" s="9" t="inlineStr">
        <is>
          <t>13.2</t>
        </is>
      </c>
      <c r="H45" s="9" t="inlineStr">
        <is>
          <t>29103-ET-PE1802-3-R-1.pdf</t>
        </is>
      </c>
      <c r="I45" s="4" t="str">
        <f>IF($H45&lt;&gt;"","YES","NO")</f>
        <v>YES</v>
      </c>
      <c r="J45" s="4" t="str">
        <f>IF(N($T45)&gt;0,"YES","NO")</f>
        <v>NO</v>
      </c>
      <c r="K45" s="4" t="str">
        <f>IF(OR($A45="EHT Trace"),IF(AND($U45&lt;&gt;"",$V45&lt;&gt;""),"YES","NO"),"N/A")</f>
        <v>N/A</v>
      </c>
      <c r="L45" s="4" t="str">
        <f>IF(OR($A45="EHT Trace"),IF(AND($X45&lt;&gt;"",$Y45&lt;&gt;""),"YES","NO"),"N/A")</f>
        <v>N/A</v>
      </c>
      <c r="M45" s="4" t="str">
        <f>IF(OR($A45="EHT Trace"),IF(AND($AA45&lt;&gt;"",$AB45&lt;&gt;""),"YES","NO"),"N/A")</f>
        <v>N/A</v>
      </c>
      <c r="N45" s="4" t="str">
        <f>IF(OR($A45="Power Cable"),IF(AND($AD45&lt;&gt;""),"YES","NO"),"N/A")</f>
        <v>N/A</v>
      </c>
      <c r="O45" s="4" t="str">
        <f>IF(OR($A45="Power Cable",$A45="RTD Cable",$A45="Fieldbus Cable"),IF(AND($AE45&lt;&gt;""),"YES","NO"),"N/A")</f>
        <v>N/A</v>
      </c>
      <c r="P45" s="4" t="str">
        <f>IF(OR($A45="RTD"),IF(AND($AH45&lt;&gt;""),"YES","NO"),"N/A")</f>
        <v>NO</v>
      </c>
      <c r="Q45" s="4" t="str">
        <f>IF(OR($A45="RTD"),IF(AND($AI45&lt;&gt;""),"YES","NO"),"N/A")</f>
        <v>NO</v>
      </c>
      <c r="R45" s="4" t="str">
        <f>IF(OR($AM45&lt;&gt;"",$Z45&lt;&gt;"",$AC45&lt;&gt;""),"YES","NO")</f>
        <v>NO</v>
      </c>
      <c r="S45" s="4" t="str">
        <f>IF(COUNTIF(I45:R45,"NO")=0,"YES","NO")</f>
        <v>NO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inlineStr">
        <is>
          <t>Levy Ostrup</t>
        </is>
      </c>
      <c r="AM45" s="9" t="n"/>
      <c r="AN45" s="9" t="n"/>
    </row>
    <row r="46">
      <c r="A46" s="9" t="inlineStr">
        <is>
          <t>RTD</t>
        </is>
      </c>
      <c r="B46" s="9" t="inlineStr">
        <is>
          <t>29103-ET-PE1802-4-R-1</t>
        </is>
      </c>
      <c r="C46" s="9" t="inlineStr">
        <is>
          <t>29103-ET-PE1802-4</t>
        </is>
      </c>
      <c r="D46" s="9" t="inlineStr">
        <is>
          <t>29103-HTP-100 HTC-07</t>
        </is>
      </c>
      <c r="E46" s="9" t="inlineStr">
        <is>
          <t>PRODUCED EMULSION</t>
        </is>
      </c>
      <c r="F46" s="9" t="inlineStr">
        <is>
          <t>29103-65R-ET-PE1802-04-01</t>
        </is>
      </c>
      <c r="G46" s="9" t="inlineStr">
        <is>
          <t>13.2</t>
        </is>
      </c>
      <c r="H46" s="9" t="inlineStr">
        <is>
          <t>29103-ET-PE1802-4-R-1.pdf</t>
        </is>
      </c>
      <c r="I46" s="4" t="str">
        <f>IF($H46&lt;&gt;"","YES","NO")</f>
        <v>YES</v>
      </c>
      <c r="J46" s="4" t="str">
        <f>IF(N($T46)&gt;0,"YES","NO")</f>
        <v>NO</v>
      </c>
      <c r="K46" s="4" t="str">
        <f>IF(OR($A46="EHT Trace"),IF(AND($U46&lt;&gt;"",$V46&lt;&gt;""),"YES","NO"),"N/A")</f>
        <v>N/A</v>
      </c>
      <c r="L46" s="4" t="str">
        <f>IF(OR($A46="EHT Trace"),IF(AND($X46&lt;&gt;"",$Y46&lt;&gt;""),"YES","NO"),"N/A")</f>
        <v>N/A</v>
      </c>
      <c r="M46" s="4" t="str">
        <f>IF(OR($A46="EHT Trace"),IF(AND($AA46&lt;&gt;"",$AB46&lt;&gt;""),"YES","NO"),"N/A")</f>
        <v>N/A</v>
      </c>
      <c r="N46" s="4" t="str">
        <f>IF(OR($A46="Power Cable"),IF(AND($AD46&lt;&gt;""),"YES","NO"),"N/A")</f>
        <v>N/A</v>
      </c>
      <c r="O46" s="4" t="str">
        <f>IF(OR($A46="Power Cable",$A46="RTD Cable",$A46="Fieldbus Cable"),IF(AND($AE46&lt;&gt;""),"YES","NO"),"N/A")</f>
        <v>N/A</v>
      </c>
      <c r="P46" s="4" t="str">
        <f>IF(OR($A46="RTD"),IF(AND($AH46&lt;&gt;""),"YES","NO"),"N/A")</f>
        <v>NO</v>
      </c>
      <c r="Q46" s="4" t="str">
        <f>IF(OR($A46="RTD"),IF(AND($AI46&lt;&gt;""),"YES","NO"),"N/A")</f>
        <v>NO</v>
      </c>
      <c r="R46" s="4" t="str">
        <f>IF(OR($AM46&lt;&gt;"",$Z46&lt;&gt;"",$AC46&lt;&gt;""),"YES","NO")</f>
        <v>NO</v>
      </c>
      <c r="S46" s="4" t="str">
        <f>IF(COUNTIF(I46:R46,"NO")=0,"YES","NO")</f>
        <v>NO</v>
      </c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inlineStr">
        <is>
          <t>Levy Ostrup</t>
        </is>
      </c>
      <c r="AM46" s="9" t="n"/>
      <c r="AN46" s="9" t="n"/>
    </row>
    <row r="47">
      <c r="A47" s="9" t="inlineStr">
        <is>
          <t>RTD</t>
        </is>
      </c>
      <c r="B47" s="9" t="inlineStr">
        <is>
          <t>29103-ET-PE1802-5-R-1</t>
        </is>
      </c>
      <c r="C47" s="9" t="inlineStr">
        <is>
          <t>29103-ET-PE1802-5</t>
        </is>
      </c>
      <c r="D47" s="9" t="inlineStr">
        <is>
          <t>29103-HTP-100 HTC-17 / CB-17</t>
        </is>
      </c>
      <c r="E47" s="9" t="inlineStr">
        <is>
          <t>PRODUCED EMULSION</t>
        </is>
      </c>
      <c r="F47" s="9" t="inlineStr">
        <is>
          <t>29103-65R-ET-PE1802-05-01 Rev 1A0   Trace: 29103-ET-PE1802-5-1</t>
        </is>
      </c>
      <c r="G47" s="9" t="inlineStr">
        <is>
          <t>13.2</t>
        </is>
      </c>
      <c r="H47" s="9" t="inlineStr">
        <is>
          <t>29103-ET-PE1802-5-R-1.pdf</t>
        </is>
      </c>
      <c r="I47" s="4" t="str">
        <f>IF($H47&lt;&gt;"","YES","NO")</f>
        <v>YES</v>
      </c>
      <c r="J47" s="4" t="str">
        <f>IF(N($T47)&gt;0,"YES","NO")</f>
        <v>YES</v>
      </c>
      <c r="K47" s="4" t="str">
        <f>IF(OR($A47="EHT Trace"),IF(AND($U47&lt;&gt;"",$V47&lt;&gt;""),"YES","NO"),"N/A")</f>
        <v>N/A</v>
      </c>
      <c r="L47" s="4" t="str">
        <f>IF(OR($A47="EHT Trace"),IF(AND($X47&lt;&gt;"",$Y47&lt;&gt;""),"YES","NO"),"N/A")</f>
        <v>N/A</v>
      </c>
      <c r="M47" s="4" t="str">
        <f>IF(OR($A47="EHT Trace"),IF(AND($AA47&lt;&gt;"",$AB47&lt;&gt;""),"YES","NO"),"N/A")</f>
        <v>N/A</v>
      </c>
      <c r="N47" s="4" t="str">
        <f>IF(OR($A47="Power Cable"),IF(AND($AD47&lt;&gt;""),"YES","NO"),"N/A")</f>
        <v>N/A</v>
      </c>
      <c r="O47" s="4" t="str">
        <f>IF(OR($A47="Power Cable",$A47="RTD Cable",$A47="Fieldbus Cable"),IF(AND($AE47&lt;&gt;""),"YES","NO"),"N/A")</f>
        <v>N/A</v>
      </c>
      <c r="P47" s="4" t="str">
        <f>IF(OR($A47="RTD"),IF(AND($AH47&lt;&gt;""),"YES","NO"),"N/A")</f>
        <v>NO</v>
      </c>
      <c r="Q47" s="4" t="str">
        <f>IF(OR($A47="RTD"),IF(AND($AI47&lt;&gt;""),"YES","NO"),"N/A")</f>
        <v>NO</v>
      </c>
      <c r="R47" s="4" t="str">
        <f>IF(OR($AM47&lt;&gt;"",$Z47&lt;&gt;"",$AC47&lt;&gt;""),"YES","NO")</f>
        <v>YES</v>
      </c>
      <c r="S47" s="4" t="str">
        <f>IF(COUNTIF(I47:R47,"NO")=0,"YES","NO")</f>
        <v>NO</v>
      </c>
      <c r="T47" s="9" t="n">
        <v>5</v>
      </c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inlineStr">
        <is>
          <t>Levy Ostrup</t>
        </is>
      </c>
      <c r="AM47" s="9" t="inlineStr">
        <is>
          <t>09/20/2026</t>
        </is>
      </c>
      <c r="AN47" s="9" t="inlineStr">
        <is>
          <t>P-cable not installed</t>
        </is>
      </c>
    </row>
    <row r="48">
      <c r="A48" s="9" t="inlineStr">
        <is>
          <t>RTD</t>
        </is>
      </c>
      <c r="B48" s="9" t="inlineStr">
        <is>
          <t>29103-ET-PE1803-3-R-1</t>
        </is>
      </c>
      <c r="C48" s="9" t="inlineStr">
        <is>
          <t>29103-ET-PE1803-3</t>
        </is>
      </c>
      <c r="D48" s="9" t="inlineStr">
        <is>
          <t>29103-HTP-100 HTC-04</t>
        </is>
      </c>
      <c r="E48" s="9" t="inlineStr">
        <is>
          <t>PRODUCED EMULSION</t>
        </is>
      </c>
      <c r="F48" s="9" t="inlineStr">
        <is>
          <t>29103-65R-ET-PE1803-03-01</t>
        </is>
      </c>
      <c r="G48" s="9" t="inlineStr">
        <is>
          <t>13.2</t>
        </is>
      </c>
      <c r="H48" s="9" t="inlineStr">
        <is>
          <t>29103-ET-PE1803-3-R-1.pdf</t>
        </is>
      </c>
      <c r="I48" s="4" t="str">
        <f>IF($H48&lt;&gt;"","YES","NO")</f>
        <v>YES</v>
      </c>
      <c r="J48" s="4" t="str">
        <f>IF(N($T48)&gt;0,"YES","NO")</f>
        <v>NO</v>
      </c>
      <c r="K48" s="4" t="str">
        <f>IF(OR($A48="EHT Trace"),IF(AND($U48&lt;&gt;"",$V48&lt;&gt;""),"YES","NO"),"N/A")</f>
        <v>N/A</v>
      </c>
      <c r="L48" s="4" t="str">
        <f>IF(OR($A48="EHT Trace"),IF(AND($X48&lt;&gt;"",$Y48&lt;&gt;""),"YES","NO"),"N/A")</f>
        <v>N/A</v>
      </c>
      <c r="M48" s="4" t="str">
        <f>IF(OR($A48="EHT Trace"),IF(AND($AA48&lt;&gt;"",$AB48&lt;&gt;""),"YES","NO"),"N/A")</f>
        <v>N/A</v>
      </c>
      <c r="N48" s="4" t="str">
        <f>IF(OR($A48="Power Cable"),IF(AND($AD48&lt;&gt;""),"YES","NO"),"N/A")</f>
        <v>N/A</v>
      </c>
      <c r="O48" s="4" t="str">
        <f>IF(OR($A48="Power Cable",$A48="RTD Cable",$A48="Fieldbus Cable"),IF(AND($AE48&lt;&gt;""),"YES","NO"),"N/A")</f>
        <v>N/A</v>
      </c>
      <c r="P48" s="4" t="str">
        <f>IF(OR($A48="RTD"),IF(AND($AH48&lt;&gt;""),"YES","NO"),"N/A")</f>
        <v>NO</v>
      </c>
      <c r="Q48" s="4" t="str">
        <f>IF(OR($A48="RTD"),IF(AND($AI48&lt;&gt;""),"YES","NO"),"N/A")</f>
        <v>NO</v>
      </c>
      <c r="R48" s="4" t="str">
        <f>IF(OR($AM48&lt;&gt;"",$Z48&lt;&gt;"",$AC48&lt;&gt;""),"YES","NO")</f>
        <v>NO</v>
      </c>
      <c r="S48" s="4" t="str">
        <f>IF(COUNTIF(I48:R48,"NO")=0,"YES","NO")</f>
        <v>NO</v>
      </c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inlineStr">
        <is>
          <t>Levy Ostrup</t>
        </is>
      </c>
      <c r="AM48" s="9" t="n"/>
      <c r="AN48" s="9" t="n"/>
    </row>
    <row r="49">
      <c r="A49" s="9" t="inlineStr">
        <is>
          <t>RTD</t>
        </is>
      </c>
      <c r="B49" s="9" t="inlineStr">
        <is>
          <t>29103-ET-PE1803-3-R-2</t>
        </is>
      </c>
      <c r="C49" s="9" t="inlineStr">
        <is>
          <t>29103-ET-PE1803-3</t>
        </is>
      </c>
      <c r="D49" s="9" t="inlineStr">
        <is>
          <t>29103-HTP-100 I/O-1-3</t>
        </is>
      </c>
      <c r="E49" s="9" t="inlineStr">
        <is>
          <t>PRODUCED EMULSION</t>
        </is>
      </c>
      <c r="F49" s="9" t="inlineStr">
        <is>
          <t>29103-65R-ET-PE1803-03-01</t>
        </is>
      </c>
      <c r="G49" s="9" t="inlineStr">
        <is>
          <t>13.2</t>
        </is>
      </c>
      <c r="H49" s="9" t="inlineStr">
        <is>
          <t>29103-ET-PE1803-3-R-2.pdf</t>
        </is>
      </c>
      <c r="I49" s="4" t="str">
        <f>IF($H49&lt;&gt;"","YES","NO")</f>
        <v>YES</v>
      </c>
      <c r="J49" s="4" t="str">
        <f>IF(N($T49)&gt;0,"YES","NO")</f>
        <v>NO</v>
      </c>
      <c r="K49" s="4" t="str">
        <f>IF(OR($A49="EHT Trace"),IF(AND($U49&lt;&gt;"",$V49&lt;&gt;""),"YES","NO"),"N/A")</f>
        <v>N/A</v>
      </c>
      <c r="L49" s="4" t="str">
        <f>IF(OR($A49="EHT Trace"),IF(AND($X49&lt;&gt;"",$Y49&lt;&gt;""),"YES","NO"),"N/A")</f>
        <v>N/A</v>
      </c>
      <c r="M49" s="4" t="str">
        <f>IF(OR($A49="EHT Trace"),IF(AND($AA49&lt;&gt;"",$AB49&lt;&gt;""),"YES","NO"),"N/A")</f>
        <v>N/A</v>
      </c>
      <c r="N49" s="4" t="str">
        <f>IF(OR($A49="Power Cable"),IF(AND($AD49&lt;&gt;""),"YES","NO"),"N/A")</f>
        <v>N/A</v>
      </c>
      <c r="O49" s="4" t="str">
        <f>IF(OR($A49="Power Cable",$A49="RTD Cable",$A49="Fieldbus Cable"),IF(AND($AE49&lt;&gt;""),"YES","NO"),"N/A")</f>
        <v>N/A</v>
      </c>
      <c r="P49" s="4" t="str">
        <f>IF(OR($A49="RTD"),IF(AND($AH49&lt;&gt;""),"YES","NO"),"N/A")</f>
        <v>NO</v>
      </c>
      <c r="Q49" s="4" t="str">
        <f>IF(OR($A49="RTD"),IF(AND($AI49&lt;&gt;""),"YES","NO"),"N/A")</f>
        <v>NO</v>
      </c>
      <c r="R49" s="4" t="str">
        <f>IF(OR($AM49&lt;&gt;"",$Z49&lt;&gt;"",$AC49&lt;&gt;""),"YES","NO")</f>
        <v>NO</v>
      </c>
      <c r="S49" s="4" t="str">
        <f>IF(COUNTIF(I49:R49,"NO")=0,"YES","NO")</f>
        <v>NO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inlineStr">
        <is>
          <t>Levy Ostrup</t>
        </is>
      </c>
      <c r="AM49" s="9" t="n"/>
      <c r="AN49" s="9" t="n"/>
    </row>
    <row r="50">
      <c r="A50" s="9" t="inlineStr">
        <is>
          <t>RTD</t>
        </is>
      </c>
      <c r="B50" s="9" t="inlineStr">
        <is>
          <t>29103-ET-PE1803-5-R-1</t>
        </is>
      </c>
      <c r="C50" s="9" t="inlineStr">
        <is>
          <t>29103-ET-PE1803-5</t>
        </is>
      </c>
      <c r="D50" s="9" t="inlineStr">
        <is>
          <t>29103-HTP-100 HTC-08</t>
        </is>
      </c>
      <c r="E50" s="9" t="inlineStr">
        <is>
          <t>PRODUCED EMULSION</t>
        </is>
      </c>
      <c r="F50" s="9" t="inlineStr">
        <is>
          <t>29103-65R-ET-PE1803-05-01</t>
        </is>
      </c>
      <c r="G50" s="9" t="inlineStr">
        <is>
          <t>13.2</t>
        </is>
      </c>
      <c r="H50" s="9" t="inlineStr">
        <is>
          <t>29103-ET-PE1803-5-R-1.pdf</t>
        </is>
      </c>
      <c r="I50" s="4" t="str">
        <f>IF($H50&lt;&gt;"","YES","NO")</f>
        <v>YES</v>
      </c>
      <c r="J50" s="4" t="str">
        <f>IF(N($T50)&gt;0,"YES","NO")</f>
        <v>NO</v>
      </c>
      <c r="K50" s="4" t="str">
        <f>IF(OR($A50="EHT Trace"),IF(AND($U50&lt;&gt;"",$V50&lt;&gt;""),"YES","NO"),"N/A")</f>
        <v>N/A</v>
      </c>
      <c r="L50" s="4" t="str">
        <f>IF(OR($A50="EHT Trace"),IF(AND($X50&lt;&gt;"",$Y50&lt;&gt;""),"YES","NO"),"N/A")</f>
        <v>N/A</v>
      </c>
      <c r="M50" s="4" t="str">
        <f>IF(OR($A50="EHT Trace"),IF(AND($AA50&lt;&gt;"",$AB50&lt;&gt;""),"YES","NO"),"N/A")</f>
        <v>N/A</v>
      </c>
      <c r="N50" s="4" t="str">
        <f>IF(OR($A50="Power Cable"),IF(AND($AD50&lt;&gt;""),"YES","NO"),"N/A")</f>
        <v>N/A</v>
      </c>
      <c r="O50" s="4" t="str">
        <f>IF(OR($A50="Power Cable",$A50="RTD Cable",$A50="Fieldbus Cable"),IF(AND($AE50&lt;&gt;""),"YES","NO"),"N/A")</f>
        <v>N/A</v>
      </c>
      <c r="P50" s="4" t="str">
        <f>IF(OR($A50="RTD"),IF(AND($AH50&lt;&gt;""),"YES","NO"),"N/A")</f>
        <v>NO</v>
      </c>
      <c r="Q50" s="4" t="str">
        <f>IF(OR($A50="RTD"),IF(AND($AI50&lt;&gt;""),"YES","NO"),"N/A")</f>
        <v>NO</v>
      </c>
      <c r="R50" s="4" t="str">
        <f>IF(OR($AM50&lt;&gt;"",$Z50&lt;&gt;"",$AC50&lt;&gt;""),"YES","NO")</f>
        <v>NO</v>
      </c>
      <c r="S50" s="4" t="str">
        <f>IF(COUNTIF(I50:R50,"NO")=0,"YES","NO")</f>
        <v>NO</v>
      </c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inlineStr">
        <is>
          <t>Levy Ostrup</t>
        </is>
      </c>
      <c r="AM50" s="9" t="n"/>
      <c r="AN50" s="9" t="n"/>
    </row>
    <row r="51">
      <c r="A51" s="9" t="inlineStr">
        <is>
          <t>RTD</t>
        </is>
      </c>
      <c r="B51" s="9" t="inlineStr">
        <is>
          <t>29103-ET-PE1803-6-R-1</t>
        </is>
      </c>
      <c r="C51" s="9" t="inlineStr">
        <is>
          <t>29103-ET-PE1803-6</t>
        </is>
      </c>
      <c r="D51" s="9" t="inlineStr">
        <is>
          <t>29103-HTP-100 HTC-09</t>
        </is>
      </c>
      <c r="E51" s="9" t="inlineStr">
        <is>
          <t>PRODUCED EMULSION</t>
        </is>
      </c>
      <c r="F51" s="9" t="inlineStr">
        <is>
          <t>29103-65R-ET-PE1803-06-01</t>
        </is>
      </c>
      <c r="G51" s="9" t="inlineStr">
        <is>
          <t>13.2</t>
        </is>
      </c>
      <c r="H51" s="9" t="inlineStr">
        <is>
          <t>29103-ET-PE1803-6-R-1.pdf</t>
        </is>
      </c>
      <c r="I51" s="4" t="str">
        <f>IF($H51&lt;&gt;"","YES","NO")</f>
        <v>YES</v>
      </c>
      <c r="J51" s="4" t="str">
        <f>IF(N($T51)&gt;0,"YES","NO")</f>
        <v>NO</v>
      </c>
      <c r="K51" s="4" t="str">
        <f>IF(OR($A51="EHT Trace"),IF(AND($U51&lt;&gt;"",$V51&lt;&gt;""),"YES","NO"),"N/A")</f>
        <v>N/A</v>
      </c>
      <c r="L51" s="4" t="str">
        <f>IF(OR($A51="EHT Trace"),IF(AND($X51&lt;&gt;"",$Y51&lt;&gt;""),"YES","NO"),"N/A")</f>
        <v>N/A</v>
      </c>
      <c r="M51" s="4" t="str">
        <f>IF(OR($A51="EHT Trace"),IF(AND($AA51&lt;&gt;"",$AB51&lt;&gt;""),"YES","NO"),"N/A")</f>
        <v>N/A</v>
      </c>
      <c r="N51" s="4" t="str">
        <f>IF(OR($A51="Power Cable"),IF(AND($AD51&lt;&gt;""),"YES","NO"),"N/A")</f>
        <v>N/A</v>
      </c>
      <c r="O51" s="4" t="str">
        <f>IF(OR($A51="Power Cable",$A51="RTD Cable",$A51="Fieldbus Cable"),IF(AND($AE51&lt;&gt;""),"YES","NO"),"N/A")</f>
        <v>N/A</v>
      </c>
      <c r="P51" s="4" t="str">
        <f>IF(OR($A51="RTD"),IF(AND($AH51&lt;&gt;""),"YES","NO"),"N/A")</f>
        <v>NO</v>
      </c>
      <c r="Q51" s="4" t="str">
        <f>IF(OR($A51="RTD"),IF(AND($AI51&lt;&gt;""),"YES","NO"),"N/A")</f>
        <v>NO</v>
      </c>
      <c r="R51" s="4" t="str">
        <f>IF(OR($AM51&lt;&gt;"",$Z51&lt;&gt;"",$AC51&lt;&gt;""),"YES","NO")</f>
        <v>NO</v>
      </c>
      <c r="S51" s="4" t="str">
        <f>IF(COUNTIF(I51:R51,"NO")=0,"YES","NO")</f>
        <v>NO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inlineStr">
        <is>
          <t>Levy Ostrup</t>
        </is>
      </c>
      <c r="AM51" s="9" t="n"/>
      <c r="AN51" s="9" t="n"/>
    </row>
    <row r="52">
      <c r="A52" s="9" t="inlineStr">
        <is>
          <t>RTD</t>
        </is>
      </c>
      <c r="B52" s="9" t="inlineStr">
        <is>
          <t>29103-ET-PE1806-1-R-1</t>
        </is>
      </c>
      <c r="C52" s="9" t="inlineStr">
        <is>
          <t>29103-ET-PE1806-1</t>
        </is>
      </c>
      <c r="D52" s="9" t="inlineStr">
        <is>
          <t>29103-HTP-100 HTC-10</t>
        </is>
      </c>
      <c r="E52" s="9" t="inlineStr">
        <is>
          <t>PRODUCED EMULSION</t>
        </is>
      </c>
      <c r="F52" s="9" t="inlineStr">
        <is>
          <t>29103-65R-ET-PE1806-01-01</t>
        </is>
      </c>
      <c r="G52" s="9" t="inlineStr">
        <is>
          <t>13.2</t>
        </is>
      </c>
      <c r="H52" s="9" t="inlineStr">
        <is>
          <t>29103-ET-PE1806-1-R-1.pdf</t>
        </is>
      </c>
      <c r="I52" s="4" t="str">
        <f>IF($H52&lt;&gt;"","YES","NO")</f>
        <v>YES</v>
      </c>
      <c r="J52" s="4" t="str">
        <f>IF(N($T52)&gt;0,"YES","NO")</f>
        <v>NO</v>
      </c>
      <c r="K52" s="4" t="str">
        <f>IF(OR($A52="EHT Trace"),IF(AND($U52&lt;&gt;"",$V52&lt;&gt;""),"YES","NO"),"N/A")</f>
        <v>N/A</v>
      </c>
      <c r="L52" s="4" t="str">
        <f>IF(OR($A52="EHT Trace"),IF(AND($X52&lt;&gt;"",$Y52&lt;&gt;""),"YES","NO"),"N/A")</f>
        <v>N/A</v>
      </c>
      <c r="M52" s="4" t="str">
        <f>IF(OR($A52="EHT Trace"),IF(AND($AA52&lt;&gt;"",$AB52&lt;&gt;""),"YES","NO"),"N/A")</f>
        <v>N/A</v>
      </c>
      <c r="N52" s="4" t="str">
        <f>IF(OR($A52="Power Cable"),IF(AND($AD52&lt;&gt;""),"YES","NO"),"N/A")</f>
        <v>N/A</v>
      </c>
      <c r="O52" s="4" t="str">
        <f>IF(OR($A52="Power Cable",$A52="RTD Cable",$A52="Fieldbus Cable"),IF(AND($AE52&lt;&gt;""),"YES","NO"),"N/A")</f>
        <v>N/A</v>
      </c>
      <c r="P52" s="4" t="str">
        <f>IF(OR($A52="RTD"),IF(AND($AH52&lt;&gt;""),"YES","NO"),"N/A")</f>
        <v>NO</v>
      </c>
      <c r="Q52" s="4" t="str">
        <f>IF(OR($A52="RTD"),IF(AND($AI52&lt;&gt;""),"YES","NO"),"N/A")</f>
        <v>NO</v>
      </c>
      <c r="R52" s="4" t="str">
        <f>IF(OR($AM52&lt;&gt;"",$Z52&lt;&gt;"",$AC52&lt;&gt;""),"YES","NO")</f>
        <v>NO</v>
      </c>
      <c r="S52" s="4" t="str">
        <f>IF(COUNTIF(I52:R52,"NO")=0,"YES","NO")</f>
        <v>NO</v>
      </c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inlineStr">
        <is>
          <t>Levy Ostrup</t>
        </is>
      </c>
      <c r="AM52" s="9" t="n"/>
      <c r="AN52" s="9" t="n"/>
    </row>
    <row r="53">
      <c r="A53" s="9" t="inlineStr">
        <is>
          <t>RTD Cable</t>
        </is>
      </c>
      <c r="B53" s="9" t="inlineStr">
        <is>
          <t>29103-ET-P1800-4-R-1</t>
        </is>
      </c>
      <c r="C53" s="9" t="inlineStr">
        <is>
          <t>29103-ET-P1800-4</t>
        </is>
      </c>
      <c r="D53" s="9" t="inlineStr">
        <is>
          <t>29103-HTP-100 HTC-05</t>
        </is>
      </c>
      <c r="E53" s="9" t="inlineStr">
        <is>
          <t>29103-HTP-100</t>
        </is>
      </c>
      <c r="F53" s="9" t="inlineStr"/>
      <c r="G53" s="9" t="inlineStr">
        <is>
          <t>113</t>
        </is>
      </c>
      <c r="H53" s="9" t="inlineStr">
        <is>
          <t>29103-ET-P1800-4-R-1.pdf</t>
        </is>
      </c>
      <c r="I53" s="4" t="str">
        <f>IF($H53&lt;&gt;"","YES","NO")</f>
        <v>YES</v>
      </c>
      <c r="J53" s="4" t="str">
        <f>IF(N($T53)&gt;0,"YES","NO")</f>
        <v>NO</v>
      </c>
      <c r="K53" s="4" t="str">
        <f>IF(OR($A53="EHT Trace"),IF(AND($U53&lt;&gt;"",$V53&lt;&gt;""),"YES","NO"),"N/A")</f>
        <v>N/A</v>
      </c>
      <c r="L53" s="4" t="str">
        <f>IF(OR($A53="EHT Trace"),IF(AND($X53&lt;&gt;"",$Y53&lt;&gt;""),"YES","NO"),"N/A")</f>
        <v>N/A</v>
      </c>
      <c r="M53" s="4" t="str">
        <f>IF(OR($A53="EHT Trace"),IF(AND($AA53&lt;&gt;"",$AB53&lt;&gt;""),"YES","NO"),"N/A")</f>
        <v>N/A</v>
      </c>
      <c r="N53" s="4" t="str">
        <f>IF(OR($A53="Power Cable"),IF(AND($AD53&lt;&gt;""),"YES","NO"),"N/A")</f>
        <v>N/A</v>
      </c>
      <c r="O53" s="4" t="str">
        <f>IF(OR($A53="Power Cable",$A53="RTD Cable",$A53="Fieldbus Cable"),IF(AND($AE53&lt;&gt;""),"YES","NO"),"N/A")</f>
        <v>NO</v>
      </c>
      <c r="P53" s="4" t="str">
        <f>IF(OR($A53="RTD"),IF(AND($AH53&lt;&gt;""),"YES","NO"),"N/A")</f>
        <v>N/A</v>
      </c>
      <c r="Q53" s="4" t="str">
        <f>IF(OR($A53="RTD"),IF(AND($AI53&lt;&gt;""),"YES","NO"),"N/A")</f>
        <v>N/A</v>
      </c>
      <c r="R53" s="4" t="str">
        <f>IF(OR($AM53&lt;&gt;"",$Z53&lt;&gt;"",$AC53&lt;&gt;""),"YES","NO")</f>
        <v>NO</v>
      </c>
      <c r="S53" s="4" t="str">
        <f>IF(COUNTIF(I53:R53,"NO")=0,"YES","NO")</f>
        <v>NO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inlineStr">
        <is>
          <t>ACIC</t>
        </is>
      </c>
      <c r="AK53" s="9" t="inlineStr">
        <is>
          <t>16AWG</t>
        </is>
      </c>
      <c r="AL53" s="9" t="inlineStr">
        <is>
          <t>Levy Ostrup</t>
        </is>
      </c>
      <c r="AM53" s="9" t="n"/>
      <c r="AN53" s="9" t="n"/>
    </row>
    <row r="54">
      <c r="A54" s="9" t="inlineStr">
        <is>
          <t>RTD Cable</t>
        </is>
      </c>
      <c r="B54" s="9" t="inlineStr">
        <is>
          <t>29103-ET-P1800-5-R-1</t>
        </is>
      </c>
      <c r="C54" s="9" t="inlineStr">
        <is>
          <t>29103-ET-P1800-5</t>
        </is>
      </c>
      <c r="D54" s="9" t="inlineStr">
        <is>
          <t>29103-HTP-100 HTC-02</t>
        </is>
      </c>
      <c r="E54" s="9" t="inlineStr">
        <is>
          <t>29103-HTP-100</t>
        </is>
      </c>
      <c r="F54" s="9" t="inlineStr"/>
      <c r="G54" s="9" t="inlineStr">
        <is>
          <t>113</t>
        </is>
      </c>
      <c r="H54" s="9" t="inlineStr">
        <is>
          <t>29103-ET-P1800-5-R-1.pdf</t>
        </is>
      </c>
      <c r="I54" s="4" t="str">
        <f>IF($H54&lt;&gt;"","YES","NO")</f>
        <v>YES</v>
      </c>
      <c r="J54" s="4" t="str">
        <f>IF(N($T54)&gt;0,"YES","NO")</f>
        <v>NO</v>
      </c>
      <c r="K54" s="4" t="str">
        <f>IF(OR($A54="EHT Trace"),IF(AND($U54&lt;&gt;"",$V54&lt;&gt;""),"YES","NO"),"N/A")</f>
        <v>N/A</v>
      </c>
      <c r="L54" s="4" t="str">
        <f>IF(OR($A54="EHT Trace"),IF(AND($X54&lt;&gt;"",$Y54&lt;&gt;""),"YES","NO"),"N/A")</f>
        <v>N/A</v>
      </c>
      <c r="M54" s="4" t="str">
        <f>IF(OR($A54="EHT Trace"),IF(AND($AA54&lt;&gt;"",$AB54&lt;&gt;""),"YES","NO"),"N/A")</f>
        <v>N/A</v>
      </c>
      <c r="N54" s="4" t="str">
        <f>IF(OR($A54="Power Cable"),IF(AND($AD54&lt;&gt;""),"YES","NO"),"N/A")</f>
        <v>N/A</v>
      </c>
      <c r="O54" s="4" t="str">
        <f>IF(OR($A54="Power Cable",$A54="RTD Cable",$A54="Fieldbus Cable"),IF(AND($AE54&lt;&gt;""),"YES","NO"),"N/A")</f>
        <v>NO</v>
      </c>
      <c r="P54" s="4" t="str">
        <f>IF(OR($A54="RTD"),IF(AND($AH54&lt;&gt;""),"YES","NO"),"N/A")</f>
        <v>N/A</v>
      </c>
      <c r="Q54" s="4" t="str">
        <f>IF(OR($A54="RTD"),IF(AND($AI54&lt;&gt;""),"YES","NO"),"N/A")</f>
        <v>N/A</v>
      </c>
      <c r="R54" s="4" t="str">
        <f>IF(OR($AM54&lt;&gt;"",$Z54&lt;&gt;"",$AC54&lt;&gt;""),"YES","NO")</f>
        <v>NO</v>
      </c>
      <c r="S54" s="4" t="str">
        <f>IF(COUNTIF(I54:R54,"NO")=0,"YES","NO")</f>
        <v>NO</v>
      </c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inlineStr">
        <is>
          <t>ACIC</t>
        </is>
      </c>
      <c r="AK54" s="9" t="inlineStr">
        <is>
          <t>16AWG</t>
        </is>
      </c>
      <c r="AL54" s="9" t="inlineStr">
        <is>
          <t>Levy Ostrup</t>
        </is>
      </c>
      <c r="AM54" s="9" t="n"/>
      <c r="AN54" s="9" t="n"/>
    </row>
    <row r="55">
      <c r="A55" s="9" t="inlineStr">
        <is>
          <t>RTD Cable</t>
        </is>
      </c>
      <c r="B55" s="9" t="inlineStr">
        <is>
          <t>29103-ET-P1800-6-R-1</t>
        </is>
      </c>
      <c r="C55" s="9" t="inlineStr">
        <is>
          <t>29103-ET-P1800-6</t>
        </is>
      </c>
      <c r="D55" s="9" t="inlineStr">
        <is>
          <t>29103-HTP-100 HTC-06</t>
        </is>
      </c>
      <c r="E55" s="9" t="inlineStr">
        <is>
          <t>29103-HTP-100</t>
        </is>
      </c>
      <c r="F55" s="9" t="inlineStr"/>
      <c r="G55" s="9" t="inlineStr">
        <is>
          <t>113</t>
        </is>
      </c>
      <c r="H55" s="9" t="inlineStr">
        <is>
          <t>29103-ET-P1800-6-R-1.pdf</t>
        </is>
      </c>
      <c r="I55" s="4" t="str">
        <f>IF($H55&lt;&gt;"","YES","NO")</f>
        <v>YES</v>
      </c>
      <c r="J55" s="4" t="str">
        <f>IF(N($T55)&gt;0,"YES","NO")</f>
        <v>NO</v>
      </c>
      <c r="K55" s="4" t="str">
        <f>IF(OR($A55="EHT Trace"),IF(AND($U55&lt;&gt;"",$V55&lt;&gt;""),"YES","NO"),"N/A")</f>
        <v>N/A</v>
      </c>
      <c r="L55" s="4" t="str">
        <f>IF(OR($A55="EHT Trace"),IF(AND($X55&lt;&gt;"",$Y55&lt;&gt;""),"YES","NO"),"N/A")</f>
        <v>N/A</v>
      </c>
      <c r="M55" s="4" t="str">
        <f>IF(OR($A55="EHT Trace"),IF(AND($AA55&lt;&gt;"",$AB55&lt;&gt;""),"YES","NO"),"N/A")</f>
        <v>N/A</v>
      </c>
      <c r="N55" s="4" t="str">
        <f>IF(OR($A55="Power Cable"),IF(AND($AD55&lt;&gt;""),"YES","NO"),"N/A")</f>
        <v>N/A</v>
      </c>
      <c r="O55" s="4" t="str">
        <f>IF(OR($A55="Power Cable",$A55="RTD Cable",$A55="Fieldbus Cable"),IF(AND($AE55&lt;&gt;""),"YES","NO"),"N/A")</f>
        <v>NO</v>
      </c>
      <c r="P55" s="4" t="str">
        <f>IF(OR($A55="RTD"),IF(AND($AH55&lt;&gt;""),"YES","NO"),"N/A")</f>
        <v>N/A</v>
      </c>
      <c r="Q55" s="4" t="str">
        <f>IF(OR($A55="RTD"),IF(AND($AI55&lt;&gt;""),"YES","NO"),"N/A")</f>
        <v>N/A</v>
      </c>
      <c r="R55" s="4" t="str">
        <f>IF(OR($AM55&lt;&gt;"",$Z55&lt;&gt;"",$AC55&lt;&gt;""),"YES","NO")</f>
        <v>NO</v>
      </c>
      <c r="S55" s="4" t="str">
        <f>IF(COUNTIF(I55:R55,"NO")=0,"YES","NO")</f>
        <v>NO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inlineStr">
        <is>
          <t>ACIC</t>
        </is>
      </c>
      <c r="AK55" s="9" t="inlineStr">
        <is>
          <t>16AWG</t>
        </is>
      </c>
      <c r="AL55" s="9" t="inlineStr">
        <is>
          <t>Levy Ostrup</t>
        </is>
      </c>
      <c r="AM55" s="9" t="n"/>
      <c r="AN55" s="9" t="n"/>
    </row>
    <row r="56">
      <c r="A56" s="9" t="inlineStr">
        <is>
          <t>RTD Cable</t>
        </is>
      </c>
      <c r="B56" s="9" t="inlineStr">
        <is>
          <t>29103-ET-P1800-7-R-1</t>
        </is>
      </c>
      <c r="C56" s="9" t="inlineStr">
        <is>
          <t>29103-ET-P1800-7</t>
        </is>
      </c>
      <c r="D56" s="9" t="inlineStr">
        <is>
          <t>29103-HTP-100 HTC-16</t>
        </is>
      </c>
      <c r="E56" s="9" t="inlineStr">
        <is>
          <t>29103-HTP-100</t>
        </is>
      </c>
      <c r="F56" s="9" t="inlineStr"/>
      <c r="G56" s="9" t="inlineStr">
        <is>
          <t>113</t>
        </is>
      </c>
      <c r="H56" s="9" t="inlineStr">
        <is>
          <t>29103-ET-P1800-7-R-1.pdf</t>
        </is>
      </c>
      <c r="I56" s="4" t="str">
        <f>IF($H56&lt;&gt;"","YES","NO")</f>
        <v>YES</v>
      </c>
      <c r="J56" s="4" t="str">
        <f>IF(N($T56)&gt;0,"YES","NO")</f>
        <v>NO</v>
      </c>
      <c r="K56" s="4" t="str">
        <f>IF(OR($A56="EHT Trace"),IF(AND($U56&lt;&gt;"",$V56&lt;&gt;""),"YES","NO"),"N/A")</f>
        <v>N/A</v>
      </c>
      <c r="L56" s="4" t="str">
        <f>IF(OR($A56="EHT Trace"),IF(AND($X56&lt;&gt;"",$Y56&lt;&gt;""),"YES","NO"),"N/A")</f>
        <v>N/A</v>
      </c>
      <c r="M56" s="4" t="str">
        <f>IF(OR($A56="EHT Trace"),IF(AND($AA56&lt;&gt;"",$AB56&lt;&gt;""),"YES","NO"),"N/A")</f>
        <v>N/A</v>
      </c>
      <c r="N56" s="4" t="str">
        <f>IF(OR($A56="Power Cable"),IF(AND($AD56&lt;&gt;""),"YES","NO"),"N/A")</f>
        <v>N/A</v>
      </c>
      <c r="O56" s="4" t="str">
        <f>IF(OR($A56="Power Cable",$A56="RTD Cable",$A56="Fieldbus Cable"),IF(AND($AE56&lt;&gt;""),"YES","NO"),"N/A")</f>
        <v>NO</v>
      </c>
      <c r="P56" s="4" t="str">
        <f>IF(OR($A56="RTD"),IF(AND($AH56&lt;&gt;""),"YES","NO"),"N/A")</f>
        <v>N/A</v>
      </c>
      <c r="Q56" s="4" t="str">
        <f>IF(OR($A56="RTD"),IF(AND($AI56&lt;&gt;""),"YES","NO"),"N/A")</f>
        <v>N/A</v>
      </c>
      <c r="R56" s="4" t="str">
        <f>IF(OR($AM56&lt;&gt;"",$Z56&lt;&gt;"",$AC56&lt;&gt;""),"YES","NO")</f>
        <v>NO</v>
      </c>
      <c r="S56" s="4" t="str">
        <f>IF(COUNTIF(I56:R56,"NO")=0,"YES","NO")</f>
        <v>NO</v>
      </c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inlineStr">
        <is>
          <t>ACIC</t>
        </is>
      </c>
      <c r="AK56" s="9" t="inlineStr">
        <is>
          <t>16AWG</t>
        </is>
      </c>
      <c r="AL56" s="9" t="inlineStr">
        <is>
          <t>Levy Ostrup</t>
        </is>
      </c>
      <c r="AM56" s="9" t="n"/>
      <c r="AN56" s="9" t="n"/>
    </row>
    <row r="57">
      <c r="A57" s="9" t="inlineStr">
        <is>
          <t>RTD Cable</t>
        </is>
      </c>
      <c r="B57" s="9" t="inlineStr">
        <is>
          <t>29103-ET-PE1802-3-R-1</t>
        </is>
      </c>
      <c r="C57" s="9" t="inlineStr">
        <is>
          <t>29103-ET-PE1802-3</t>
        </is>
      </c>
      <c r="D57" s="9" t="inlineStr">
        <is>
          <t>29103-HTP-100 HTC-03</t>
        </is>
      </c>
      <c r="E57" s="9" t="inlineStr">
        <is>
          <t>29103-HTP-100</t>
        </is>
      </c>
      <c r="F57" s="9" t="inlineStr"/>
      <c r="G57" s="9" t="inlineStr">
        <is>
          <t>113</t>
        </is>
      </c>
      <c r="H57" s="9" t="inlineStr">
        <is>
          <t>29103-ET-PE1802-3-R-1.pdf</t>
        </is>
      </c>
      <c r="I57" s="4" t="str">
        <f>IF($H57&lt;&gt;"","YES","NO")</f>
        <v>YES</v>
      </c>
      <c r="J57" s="4" t="str">
        <f>IF(N($T57)&gt;0,"YES","NO")</f>
        <v>NO</v>
      </c>
      <c r="K57" s="4" t="str">
        <f>IF(OR($A57="EHT Trace"),IF(AND($U57&lt;&gt;"",$V57&lt;&gt;""),"YES","NO"),"N/A")</f>
        <v>N/A</v>
      </c>
      <c r="L57" s="4" t="str">
        <f>IF(OR($A57="EHT Trace"),IF(AND($X57&lt;&gt;"",$Y57&lt;&gt;""),"YES","NO"),"N/A")</f>
        <v>N/A</v>
      </c>
      <c r="M57" s="4" t="str">
        <f>IF(OR($A57="EHT Trace"),IF(AND($AA57&lt;&gt;"",$AB57&lt;&gt;""),"YES","NO"),"N/A")</f>
        <v>N/A</v>
      </c>
      <c r="N57" s="4" t="str">
        <f>IF(OR($A57="Power Cable"),IF(AND($AD57&lt;&gt;""),"YES","NO"),"N/A")</f>
        <v>N/A</v>
      </c>
      <c r="O57" s="4" t="str">
        <f>IF(OR($A57="Power Cable",$A57="RTD Cable",$A57="Fieldbus Cable"),IF(AND($AE57&lt;&gt;""),"YES","NO"),"N/A")</f>
        <v>NO</v>
      </c>
      <c r="P57" s="4" t="str">
        <f>IF(OR($A57="RTD"),IF(AND($AH57&lt;&gt;""),"YES","NO"),"N/A")</f>
        <v>N/A</v>
      </c>
      <c r="Q57" s="4" t="str">
        <f>IF(OR($A57="RTD"),IF(AND($AI57&lt;&gt;""),"YES","NO"),"N/A")</f>
        <v>N/A</v>
      </c>
      <c r="R57" s="4" t="str">
        <f>IF(OR($AM57&lt;&gt;"",$Z57&lt;&gt;"",$AC57&lt;&gt;""),"YES","NO")</f>
        <v>NO</v>
      </c>
      <c r="S57" s="4" t="str">
        <f>IF(COUNTIF(I57:R57,"NO")=0,"YES","NO")</f>
        <v>NO</v>
      </c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inlineStr">
        <is>
          <t>ACIC</t>
        </is>
      </c>
      <c r="AK57" s="9" t="inlineStr">
        <is>
          <t>16AWG</t>
        </is>
      </c>
      <c r="AL57" s="9" t="inlineStr">
        <is>
          <t>Levy Ostrup</t>
        </is>
      </c>
      <c r="AM57" s="9" t="n"/>
      <c r="AN57" s="9" t="n"/>
    </row>
    <row r="58">
      <c r="A58" s="9" t="inlineStr">
        <is>
          <t>RTD Cable</t>
        </is>
      </c>
      <c r="B58" s="9" t="inlineStr">
        <is>
          <t>29103-ET-PE1802-4-R-1</t>
        </is>
      </c>
      <c r="C58" s="9" t="inlineStr">
        <is>
          <t>29103-ET-PE1802-4</t>
        </is>
      </c>
      <c r="D58" s="9" t="inlineStr">
        <is>
          <t>29103-HTP-100 HTC-07</t>
        </is>
      </c>
      <c r="E58" s="9" t="inlineStr">
        <is>
          <t>29103-HTP-100</t>
        </is>
      </c>
      <c r="F58" s="9" t="inlineStr"/>
      <c r="G58" s="9" t="inlineStr">
        <is>
          <t>113</t>
        </is>
      </c>
      <c r="H58" s="9" t="inlineStr">
        <is>
          <t>29103-ET-PE1802-4-R-1.pdf</t>
        </is>
      </c>
      <c r="I58" s="4" t="str">
        <f>IF($H58&lt;&gt;"","YES","NO")</f>
        <v>YES</v>
      </c>
      <c r="J58" s="4" t="str">
        <f>IF(N($T58)&gt;0,"YES","NO")</f>
        <v>NO</v>
      </c>
      <c r="K58" s="4" t="str">
        <f>IF(OR($A58="EHT Trace"),IF(AND($U58&lt;&gt;"",$V58&lt;&gt;""),"YES","NO"),"N/A")</f>
        <v>N/A</v>
      </c>
      <c r="L58" s="4" t="str">
        <f>IF(OR($A58="EHT Trace"),IF(AND($X58&lt;&gt;"",$Y58&lt;&gt;""),"YES","NO"),"N/A")</f>
        <v>N/A</v>
      </c>
      <c r="M58" s="4" t="str">
        <f>IF(OR($A58="EHT Trace"),IF(AND($AA58&lt;&gt;"",$AB58&lt;&gt;""),"YES","NO"),"N/A")</f>
        <v>N/A</v>
      </c>
      <c r="N58" s="4" t="str">
        <f>IF(OR($A58="Power Cable"),IF(AND($AD58&lt;&gt;""),"YES","NO"),"N/A")</f>
        <v>N/A</v>
      </c>
      <c r="O58" s="4" t="str">
        <f>IF(OR($A58="Power Cable",$A58="RTD Cable",$A58="Fieldbus Cable"),IF(AND($AE58&lt;&gt;""),"YES","NO"),"N/A")</f>
        <v>NO</v>
      </c>
      <c r="P58" s="4" t="str">
        <f>IF(OR($A58="RTD"),IF(AND($AH58&lt;&gt;""),"YES","NO"),"N/A")</f>
        <v>N/A</v>
      </c>
      <c r="Q58" s="4" t="str">
        <f>IF(OR($A58="RTD"),IF(AND($AI58&lt;&gt;""),"YES","NO"),"N/A")</f>
        <v>N/A</v>
      </c>
      <c r="R58" s="4" t="str">
        <f>IF(OR($AM58&lt;&gt;"",$Z58&lt;&gt;"",$AC58&lt;&gt;""),"YES","NO")</f>
        <v>NO</v>
      </c>
      <c r="S58" s="4" t="str">
        <f>IF(COUNTIF(I58:R58,"NO")=0,"YES","NO")</f>
        <v>NO</v>
      </c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inlineStr">
        <is>
          <t>ACIC</t>
        </is>
      </c>
      <c r="AK58" s="9" t="inlineStr">
        <is>
          <t>16AWG</t>
        </is>
      </c>
      <c r="AL58" s="9" t="inlineStr">
        <is>
          <t>Levy Ostrup</t>
        </is>
      </c>
      <c r="AM58" s="9" t="n"/>
      <c r="AN58" s="9" t="n"/>
    </row>
    <row r="59">
      <c r="A59" s="9" t="inlineStr">
        <is>
          <t>RTD Cable</t>
        </is>
      </c>
      <c r="B59" s="9" t="inlineStr">
        <is>
          <t>29103-ET-PE1802-5-R-1</t>
        </is>
      </c>
      <c r="C59" s="9" t="inlineStr">
        <is>
          <t>29103-ET-PE1802-5</t>
        </is>
      </c>
      <c r="D59" s="9" t="inlineStr">
        <is>
          <t>29103-HTP-100 HTC-17</t>
        </is>
      </c>
      <c r="E59" s="9" t="inlineStr">
        <is>
          <t>29103-HTP-100</t>
        </is>
      </c>
      <c r="F59" s="9" t="inlineStr"/>
      <c r="G59" s="9" t="inlineStr">
        <is>
          <t>113</t>
        </is>
      </c>
      <c r="H59" s="9" t="inlineStr">
        <is>
          <t>29103-ET-PE1802-5-R-1.pdf</t>
        </is>
      </c>
      <c r="I59" s="4" t="str">
        <f>IF($H59&lt;&gt;"","YES","NO")</f>
        <v>YES</v>
      </c>
      <c r="J59" s="4" t="str">
        <f>IF(N($T59)&gt;0,"YES","NO")</f>
        <v>NO</v>
      </c>
      <c r="K59" s="4" t="str">
        <f>IF(OR($A59="EHT Trace"),IF(AND($U59&lt;&gt;"",$V59&lt;&gt;""),"YES","NO"),"N/A")</f>
        <v>N/A</v>
      </c>
      <c r="L59" s="4" t="str">
        <f>IF(OR($A59="EHT Trace"),IF(AND($X59&lt;&gt;"",$Y59&lt;&gt;""),"YES","NO"),"N/A")</f>
        <v>N/A</v>
      </c>
      <c r="M59" s="4" t="str">
        <f>IF(OR($A59="EHT Trace"),IF(AND($AA59&lt;&gt;"",$AB59&lt;&gt;""),"YES","NO"),"N/A")</f>
        <v>N/A</v>
      </c>
      <c r="N59" s="4" t="str">
        <f>IF(OR($A59="Power Cable"),IF(AND($AD59&lt;&gt;""),"YES","NO"),"N/A")</f>
        <v>N/A</v>
      </c>
      <c r="O59" s="4" t="str">
        <f>IF(OR($A59="Power Cable",$A59="RTD Cable",$A59="Fieldbus Cable"),IF(AND($AE59&lt;&gt;""),"YES","NO"),"N/A")</f>
        <v>NO</v>
      </c>
      <c r="P59" s="4" t="str">
        <f>IF(OR($A59="RTD"),IF(AND($AH59&lt;&gt;""),"YES","NO"),"N/A")</f>
        <v>N/A</v>
      </c>
      <c r="Q59" s="4" t="str">
        <f>IF(OR($A59="RTD"),IF(AND($AI59&lt;&gt;""),"YES","NO"),"N/A")</f>
        <v>N/A</v>
      </c>
      <c r="R59" s="4" t="str">
        <f>IF(OR($AM59&lt;&gt;"",$Z59&lt;&gt;"",$AC59&lt;&gt;""),"YES","NO")</f>
        <v>NO</v>
      </c>
      <c r="S59" s="4" t="str">
        <f>IF(COUNTIF(I59:R59,"NO")=0,"YES","NO")</f>
        <v>NO</v>
      </c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inlineStr">
        <is>
          <t>ACIC</t>
        </is>
      </c>
      <c r="AK59" s="9" t="inlineStr">
        <is>
          <t>16AWG</t>
        </is>
      </c>
      <c r="AL59" s="9" t="inlineStr">
        <is>
          <t>Levy Ostrup</t>
        </is>
      </c>
      <c r="AM59" s="9" t="n"/>
      <c r="AN59" s="9" t="n"/>
    </row>
    <row r="60">
      <c r="A60" s="9" t="inlineStr">
        <is>
          <t>RTD Cable</t>
        </is>
      </c>
      <c r="B60" s="9" t="inlineStr">
        <is>
          <t>29103-ET-PE1803-3-R-1</t>
        </is>
      </c>
      <c r="C60" s="9" t="inlineStr">
        <is>
          <t>29103-ET-PE1803-3</t>
        </is>
      </c>
      <c r="D60" s="9" t="inlineStr">
        <is>
          <t>29103-HTP-100 HTC-04</t>
        </is>
      </c>
      <c r="E60" s="9" t="inlineStr">
        <is>
          <t>29103-HTP-100</t>
        </is>
      </c>
      <c r="F60" s="9" t="inlineStr"/>
      <c r="G60" s="9" t="inlineStr">
        <is>
          <t>113</t>
        </is>
      </c>
      <c r="H60" s="9" t="inlineStr">
        <is>
          <t>29103-ET-PE1803-3-R-1.pdf</t>
        </is>
      </c>
      <c r="I60" s="4" t="str">
        <f>IF($H60&lt;&gt;"","YES","NO")</f>
        <v>YES</v>
      </c>
      <c r="J60" s="4" t="str">
        <f>IF(N($T60)&gt;0,"YES","NO")</f>
        <v>NO</v>
      </c>
      <c r="K60" s="4" t="str">
        <f>IF(OR($A60="EHT Trace"),IF(AND($U60&lt;&gt;"",$V60&lt;&gt;""),"YES","NO"),"N/A")</f>
        <v>N/A</v>
      </c>
      <c r="L60" s="4" t="str">
        <f>IF(OR($A60="EHT Trace"),IF(AND($X60&lt;&gt;"",$Y60&lt;&gt;""),"YES","NO"),"N/A")</f>
        <v>N/A</v>
      </c>
      <c r="M60" s="4" t="str">
        <f>IF(OR($A60="EHT Trace"),IF(AND($AA60&lt;&gt;"",$AB60&lt;&gt;""),"YES","NO"),"N/A")</f>
        <v>N/A</v>
      </c>
      <c r="N60" s="4" t="str">
        <f>IF(OR($A60="Power Cable"),IF(AND($AD60&lt;&gt;""),"YES","NO"),"N/A")</f>
        <v>N/A</v>
      </c>
      <c r="O60" s="4" t="str">
        <f>IF(OR($A60="Power Cable",$A60="RTD Cable",$A60="Fieldbus Cable"),IF(AND($AE60&lt;&gt;""),"YES","NO"),"N/A")</f>
        <v>NO</v>
      </c>
      <c r="P60" s="4" t="str">
        <f>IF(OR($A60="RTD"),IF(AND($AH60&lt;&gt;""),"YES","NO"),"N/A")</f>
        <v>N/A</v>
      </c>
      <c r="Q60" s="4" t="str">
        <f>IF(OR($A60="RTD"),IF(AND($AI60&lt;&gt;""),"YES","NO"),"N/A")</f>
        <v>N/A</v>
      </c>
      <c r="R60" s="4" t="str">
        <f>IF(OR($AM60&lt;&gt;"",$Z60&lt;&gt;"",$AC60&lt;&gt;""),"YES","NO")</f>
        <v>NO</v>
      </c>
      <c r="S60" s="4" t="str">
        <f>IF(COUNTIF(I60:R60,"NO")=0,"YES","NO")</f>
        <v>NO</v>
      </c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inlineStr">
        <is>
          <t>ACIC</t>
        </is>
      </c>
      <c r="AK60" s="9" t="inlineStr">
        <is>
          <t>16AWG</t>
        </is>
      </c>
      <c r="AL60" s="9" t="inlineStr">
        <is>
          <t>Levy Ostrup</t>
        </is>
      </c>
      <c r="AM60" s="9" t="n"/>
      <c r="AN60" s="9" t="n"/>
    </row>
    <row r="61">
      <c r="A61" s="9" t="inlineStr">
        <is>
          <t>RTD Cable</t>
        </is>
      </c>
      <c r="B61" s="9" t="inlineStr">
        <is>
          <t>29103-ET-PE1803-3-R-2</t>
        </is>
      </c>
      <c r="C61" s="9" t="inlineStr">
        <is>
          <t>29103-ET-PE1803-3</t>
        </is>
      </c>
      <c r="D61" s="9" t="inlineStr">
        <is>
          <t>29103-HTP-100 I/O-1-3</t>
        </is>
      </c>
      <c r="E61" s="9" t="inlineStr">
        <is>
          <t>29103-HTP-100</t>
        </is>
      </c>
      <c r="F61" s="9" t="inlineStr"/>
      <c r="G61" s="9" t="inlineStr">
        <is>
          <t>113</t>
        </is>
      </c>
      <c r="H61" s="9" t="inlineStr">
        <is>
          <t>29103-ET-PE1803-3-R-2.pdf</t>
        </is>
      </c>
      <c r="I61" s="4" t="str">
        <f>IF($H61&lt;&gt;"","YES","NO")</f>
        <v>YES</v>
      </c>
      <c r="J61" s="4" t="str">
        <f>IF(N($T61)&gt;0,"YES","NO")</f>
        <v>NO</v>
      </c>
      <c r="K61" s="4" t="str">
        <f>IF(OR($A61="EHT Trace"),IF(AND($U61&lt;&gt;"",$V61&lt;&gt;""),"YES","NO"),"N/A")</f>
        <v>N/A</v>
      </c>
      <c r="L61" s="4" t="str">
        <f>IF(OR($A61="EHT Trace"),IF(AND($X61&lt;&gt;"",$Y61&lt;&gt;""),"YES","NO"),"N/A")</f>
        <v>N/A</v>
      </c>
      <c r="M61" s="4" t="str">
        <f>IF(OR($A61="EHT Trace"),IF(AND($AA61&lt;&gt;"",$AB61&lt;&gt;""),"YES","NO"),"N/A")</f>
        <v>N/A</v>
      </c>
      <c r="N61" s="4" t="str">
        <f>IF(OR($A61="Power Cable"),IF(AND($AD61&lt;&gt;""),"YES","NO"),"N/A")</f>
        <v>N/A</v>
      </c>
      <c r="O61" s="4" t="str">
        <f>IF(OR($A61="Power Cable",$A61="RTD Cable",$A61="Fieldbus Cable"),IF(AND($AE61&lt;&gt;""),"YES","NO"),"N/A")</f>
        <v>NO</v>
      </c>
      <c r="P61" s="4" t="str">
        <f>IF(OR($A61="RTD"),IF(AND($AH61&lt;&gt;""),"YES","NO"),"N/A")</f>
        <v>N/A</v>
      </c>
      <c r="Q61" s="4" t="str">
        <f>IF(OR($A61="RTD"),IF(AND($AI61&lt;&gt;""),"YES","NO"),"N/A")</f>
        <v>N/A</v>
      </c>
      <c r="R61" s="4" t="str">
        <f>IF(OR($AM61&lt;&gt;"",$Z61&lt;&gt;"",$AC61&lt;&gt;""),"YES","NO")</f>
        <v>NO</v>
      </c>
      <c r="S61" s="4" t="str">
        <f>IF(COUNTIF(I61:R61,"NO")=0,"YES","NO")</f>
        <v>NO</v>
      </c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inlineStr">
        <is>
          <t>ACIC</t>
        </is>
      </c>
      <c r="AK61" s="9" t="inlineStr">
        <is>
          <t>16AWG</t>
        </is>
      </c>
      <c r="AL61" s="9" t="inlineStr">
        <is>
          <t>Levy Ostrup</t>
        </is>
      </c>
      <c r="AM61" s="9" t="n"/>
      <c r="AN61" s="9" t="n"/>
    </row>
    <row r="62">
      <c r="A62" s="9" t="inlineStr">
        <is>
          <t>RTD Cable</t>
        </is>
      </c>
      <c r="B62" s="9" t="inlineStr">
        <is>
          <t>29103-ET-PE1803-5-R-1</t>
        </is>
      </c>
      <c r="C62" s="9" t="inlineStr">
        <is>
          <t>29103-ET-PE1803-5</t>
        </is>
      </c>
      <c r="D62" s="9" t="inlineStr">
        <is>
          <t>29103-HTP-100 HTC-08</t>
        </is>
      </c>
      <c r="E62" s="9" t="inlineStr">
        <is>
          <t>29103-HTP-100</t>
        </is>
      </c>
      <c r="F62" s="9" t="inlineStr"/>
      <c r="G62" s="9" t="inlineStr">
        <is>
          <t>113</t>
        </is>
      </c>
      <c r="H62" s="9" t="inlineStr">
        <is>
          <t>29103-ET-PE1803-5-R-1.pdf</t>
        </is>
      </c>
      <c r="I62" s="4" t="str">
        <f>IF($H62&lt;&gt;"","YES","NO")</f>
        <v>YES</v>
      </c>
      <c r="J62" s="4" t="str">
        <f>IF(N($T62)&gt;0,"YES","NO")</f>
        <v>NO</v>
      </c>
      <c r="K62" s="4" t="str">
        <f>IF(OR($A62="EHT Trace"),IF(AND($U62&lt;&gt;"",$V62&lt;&gt;""),"YES","NO"),"N/A")</f>
        <v>N/A</v>
      </c>
      <c r="L62" s="4" t="str">
        <f>IF(OR($A62="EHT Trace"),IF(AND($X62&lt;&gt;"",$Y62&lt;&gt;""),"YES","NO"),"N/A")</f>
        <v>N/A</v>
      </c>
      <c r="M62" s="4" t="str">
        <f>IF(OR($A62="EHT Trace"),IF(AND($AA62&lt;&gt;"",$AB62&lt;&gt;""),"YES","NO"),"N/A")</f>
        <v>N/A</v>
      </c>
      <c r="N62" s="4" t="str">
        <f>IF(OR($A62="Power Cable"),IF(AND($AD62&lt;&gt;""),"YES","NO"),"N/A")</f>
        <v>N/A</v>
      </c>
      <c r="O62" s="4" t="str">
        <f>IF(OR($A62="Power Cable",$A62="RTD Cable",$A62="Fieldbus Cable"),IF(AND($AE62&lt;&gt;""),"YES","NO"),"N/A")</f>
        <v>NO</v>
      </c>
      <c r="P62" s="4" t="str">
        <f>IF(OR($A62="RTD"),IF(AND($AH62&lt;&gt;""),"YES","NO"),"N/A")</f>
        <v>N/A</v>
      </c>
      <c r="Q62" s="4" t="str">
        <f>IF(OR($A62="RTD"),IF(AND($AI62&lt;&gt;""),"YES","NO"),"N/A")</f>
        <v>N/A</v>
      </c>
      <c r="R62" s="4" t="str">
        <f>IF(OR($AM62&lt;&gt;"",$Z62&lt;&gt;"",$AC62&lt;&gt;""),"YES","NO")</f>
        <v>NO</v>
      </c>
      <c r="S62" s="4" t="str">
        <f>IF(COUNTIF(I62:R62,"NO")=0,"YES","NO")</f>
        <v>NO</v>
      </c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inlineStr">
        <is>
          <t>ACIC</t>
        </is>
      </c>
      <c r="AK62" s="9" t="inlineStr">
        <is>
          <t>16AWG</t>
        </is>
      </c>
      <c r="AL62" s="9" t="inlineStr">
        <is>
          <t>Levy Ostrup</t>
        </is>
      </c>
      <c r="AM62" s="9" t="n"/>
      <c r="AN62" s="9" t="n"/>
    </row>
    <row r="63">
      <c r="A63" s="9" t="inlineStr">
        <is>
          <t>RTD Cable</t>
        </is>
      </c>
      <c r="B63" s="9" t="inlineStr">
        <is>
          <t>29103-ET-PE1803-6-R-1</t>
        </is>
      </c>
      <c r="C63" s="9" t="inlineStr">
        <is>
          <t>29103-ET-PE1803-6</t>
        </is>
      </c>
      <c r="D63" s="9" t="inlineStr">
        <is>
          <t>29103-HTP-100 HTC-09</t>
        </is>
      </c>
      <c r="E63" s="9" t="inlineStr">
        <is>
          <t>29103-HTP-100</t>
        </is>
      </c>
      <c r="F63" s="9" t="inlineStr"/>
      <c r="G63" s="9" t="inlineStr">
        <is>
          <t>113</t>
        </is>
      </c>
      <c r="H63" s="9" t="inlineStr">
        <is>
          <t>29103-ET-PE1803-6-R-1.pdf</t>
        </is>
      </c>
      <c r="I63" s="4" t="str">
        <f>IF($H63&lt;&gt;"","YES","NO")</f>
        <v>YES</v>
      </c>
      <c r="J63" s="4" t="str">
        <f>IF(N($T63)&gt;0,"YES","NO")</f>
        <v>NO</v>
      </c>
      <c r="K63" s="4" t="str">
        <f>IF(OR($A63="EHT Trace"),IF(AND($U63&lt;&gt;"",$V63&lt;&gt;""),"YES","NO"),"N/A")</f>
        <v>N/A</v>
      </c>
      <c r="L63" s="4" t="str">
        <f>IF(OR($A63="EHT Trace"),IF(AND($X63&lt;&gt;"",$Y63&lt;&gt;""),"YES","NO"),"N/A")</f>
        <v>N/A</v>
      </c>
      <c r="M63" s="4" t="str">
        <f>IF(OR($A63="EHT Trace"),IF(AND($AA63&lt;&gt;"",$AB63&lt;&gt;""),"YES","NO"),"N/A")</f>
        <v>N/A</v>
      </c>
      <c r="N63" s="4" t="str">
        <f>IF(OR($A63="Power Cable"),IF(AND($AD63&lt;&gt;""),"YES","NO"),"N/A")</f>
        <v>N/A</v>
      </c>
      <c r="O63" s="4" t="str">
        <f>IF(OR($A63="Power Cable",$A63="RTD Cable",$A63="Fieldbus Cable"),IF(AND($AE63&lt;&gt;""),"YES","NO"),"N/A")</f>
        <v>NO</v>
      </c>
      <c r="P63" s="4" t="str">
        <f>IF(OR($A63="RTD"),IF(AND($AH63&lt;&gt;""),"YES","NO"),"N/A")</f>
        <v>N/A</v>
      </c>
      <c r="Q63" s="4" t="str">
        <f>IF(OR($A63="RTD"),IF(AND($AI63&lt;&gt;""),"YES","NO"),"N/A")</f>
        <v>N/A</v>
      </c>
      <c r="R63" s="4" t="str">
        <f>IF(OR($AM63&lt;&gt;"",$Z63&lt;&gt;"",$AC63&lt;&gt;""),"YES","NO")</f>
        <v>NO</v>
      </c>
      <c r="S63" s="4" t="str">
        <f>IF(COUNTIF(I63:R63,"NO")=0,"YES","NO")</f>
        <v>NO</v>
      </c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inlineStr">
        <is>
          <t>ACIC</t>
        </is>
      </c>
      <c r="AK63" s="9" t="inlineStr">
        <is>
          <t>16AWG</t>
        </is>
      </c>
      <c r="AL63" s="9" t="inlineStr">
        <is>
          <t>Levy Ostrup</t>
        </is>
      </c>
      <c r="AM63" s="9" t="n"/>
      <c r="AN63" s="9" t="n"/>
    </row>
    <row r="64">
      <c r="A64" s="9" t="inlineStr">
        <is>
          <t>RTD Cable</t>
        </is>
      </c>
      <c r="B64" s="9" t="inlineStr">
        <is>
          <t>29103-ET-PE1806-1-R-1</t>
        </is>
      </c>
      <c r="C64" s="9" t="inlineStr">
        <is>
          <t>29103-ET-PE1806-1</t>
        </is>
      </c>
      <c r="D64" s="9" t="inlineStr">
        <is>
          <t>29103-HTP-100 HTC-10</t>
        </is>
      </c>
      <c r="E64" s="9" t="inlineStr">
        <is>
          <t>29103-HTP-100</t>
        </is>
      </c>
      <c r="F64" s="9" t="inlineStr"/>
      <c r="G64" s="9" t="inlineStr">
        <is>
          <t>113</t>
        </is>
      </c>
      <c r="H64" s="9" t="inlineStr">
        <is>
          <t>29103-ET-PE1806-1-R-1.pdf</t>
        </is>
      </c>
      <c r="I64" s="4" t="str">
        <f>IF($H64&lt;&gt;"","YES","NO")</f>
        <v>YES</v>
      </c>
      <c r="J64" s="4" t="str">
        <f>IF(N($T64)&gt;0,"YES","NO")</f>
        <v>NO</v>
      </c>
      <c r="K64" s="4" t="str">
        <f>IF(OR($A64="EHT Trace"),IF(AND($U64&lt;&gt;"",$V64&lt;&gt;""),"YES","NO"),"N/A")</f>
        <v>N/A</v>
      </c>
      <c r="L64" s="4" t="str">
        <f>IF(OR($A64="EHT Trace"),IF(AND($X64&lt;&gt;"",$Y64&lt;&gt;""),"YES","NO"),"N/A")</f>
        <v>N/A</v>
      </c>
      <c r="M64" s="4" t="str">
        <f>IF(OR($A64="EHT Trace"),IF(AND($AA64&lt;&gt;"",$AB64&lt;&gt;""),"YES","NO"),"N/A")</f>
        <v>N/A</v>
      </c>
      <c r="N64" s="4" t="str">
        <f>IF(OR($A64="Power Cable"),IF(AND($AD64&lt;&gt;""),"YES","NO"),"N/A")</f>
        <v>N/A</v>
      </c>
      <c r="O64" s="4" t="str">
        <f>IF(OR($A64="Power Cable",$A64="RTD Cable",$A64="Fieldbus Cable"),IF(AND($AE64&lt;&gt;""),"YES","NO"),"N/A")</f>
        <v>NO</v>
      </c>
      <c r="P64" s="4" t="str">
        <f>IF(OR($A64="RTD"),IF(AND($AH64&lt;&gt;""),"YES","NO"),"N/A")</f>
        <v>N/A</v>
      </c>
      <c r="Q64" s="4" t="str">
        <f>IF(OR($A64="RTD"),IF(AND($AI64&lt;&gt;""),"YES","NO"),"N/A")</f>
        <v>N/A</v>
      </c>
      <c r="R64" s="4" t="str">
        <f>IF(OR($AM64&lt;&gt;"",$Z64&lt;&gt;"",$AC64&lt;&gt;""),"YES","NO")</f>
        <v>NO</v>
      </c>
      <c r="S64" s="4" t="str">
        <f>IF(COUNTIF(I64:R64,"NO")=0,"YES","NO")</f>
        <v>NO</v>
      </c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inlineStr">
        <is>
          <t>ACIC</t>
        </is>
      </c>
      <c r="AK64" s="9" t="inlineStr">
        <is>
          <t>16AWG</t>
        </is>
      </c>
      <c r="AL64" s="9" t="inlineStr">
        <is>
          <t>Levy Ostrup</t>
        </is>
      </c>
      <c r="AM64" s="9" t="n"/>
      <c r="AN64" s="9" t="n"/>
    </row>
  </sheetData>
  <autoFilter ref="A4:AN64"/>
  <mergeCells count="3">
    <mergeCell ref="A3:H3"/>
    <mergeCell ref="I3:S3"/>
    <mergeCell ref="T3:AN3"/>
  </mergeCells>
  <conditionalFormatting sqref="I5:S64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"N/A"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7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2" customWidth="1" min="4" max="4"/>
    <col width="20" customWidth="1" min="5" max="5"/>
    <col width="27" customWidth="1" min="6" max="6"/>
    <col width="6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24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60" customWidth="1" min="40" max="40"/>
  </cols>
  <sheetData>
    <row r="1">
      <c r="A1" s="1" t="inlineStr">
        <is>
          <t>29103-HTP-101</t>
        </is>
      </c>
    </row>
    <row r="3">
      <c r="A3" s="6" t="n"/>
      <c r="I3" s="7" t="inlineStr">
        <is>
          <t>CHECKSHEETS</t>
        </is>
      </c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7" t="inlineStr">
        <is>
          <t>TEST RESULTS</t>
        </is>
      </c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</row>
    <row r="4" ht="30" customHeight="1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9" t="inlineStr">
        <is>
          <t>EHT Trace</t>
        </is>
      </c>
      <c r="B5" s="9" t="inlineStr">
        <is>
          <t>29103-ET-P1001-1-1</t>
        </is>
      </c>
      <c r="C5" s="9" t="inlineStr">
        <is>
          <t>29103-ET-P1001-1</t>
        </is>
      </c>
      <c r="D5" s="9" t="inlineStr">
        <is>
          <t>HTC-39 / CB-39</t>
        </is>
      </c>
      <c r="E5" s="9" t="inlineStr">
        <is>
          <t>29103-P-1001</t>
        </is>
      </c>
      <c r="F5" s="9" t="inlineStr">
        <is>
          <t>29103-65R-ET-P1001-01-01</t>
        </is>
      </c>
      <c r="G5" s="9" t="inlineStr">
        <is>
          <t>13.1</t>
        </is>
      </c>
      <c r="H5" s="9" t="inlineStr">
        <is>
          <t>29103-ET-P1001-1-1.pdf</t>
        </is>
      </c>
      <c r="I5" s="4" t="str">
        <f>IF($H5&lt;&gt;"","YES","NO")</f>
        <v>YES</v>
      </c>
      <c r="J5" s="4" t="str">
        <f>IF(N($T5)&gt;0,"YES","NO")</f>
        <v>NO</v>
      </c>
      <c r="K5" s="4" t="str">
        <f>IF(OR($A5="EHT Trace"),IF(AND($U5&lt;&gt;"",$V5&lt;&gt;""),"YES","NO"),"N/A")</f>
        <v>YES</v>
      </c>
      <c r="L5" s="4" t="str">
        <f>IF(OR($A5="EHT Trace"),IF(AND($X5&lt;&gt;"",$Y5&lt;&gt;""),"YES","NO"),"N/A")</f>
        <v>NO</v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NO</v>
      </c>
      <c r="S5" s="4" t="str">
        <f>IF(COUNTIF(I5:R5,"NO")=0,"YES","NO")</f>
        <v>NO</v>
      </c>
      <c r="T5" s="9" t="n"/>
      <c r="U5" s="9" t="inlineStr">
        <is>
          <t>&gt;2.2 GΩ</t>
        </is>
      </c>
      <c r="V5" s="9" t="inlineStr">
        <is>
          <t>27.7 Ω</t>
        </is>
      </c>
      <c r="W5" s="9" t="inlineStr">
        <is>
          <t>2026-05-17</t>
        </is>
      </c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inlineStr">
        <is>
          <t>D/32SQ3150/53.7M/2674/277/2.1M/LS23A/X/N12</t>
        </is>
      </c>
      <c r="AK5" s="9" t="inlineStr">
        <is>
          <t>53.7 m m</t>
        </is>
      </c>
      <c r="AL5" s="9" t="inlineStr">
        <is>
          <t>Levy Ostrup</t>
        </is>
      </c>
      <c r="AM5" s="9" t="n"/>
      <c r="AN5" s="9" t="n"/>
    </row>
    <row r="6">
      <c r="A6" s="9" t="inlineStr">
        <is>
          <t>EHT Trace</t>
        </is>
      </c>
      <c r="B6" s="9" t="inlineStr">
        <is>
          <t>29103-ET-P1001-1-2</t>
        </is>
      </c>
      <c r="C6" s="9" t="inlineStr">
        <is>
          <t>29103-ET-P1001-1</t>
        </is>
      </c>
      <c r="D6" s="9" t="inlineStr">
        <is>
          <t>HTC-39 / CB-39</t>
        </is>
      </c>
      <c r="E6" s="9" t="inlineStr">
        <is>
          <t>29103-P-1001</t>
        </is>
      </c>
      <c r="F6" s="9" t="inlineStr">
        <is>
          <t>29103-65R-ET-P1001-01-01</t>
        </is>
      </c>
      <c r="G6" s="9" t="inlineStr">
        <is>
          <t>13.1</t>
        </is>
      </c>
      <c r="H6" s="9" t="inlineStr">
        <is>
          <t>29103-ET-P1001-1-2.pdf</t>
        </is>
      </c>
      <c r="I6" s="4" t="str">
        <f>IF($H6&lt;&gt;"","YES","NO")</f>
        <v>YES</v>
      </c>
      <c r="J6" s="4" t="str">
        <f>IF(N($T6)&gt;0,"YES","NO")</f>
        <v>NO</v>
      </c>
      <c r="K6" s="4" t="str">
        <f>IF(OR($A6="EHT Trace"),IF(AND($U6&lt;&gt;"",$V6&lt;&gt;""),"YES","NO"),"N/A")</f>
        <v>YES</v>
      </c>
      <c r="L6" s="4" t="str">
        <f>IF(OR($A6="EHT Trace"),IF(AND($X6&lt;&gt;"",$Y6&lt;&gt;""),"YES","NO"),"N/A")</f>
        <v>NO</v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9" t="n"/>
      <c r="U6" s="9" t="inlineStr">
        <is>
          <t>&gt;2.2 GΩ</t>
        </is>
      </c>
      <c r="V6" s="9" t="inlineStr">
        <is>
          <t>27.7 Ω</t>
        </is>
      </c>
      <c r="W6" s="9" t="inlineStr">
        <is>
          <t>2026-05-17</t>
        </is>
      </c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inlineStr">
        <is>
          <t>D/32SQ3150/53.7M/2674/277/2.1M/LS23A/X/N12</t>
        </is>
      </c>
      <c r="AK6" s="9" t="inlineStr">
        <is>
          <t>53.7 m m</t>
        </is>
      </c>
      <c r="AL6" s="9" t="inlineStr">
        <is>
          <t>Levy Ostrup</t>
        </is>
      </c>
      <c r="AM6" s="9" t="n"/>
      <c r="AN6" s="9" t="n"/>
    </row>
    <row r="7">
      <c r="A7" s="9" t="inlineStr">
        <is>
          <t>EHT Trace</t>
        </is>
      </c>
      <c r="B7" s="9" t="inlineStr">
        <is>
          <t>29103-ET-P1001-2-1</t>
        </is>
      </c>
      <c r="C7" s="9" t="inlineStr">
        <is>
          <t>29103-ET-P1001-2</t>
        </is>
      </c>
      <c r="D7" s="9" t="inlineStr">
        <is>
          <t>HTC-07 / CB-07</t>
        </is>
      </c>
      <c r="E7" s="9" t="inlineStr"/>
      <c r="F7" s="9" t="inlineStr">
        <is>
          <t>29103-65R-ET-P1001-02-01</t>
        </is>
      </c>
      <c r="G7" s="9" t="inlineStr">
        <is>
          <t>13.1</t>
        </is>
      </c>
      <c r="H7" s="9" t="inlineStr">
        <is>
          <t>29103-ET-P1001-2-1.pdf</t>
        </is>
      </c>
      <c r="I7" s="4" t="str">
        <f>IF($H7&lt;&gt;"","YES","NO")</f>
        <v>YES</v>
      </c>
      <c r="J7" s="4" t="str">
        <f>IF(N($T7)&gt;0,"YES","NO")</f>
        <v>NO</v>
      </c>
      <c r="K7" s="4" t="str">
        <f>IF(OR($A7="EHT Trace"),IF(AND($U7&lt;&gt;"",$V7&lt;&gt;""),"YES","NO"),"N/A")</f>
        <v>YES</v>
      </c>
      <c r="L7" s="4" t="str">
        <f>IF(OR($A7="EHT Trace"),IF(AND($X7&lt;&gt;"",$Y7&lt;&gt;""),"YES","NO"),"N/A")</f>
        <v>NO</v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9" t="n"/>
      <c r="U7" s="9" t="inlineStr">
        <is>
          <t>&gt;2.2 GΩ</t>
        </is>
      </c>
      <c r="V7" s="9" t="inlineStr">
        <is>
          <t>121.3 Ω</t>
        </is>
      </c>
      <c r="W7" s="9" t="inlineStr">
        <is>
          <t>2026-05-17</t>
        </is>
      </c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inlineStr">
        <is>
          <t>D/32SA2275/13.1M/639/277/2.1M/LS23A/X/N12</t>
        </is>
      </c>
      <c r="AK7" s="9" t="inlineStr">
        <is>
          <t>13.1 m m</t>
        </is>
      </c>
      <c r="AL7" s="9" t="inlineStr">
        <is>
          <t>Levy Ostrup</t>
        </is>
      </c>
      <c r="AM7" s="9" t="n"/>
      <c r="AN7" s="9" t="n"/>
    </row>
    <row r="8">
      <c r="A8" s="9" t="inlineStr">
        <is>
          <t>EHT Trace</t>
        </is>
      </c>
      <c r="B8" s="9" t="inlineStr">
        <is>
          <t>29103-ET-P2800-4-1</t>
        </is>
      </c>
      <c r="C8" s="9" t="inlineStr">
        <is>
          <t>29103-ET-P2800-4</t>
        </is>
      </c>
      <c r="D8" s="9" t="inlineStr">
        <is>
          <t>HTC-05 / CB-05</t>
        </is>
      </c>
      <c r="E8" s="9" t="inlineStr">
        <is>
          <t>29103-P-2800</t>
        </is>
      </c>
      <c r="F8" s="9" t="inlineStr">
        <is>
          <t>29103-65R-ET-P2800-04-01</t>
        </is>
      </c>
      <c r="G8" s="9" t="inlineStr">
        <is>
          <t>13.1</t>
        </is>
      </c>
      <c r="H8" s="9" t="inlineStr">
        <is>
          <t>29103-ET-P2800-4-1.pdf</t>
        </is>
      </c>
      <c r="I8" s="4" t="str">
        <f>IF($H8&lt;&gt;"","YES","NO")</f>
        <v>YES</v>
      </c>
      <c r="J8" s="4" t="str">
        <f>IF(N($T8)&gt;0,"YES","NO")</f>
        <v>NO</v>
      </c>
      <c r="K8" s="4" t="str">
        <f>IF(OR($A8="EHT Trace"),IF(AND($U8&lt;&gt;"",$V8&lt;&gt;""),"YES","NO"),"N/A")</f>
        <v>NO</v>
      </c>
      <c r="L8" s="4" t="str">
        <f>IF(OR($A8="EHT Trace"),IF(AND($X8&lt;&gt;"",$Y8&lt;&gt;""),"YES","NO"),"N/A")</f>
        <v>NO</v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NO</v>
      </c>
      <c r="S8" s="4" t="str">
        <f>IF(COUNTIF(I8:R8,"NO")=0,"YES","NO")</f>
        <v>NO</v>
      </c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inlineStr">
        <is>
          <t>D/32SQ3200/36.8M/2859/277/2.1M/LS23A/X/N12</t>
        </is>
      </c>
      <c r="AK8" s="9" t="inlineStr">
        <is>
          <t>36.8 m m</t>
        </is>
      </c>
      <c r="AL8" s="9" t="inlineStr">
        <is>
          <t>Levy Ostrup</t>
        </is>
      </c>
      <c r="AM8" s="9" t="n"/>
      <c r="AN8" s="9" t="n"/>
    </row>
    <row r="9">
      <c r="A9" s="9" t="inlineStr">
        <is>
          <t>EHT Trace</t>
        </is>
      </c>
      <c r="B9" s="9" t="inlineStr">
        <is>
          <t>29103-ET-P2800-5-1</t>
        </is>
      </c>
      <c r="C9" s="9" t="inlineStr">
        <is>
          <t>29103-ET-P2800-5</t>
        </is>
      </c>
      <c r="D9" s="9" t="inlineStr">
        <is>
          <t>HTC-02 / CB-02</t>
        </is>
      </c>
      <c r="E9" s="9" t="inlineStr">
        <is>
          <t>29103-P-2800</t>
        </is>
      </c>
      <c r="F9" s="9" t="inlineStr">
        <is>
          <t>29103-65R-ET-P2800-05-01</t>
        </is>
      </c>
      <c r="G9" s="9" t="inlineStr">
        <is>
          <t>13.1</t>
        </is>
      </c>
      <c r="H9" s="9" t="inlineStr">
        <is>
          <t>29103-ET-P2800-5-1.pdf</t>
        </is>
      </c>
      <c r="I9" s="4" t="str">
        <f>IF($H9&lt;&gt;"","YES","NO")</f>
        <v>YES</v>
      </c>
      <c r="J9" s="4" t="str">
        <f>IF(N($T9)&gt;0,"YES","NO")</f>
        <v>NO</v>
      </c>
      <c r="K9" s="4" t="str">
        <f>IF(OR($A9="EHT Trace"),IF(AND($U9&lt;&gt;"",$V9&lt;&gt;""),"YES","NO"),"N/A")</f>
        <v>NO</v>
      </c>
      <c r="L9" s="4" t="str">
        <f>IF(OR($A9="EHT Trace"),IF(AND($X9&lt;&gt;"",$Y9&lt;&gt;""),"YES","NO"),"N/A")</f>
        <v>NO</v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NO</v>
      </c>
      <c r="S9" s="4" t="str">
        <f>IF(COUNTIF(I9:R9,"NO")=0,"YES","NO")</f>
        <v>NO</v>
      </c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inlineStr">
        <is>
          <t>D/32SP4583/70.3M/4577/277/2.1M/LS23A/X/N12</t>
        </is>
      </c>
      <c r="AK9" s="9" t="inlineStr">
        <is>
          <t>70.3 m m</t>
        </is>
      </c>
      <c r="AL9" s="9" t="inlineStr">
        <is>
          <t>Levy Ostrup</t>
        </is>
      </c>
      <c r="AM9" s="9" t="n"/>
      <c r="AN9" s="9" t="n"/>
    </row>
    <row r="10">
      <c r="A10" s="9" t="inlineStr">
        <is>
          <t>EHT Trace</t>
        </is>
      </c>
      <c r="B10" s="9" t="inlineStr">
        <is>
          <t>29103-ET-P2800-6-1</t>
        </is>
      </c>
      <c r="C10" s="9" t="inlineStr">
        <is>
          <t>29103-ET-P2800-6</t>
        </is>
      </c>
      <c r="D10" s="9" t="inlineStr">
        <is>
          <t>HTC-06 / CB-06</t>
        </is>
      </c>
      <c r="E10" s="9" t="inlineStr">
        <is>
          <t>29103-P-2800</t>
        </is>
      </c>
      <c r="F10" s="9" t="inlineStr">
        <is>
          <t>29103-65R-ET-P2800-06-01</t>
        </is>
      </c>
      <c r="G10" s="9" t="inlineStr">
        <is>
          <t>13.1</t>
        </is>
      </c>
      <c r="H10" s="9" t="inlineStr">
        <is>
          <t>29103-ET-P2800-6-1.pdf</t>
        </is>
      </c>
      <c r="I10" s="4" t="str">
        <f>IF($H10&lt;&gt;"","YES","NO")</f>
        <v>YES</v>
      </c>
      <c r="J10" s="4" t="str">
        <f>IF(N($T10)&gt;0,"YES","NO")</f>
        <v>NO</v>
      </c>
      <c r="K10" s="4" t="str">
        <f>IF(OR($A10="EHT Trace"),IF(AND($U10&lt;&gt;"",$V10&lt;&gt;""),"YES","NO"),"N/A")</f>
        <v>YES</v>
      </c>
      <c r="L10" s="4" t="str">
        <f>IF(OR($A10="EHT Trace"),IF(AND($X10&lt;&gt;"",$Y10&lt;&gt;""),"YES","NO"),"N/A")</f>
        <v>NO</v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9" t="n"/>
      <c r="U10" s="9" t="inlineStr">
        <is>
          <t>&gt;2.2 GΩ</t>
        </is>
      </c>
      <c r="V10" s="9" t="inlineStr">
        <is>
          <t>26.9 Ω</t>
        </is>
      </c>
      <c r="W10" s="9" t="inlineStr">
        <is>
          <t>2026-05-17</t>
        </is>
      </c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inlineStr">
        <is>
          <t>D/32SQ3150/51.6M/2771/277/2.1M/LS23A/X/N12</t>
        </is>
      </c>
      <c r="AK10" s="9" t="inlineStr">
        <is>
          <t>51.6 m m</t>
        </is>
      </c>
      <c r="AL10" s="9" t="inlineStr">
        <is>
          <t>Levy Ostrup</t>
        </is>
      </c>
      <c r="AM10" s="9" t="n"/>
      <c r="AN10" s="9" t="n"/>
    </row>
    <row r="11">
      <c r="A11" s="9" t="inlineStr">
        <is>
          <t>EHT Trace</t>
        </is>
      </c>
      <c r="B11" s="9" t="inlineStr">
        <is>
          <t>29103-ET-P2800-6-2</t>
        </is>
      </c>
      <c r="C11" s="9" t="inlineStr">
        <is>
          <t>29103-ET-P2800-6</t>
        </is>
      </c>
      <c r="D11" s="9" t="inlineStr">
        <is>
          <t>HTC-06 / CB-06</t>
        </is>
      </c>
      <c r="E11" s="9" t="inlineStr">
        <is>
          <t>29103-P-2800</t>
        </is>
      </c>
      <c r="F11" s="9" t="inlineStr">
        <is>
          <t>29103-65R-ET-P2800-06-01</t>
        </is>
      </c>
      <c r="G11" s="9" t="inlineStr">
        <is>
          <t>13.1</t>
        </is>
      </c>
      <c r="H11" s="9" t="inlineStr">
        <is>
          <t>29103-ET-P2800-6-2.pdf</t>
        </is>
      </c>
      <c r="I11" s="4" t="str">
        <f>IF($H11&lt;&gt;"","YES","NO")</f>
        <v>YES</v>
      </c>
      <c r="J11" s="4" t="str">
        <f>IF(N($T11)&gt;0,"YES","NO")</f>
        <v>NO</v>
      </c>
      <c r="K11" s="4" t="str">
        <f>IF(OR($A11="EHT Trace"),IF(AND($U11&lt;&gt;"",$V11&lt;&gt;""),"YES","NO"),"N/A")</f>
        <v>YES</v>
      </c>
      <c r="L11" s="4" t="str">
        <f>IF(OR($A11="EHT Trace"),IF(AND($X11&lt;&gt;"",$Y11&lt;&gt;""),"YES","NO"),"N/A")</f>
        <v>NO</v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9" t="n"/>
      <c r="U11" s="9" t="inlineStr">
        <is>
          <t>&gt;2.2 GΩ</t>
        </is>
      </c>
      <c r="V11" s="9" t="inlineStr">
        <is>
          <t>26.8 Ω</t>
        </is>
      </c>
      <c r="W11" s="9" t="inlineStr">
        <is>
          <t>2026-05-17</t>
        </is>
      </c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inlineStr">
        <is>
          <t>D/32SQ3150/51.6M/2771/277/2.1M/LS23A/X/N12</t>
        </is>
      </c>
      <c r="AK11" s="9" t="inlineStr">
        <is>
          <t>51.6 m m</t>
        </is>
      </c>
      <c r="AL11" s="9" t="inlineStr">
        <is>
          <t>Levy Ostrup</t>
        </is>
      </c>
      <c r="AM11" s="9" t="n"/>
      <c r="AN11" s="9" t="n"/>
    </row>
    <row r="12">
      <c r="A12" s="9" t="inlineStr">
        <is>
          <t>EHT Trace</t>
        </is>
      </c>
      <c r="B12" s="9" t="inlineStr">
        <is>
          <t>29103-ET-P2800-7-1</t>
        </is>
      </c>
      <c r="C12" s="9" t="inlineStr">
        <is>
          <t>29103-ET-P2800-7</t>
        </is>
      </c>
      <c r="D12" s="9" t="inlineStr">
        <is>
          <t>HTC-38 / CB-38</t>
        </is>
      </c>
      <c r="E12" s="9" t="inlineStr">
        <is>
          <t>29103-P-2810, 29103-P-2800</t>
        </is>
      </c>
      <c r="F12" s="9" t="inlineStr">
        <is>
          <t>29103-65R-ET-P2800-07-01</t>
        </is>
      </c>
      <c r="G12" s="9" t="inlineStr">
        <is>
          <t>13.1</t>
        </is>
      </c>
      <c r="H12" s="9" t="inlineStr">
        <is>
          <t>29103-ET-P2800-7-1.pdf</t>
        </is>
      </c>
      <c r="I12" s="4" t="str">
        <f>IF($H12&lt;&gt;"","YES","NO")</f>
        <v>YES</v>
      </c>
      <c r="J12" s="4" t="str">
        <f>IF(N($T12)&gt;0,"YES","NO")</f>
        <v>NO</v>
      </c>
      <c r="K12" s="4" t="str">
        <f>IF(OR($A12="EHT Trace"),IF(AND($U12&lt;&gt;"",$V12&lt;&gt;""),"YES","NO"),"N/A")</f>
        <v>YES</v>
      </c>
      <c r="L12" s="4" t="str">
        <f>IF(OR($A12="EHT Trace"),IF(AND($X12&lt;&gt;"",$Y12&lt;&gt;""),"YES","NO"),"N/A")</f>
        <v>YES</v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YES</v>
      </c>
      <c r="S12" s="4" t="str">
        <f>IF(COUNTIF(I12:R12,"NO")=0,"YES","NO")</f>
        <v>NO</v>
      </c>
      <c r="T12" s="9" t="n"/>
      <c r="U12" s="9" t="inlineStr">
        <is>
          <t>&gt;2.2 GΩ</t>
        </is>
      </c>
      <c r="V12" s="9" t="inlineStr">
        <is>
          <t>23 Ω</t>
        </is>
      </c>
      <c r="W12" s="9" t="inlineStr">
        <is>
          <t>2026-05-17</t>
        </is>
      </c>
      <c r="X12" s="9" t="inlineStr">
        <is>
          <t>550 MΩ</t>
        </is>
      </c>
      <c r="Y12" s="9" t="inlineStr">
        <is>
          <t>23.0 Ω</t>
        </is>
      </c>
      <c r="Z12" s="9" t="inlineStr">
        <is>
          <t>2026-09-20</t>
        </is>
      </c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inlineStr">
        <is>
          <t>D/32SQ3150/45.8M/3092/277/2.1M/LS23A/X/N12</t>
        </is>
      </c>
      <c r="AK12" s="9" t="inlineStr">
        <is>
          <t>45.8 m m</t>
        </is>
      </c>
      <c r="AL12" s="9" t="inlineStr">
        <is>
          <t>Levy Ostrup</t>
        </is>
      </c>
      <c r="AM12" s="9" t="n"/>
      <c r="AN12" s="9" t="n"/>
    </row>
    <row r="13">
      <c r="A13" s="9" t="inlineStr">
        <is>
          <t>EHT Trace</t>
        </is>
      </c>
      <c r="B13" s="9" t="inlineStr">
        <is>
          <t>29103-ET-P2800-7-2</t>
        </is>
      </c>
      <c r="C13" s="9" t="inlineStr">
        <is>
          <t>29103-ET-P2800-7</t>
        </is>
      </c>
      <c r="D13" s="9" t="inlineStr">
        <is>
          <t>HTC-38 / CB-38</t>
        </is>
      </c>
      <c r="E13" s="9" t="inlineStr">
        <is>
          <t>29103-P-2810, 29103-P-2800</t>
        </is>
      </c>
      <c r="F13" s="9" t="inlineStr">
        <is>
          <t>29103-65R-ET-P2800-07-01</t>
        </is>
      </c>
      <c r="G13" s="9" t="inlineStr">
        <is>
          <t>13.1</t>
        </is>
      </c>
      <c r="H13" s="9" t="inlineStr">
        <is>
          <t>29103-ET-P2800-7-2.pdf</t>
        </is>
      </c>
      <c r="I13" s="4" t="str">
        <f>IF($H13&lt;&gt;"","YES","NO")</f>
        <v>YES</v>
      </c>
      <c r="J13" s="4" t="str">
        <f>IF(N($T13)&gt;0,"YES","NO")</f>
        <v>NO</v>
      </c>
      <c r="K13" s="4" t="str">
        <f>IF(OR($A13="EHT Trace"),IF(AND($U13&lt;&gt;"",$V13&lt;&gt;""),"YES","NO"),"N/A")</f>
        <v>YES</v>
      </c>
      <c r="L13" s="4" t="str">
        <f>IF(OR($A13="EHT Trace"),IF(AND($X13&lt;&gt;"",$Y13&lt;&gt;""),"YES","NO"),"N/A")</f>
        <v>YES</v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YES</v>
      </c>
      <c r="S13" s="4" t="str">
        <f>IF(COUNTIF(I13:R13,"NO")=0,"YES","NO")</f>
        <v>NO</v>
      </c>
      <c r="T13" s="9" t="n"/>
      <c r="U13" s="9" t="inlineStr">
        <is>
          <t>&gt;2.2 GΩ</t>
        </is>
      </c>
      <c r="V13" s="9" t="inlineStr">
        <is>
          <t>23.1 Ω</t>
        </is>
      </c>
      <c r="W13" s="9" t="inlineStr">
        <is>
          <t>2026-05-17</t>
        </is>
      </c>
      <c r="X13" s="9" t="inlineStr">
        <is>
          <t>550 MΩ</t>
        </is>
      </c>
      <c r="Y13" s="9" t="inlineStr">
        <is>
          <t>23.1 Ω</t>
        </is>
      </c>
      <c r="Z13" s="9" t="inlineStr">
        <is>
          <t>2026-09-20</t>
        </is>
      </c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inlineStr">
        <is>
          <t>D/32SQ3150/45.8M/3092/277/2.1M/LS23A/X/N12</t>
        </is>
      </c>
      <c r="AK13" s="9" t="inlineStr">
        <is>
          <t>45.8 m m</t>
        </is>
      </c>
      <c r="AL13" s="9" t="inlineStr">
        <is>
          <t>Levy Ostrup</t>
        </is>
      </c>
      <c r="AM13" s="9" t="n"/>
      <c r="AN13" s="9" t="n"/>
    </row>
    <row r="14">
      <c r="A14" s="9" t="inlineStr">
        <is>
          <t>EHT Trace</t>
        </is>
      </c>
      <c r="B14" s="9" t="inlineStr">
        <is>
          <t>29103-ET-PE1001-1-1</t>
        </is>
      </c>
      <c r="C14" s="9" t="inlineStr">
        <is>
          <t>29103-ET-PE1001-1</t>
        </is>
      </c>
      <c r="D14" s="9" t="inlineStr">
        <is>
          <t>HTC-12 / CB-12</t>
        </is>
      </c>
      <c r="E14" s="9" t="inlineStr">
        <is>
          <t>29103-PE-1002, 29103-PE-1001</t>
        </is>
      </c>
      <c r="F14" s="9" t="inlineStr">
        <is>
          <t>29103-65R-ET-PE1001-01-01</t>
        </is>
      </c>
      <c r="G14" s="9" t="inlineStr">
        <is>
          <t>13.1</t>
        </is>
      </c>
      <c r="H14" s="9" t="inlineStr">
        <is>
          <t>29103-ET-PE1001-1-1.pdf</t>
        </is>
      </c>
      <c r="I14" s="4" t="str">
        <f>IF($H14&lt;&gt;"","YES","NO")</f>
        <v>YES</v>
      </c>
      <c r="J14" s="4" t="str">
        <f>IF(N($T14)&gt;0,"YES","NO")</f>
        <v>NO</v>
      </c>
      <c r="K14" s="4" t="str">
        <f>IF(OR($A14="EHT Trace"),IF(AND($U14&lt;&gt;"",$V14&lt;&gt;""),"YES","NO"),"N/A")</f>
        <v>NO</v>
      </c>
      <c r="L14" s="4" t="str">
        <f>IF(OR($A14="EHT Trace"),IF(AND($X14&lt;&gt;"",$Y14&lt;&gt;""),"YES","NO"),"N/A")</f>
        <v>NO</v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inlineStr">
        <is>
          <t>D/32SQ3150/51.4M/2781/277/2.1M/LS23A/X/N12</t>
        </is>
      </c>
      <c r="AK14" s="9" t="inlineStr">
        <is>
          <t>51.4 m m</t>
        </is>
      </c>
      <c r="AL14" s="9" t="inlineStr">
        <is>
          <t>Levy Ostrup</t>
        </is>
      </c>
      <c r="AM14" s="9" t="n"/>
      <c r="AN14" s="9" t="n"/>
    </row>
    <row r="15">
      <c r="A15" s="9" t="inlineStr">
        <is>
          <t>EHT Trace</t>
        </is>
      </c>
      <c r="B15" s="9" t="inlineStr">
        <is>
          <t>29103-ET-PE1001-1-2</t>
        </is>
      </c>
      <c r="C15" s="9" t="inlineStr">
        <is>
          <t>29103-ET-PE1001-1</t>
        </is>
      </c>
      <c r="D15" s="9" t="inlineStr">
        <is>
          <t>HTC-12 / CB-12</t>
        </is>
      </c>
      <c r="E15" s="9" t="inlineStr">
        <is>
          <t>29103-PE-1002, 29103-PE-1001</t>
        </is>
      </c>
      <c r="F15" s="9" t="inlineStr">
        <is>
          <t>29103-65R-ET-PE1001-01-01</t>
        </is>
      </c>
      <c r="G15" s="9" t="inlineStr">
        <is>
          <t>13.1</t>
        </is>
      </c>
      <c r="H15" s="9" t="inlineStr">
        <is>
          <t>29103-ET-PE1001-1-2.pdf</t>
        </is>
      </c>
      <c r="I15" s="4" t="str">
        <f>IF($H15&lt;&gt;"","YES","NO")</f>
        <v>YES</v>
      </c>
      <c r="J15" s="4" t="str">
        <f>IF(N($T15)&gt;0,"YES","NO")</f>
        <v>NO</v>
      </c>
      <c r="K15" s="4" t="str">
        <f>IF(OR($A15="EHT Trace"),IF(AND($U15&lt;&gt;"",$V15&lt;&gt;""),"YES","NO"),"N/A")</f>
        <v>NO</v>
      </c>
      <c r="L15" s="4" t="str">
        <f>IF(OR($A15="EHT Trace"),IF(AND($X15&lt;&gt;"",$Y15&lt;&gt;""),"YES","NO"),"N/A")</f>
        <v>NO</v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inlineStr">
        <is>
          <t>D/32SQ3150/51.4M/2781/277/2.1M/LS23A/X/N12</t>
        </is>
      </c>
      <c r="AK15" s="9" t="inlineStr">
        <is>
          <t>51.4 m m</t>
        </is>
      </c>
      <c r="AL15" s="9" t="inlineStr">
        <is>
          <t>Levy Ostrup</t>
        </is>
      </c>
      <c r="AM15" s="9" t="n"/>
      <c r="AN15" s="9" t="n"/>
    </row>
    <row r="16">
      <c r="A16" s="9" t="inlineStr">
        <is>
          <t>EHT Trace</t>
        </is>
      </c>
      <c r="B16" s="9" t="inlineStr">
        <is>
          <t>29103-ET-PE1002-1-1</t>
        </is>
      </c>
      <c r="C16" s="9" t="inlineStr">
        <is>
          <t>29103-ET-PE1002-1</t>
        </is>
      </c>
      <c r="D16" s="9" t="inlineStr">
        <is>
          <t>HTC-23 / CB-23</t>
        </is>
      </c>
      <c r="E16" s="9" t="inlineStr">
        <is>
          <t>29103-PE-1002</t>
        </is>
      </c>
      <c r="F16" s="9" t="inlineStr">
        <is>
          <t>29103-65R-ET-PE1002-01-01</t>
        </is>
      </c>
      <c r="G16" s="9" t="inlineStr">
        <is>
          <t>13.1</t>
        </is>
      </c>
      <c r="H16" s="9" t="inlineStr">
        <is>
          <t>29103-ET-PE1002-1-1.pdf</t>
        </is>
      </c>
      <c r="I16" s="4" t="str">
        <f>IF($H16&lt;&gt;"","YES","NO")</f>
        <v>YES</v>
      </c>
      <c r="J16" s="4" t="str">
        <f>IF(N($T16)&gt;0,"YES","NO")</f>
        <v>NO</v>
      </c>
      <c r="K16" s="4" t="str">
        <f>IF(OR($A16="EHT Trace"),IF(AND($U16&lt;&gt;"",$V16&lt;&gt;""),"YES","NO"),"N/A")</f>
        <v>NO</v>
      </c>
      <c r="L16" s="4" t="str">
        <f>IF(OR($A16="EHT Trace"),IF(AND($X16&lt;&gt;"",$Y16&lt;&gt;""),"YES","NO"),"N/A")</f>
        <v>NO</v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inlineStr">
        <is>
          <t>D/32SA2200/13.8M/835/277/2.1M/LS23A/X/N12</t>
        </is>
      </c>
      <c r="AK16" s="9" t="inlineStr">
        <is>
          <t>13.8 m m</t>
        </is>
      </c>
      <c r="AL16" s="9" t="inlineStr">
        <is>
          <t>Levy Ostrup</t>
        </is>
      </c>
      <c r="AM16" s="9" t="n"/>
      <c r="AN16" s="9" t="n"/>
    </row>
    <row r="17">
      <c r="A17" s="9" t="inlineStr">
        <is>
          <t>EHT Trace</t>
        </is>
      </c>
      <c r="B17" s="9" t="inlineStr">
        <is>
          <t>29103-ET-PE1803-4-1</t>
        </is>
      </c>
      <c r="C17" s="9" t="inlineStr">
        <is>
          <t>29103-ET-PE1803-4</t>
        </is>
      </c>
      <c r="D17" s="9" t="inlineStr">
        <is>
          <t>HTC-18 / CB-18</t>
        </is>
      </c>
      <c r="E17" s="9" t="inlineStr">
        <is>
          <t>29103-PE-1805</t>
        </is>
      </c>
      <c r="F17" s="9" t="inlineStr">
        <is>
          <t>29103-65R-ET-PE1803-04-01</t>
        </is>
      </c>
      <c r="G17" s="9" t="inlineStr">
        <is>
          <t>13.1</t>
        </is>
      </c>
      <c r="H17" s="9" t="inlineStr">
        <is>
          <t>29103-ET-PE1803-4-1.pdf</t>
        </is>
      </c>
      <c r="I17" s="4" t="str">
        <f>IF($H17&lt;&gt;"","YES","NO")</f>
        <v>YES</v>
      </c>
      <c r="J17" s="4" t="str">
        <f>IF(N($T17)&gt;0,"YES","NO")</f>
        <v>NO</v>
      </c>
      <c r="K17" s="4" t="str">
        <f>IF(OR($A17="EHT Trace"),IF(AND($U17&lt;&gt;"",$V17&lt;&gt;""),"YES","NO"),"N/A")</f>
        <v>NO</v>
      </c>
      <c r="L17" s="4" t="str">
        <f>IF(OR($A17="EHT Trace"),IF(AND($X17&lt;&gt;"",$Y17&lt;&gt;""),"YES","NO"),"N/A")</f>
        <v>NO</v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inlineStr">
        <is>
          <t>E/32SQ3472/10.8M/423/87.2/1.2M/LS23A/X/N12/XNF</t>
        </is>
      </c>
      <c r="AK17" s="9" t="inlineStr">
        <is>
          <t>10.8 m m</t>
        </is>
      </c>
      <c r="AL17" s="9" t="inlineStr">
        <is>
          <t>Levy Ostrup</t>
        </is>
      </c>
      <c r="AM17" s="9" t="n"/>
      <c r="AN17" s="9" t="n"/>
    </row>
    <row r="18">
      <c r="A18" s="9" t="inlineStr">
        <is>
          <t>EHT Trace</t>
        </is>
      </c>
      <c r="B18" s="9" t="inlineStr">
        <is>
          <t>29103-ET-PE1803-4-2</t>
        </is>
      </c>
      <c r="C18" s="9" t="inlineStr">
        <is>
          <t>29103-ET-PE1803-4</t>
        </is>
      </c>
      <c r="D18" s="9" t="inlineStr">
        <is>
          <t>HTC-18 / CB-18</t>
        </is>
      </c>
      <c r="E18" s="9" t="inlineStr">
        <is>
          <t>29103-PE-1805</t>
        </is>
      </c>
      <c r="F18" s="9" t="inlineStr">
        <is>
          <t>29103-65R-ET-PE1803-04-01</t>
        </is>
      </c>
      <c r="G18" s="9" t="inlineStr">
        <is>
          <t>13.1</t>
        </is>
      </c>
      <c r="H18" s="9" t="inlineStr">
        <is>
          <t>29103-ET-PE1803-4-2.pdf</t>
        </is>
      </c>
      <c r="I18" s="4" t="str">
        <f>IF($H18&lt;&gt;"","YES","NO")</f>
        <v>YES</v>
      </c>
      <c r="J18" s="4" t="str">
        <f>IF(N($T18)&gt;0,"YES","NO")</f>
        <v>NO</v>
      </c>
      <c r="K18" s="4" t="str">
        <f>IF(OR($A18="EHT Trace"),IF(AND($U18&lt;&gt;"",$V18&lt;&gt;""),"YES","NO"),"N/A")</f>
        <v>NO</v>
      </c>
      <c r="L18" s="4" t="str">
        <f>IF(OR($A18="EHT Trace"),IF(AND($X18&lt;&gt;"",$Y18&lt;&gt;""),"YES","NO"),"N/A")</f>
        <v>NO</v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inlineStr">
        <is>
          <t>E/32SQ3472/15.1M/592/122/1.2M/LS23A/X/N12/XMF</t>
        </is>
      </c>
      <c r="AK18" s="9" t="inlineStr">
        <is>
          <t>15.1 m m</t>
        </is>
      </c>
      <c r="AL18" s="9" t="inlineStr">
        <is>
          <t>Levy Ostrup</t>
        </is>
      </c>
      <c r="AM18" s="9" t="n"/>
      <c r="AN18" s="9" t="n"/>
    </row>
    <row r="19">
      <c r="A19" s="9" t="inlineStr">
        <is>
          <t>EHT Trace</t>
        </is>
      </c>
      <c r="B19" s="9" t="inlineStr">
        <is>
          <t>29103-ET-PE1803-4-3</t>
        </is>
      </c>
      <c r="C19" s="9" t="inlineStr">
        <is>
          <t>29103-ET-PE1803-4</t>
        </is>
      </c>
      <c r="D19" s="9" t="inlineStr">
        <is>
          <t>HTC-18 / CB-18</t>
        </is>
      </c>
      <c r="E19" s="9" t="inlineStr">
        <is>
          <t>29103-PE-1804, 29103-PE-1803</t>
        </is>
      </c>
      <c r="F19" s="9" t="inlineStr">
        <is>
          <t>29103-65R-ET-PE1803-04-01</t>
        </is>
      </c>
      <c r="G19" s="9" t="inlineStr">
        <is>
          <t>13.1</t>
        </is>
      </c>
      <c r="H19" s="9" t="inlineStr">
        <is>
          <t>29103-ET-PE1803-4-3.pdf</t>
        </is>
      </c>
      <c r="I19" s="4" t="str">
        <f>IF($H19&lt;&gt;"","YES","NO")</f>
        <v>YES</v>
      </c>
      <c r="J19" s="4" t="str">
        <f>IF(N($T19)&gt;0,"YES","NO")</f>
        <v>NO</v>
      </c>
      <c r="K19" s="4" t="str">
        <f>IF(OR($A19="EHT Trace"),IF(AND($U19&lt;&gt;"",$V19&lt;&gt;""),"YES","NO"),"N/A")</f>
        <v>NO</v>
      </c>
      <c r="L19" s="4" t="str">
        <f>IF(OR($A19="EHT Trace"),IF(AND($X19&lt;&gt;"",$Y19&lt;&gt;""),"YES","NO"),"N/A")</f>
        <v>NO</v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inlineStr">
        <is>
          <t>D/32SQ3472/8.4M/329/67.8/1.2M/LS23A/X/N12/XMN</t>
        </is>
      </c>
      <c r="AK19" s="9" t="inlineStr">
        <is>
          <t>8.4 m m</t>
        </is>
      </c>
      <c r="AL19" s="9" t="inlineStr">
        <is>
          <t>Levy Ostrup</t>
        </is>
      </c>
      <c r="AM19" s="9" t="n"/>
      <c r="AN19" s="9" t="n"/>
    </row>
    <row r="20">
      <c r="A20" s="9" t="inlineStr">
        <is>
          <t>EHT Trace</t>
        </is>
      </c>
      <c r="B20" s="9" t="inlineStr">
        <is>
          <t>29103-ET-PE2802-3-1</t>
        </is>
      </c>
      <c r="C20" s="9" t="inlineStr">
        <is>
          <t>29103-ET-PE2802-3</t>
        </is>
      </c>
      <c r="D20" s="9" t="inlineStr">
        <is>
          <t>HTC-03 / CB-03</t>
        </is>
      </c>
      <c r="E20" s="9" t="inlineStr">
        <is>
          <t>29103-PE-2802</t>
        </is>
      </c>
      <c r="F20" s="9" t="inlineStr">
        <is>
          <t>29103-65R-ET-PE2802-03-01</t>
        </is>
      </c>
      <c r="G20" s="9" t="inlineStr">
        <is>
          <t>13.1</t>
        </is>
      </c>
      <c r="H20" s="9" t="inlineStr">
        <is>
          <t>29103-ET-PE2802-3-1.pdf</t>
        </is>
      </c>
      <c r="I20" s="4" t="str">
        <f>IF($H20&lt;&gt;"","YES","NO")</f>
        <v>YES</v>
      </c>
      <c r="J20" s="4" t="str">
        <f>IF(N($T20)&gt;0,"YES","NO")</f>
        <v>NO</v>
      </c>
      <c r="K20" s="4" t="str">
        <f>IF(OR($A20="EHT Trace"),IF(AND($U20&lt;&gt;"",$V20&lt;&gt;""),"YES","NO"),"N/A")</f>
        <v>NO</v>
      </c>
      <c r="L20" s="4" t="str">
        <f>IF(OR($A20="EHT Trace"),IF(AND($X20&lt;&gt;"",$Y20&lt;&gt;""),"YES","NO"),"N/A")</f>
        <v>NO</v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inlineStr">
        <is>
          <t>D/32SP4458/18M/1580/74.1/2.1M/LS23A/X/N12</t>
        </is>
      </c>
      <c r="AK20" s="9" t="inlineStr">
        <is>
          <t>18 m m</t>
        </is>
      </c>
      <c r="AL20" s="9" t="inlineStr">
        <is>
          <t>Levy Ostrup</t>
        </is>
      </c>
      <c r="AM20" s="9" t="n"/>
      <c r="AN20" s="9" t="n"/>
    </row>
    <row r="21">
      <c r="A21" s="9" t="inlineStr">
        <is>
          <t>EHT Trace</t>
        </is>
      </c>
      <c r="B21" s="9" t="inlineStr">
        <is>
          <t>29103-ET-PE2802-3-2</t>
        </is>
      </c>
      <c r="C21" s="9" t="inlineStr">
        <is>
          <t>29103-ET-PE2802-3</t>
        </is>
      </c>
      <c r="D21" s="9" t="inlineStr">
        <is>
          <t>HTC-03 / CB-03</t>
        </is>
      </c>
      <c r="E21" s="9" t="inlineStr">
        <is>
          <t>29103-PE-2802</t>
        </is>
      </c>
      <c r="F21" s="9" t="inlineStr">
        <is>
          <t>29103-65R-ET-PE2802-03-01</t>
        </is>
      </c>
      <c r="G21" s="9" t="inlineStr">
        <is>
          <t>13.1</t>
        </is>
      </c>
      <c r="H21" s="9" t="inlineStr">
        <is>
          <t>29103-ET-PE2802-3-2.pdf</t>
        </is>
      </c>
      <c r="I21" s="4" t="str">
        <f>IF($H21&lt;&gt;"","YES","NO")</f>
        <v>YES</v>
      </c>
      <c r="J21" s="4" t="str">
        <f>IF(N($T21)&gt;0,"YES","NO")</f>
        <v>NO</v>
      </c>
      <c r="K21" s="4" t="str">
        <f>IF(OR($A21="EHT Trace"),IF(AND($U21&lt;&gt;"",$V21&lt;&gt;""),"YES","NO"),"N/A")</f>
        <v>NO</v>
      </c>
      <c r="L21" s="4" t="str">
        <f>IF(OR($A21="EHT Trace"),IF(AND($X21&lt;&gt;"",$Y21&lt;&gt;""),"YES","NO"),"N/A")</f>
        <v>NO</v>
      </c>
      <c r="M21" s="4" t="str">
        <f>IF(OR($A21="EHT Trace"),IF(AND($AA21&lt;&gt;"",$AB21&lt;&gt;""),"YES","NO"),"N/A")</f>
        <v>NO</v>
      </c>
      <c r="N21" s="4" t="str">
        <f>IF(OR($A21="Power Cable"),IF(AND($AD21&lt;&gt;""),"YES","NO"),"N/A")</f>
        <v>N/A</v>
      </c>
      <c r="O21" s="4" t="str">
        <f>IF(OR($A21="Power Cable",$A21="RTD Cable",$A21="Fieldbus Cable"),IF(AND($AE21&lt;&gt;""),"YES","NO"),"N/A")</f>
        <v>N/A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str">
        <f>IF(OR($AM21&lt;&gt;"",$Z21&lt;&gt;"",$AC21&lt;&gt;""),"YES","NO")</f>
        <v>NO</v>
      </c>
      <c r="S21" s="4" t="str">
        <f>IF(COUNTIF(I21:R21,"NO")=0,"YES","NO")</f>
        <v>NO</v>
      </c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inlineStr">
        <is>
          <t>D/32SP4458/49.3M/4329/203/1.2M/LS23A/X/N12</t>
        </is>
      </c>
      <c r="AK21" s="9" t="inlineStr">
        <is>
          <t>49.3 m m</t>
        </is>
      </c>
      <c r="AL21" s="9" t="inlineStr">
        <is>
          <t>Levy Ostrup</t>
        </is>
      </c>
      <c r="AM21" s="9" t="n"/>
      <c r="AN21" s="9" t="n"/>
    </row>
    <row r="22">
      <c r="A22" s="9" t="inlineStr">
        <is>
          <t>EHT Trace</t>
        </is>
      </c>
      <c r="B22" s="9" t="inlineStr">
        <is>
          <t>29103-ET-PE2802-4-1</t>
        </is>
      </c>
      <c r="C22" s="9" t="inlineStr">
        <is>
          <t>29103-ET-PE2802-4</t>
        </is>
      </c>
      <c r="D22" s="9" t="inlineStr">
        <is>
          <t>HTC-10 / CB-10</t>
        </is>
      </c>
      <c r="E22" s="9" t="inlineStr">
        <is>
          <t>29103-PE-2802</t>
        </is>
      </c>
      <c r="F22" s="9" t="inlineStr">
        <is>
          <t>29103-65R-ET-PE2802-04-01</t>
        </is>
      </c>
      <c r="G22" s="9" t="inlineStr">
        <is>
          <t>13.1</t>
        </is>
      </c>
      <c r="H22" s="9" t="inlineStr">
        <is>
          <t>29103-ET-PE2802-4-1.pdf</t>
        </is>
      </c>
      <c r="I22" s="4" t="str">
        <f>IF($H22&lt;&gt;"","YES","NO")</f>
        <v>YES</v>
      </c>
      <c r="J22" s="4" t="str">
        <f>IF(N($T22)&gt;0,"YES","NO")</f>
        <v>NO</v>
      </c>
      <c r="K22" s="4" t="str">
        <f>IF(OR($A22="EHT Trace"),IF(AND($U22&lt;&gt;"",$V22&lt;&gt;""),"YES","NO"),"N/A")</f>
        <v>NO</v>
      </c>
      <c r="L22" s="4" t="str">
        <f>IF(OR($A22="EHT Trace"),IF(AND($X22&lt;&gt;"",$Y22&lt;&gt;""),"YES","NO"),"N/A")</f>
        <v>NO</v>
      </c>
      <c r="M22" s="4" t="str">
        <f>IF(OR($A22="EHT Trace"),IF(AND($AA22&lt;&gt;"",$AB22&lt;&gt;""),"YES","NO"),"N/A")</f>
        <v>NO</v>
      </c>
      <c r="N22" s="4" t="str">
        <f>IF(OR($A22="Power Cable"),IF(AND($AD22&lt;&gt;""),"YES","NO"),"N/A")</f>
        <v>N/A</v>
      </c>
      <c r="O22" s="4" t="str">
        <f>IF(OR($A22="Power Cable",$A22="RTD Cable",$A22="Fieldbus Cable"),IF(AND($AE22&lt;&gt;""),"YES","NO"),"N/A")</f>
        <v>N/A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str">
        <f>IF(OR($AM22&lt;&gt;"",$Z22&lt;&gt;"",$AC22&lt;&gt;""),"YES","NO")</f>
        <v>NO</v>
      </c>
      <c r="S22" s="4" t="str">
        <f>IF(COUNTIF(I22:R22,"NO")=0,"YES","NO")</f>
        <v>NO</v>
      </c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inlineStr">
        <is>
          <t>D/32SQ3100/47.3M/4441/277/1.2M/LS23A/X/N12</t>
        </is>
      </c>
      <c r="AK22" s="9" t="inlineStr">
        <is>
          <t>47.3 m m</t>
        </is>
      </c>
      <c r="AL22" s="9" t="inlineStr">
        <is>
          <t>Levy Ostrup</t>
        </is>
      </c>
      <c r="AM22" s="9" t="n"/>
      <c r="AN22" s="9" t="n"/>
    </row>
    <row r="23">
      <c r="A23" s="9" t="inlineStr">
        <is>
          <t>EHT Trace</t>
        </is>
      </c>
      <c r="B23" s="9" t="inlineStr">
        <is>
          <t>29103-ET-PE2802-5-1</t>
        </is>
      </c>
      <c r="C23" s="9" t="inlineStr">
        <is>
          <t>29103-ET-PE2802-5</t>
        </is>
      </c>
      <c r="D23" s="9" t="inlineStr">
        <is>
          <t>HTC-37 / CB-37</t>
        </is>
      </c>
      <c r="E23" s="9" t="inlineStr">
        <is>
          <t>29103-PE-2812, 29103-PE-2802</t>
        </is>
      </c>
      <c r="F23" s="9" t="inlineStr">
        <is>
          <t>29103-65R-ET-PE2802-05-01</t>
        </is>
      </c>
      <c r="G23" s="9" t="inlineStr">
        <is>
          <t>13.1</t>
        </is>
      </c>
      <c r="H23" s="9" t="inlineStr">
        <is>
          <t>29103-ET-PE2802-5-1.pdf</t>
        </is>
      </c>
      <c r="I23" s="4" t="str">
        <f>IF($H23&lt;&gt;"","YES","NO")</f>
        <v>YES</v>
      </c>
      <c r="J23" s="4" t="str">
        <f>IF(N($T23)&gt;0,"YES","NO")</f>
        <v>NO</v>
      </c>
      <c r="K23" s="4" t="str">
        <f>IF(OR($A23="EHT Trace"),IF(AND($U23&lt;&gt;"",$V23&lt;&gt;""),"YES","NO"),"N/A")</f>
        <v>NO</v>
      </c>
      <c r="L23" s="4" t="str">
        <f>IF(OR($A23="EHT Trace"),IF(AND($X23&lt;&gt;"",$Y23&lt;&gt;""),"YES","NO"),"N/A")</f>
        <v>NO</v>
      </c>
      <c r="M23" s="4" t="str">
        <f>IF(OR($A23="EHT Trace"),IF(AND($AA23&lt;&gt;"",$AB23&lt;&gt;""),"YES","NO"),"N/A")</f>
        <v>NO</v>
      </c>
      <c r="N23" s="4" t="str">
        <f>IF(OR($A23="Power Cable"),IF(AND($AD23&lt;&gt;""),"YES","NO"),"N/A")</f>
        <v>N/A</v>
      </c>
      <c r="O23" s="4" t="str">
        <f>IF(OR($A23="Power Cable",$A23="RTD Cable",$A23="Fieldbus Cable"),IF(AND($AE23&lt;&gt;""),"YES","NO"),"N/A")</f>
        <v>N/A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str">
        <f>IF(OR($AM23&lt;&gt;"",$Z23&lt;&gt;"",$AC23&lt;&gt;""),"YES","NO")</f>
        <v>NO</v>
      </c>
      <c r="S23" s="4" t="str">
        <f>IF(COUNTIF(I23:R23,"NO")=0,"YES","NO")</f>
        <v>NO</v>
      </c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inlineStr">
        <is>
          <t>D/32SQ3200/51.7M/2094/277/2.1M/LS23A/X/N12</t>
        </is>
      </c>
      <c r="AK23" s="9" t="inlineStr">
        <is>
          <t>51.7 m m</t>
        </is>
      </c>
      <c r="AL23" s="9" t="inlineStr">
        <is>
          <t>Levy Ostrup</t>
        </is>
      </c>
      <c r="AM23" s="9" t="n"/>
      <c r="AN23" s="9" t="n"/>
    </row>
    <row r="24">
      <c r="A24" s="9" t="inlineStr">
        <is>
          <t>EHT Trace</t>
        </is>
      </c>
      <c r="B24" s="9" t="inlineStr">
        <is>
          <t>29103-ET-PE2802-5-2</t>
        </is>
      </c>
      <c r="C24" s="9" t="inlineStr">
        <is>
          <t>29103-ET-PE2802-5</t>
        </is>
      </c>
      <c r="D24" s="9" t="inlineStr">
        <is>
          <t>HTC-37 / CB-37</t>
        </is>
      </c>
      <c r="E24" s="9" t="inlineStr">
        <is>
          <t>29103-PE-2812, 29103-PE-2802</t>
        </is>
      </c>
      <c r="F24" s="9" t="inlineStr">
        <is>
          <t>29103-65R-ET-PE2802-05-01</t>
        </is>
      </c>
      <c r="G24" s="9" t="inlineStr">
        <is>
          <t>13.1</t>
        </is>
      </c>
      <c r="H24" s="9" t="inlineStr">
        <is>
          <t>29103-ET-PE2802-5-2.pdf</t>
        </is>
      </c>
      <c r="I24" s="4" t="str">
        <f>IF($H24&lt;&gt;"","YES","NO")</f>
        <v>YES</v>
      </c>
      <c r="J24" s="4" t="str">
        <f>IF(N($T24)&gt;0,"YES","NO")</f>
        <v>NO</v>
      </c>
      <c r="K24" s="4" t="str">
        <f>IF(OR($A24="EHT Trace"),IF(AND($U24&lt;&gt;"",$V24&lt;&gt;""),"YES","NO"),"N/A")</f>
        <v>NO</v>
      </c>
      <c r="L24" s="4" t="str">
        <f>IF(OR($A24="EHT Trace"),IF(AND($X24&lt;&gt;"",$Y24&lt;&gt;""),"YES","NO"),"N/A")</f>
        <v>NO</v>
      </c>
      <c r="M24" s="4" t="str">
        <f>IF(OR($A24="EHT Trace"),IF(AND($AA24&lt;&gt;"",$AB24&lt;&gt;""),"YES","NO"),"N/A")</f>
        <v>NO</v>
      </c>
      <c r="N24" s="4" t="str">
        <f>IF(OR($A24="Power Cable"),IF(AND($AD24&lt;&gt;""),"YES","NO"),"N/A")</f>
        <v>N/A</v>
      </c>
      <c r="O24" s="4" t="str">
        <f>IF(OR($A24="Power Cable",$A24="RTD Cable",$A24="Fieldbus Cable"),IF(AND($AE24&lt;&gt;""),"YES","NO"),"N/A")</f>
        <v>N/A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str">
        <f>IF(OR($AM24&lt;&gt;"",$Z24&lt;&gt;"",$AC24&lt;&gt;""),"YES","NO")</f>
        <v>NO</v>
      </c>
      <c r="S24" s="4" t="str">
        <f>IF(COUNTIF(I24:R24,"NO")=0,"YES","NO")</f>
        <v>NO</v>
      </c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inlineStr">
        <is>
          <t>D/32SQ3200/51.7M/2094/277/2.1M/LS23A/X/N12</t>
        </is>
      </c>
      <c r="AK24" s="9" t="inlineStr">
        <is>
          <t>51.7 m m</t>
        </is>
      </c>
      <c r="AL24" s="9" t="inlineStr">
        <is>
          <t>Levy Ostrup</t>
        </is>
      </c>
      <c r="AM24" s="9" t="n"/>
      <c r="AN24" s="9" t="n"/>
    </row>
    <row r="25">
      <c r="A25" s="9" t="inlineStr">
        <is>
          <t>EHT Trace</t>
        </is>
      </c>
      <c r="B25" s="9" t="inlineStr">
        <is>
          <t>29103-ET-PE2803-3-1</t>
        </is>
      </c>
      <c r="C25" s="9" t="inlineStr">
        <is>
          <t>29103-ET-PE2803-3</t>
        </is>
      </c>
      <c r="D25" s="9" t="inlineStr">
        <is>
          <t>HTC-04 / CB-04</t>
        </is>
      </c>
      <c r="E25" s="9" t="inlineStr">
        <is>
          <t>29103-PE-2803</t>
        </is>
      </c>
      <c r="F25" s="9" t="inlineStr">
        <is>
          <t>29103-65R-ET-PE2803-03-01</t>
        </is>
      </c>
      <c r="G25" s="9" t="inlineStr">
        <is>
          <t>13.1</t>
        </is>
      </c>
      <c r="H25" s="9" t="inlineStr">
        <is>
          <t>29103-ET-PE2803-3-1.pdf</t>
        </is>
      </c>
      <c r="I25" s="4" t="str">
        <f>IF($H25&lt;&gt;"","YES","NO")</f>
        <v>YES</v>
      </c>
      <c r="J25" s="4" t="str">
        <f>IF(N($T25)&gt;0,"YES","NO")</f>
        <v>NO</v>
      </c>
      <c r="K25" s="4" t="str">
        <f>IF(OR($A25="EHT Trace"),IF(AND($U25&lt;&gt;"",$V25&lt;&gt;""),"YES","NO"),"N/A")</f>
        <v>NO</v>
      </c>
      <c r="L25" s="4" t="str">
        <f>IF(OR($A25="EHT Trace"),IF(AND($X25&lt;&gt;"",$Y25&lt;&gt;""),"YES","NO"),"N/A")</f>
        <v>NO</v>
      </c>
      <c r="M25" s="4" t="str">
        <f>IF(OR($A25="EHT Trace"),IF(AND($AA25&lt;&gt;"",$AB25&lt;&gt;""),"YES","NO"),"N/A")</f>
        <v>NO</v>
      </c>
      <c r="N25" s="4" t="str">
        <f>IF(OR($A25="Power Cable"),IF(AND($AD25&lt;&gt;""),"YES","NO"),"N/A")</f>
        <v>N/A</v>
      </c>
      <c r="O25" s="4" t="str">
        <f>IF(OR($A25="Power Cable",$A25="RTD Cable",$A25="Fieldbus Cable"),IF(AND($AE25&lt;&gt;""),"YES","NO"),"N/A")</f>
        <v>N/A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str">
        <f>IF(OR($AM25&lt;&gt;"",$Z25&lt;&gt;"",$AC25&lt;&gt;""),"YES","NO")</f>
        <v>NO</v>
      </c>
      <c r="S25" s="4" t="str">
        <f>IF(COUNTIF(I25:R25,"NO")=0,"YES","NO")</f>
        <v>NO</v>
      </c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inlineStr">
        <is>
          <t>D/32SQ3150/53.8M/2668/277/1.2M/LS23A/X/N12</t>
        </is>
      </c>
      <c r="AK25" s="9" t="inlineStr">
        <is>
          <t>53.8 m m</t>
        </is>
      </c>
      <c r="AL25" s="9" t="inlineStr">
        <is>
          <t>Levy Ostrup</t>
        </is>
      </c>
      <c r="AM25" s="9" t="n"/>
      <c r="AN25" s="9" t="n"/>
    </row>
    <row r="26">
      <c r="A26" s="9" t="inlineStr">
        <is>
          <t>EHT Trace</t>
        </is>
      </c>
      <c r="B26" s="9" t="inlineStr">
        <is>
          <t>29103-ET-ST1809-1-1</t>
        </is>
      </c>
      <c r="C26" s="9" t="inlineStr">
        <is>
          <t>29103-ET-ST1809-1</t>
        </is>
      </c>
      <c r="D26" s="9" t="inlineStr">
        <is>
          <t>HTC-17 / CB-17</t>
        </is>
      </c>
      <c r="E26" s="9" t="inlineStr">
        <is>
          <t>29103-ST-1811, 29103-ST-1810, 29103-ST-1809, 29103- SC-1802, 29103-SC-1801</t>
        </is>
      </c>
      <c r="F26" s="9" t="inlineStr">
        <is>
          <t>29103-65R-ET-ST1809-01-01</t>
        </is>
      </c>
      <c r="G26" s="9" t="inlineStr">
        <is>
          <t>13.1</t>
        </is>
      </c>
      <c r="H26" s="9" t="inlineStr">
        <is>
          <t>29103-ET-ST1809-1-1.pdf</t>
        </is>
      </c>
      <c r="I26" s="4" t="str">
        <f>IF($H26&lt;&gt;"","YES","NO")</f>
        <v>YES</v>
      </c>
      <c r="J26" s="4" t="str">
        <f>IF(N($T26)&gt;0,"YES","NO")</f>
        <v>NO</v>
      </c>
      <c r="K26" s="4" t="str">
        <f>IF(OR($A26="EHT Trace"),IF(AND($U26&lt;&gt;"",$V26&lt;&gt;""),"YES","NO"),"N/A")</f>
        <v>YES</v>
      </c>
      <c r="L26" s="4" t="str">
        <f>IF(OR($A26="EHT Trace"),IF(AND($X26&lt;&gt;"",$Y26&lt;&gt;""),"YES","NO"),"N/A")</f>
        <v>NO</v>
      </c>
      <c r="M26" s="4" t="str">
        <f>IF(OR($A26="EHT Trace"),IF(AND($AA26&lt;&gt;"",$AB26&lt;&gt;""),"YES","NO"),"N/A")</f>
        <v>NO</v>
      </c>
      <c r="N26" s="4" t="str">
        <f>IF(OR($A26="Power Cable"),IF(AND($AD26&lt;&gt;""),"YES","NO"),"N/A")</f>
        <v>N/A</v>
      </c>
      <c r="O26" s="4" t="str">
        <f>IF(OR($A26="Power Cable",$A26="RTD Cable",$A26="Fieldbus Cable"),IF(AND($AE26&lt;&gt;""),"YES","NO"),"N/A")</f>
        <v>N/A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str">
        <f>IF(OR($AM26&lt;&gt;"",$Z26&lt;&gt;"",$AC26&lt;&gt;""),"YES","NO")</f>
        <v>NO</v>
      </c>
      <c r="S26" s="4" t="str">
        <f>IF(COUNTIF(I26:R26,"NO")=0,"YES","NO")</f>
        <v>NO</v>
      </c>
      <c r="T26" s="9" t="n"/>
      <c r="U26" s="9" t="inlineStr">
        <is>
          <t>&gt;550 MΩ</t>
        </is>
      </c>
      <c r="V26" s="9" t="inlineStr">
        <is>
          <t>95.4 Ω</t>
        </is>
      </c>
      <c r="W26" s="9" t="inlineStr">
        <is>
          <t>2026-05-18</t>
        </is>
      </c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inlineStr">
        <is>
          <t>D/32SB3700/40.6M/820/277/1.2M/LS23A/X/N12</t>
        </is>
      </c>
      <c r="AK26" s="9" t="inlineStr">
        <is>
          <t>40.6 m m</t>
        </is>
      </c>
      <c r="AL26" s="9" t="inlineStr">
        <is>
          <t>Levy Ostrup</t>
        </is>
      </c>
      <c r="AM26" s="9" t="n"/>
      <c r="AN26" s="9" t="n"/>
    </row>
    <row r="27">
      <c r="A27" s="9" t="inlineStr">
        <is>
          <t>EHT Trace</t>
        </is>
      </c>
      <c r="B27" s="9" t="inlineStr">
        <is>
          <t>29103-ET-ST2801-1-1</t>
        </is>
      </c>
      <c r="C27" s="9" t="inlineStr">
        <is>
          <t>29103-ET-ST2801-1</t>
        </is>
      </c>
      <c r="D27" s="9" t="inlineStr">
        <is>
          <t>29103-AMB-014</t>
        </is>
      </c>
      <c r="E27" s="9" t="inlineStr">
        <is>
          <t>29103-ST-2801, 29103-ST-2800</t>
        </is>
      </c>
      <c r="F27" s="9" t="inlineStr">
        <is>
          <t>29103-65R-ET-ST2801-01-01</t>
        </is>
      </c>
      <c r="G27" s="9" t="inlineStr">
        <is>
          <t>13.1</t>
        </is>
      </c>
      <c r="H27" s="9" t="inlineStr">
        <is>
          <t>29103-ET-ST2801-1-1.pdf</t>
        </is>
      </c>
      <c r="I27" s="4" t="str">
        <f>IF($H27&lt;&gt;"","YES","NO")</f>
        <v>YES</v>
      </c>
      <c r="J27" s="4" t="str">
        <f>IF(N($T27)&gt;0,"YES","NO")</f>
        <v>NO</v>
      </c>
      <c r="K27" s="4" t="str">
        <f>IF(OR($A27="EHT Trace"),IF(AND($U27&lt;&gt;"",$V27&lt;&gt;""),"YES","NO"),"N/A")</f>
        <v>NO</v>
      </c>
      <c r="L27" s="4" t="str">
        <f>IF(OR($A27="EHT Trace"),IF(AND($X27&lt;&gt;"",$Y27&lt;&gt;""),"YES","NO"),"N/A")</f>
        <v>NO</v>
      </c>
      <c r="M27" s="4" t="str">
        <f>IF(OR($A27="EHT Trace"),IF(AND($AA27&lt;&gt;"",$AB27&lt;&gt;""),"YES","NO"),"N/A")</f>
        <v>NO</v>
      </c>
      <c r="N27" s="4" t="str">
        <f>IF(OR($A27="Power Cable"),IF(AND($AD27&lt;&gt;""),"YES","NO"),"N/A")</f>
        <v>N/A</v>
      </c>
      <c r="O27" s="4" t="str">
        <f>IF(OR($A27="Power Cable",$A27="RTD Cable",$A27="Fieldbus Cable"),IF(AND($AE27&lt;&gt;""),"YES","NO"),"N/A")</f>
        <v>N/A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str">
        <f>IF(OR($AM27&lt;&gt;"",$Z27&lt;&gt;"",$AC27&lt;&gt;""),"YES","NO")</f>
        <v>NO</v>
      </c>
      <c r="S27" s="4" t="str">
        <f>IF(COUNTIF(I27:R27,"NO")=0,"YES","NO")</f>
        <v>NO</v>
      </c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inlineStr">
        <is>
          <t>D/32SA2400/22.1M/265/277/1.2M/LS23A/X/N12</t>
        </is>
      </c>
      <c r="AK27" s="9" t="inlineStr">
        <is>
          <t>22.1 m m</t>
        </is>
      </c>
      <c r="AL27" s="9" t="inlineStr">
        <is>
          <t>Levy Ostrup</t>
        </is>
      </c>
      <c r="AM27" s="9" t="n"/>
      <c r="AN27" s="9" t="n"/>
    </row>
    <row r="28">
      <c r="A28" s="9" t="inlineStr">
        <is>
          <t>EHT Trace</t>
        </is>
      </c>
      <c r="B28" s="9" t="inlineStr">
        <is>
          <t>29103-ET-ST2803-1-1</t>
        </is>
      </c>
      <c r="C28" s="9" t="inlineStr">
        <is>
          <t>29103-ET-ST2803-1</t>
        </is>
      </c>
      <c r="D28" s="9" t="inlineStr">
        <is>
          <t>29103-AMB-014</t>
        </is>
      </c>
      <c r="E28" s="9" t="inlineStr">
        <is>
          <t>29103-ST-2803</t>
        </is>
      </c>
      <c r="F28" s="9" t="inlineStr">
        <is>
          <t>29103-65R-ET-ST2803-01-01</t>
        </is>
      </c>
      <c r="G28" s="9" t="inlineStr">
        <is>
          <t>13.1</t>
        </is>
      </c>
      <c r="H28" s="9" t="inlineStr">
        <is>
          <t>29103-ET-ST2803-1-1.pdf</t>
        </is>
      </c>
      <c r="I28" s="4" t="str">
        <f>IF($H28&lt;&gt;"","YES","NO")</f>
        <v>YES</v>
      </c>
      <c r="J28" s="4" t="str">
        <f>IF(N($T28)&gt;0,"YES","NO")</f>
        <v>NO</v>
      </c>
      <c r="K28" s="4" t="str">
        <f>IF(OR($A28="EHT Trace"),IF(AND($U28&lt;&gt;"",$V28&lt;&gt;""),"YES","NO"),"N/A")</f>
        <v>NO</v>
      </c>
      <c r="L28" s="4" t="str">
        <f>IF(OR($A28="EHT Trace"),IF(AND($X28&lt;&gt;"",$Y28&lt;&gt;""),"YES","NO"),"N/A")</f>
        <v>NO</v>
      </c>
      <c r="M28" s="4" t="str">
        <f>IF(OR($A28="EHT Trace"),IF(AND($AA28&lt;&gt;"",$AB28&lt;&gt;""),"YES","NO"),"N/A")</f>
        <v>NO</v>
      </c>
      <c r="N28" s="4" t="str">
        <f>IF(OR($A28="Power Cable"),IF(AND($AD28&lt;&gt;""),"YES","NO"),"N/A")</f>
        <v>N/A</v>
      </c>
      <c r="O28" s="4" t="str">
        <f>IF(OR($A28="Power Cable",$A28="RTD Cable",$A28="Fieldbus Cable"),IF(AND($AE28&lt;&gt;""),"YES","NO"),"N/A")</f>
        <v>N/A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str">
        <f>IF(OR($AM28&lt;&gt;"",$Z28&lt;&gt;"",$AC28&lt;&gt;""),"YES","NO")</f>
        <v>NO</v>
      </c>
      <c r="S28" s="4" t="str">
        <f>IF(COUNTIF(I28:R28,"NO")=0,"YES","NO")</f>
        <v>NO</v>
      </c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inlineStr">
        <is>
          <t>D/32SB3700/22.5M/608/178/1.2M/LS23A/X/N12</t>
        </is>
      </c>
      <c r="AK28" s="9" t="inlineStr">
        <is>
          <t>22.5 m m</t>
        </is>
      </c>
      <c r="AL28" s="9" t="inlineStr">
        <is>
          <t>Levy Ostrup</t>
        </is>
      </c>
      <c r="AM28" s="9" t="n"/>
      <c r="AN28" s="9" t="n"/>
    </row>
    <row r="29">
      <c r="A29" s="9" t="inlineStr">
        <is>
          <t>EHT Trace</t>
        </is>
      </c>
      <c r="B29" s="9" t="inlineStr">
        <is>
          <t>29103-ET-ST2803-1-2</t>
        </is>
      </c>
      <c r="C29" s="9" t="inlineStr">
        <is>
          <t>29103-ET-ST2803-1</t>
        </is>
      </c>
      <c r="D29" s="9" t="inlineStr">
        <is>
          <t>29103-AMB-014</t>
        </is>
      </c>
      <c r="E29" s="9" t="inlineStr">
        <is>
          <t>29103-ST-2804</t>
        </is>
      </c>
      <c r="F29" s="9" t="inlineStr">
        <is>
          <t>29103-65R-ET-ST2803-01-01</t>
        </is>
      </c>
      <c r="G29" s="9" t="inlineStr">
        <is>
          <t>13.1</t>
        </is>
      </c>
      <c r="H29" s="9" t="inlineStr">
        <is>
          <t>29103-ET-ST2803-1-2.pdf</t>
        </is>
      </c>
      <c r="I29" s="4" t="str">
        <f>IF($H29&lt;&gt;"","YES","NO")</f>
        <v>YES</v>
      </c>
      <c r="J29" s="4" t="str">
        <f>IF(N($T29)&gt;0,"YES","NO")</f>
        <v>NO</v>
      </c>
      <c r="K29" s="4" t="str">
        <f>IF(OR($A29="EHT Trace"),IF(AND($U29&lt;&gt;"",$V29&lt;&gt;""),"YES","NO"),"N/A")</f>
        <v>NO</v>
      </c>
      <c r="L29" s="4" t="str">
        <f>IF(OR($A29="EHT Trace"),IF(AND($X29&lt;&gt;"",$Y29&lt;&gt;""),"YES","NO"),"N/A")</f>
        <v>NO</v>
      </c>
      <c r="M29" s="4" t="str">
        <f>IF(OR($A29="EHT Trace"),IF(AND($AA29&lt;&gt;"",$AB29&lt;&gt;""),"YES","NO"),"N/A")</f>
        <v>NO</v>
      </c>
      <c r="N29" s="4" t="str">
        <f>IF(OR($A29="Power Cable"),IF(AND($AD29&lt;&gt;""),"YES","NO"),"N/A")</f>
        <v>N/A</v>
      </c>
      <c r="O29" s="4" t="str">
        <f>IF(OR($A29="Power Cable",$A29="RTD Cable",$A29="Fieldbus Cable"),IF(AND($AE29&lt;&gt;""),"YES","NO"),"N/A")</f>
        <v>N/A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str">
        <f>IF(OR($AM29&lt;&gt;"",$Z29&lt;&gt;"",$AC29&lt;&gt;""),"YES","NO")</f>
        <v>NO</v>
      </c>
      <c r="S29" s="4" t="str">
        <f>IF(COUNTIF(I29:R29,"NO")=0,"YES","NO")</f>
        <v>NO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inlineStr">
        <is>
          <t>D/32SB3700/12.6M/340/99.4/1.2M/LS23A/X/N12</t>
        </is>
      </c>
      <c r="AK29" s="9" t="inlineStr">
        <is>
          <t>12.6 m m</t>
        </is>
      </c>
      <c r="AL29" s="9" t="inlineStr">
        <is>
          <t>Levy Ostrup</t>
        </is>
      </c>
      <c r="AM29" s="9" t="n"/>
      <c r="AN29" s="9" t="n"/>
    </row>
    <row r="30">
      <c r="A30" s="9" t="inlineStr">
        <is>
          <t>EHT Trace</t>
        </is>
      </c>
      <c r="B30" s="9" t="inlineStr">
        <is>
          <t>29103-ET-ST2805-1-1</t>
        </is>
      </c>
      <c r="C30" s="9" t="inlineStr">
        <is>
          <t>29103-ET-ST2805-1</t>
        </is>
      </c>
      <c r="D30" s="9" t="inlineStr">
        <is>
          <t>29103-AMB-014</t>
        </is>
      </c>
      <c r="E30" s="9" t="inlineStr">
        <is>
          <t>29103-ST-2805</t>
        </is>
      </c>
      <c r="F30" s="9" t="inlineStr">
        <is>
          <t>29103-65R-ET-ST2805-01-01</t>
        </is>
      </c>
      <c r="G30" s="9" t="inlineStr">
        <is>
          <t>13.1</t>
        </is>
      </c>
      <c r="H30" s="9" t="inlineStr">
        <is>
          <t>29103-ET-ST2805-1-1.pdf</t>
        </is>
      </c>
      <c r="I30" s="4" t="str">
        <f>IF($H30&lt;&gt;"","YES","NO")</f>
        <v>YES</v>
      </c>
      <c r="J30" s="4" t="str">
        <f>IF(N($T30)&gt;0,"YES","NO")</f>
        <v>NO</v>
      </c>
      <c r="K30" s="4" t="str">
        <f>IF(OR($A30="EHT Trace"),IF(AND($U30&lt;&gt;"",$V30&lt;&gt;""),"YES","NO"),"N/A")</f>
        <v>NO</v>
      </c>
      <c r="L30" s="4" t="str">
        <f>IF(OR($A30="EHT Trace"),IF(AND($X30&lt;&gt;"",$Y30&lt;&gt;""),"YES","NO"),"N/A")</f>
        <v>NO</v>
      </c>
      <c r="M30" s="4" t="str">
        <f>IF(OR($A30="EHT Trace"),IF(AND($AA30&lt;&gt;"",$AB30&lt;&gt;""),"YES","NO"),"N/A")</f>
        <v>NO</v>
      </c>
      <c r="N30" s="4" t="str">
        <f>IF(OR($A30="Power Cable"),IF(AND($AD30&lt;&gt;""),"YES","NO"),"N/A")</f>
        <v>N/A</v>
      </c>
      <c r="O30" s="4" t="str">
        <f>IF(OR($A30="Power Cable",$A30="RTD Cable",$A30="Fieldbus Cable"),IF(AND($AE30&lt;&gt;""),"YES","NO"),"N/A")</f>
        <v>N/A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str">
        <f>IF(OR($AM30&lt;&gt;"",$Z30&lt;&gt;"",$AC30&lt;&gt;""),"YES","NO")</f>
        <v>NO</v>
      </c>
      <c r="S30" s="4" t="str">
        <f>IF(COUNTIF(I30:R30,"NO")=0,"YES","NO")</f>
        <v>NO</v>
      </c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inlineStr">
        <is>
          <t>D/32SB3700/22.3M/611/177/1.2M/LS23A/X/N12</t>
        </is>
      </c>
      <c r="AK30" s="9" t="inlineStr">
        <is>
          <t>22.3 m m</t>
        </is>
      </c>
      <c r="AL30" s="9" t="inlineStr">
        <is>
          <t>Levy Ostrup</t>
        </is>
      </c>
      <c r="AM30" s="9" t="n"/>
      <c r="AN30" s="9" t="n"/>
    </row>
    <row r="31">
      <c r="A31" s="9" t="inlineStr">
        <is>
          <t>EHT Trace</t>
        </is>
      </c>
      <c r="B31" s="9" t="inlineStr">
        <is>
          <t>29103-ET-ST2805-1-2</t>
        </is>
      </c>
      <c r="C31" s="9" t="inlineStr">
        <is>
          <t>29103-ET-ST2805-1</t>
        </is>
      </c>
      <c r="D31" s="9" t="inlineStr">
        <is>
          <t>29103-AMB-014</t>
        </is>
      </c>
      <c r="E31" s="9" t="inlineStr">
        <is>
          <t>29103-ST-2806</t>
        </is>
      </c>
      <c r="F31" s="9" t="inlineStr">
        <is>
          <t>29103-65R-ET-ST2805-01-01</t>
        </is>
      </c>
      <c r="G31" s="9" t="inlineStr">
        <is>
          <t>13.1</t>
        </is>
      </c>
      <c r="H31" s="9" t="inlineStr">
        <is>
          <t>29103-ET-ST2805-1-2.pdf</t>
        </is>
      </c>
      <c r="I31" s="4" t="str">
        <f>IF($H31&lt;&gt;"","YES","NO")</f>
        <v>YES</v>
      </c>
      <c r="J31" s="4" t="str">
        <f>IF(N($T31)&gt;0,"YES","NO")</f>
        <v>NO</v>
      </c>
      <c r="K31" s="4" t="str">
        <f>IF(OR($A31="EHT Trace"),IF(AND($U31&lt;&gt;"",$V31&lt;&gt;""),"YES","NO"),"N/A")</f>
        <v>NO</v>
      </c>
      <c r="L31" s="4" t="str">
        <f>IF(OR($A31="EHT Trace"),IF(AND($X31&lt;&gt;"",$Y31&lt;&gt;""),"YES","NO"),"N/A")</f>
        <v>NO</v>
      </c>
      <c r="M31" s="4" t="str">
        <f>IF(OR($A31="EHT Trace"),IF(AND($AA31&lt;&gt;"",$AB31&lt;&gt;""),"YES","NO"),"N/A")</f>
        <v>NO</v>
      </c>
      <c r="N31" s="4" t="str">
        <f>IF(OR($A31="Power Cable"),IF(AND($AD31&lt;&gt;""),"YES","NO"),"N/A")</f>
        <v>N/A</v>
      </c>
      <c r="O31" s="4" t="str">
        <f>IF(OR($A31="Power Cable",$A31="RTD Cable",$A31="Fieldbus Cable"),IF(AND($AE31&lt;&gt;""),"YES","NO"),"N/A")</f>
        <v>N/A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str">
        <f>IF(OR($AM31&lt;&gt;"",$Z31&lt;&gt;"",$AC31&lt;&gt;""),"YES","NO")</f>
        <v>NO</v>
      </c>
      <c r="S31" s="4" t="str">
        <f>IF(COUNTIF(I31:R31,"NO")=0,"YES","NO")</f>
        <v>NO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inlineStr">
        <is>
          <t>D/32SB3700/12.6M/345/100/1.2M/LS23A/X/N12</t>
        </is>
      </c>
      <c r="AK31" s="9" t="inlineStr">
        <is>
          <t>12.6 m m</t>
        </is>
      </c>
      <c r="AL31" s="9" t="inlineStr">
        <is>
          <t>Levy Ostrup</t>
        </is>
      </c>
      <c r="AM31" s="9" t="n"/>
      <c r="AN31" s="9" t="n"/>
    </row>
    <row r="32">
      <c r="A32" s="9" t="inlineStr">
        <is>
          <t>EHT Trace</t>
        </is>
      </c>
      <c r="B32" s="9" t="inlineStr">
        <is>
          <t>29103-ET-UT1400-1-1</t>
        </is>
      </c>
      <c r="C32" s="9" t="inlineStr">
        <is>
          <t>29103-ET-UT1400-1</t>
        </is>
      </c>
      <c r="D32" s="9" t="inlineStr">
        <is>
          <t>HTC-11 / CB-11</t>
        </is>
      </c>
      <c r="E32" s="9" t="inlineStr"/>
      <c r="F32" s="9" t="inlineStr">
        <is>
          <t>29103-65R-ET-UT1400-01-01</t>
        </is>
      </c>
      <c r="G32" s="9" t="inlineStr">
        <is>
          <t>13.1</t>
        </is>
      </c>
      <c r="H32" s="9" t="inlineStr">
        <is>
          <t>29103-ET-UT1400-1-1.pdf</t>
        </is>
      </c>
      <c r="I32" s="4" t="str">
        <f>IF($H32&lt;&gt;"","YES","NO")</f>
        <v>YES</v>
      </c>
      <c r="J32" s="4" t="str">
        <f>IF(N($T32)&gt;0,"YES","NO")</f>
        <v>NO</v>
      </c>
      <c r="K32" s="4" t="str">
        <f>IF(OR($A32="EHT Trace"),IF(AND($U32&lt;&gt;"",$V32&lt;&gt;""),"YES","NO"),"N/A")</f>
        <v>NO</v>
      </c>
      <c r="L32" s="4" t="str">
        <f>IF(OR($A32="EHT Trace"),IF(AND($X32&lt;&gt;"",$Y32&lt;&gt;""),"YES","NO"),"N/A")</f>
        <v>NO</v>
      </c>
      <c r="M32" s="4" t="str">
        <f>IF(OR($A32="EHT Trace"),IF(AND($AA32&lt;&gt;"",$AB32&lt;&gt;""),"YES","NO"),"N/A")</f>
        <v>NO</v>
      </c>
      <c r="N32" s="4" t="str">
        <f>IF(OR($A32="Power Cable"),IF(AND($AD32&lt;&gt;""),"YES","NO"),"N/A")</f>
        <v>N/A</v>
      </c>
      <c r="O32" s="4" t="str">
        <f>IF(OR($A32="Power Cable",$A32="RTD Cable",$A32="Fieldbus Cable"),IF(AND($AE32&lt;&gt;""),"YES","NO"),"N/A")</f>
        <v>N/A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str">
        <f>IF(OR($AM32&lt;&gt;"",$Z32&lt;&gt;"",$AC32&lt;&gt;""),"YES","NO")</f>
        <v>NO</v>
      </c>
      <c r="S32" s="4" t="str">
        <f>IF(COUNTIF(I32:R32,"NO")=0,"YES","NO")</f>
        <v>NO</v>
      </c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inlineStr">
        <is>
          <t>20XTVR2-CT</t>
        </is>
      </c>
      <c r="AK32" s="9" t="inlineStr">
        <is>
          <t>8.9 m m</t>
        </is>
      </c>
      <c r="AL32" s="9" t="inlineStr">
        <is>
          <t>Levy Ostrup</t>
        </is>
      </c>
      <c r="AM32" s="9" t="n"/>
      <c r="AN32" s="9" t="n"/>
    </row>
    <row r="33">
      <c r="A33" s="9" t="inlineStr">
        <is>
          <t>Power Cable</t>
        </is>
      </c>
      <c r="B33" s="9" t="inlineStr">
        <is>
          <t>29103-AMB-014</t>
        </is>
      </c>
      <c r="C33" s="9" t="inlineStr"/>
      <c r="D33" s="9" t="inlineStr">
        <is>
          <t>29103-HTP-101 HTC-01</t>
        </is>
      </c>
      <c r="E33" s="9" t="inlineStr">
        <is>
          <t>29103-HTP-101</t>
        </is>
      </c>
      <c r="F33" s="9" t="inlineStr"/>
      <c r="G33" s="9" t="inlineStr">
        <is>
          <t>113</t>
        </is>
      </c>
      <c r="H33" s="9" t="inlineStr">
        <is>
          <t>29103-AMB-014.pdf</t>
        </is>
      </c>
      <c r="I33" s="4" t="str">
        <f>IF($H33&lt;&gt;"","YES","NO")</f>
        <v>YES</v>
      </c>
      <c r="J33" s="4" t="str">
        <f>IF(N($T33)&gt;0,"YES","NO")</f>
        <v>NO</v>
      </c>
      <c r="K33" s="4" t="str">
        <f>IF(OR($A33="EHT Trace"),IF(AND($U33&lt;&gt;"",$V33&lt;&gt;""),"YES","NO"),"N/A")</f>
        <v>N/A</v>
      </c>
      <c r="L33" s="4" t="str">
        <f>IF(OR($A33="EHT Trace"),IF(AND($X33&lt;&gt;"",$Y33&lt;&gt;""),"YES","NO"),"N/A")</f>
        <v>N/A</v>
      </c>
      <c r="M33" s="4" t="str">
        <f>IF(OR($A33="EHT Trace"),IF(AND($AA33&lt;&gt;"",$AB33&lt;&gt;""),"YES","NO"),"N/A")</f>
        <v>N/A</v>
      </c>
      <c r="N33" s="4" t="str">
        <f>IF(OR($A33="Power Cable"),IF(AND($AD33&lt;&gt;""),"YES","NO"),"N/A")</f>
        <v>NO</v>
      </c>
      <c r="O33" s="4" t="str">
        <f>IF(OR($A33="Power Cable",$A33="RTD Cable",$A33="Fieldbus Cable"),IF(AND($AE33&lt;&gt;""),"YES","NO"),"N/A")</f>
        <v>NO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str">
        <f>IF(OR($AM33&lt;&gt;"",$Z33&lt;&gt;"",$AC33&lt;&gt;""),"YES","NO")</f>
        <v>NO</v>
      </c>
      <c r="S33" s="4" t="str">
        <f>IF(COUNTIF(I33:R33,"NO")=0,"YES","NO")</f>
        <v>NO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inlineStr">
        <is>
          <t>Teck</t>
        </is>
      </c>
      <c r="AK33" s="9" t="inlineStr">
        <is>
          <t>8AWG</t>
        </is>
      </c>
      <c r="AL33" s="9" t="inlineStr">
        <is>
          <t>Levy Ostrup</t>
        </is>
      </c>
      <c r="AM33" s="9" t="n"/>
      <c r="AN33" s="9" t="n"/>
    </row>
    <row r="34">
      <c r="A34" s="9" t="inlineStr">
        <is>
          <t>Power Cable</t>
        </is>
      </c>
      <c r="B34" s="9" t="inlineStr">
        <is>
          <t>29103-ET-P1001-1-PWK-1</t>
        </is>
      </c>
      <c r="C34" s="9" t="inlineStr">
        <is>
          <t>29103-ET-P1001-1</t>
        </is>
      </c>
      <c r="D34" s="9" t="inlineStr">
        <is>
          <t>29103-HTP-101 HTC-39</t>
        </is>
      </c>
      <c r="E34" s="9" t="inlineStr">
        <is>
          <t>29103-HTP-101</t>
        </is>
      </c>
      <c r="F34" s="9" t="inlineStr"/>
      <c r="G34" s="9" t="inlineStr">
        <is>
          <t>113</t>
        </is>
      </c>
      <c r="H34" s="9" t="inlineStr">
        <is>
          <t>29103-ET-P1001-1-PWK-1.pdf</t>
        </is>
      </c>
      <c r="I34" s="4" t="str">
        <f>IF($H34&lt;&gt;"","YES","NO")</f>
        <v>YES</v>
      </c>
      <c r="J34" s="4" t="str">
        <f>IF(N($T34)&gt;0,"YES","NO")</f>
        <v>NO</v>
      </c>
      <c r="K34" s="4" t="str">
        <f>IF(OR($A34="EHT Trace"),IF(AND($U34&lt;&gt;"",$V34&lt;&gt;""),"YES","NO"),"N/A")</f>
        <v>N/A</v>
      </c>
      <c r="L34" s="4" t="str">
        <f>IF(OR($A34="EHT Trace"),IF(AND($X34&lt;&gt;"",$Y34&lt;&gt;""),"YES","NO"),"N/A")</f>
        <v>N/A</v>
      </c>
      <c r="M34" s="4" t="str">
        <f>IF(OR($A34="EHT Trace"),IF(AND($AA34&lt;&gt;"",$AB34&lt;&gt;""),"YES","NO"),"N/A")</f>
        <v>N/A</v>
      </c>
      <c r="N34" s="4" t="str">
        <f>IF(OR($A34="Power Cable"),IF(AND($AD34&lt;&gt;""),"YES","NO"),"N/A")</f>
        <v>NO</v>
      </c>
      <c r="O34" s="4" t="str">
        <f>IF(OR($A34="Power Cable",$A34="RTD Cable",$A34="Fieldbus Cable"),IF(AND($AE34&lt;&gt;""),"YES","NO"),"N/A")</f>
        <v>NO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str">
        <f>IF(OR($AM34&lt;&gt;"",$Z34&lt;&gt;"",$AC34&lt;&gt;""),"YES","NO")</f>
        <v>NO</v>
      </c>
      <c r="S34" s="4" t="str">
        <f>IF(COUNTIF(I34:R34,"NO")=0,"YES","NO")</f>
        <v>NO</v>
      </c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inlineStr">
        <is>
          <t>Teck</t>
        </is>
      </c>
      <c r="AK34" s="9" t="inlineStr">
        <is>
          <t>8AWG</t>
        </is>
      </c>
      <c r="AL34" s="9" t="inlineStr">
        <is>
          <t>Levy Ostrup</t>
        </is>
      </c>
      <c r="AM34" s="9" t="n"/>
      <c r="AN34" s="9" t="n"/>
    </row>
    <row r="35">
      <c r="A35" s="9" t="inlineStr">
        <is>
          <t>Power Cable</t>
        </is>
      </c>
      <c r="B35" s="9" t="inlineStr">
        <is>
          <t>29103-ET-P1001-2-PWK-1</t>
        </is>
      </c>
      <c r="C35" s="9" t="inlineStr">
        <is>
          <t>29103-ET-P1001-2</t>
        </is>
      </c>
      <c r="D35" s="9" t="inlineStr">
        <is>
          <t>29103-HTP-101 HTC-07</t>
        </is>
      </c>
      <c r="E35" s="9" t="inlineStr">
        <is>
          <t>29103-HTP-101</t>
        </is>
      </c>
      <c r="F35" s="9" t="inlineStr"/>
      <c r="G35" s="9" t="inlineStr">
        <is>
          <t>113</t>
        </is>
      </c>
      <c r="H35" s="9" t="inlineStr">
        <is>
          <t>29103-ET-P1001-2-PWK-1.pdf</t>
        </is>
      </c>
      <c r="I35" s="4" t="str">
        <f>IF($H35&lt;&gt;"","YES","NO")</f>
        <v>YES</v>
      </c>
      <c r="J35" s="4" t="str">
        <f>IF(N($T35)&gt;0,"YES","NO")</f>
        <v>NO</v>
      </c>
      <c r="K35" s="4" t="str">
        <f>IF(OR($A35="EHT Trace"),IF(AND($U35&lt;&gt;"",$V35&lt;&gt;""),"YES","NO"),"N/A")</f>
        <v>N/A</v>
      </c>
      <c r="L35" s="4" t="str">
        <f>IF(OR($A35="EHT Trace"),IF(AND($X35&lt;&gt;"",$Y35&lt;&gt;""),"YES","NO"),"N/A")</f>
        <v>N/A</v>
      </c>
      <c r="M35" s="4" t="str">
        <f>IF(OR($A35="EHT Trace"),IF(AND($AA35&lt;&gt;"",$AB35&lt;&gt;""),"YES","NO"),"N/A")</f>
        <v>N/A</v>
      </c>
      <c r="N35" s="4" t="str">
        <f>IF(OR($A35="Power Cable"),IF(AND($AD35&lt;&gt;""),"YES","NO"),"N/A")</f>
        <v>NO</v>
      </c>
      <c r="O35" s="4" t="str">
        <f>IF(OR($A35="Power Cable",$A35="RTD Cable",$A35="Fieldbus Cable"),IF(AND($AE35&lt;&gt;""),"YES","NO"),"N/A")</f>
        <v>NO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str">
        <f>IF(OR($AM35&lt;&gt;"",$Z35&lt;&gt;"",$AC35&lt;&gt;""),"YES","NO")</f>
        <v>NO</v>
      </c>
      <c r="S35" s="4" t="str">
        <f>IF(COUNTIF(I35:R35,"NO")=0,"YES","NO")</f>
        <v>NO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inlineStr">
        <is>
          <t>Teck</t>
        </is>
      </c>
      <c r="AK35" s="9" t="inlineStr">
        <is>
          <t>10AWG</t>
        </is>
      </c>
      <c r="AL35" s="9" t="inlineStr">
        <is>
          <t>Levy Ostrup</t>
        </is>
      </c>
      <c r="AM35" s="9" t="n"/>
      <c r="AN35" s="9" t="n"/>
    </row>
    <row r="36">
      <c r="A36" s="9" t="inlineStr">
        <is>
          <t>Power Cable</t>
        </is>
      </c>
      <c r="B36" s="9" t="inlineStr">
        <is>
          <t>29103-ET-P2800-4-PWK-1</t>
        </is>
      </c>
      <c r="C36" s="9" t="inlineStr">
        <is>
          <t>29103-ET-P2800-4</t>
        </is>
      </c>
      <c r="D36" s="9" t="inlineStr">
        <is>
          <t>29103-HTP-101 HTC-05</t>
        </is>
      </c>
      <c r="E36" s="9" t="inlineStr">
        <is>
          <t>29103-HTP-101</t>
        </is>
      </c>
      <c r="F36" s="9" t="inlineStr"/>
      <c r="G36" s="9" t="inlineStr">
        <is>
          <t>113</t>
        </is>
      </c>
      <c r="H36" s="9" t="inlineStr">
        <is>
          <t>29103-ET-P2800-4-PWK-1.pdf</t>
        </is>
      </c>
      <c r="I36" s="4" t="str">
        <f>IF($H36&lt;&gt;"","YES","NO")</f>
        <v>YES</v>
      </c>
      <c r="J36" s="4" t="str">
        <f>IF(N($T36)&gt;0,"YES","NO")</f>
        <v>NO</v>
      </c>
      <c r="K36" s="4" t="str">
        <f>IF(OR($A36="EHT Trace"),IF(AND($U36&lt;&gt;"",$V36&lt;&gt;""),"YES","NO"),"N/A")</f>
        <v>N/A</v>
      </c>
      <c r="L36" s="4" t="str">
        <f>IF(OR($A36="EHT Trace"),IF(AND($X36&lt;&gt;"",$Y36&lt;&gt;""),"YES","NO"),"N/A")</f>
        <v>N/A</v>
      </c>
      <c r="M36" s="4" t="str">
        <f>IF(OR($A36="EHT Trace"),IF(AND($AA36&lt;&gt;"",$AB36&lt;&gt;""),"YES","NO"),"N/A")</f>
        <v>N/A</v>
      </c>
      <c r="N36" s="4" t="str">
        <f>IF(OR($A36="Power Cable"),IF(AND($AD36&lt;&gt;""),"YES","NO"),"N/A")</f>
        <v>NO</v>
      </c>
      <c r="O36" s="4" t="str">
        <f>IF(OR($A36="Power Cable",$A36="RTD Cable",$A36="Fieldbus Cable"),IF(AND($AE36&lt;&gt;""),"YES","NO"),"N/A")</f>
        <v>NO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str">
        <f>IF(OR($AM36&lt;&gt;"",$Z36&lt;&gt;"",$AC36&lt;&gt;""),"YES","NO")</f>
        <v>NO</v>
      </c>
      <c r="S36" s="4" t="str">
        <f>IF(COUNTIF(I36:R36,"NO")=0,"YES","NO")</f>
        <v>NO</v>
      </c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inlineStr">
        <is>
          <t>Teck</t>
        </is>
      </c>
      <c r="AK36" s="9" t="inlineStr">
        <is>
          <t>10AWG</t>
        </is>
      </c>
      <c r="AL36" s="9" t="inlineStr">
        <is>
          <t>Levy Ostrup</t>
        </is>
      </c>
      <c r="AM36" s="9" t="n"/>
      <c r="AN36" s="9" t="n"/>
    </row>
    <row r="37">
      <c r="A37" s="9" t="inlineStr">
        <is>
          <t>Power Cable</t>
        </is>
      </c>
      <c r="B37" s="9" t="inlineStr">
        <is>
          <t>29103-ET-P2800-5-PWK-1</t>
        </is>
      </c>
      <c r="C37" s="9" t="inlineStr">
        <is>
          <t>29103-ET-P2800-5</t>
        </is>
      </c>
      <c r="D37" s="9" t="inlineStr">
        <is>
          <t>29103-HTP-101 HTC-02</t>
        </is>
      </c>
      <c r="E37" s="9" t="inlineStr">
        <is>
          <t>29103-HTP-101</t>
        </is>
      </c>
      <c r="F37" s="9" t="inlineStr"/>
      <c r="G37" s="9" t="inlineStr">
        <is>
          <t>113</t>
        </is>
      </c>
      <c r="H37" s="9" t="inlineStr">
        <is>
          <t>29103-ET-P2800-5-PWK-1.pdf</t>
        </is>
      </c>
      <c r="I37" s="4" t="str">
        <f>IF($H37&lt;&gt;"","YES","NO")</f>
        <v>YES</v>
      </c>
      <c r="J37" s="4" t="str">
        <f>IF(N($T37)&gt;0,"YES","NO")</f>
        <v>NO</v>
      </c>
      <c r="K37" s="4" t="str">
        <f>IF(OR($A37="EHT Trace"),IF(AND($U37&lt;&gt;"",$V37&lt;&gt;""),"YES","NO"),"N/A")</f>
        <v>N/A</v>
      </c>
      <c r="L37" s="4" t="str">
        <f>IF(OR($A37="EHT Trace"),IF(AND($X37&lt;&gt;"",$Y37&lt;&gt;""),"YES","NO"),"N/A")</f>
        <v>N/A</v>
      </c>
      <c r="M37" s="4" t="str">
        <f>IF(OR($A37="EHT Trace"),IF(AND($AA37&lt;&gt;"",$AB37&lt;&gt;""),"YES","NO"),"N/A")</f>
        <v>N/A</v>
      </c>
      <c r="N37" s="4" t="str">
        <f>IF(OR($A37="Power Cable"),IF(AND($AD37&lt;&gt;""),"YES","NO"),"N/A")</f>
        <v>NO</v>
      </c>
      <c r="O37" s="4" t="str">
        <f>IF(OR($A37="Power Cable",$A37="RTD Cable",$A37="Fieldbus Cable"),IF(AND($AE37&lt;&gt;""),"YES","NO"),"N/A")</f>
        <v>NO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str">
        <f>IF(OR($AM37&lt;&gt;"",$Z37&lt;&gt;"",$AC37&lt;&gt;""),"YES","NO")</f>
        <v>NO</v>
      </c>
      <c r="S37" s="4" t="str">
        <f>IF(COUNTIF(I37:R37,"NO")=0,"YES","NO")</f>
        <v>NO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inlineStr">
        <is>
          <t>Teck</t>
        </is>
      </c>
      <c r="AK37" s="9" t="inlineStr">
        <is>
          <t>10AWG</t>
        </is>
      </c>
      <c r="AL37" s="9" t="inlineStr">
        <is>
          <t>Levy Ostrup</t>
        </is>
      </c>
      <c r="AM37" s="9" t="n"/>
      <c r="AN37" s="9" t="n"/>
    </row>
    <row r="38">
      <c r="A38" s="9" t="inlineStr">
        <is>
          <t>Power Cable</t>
        </is>
      </c>
      <c r="B38" s="9" t="inlineStr">
        <is>
          <t>29103-ET-P2800-6-PWK-1</t>
        </is>
      </c>
      <c r="C38" s="9" t="inlineStr">
        <is>
          <t>29103-ET-P2800-6</t>
        </is>
      </c>
      <c r="D38" s="9" t="inlineStr">
        <is>
          <t>29103-HTP-101 HTC-06</t>
        </is>
      </c>
      <c r="E38" s="9" t="inlineStr">
        <is>
          <t>29103-HTP-101</t>
        </is>
      </c>
      <c r="F38" s="9" t="inlineStr"/>
      <c r="G38" s="9" t="inlineStr">
        <is>
          <t>113</t>
        </is>
      </c>
      <c r="H38" s="9" t="inlineStr">
        <is>
          <t>29103-ET-P2800-6-PWK-1.pdf</t>
        </is>
      </c>
      <c r="I38" s="4" t="str">
        <f>IF($H38&lt;&gt;"","YES","NO")</f>
        <v>YES</v>
      </c>
      <c r="J38" s="4" t="str">
        <f>IF(N($T38)&gt;0,"YES","NO")</f>
        <v>NO</v>
      </c>
      <c r="K38" s="4" t="str">
        <f>IF(OR($A38="EHT Trace"),IF(AND($U38&lt;&gt;"",$V38&lt;&gt;""),"YES","NO"),"N/A")</f>
        <v>N/A</v>
      </c>
      <c r="L38" s="4" t="str">
        <f>IF(OR($A38="EHT Trace"),IF(AND($X38&lt;&gt;"",$Y38&lt;&gt;""),"YES","NO"),"N/A")</f>
        <v>N/A</v>
      </c>
      <c r="M38" s="4" t="str">
        <f>IF(OR($A38="EHT Trace"),IF(AND($AA38&lt;&gt;"",$AB38&lt;&gt;""),"YES","NO"),"N/A")</f>
        <v>N/A</v>
      </c>
      <c r="N38" s="4" t="str">
        <f>IF(OR($A38="Power Cable"),IF(AND($AD38&lt;&gt;""),"YES","NO"),"N/A")</f>
        <v>NO</v>
      </c>
      <c r="O38" s="4" t="str">
        <f>IF(OR($A38="Power Cable",$A38="RTD Cable",$A38="Fieldbus Cable"),IF(AND($AE38&lt;&gt;""),"YES","NO"),"N/A")</f>
        <v>NO</v>
      </c>
      <c r="P38" s="4" t="str">
        <f>IF(OR($A38="RTD"),IF(AND($AH38&lt;&gt;""),"YES","NO"),"N/A")</f>
        <v>N/A</v>
      </c>
      <c r="Q38" s="4" t="str">
        <f>IF(OR($A38="RTD"),IF(AND($AI38&lt;&gt;""),"YES","NO"),"N/A")</f>
        <v>N/A</v>
      </c>
      <c r="R38" s="4" t="str">
        <f>IF(OR($AM38&lt;&gt;"",$Z38&lt;&gt;"",$AC38&lt;&gt;""),"YES","NO")</f>
        <v>NO</v>
      </c>
      <c r="S38" s="4" t="str">
        <f>IF(COUNTIF(I38:R38,"NO")=0,"YES","NO")</f>
        <v>NO</v>
      </c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inlineStr">
        <is>
          <t>Teck</t>
        </is>
      </c>
      <c r="AK38" s="9" t="inlineStr">
        <is>
          <t>8AWG</t>
        </is>
      </c>
      <c r="AL38" s="9" t="inlineStr">
        <is>
          <t>Levy Ostrup</t>
        </is>
      </c>
      <c r="AM38" s="9" t="n"/>
      <c r="AN38" s="9" t="n"/>
    </row>
    <row r="39">
      <c r="A39" s="9" t="inlineStr">
        <is>
          <t>Power Cable</t>
        </is>
      </c>
      <c r="B39" s="9" t="inlineStr">
        <is>
          <t>29103-ET-P2800-7-PWK-1</t>
        </is>
      </c>
      <c r="C39" s="9" t="inlineStr">
        <is>
          <t>29103-ET-P2800-7</t>
        </is>
      </c>
      <c r="D39" s="9" t="inlineStr">
        <is>
          <t>29103-HTP-101 HTC-38</t>
        </is>
      </c>
      <c r="E39" s="9" t="inlineStr">
        <is>
          <t>29103-HTP-101</t>
        </is>
      </c>
      <c r="F39" s="9" t="inlineStr"/>
      <c r="G39" s="9" t="inlineStr">
        <is>
          <t>113</t>
        </is>
      </c>
      <c r="H39" s="9" t="inlineStr">
        <is>
          <t>29103-ET-P2800-7-PWK-1.pdf</t>
        </is>
      </c>
      <c r="I39" s="4" t="str">
        <f>IF($H39&lt;&gt;"","YES","NO")</f>
        <v>YES</v>
      </c>
      <c r="J39" s="4" t="str">
        <f>IF(N($T39)&gt;0,"YES","NO")</f>
        <v>NO</v>
      </c>
      <c r="K39" s="4" t="str">
        <f>IF(OR($A39="EHT Trace"),IF(AND($U39&lt;&gt;"",$V39&lt;&gt;""),"YES","NO"),"N/A")</f>
        <v>N/A</v>
      </c>
      <c r="L39" s="4" t="str">
        <f>IF(OR($A39="EHT Trace"),IF(AND($X39&lt;&gt;"",$Y39&lt;&gt;""),"YES","NO"),"N/A")</f>
        <v>N/A</v>
      </c>
      <c r="M39" s="4" t="str">
        <f>IF(OR($A39="EHT Trace"),IF(AND($AA39&lt;&gt;"",$AB39&lt;&gt;""),"YES","NO"),"N/A")</f>
        <v>N/A</v>
      </c>
      <c r="N39" s="4" t="str">
        <f>IF(OR($A39="Power Cable"),IF(AND($AD39&lt;&gt;""),"YES","NO"),"N/A")</f>
        <v>NO</v>
      </c>
      <c r="O39" s="4" t="str">
        <f>IF(OR($A39="Power Cable",$A39="RTD Cable",$A39="Fieldbus Cable"),IF(AND($AE39&lt;&gt;""),"YES","NO"),"N/A")</f>
        <v>NO</v>
      </c>
      <c r="P39" s="4" t="str">
        <f>IF(OR($A39="RTD"),IF(AND($AH39&lt;&gt;""),"YES","NO"),"N/A")</f>
        <v>N/A</v>
      </c>
      <c r="Q39" s="4" t="str">
        <f>IF(OR($A39="RTD"),IF(AND($AI39&lt;&gt;""),"YES","NO"),"N/A")</f>
        <v>N/A</v>
      </c>
      <c r="R39" s="4" t="str">
        <f>IF(OR($AM39&lt;&gt;"",$Z39&lt;&gt;"",$AC39&lt;&gt;""),"YES","NO")</f>
        <v>NO</v>
      </c>
      <c r="S39" s="4" t="str">
        <f>IF(COUNTIF(I39:R39,"NO")=0,"YES","NO")</f>
        <v>NO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inlineStr">
        <is>
          <t>Teck</t>
        </is>
      </c>
      <c r="AK39" s="9" t="inlineStr">
        <is>
          <t>8AWG</t>
        </is>
      </c>
      <c r="AL39" s="9" t="inlineStr">
        <is>
          <t>Levy Ostrup</t>
        </is>
      </c>
      <c r="AM39" s="9" t="n"/>
      <c r="AN39" s="9" t="n"/>
    </row>
    <row r="40">
      <c r="A40" s="9" t="inlineStr">
        <is>
          <t>Power Cable</t>
        </is>
      </c>
      <c r="B40" s="9" t="inlineStr">
        <is>
          <t>29103-ET-PE1001-1-PWK-1</t>
        </is>
      </c>
      <c r="C40" s="9" t="inlineStr">
        <is>
          <t>29103-ET-PE1001-1</t>
        </is>
      </c>
      <c r="D40" s="9" t="inlineStr">
        <is>
          <t>29103-HTP-101 HTC-12</t>
        </is>
      </c>
      <c r="E40" s="9" t="inlineStr">
        <is>
          <t>29103-HTP-101</t>
        </is>
      </c>
      <c r="F40" s="9" t="inlineStr"/>
      <c r="G40" s="9" t="inlineStr">
        <is>
          <t>113</t>
        </is>
      </c>
      <c r="H40" s="9" t="inlineStr">
        <is>
          <t>29103-ET-PE1001-1-PWK-1.pdf</t>
        </is>
      </c>
      <c r="I40" s="4" t="str">
        <f>IF($H40&lt;&gt;"","YES","NO")</f>
        <v>YES</v>
      </c>
      <c r="J40" s="4" t="str">
        <f>IF(N($T40)&gt;0,"YES","NO")</f>
        <v>NO</v>
      </c>
      <c r="K40" s="4" t="str">
        <f>IF(OR($A40="EHT Trace"),IF(AND($U40&lt;&gt;"",$V40&lt;&gt;""),"YES","NO"),"N/A")</f>
        <v>N/A</v>
      </c>
      <c r="L40" s="4" t="str">
        <f>IF(OR($A40="EHT Trace"),IF(AND($X40&lt;&gt;"",$Y40&lt;&gt;""),"YES","NO"),"N/A")</f>
        <v>N/A</v>
      </c>
      <c r="M40" s="4" t="str">
        <f>IF(OR($A40="EHT Trace"),IF(AND($AA40&lt;&gt;"",$AB40&lt;&gt;""),"YES","NO"),"N/A")</f>
        <v>N/A</v>
      </c>
      <c r="N40" s="4" t="str">
        <f>IF(OR($A40="Power Cable"),IF(AND($AD40&lt;&gt;""),"YES","NO"),"N/A")</f>
        <v>NO</v>
      </c>
      <c r="O40" s="4" t="str">
        <f>IF(OR($A40="Power Cable",$A40="RTD Cable",$A40="Fieldbus Cable"),IF(AND($AE40&lt;&gt;""),"YES","NO"),"N/A")</f>
        <v>NO</v>
      </c>
      <c r="P40" s="4" t="str">
        <f>IF(OR($A40="RTD"),IF(AND($AH40&lt;&gt;""),"YES","NO"),"N/A")</f>
        <v>N/A</v>
      </c>
      <c r="Q40" s="4" t="str">
        <f>IF(OR($A40="RTD"),IF(AND($AI40&lt;&gt;""),"YES","NO"),"N/A")</f>
        <v>N/A</v>
      </c>
      <c r="R40" s="4" t="str">
        <f>IF(OR($AM40&lt;&gt;"",$Z40&lt;&gt;"",$AC40&lt;&gt;""),"YES","NO")</f>
        <v>NO</v>
      </c>
      <c r="S40" s="4" t="str">
        <f>IF(COUNTIF(I40:R40,"NO")=0,"YES","NO")</f>
        <v>NO</v>
      </c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inlineStr">
        <is>
          <t>Teck</t>
        </is>
      </c>
      <c r="AK40" s="9" t="inlineStr">
        <is>
          <t>8AWG</t>
        </is>
      </c>
      <c r="AL40" s="9" t="inlineStr">
        <is>
          <t>Levy Ostrup</t>
        </is>
      </c>
      <c r="AM40" s="9" t="n"/>
      <c r="AN40" s="9" t="n"/>
    </row>
    <row r="41">
      <c r="A41" s="9" t="inlineStr">
        <is>
          <t>Power Cable</t>
        </is>
      </c>
      <c r="B41" s="9" t="inlineStr">
        <is>
          <t>29103-ET-PE1002-1-PWK-1</t>
        </is>
      </c>
      <c r="C41" s="9" t="inlineStr">
        <is>
          <t>29103-ET-PE1002-1</t>
        </is>
      </c>
      <c r="D41" s="9" t="inlineStr">
        <is>
          <t>29103-HTP-101 HTC-23</t>
        </is>
      </c>
      <c r="E41" s="9" t="inlineStr">
        <is>
          <t>29103-HTP-101</t>
        </is>
      </c>
      <c r="F41" s="9" t="inlineStr"/>
      <c r="G41" s="9" t="inlineStr">
        <is>
          <t>113</t>
        </is>
      </c>
      <c r="H41" s="9" t="inlineStr">
        <is>
          <t>29103-ET-PE1002-1-PWK-1.pdf</t>
        </is>
      </c>
      <c r="I41" s="4" t="str">
        <f>IF($H41&lt;&gt;"","YES","NO")</f>
        <v>YES</v>
      </c>
      <c r="J41" s="4" t="str">
        <f>IF(N($T41)&gt;0,"YES","NO")</f>
        <v>NO</v>
      </c>
      <c r="K41" s="4" t="str">
        <f>IF(OR($A41="EHT Trace"),IF(AND($U41&lt;&gt;"",$V41&lt;&gt;""),"YES","NO"),"N/A")</f>
        <v>N/A</v>
      </c>
      <c r="L41" s="4" t="str">
        <f>IF(OR($A41="EHT Trace"),IF(AND($X41&lt;&gt;"",$Y41&lt;&gt;""),"YES","NO"),"N/A")</f>
        <v>N/A</v>
      </c>
      <c r="M41" s="4" t="str">
        <f>IF(OR($A41="EHT Trace"),IF(AND($AA41&lt;&gt;"",$AB41&lt;&gt;""),"YES","NO"),"N/A")</f>
        <v>N/A</v>
      </c>
      <c r="N41" s="4" t="str">
        <f>IF(OR($A41="Power Cable"),IF(AND($AD41&lt;&gt;""),"YES","NO"),"N/A")</f>
        <v>NO</v>
      </c>
      <c r="O41" s="4" t="str">
        <f>IF(OR($A41="Power Cable",$A41="RTD Cable",$A41="Fieldbus Cable"),IF(AND($AE41&lt;&gt;""),"YES","NO"),"N/A")</f>
        <v>NO</v>
      </c>
      <c r="P41" s="4" t="str">
        <f>IF(OR($A41="RTD"),IF(AND($AH41&lt;&gt;""),"YES","NO"),"N/A")</f>
        <v>N/A</v>
      </c>
      <c r="Q41" s="4" t="str">
        <f>IF(OR($A41="RTD"),IF(AND($AI41&lt;&gt;""),"YES","NO"),"N/A")</f>
        <v>N/A</v>
      </c>
      <c r="R41" s="4" t="str">
        <f>IF(OR($AM41&lt;&gt;"",$Z41&lt;&gt;"",$AC41&lt;&gt;""),"YES","NO")</f>
        <v>NO</v>
      </c>
      <c r="S41" s="4" t="str">
        <f>IF(COUNTIF(I41:R41,"NO")=0,"YES","NO")</f>
        <v>NO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inlineStr">
        <is>
          <t>Teck</t>
        </is>
      </c>
      <c r="AK41" s="9" t="inlineStr">
        <is>
          <t>10AWG</t>
        </is>
      </c>
      <c r="AL41" s="9" t="inlineStr">
        <is>
          <t>Levy Ostrup</t>
        </is>
      </c>
      <c r="AM41" s="9" t="n"/>
      <c r="AN41" s="9" t="n"/>
    </row>
    <row r="42">
      <c r="A42" s="9" t="inlineStr">
        <is>
          <t>Power Cable</t>
        </is>
      </c>
      <c r="B42" s="9" t="inlineStr">
        <is>
          <t>29103-ET-PE1803-4-PWK-1</t>
        </is>
      </c>
      <c r="C42" s="9" t="inlineStr">
        <is>
          <t>29103-ET-PE1803-4</t>
        </is>
      </c>
      <c r="D42" s="9" t="inlineStr">
        <is>
          <t>29103-HTP-101 HTC-18</t>
        </is>
      </c>
      <c r="E42" s="9" t="inlineStr">
        <is>
          <t>29103-HTP-101</t>
        </is>
      </c>
      <c r="F42" s="9" t="inlineStr"/>
      <c r="G42" s="9" t="inlineStr">
        <is>
          <t>113</t>
        </is>
      </c>
      <c r="H42" s="9" t="inlineStr">
        <is>
          <t>29103-ET-PE1803-4-PWK-1.pdf</t>
        </is>
      </c>
      <c r="I42" s="4" t="str">
        <f>IF($H42&lt;&gt;"","YES","NO")</f>
        <v>YES</v>
      </c>
      <c r="J42" s="4" t="str">
        <f>IF(N($T42)&gt;0,"YES","NO")</f>
        <v>NO</v>
      </c>
      <c r="K42" s="4" t="str">
        <f>IF(OR($A42="EHT Trace"),IF(AND($U42&lt;&gt;"",$V42&lt;&gt;""),"YES","NO"),"N/A")</f>
        <v>N/A</v>
      </c>
      <c r="L42" s="4" t="str">
        <f>IF(OR($A42="EHT Trace"),IF(AND($X42&lt;&gt;"",$Y42&lt;&gt;""),"YES","NO"),"N/A")</f>
        <v>N/A</v>
      </c>
      <c r="M42" s="4" t="str">
        <f>IF(OR($A42="EHT Trace"),IF(AND($AA42&lt;&gt;"",$AB42&lt;&gt;""),"YES","NO"),"N/A")</f>
        <v>N/A</v>
      </c>
      <c r="N42" s="4" t="str">
        <f>IF(OR($A42="Power Cable"),IF(AND($AD42&lt;&gt;""),"YES","NO"),"N/A")</f>
        <v>NO</v>
      </c>
      <c r="O42" s="4" t="str">
        <f>IF(OR($A42="Power Cable",$A42="RTD Cable",$A42="Fieldbus Cable"),IF(AND($AE42&lt;&gt;""),"YES","NO"),"N/A")</f>
        <v>NO</v>
      </c>
      <c r="P42" s="4" t="str">
        <f>IF(OR($A42="RTD"),IF(AND($AH42&lt;&gt;""),"YES","NO"),"N/A")</f>
        <v>N/A</v>
      </c>
      <c r="Q42" s="4" t="str">
        <f>IF(OR($A42="RTD"),IF(AND($AI42&lt;&gt;""),"YES","NO"),"N/A")</f>
        <v>N/A</v>
      </c>
      <c r="R42" s="4" t="str">
        <f>IF(OR($AM42&lt;&gt;"",$Z42&lt;&gt;"",$AC42&lt;&gt;""),"YES","NO")</f>
        <v>NO</v>
      </c>
      <c r="S42" s="4" t="str">
        <f>IF(COUNTIF(I42:R42,"NO")=0,"YES","NO")</f>
        <v>NO</v>
      </c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inlineStr">
        <is>
          <t>Teck</t>
        </is>
      </c>
      <c r="AK42" s="9" t="inlineStr">
        <is>
          <t>10AWG</t>
        </is>
      </c>
      <c r="AL42" s="9" t="inlineStr">
        <is>
          <t>Levy Ostrup</t>
        </is>
      </c>
      <c r="AM42" s="9" t="n"/>
      <c r="AN42" s="9" t="n"/>
    </row>
    <row r="43">
      <c r="A43" s="9" t="inlineStr">
        <is>
          <t>Power Cable</t>
        </is>
      </c>
      <c r="B43" s="9" t="inlineStr">
        <is>
          <t>29103-ET-PE2802-3-PWK-1</t>
        </is>
      </c>
      <c r="C43" s="9" t="inlineStr">
        <is>
          <t>29103-ET-PE2802-3</t>
        </is>
      </c>
      <c r="D43" s="9" t="inlineStr">
        <is>
          <t>29103-HTP-101 HTC-03</t>
        </is>
      </c>
      <c r="E43" s="9" t="inlineStr">
        <is>
          <t>29103-HTP-101</t>
        </is>
      </c>
      <c r="F43" s="9" t="inlineStr"/>
      <c r="G43" s="9" t="inlineStr">
        <is>
          <t>113</t>
        </is>
      </c>
      <c r="H43" s="9" t="inlineStr">
        <is>
          <t>29103-ET-PE2802-3-PWK-1.pdf</t>
        </is>
      </c>
      <c r="I43" s="4" t="str">
        <f>IF($H43&lt;&gt;"","YES","NO")</f>
        <v>YES</v>
      </c>
      <c r="J43" s="4" t="str">
        <f>IF(N($T43)&gt;0,"YES","NO")</f>
        <v>NO</v>
      </c>
      <c r="K43" s="4" t="str">
        <f>IF(OR($A43="EHT Trace"),IF(AND($U43&lt;&gt;"",$V43&lt;&gt;""),"YES","NO"),"N/A")</f>
        <v>N/A</v>
      </c>
      <c r="L43" s="4" t="str">
        <f>IF(OR($A43="EHT Trace"),IF(AND($X43&lt;&gt;"",$Y43&lt;&gt;""),"YES","NO"),"N/A")</f>
        <v>N/A</v>
      </c>
      <c r="M43" s="4" t="str">
        <f>IF(OR($A43="EHT Trace"),IF(AND($AA43&lt;&gt;"",$AB43&lt;&gt;""),"YES","NO"),"N/A")</f>
        <v>N/A</v>
      </c>
      <c r="N43" s="4" t="str">
        <f>IF(OR($A43="Power Cable"),IF(AND($AD43&lt;&gt;""),"YES","NO"),"N/A")</f>
        <v>NO</v>
      </c>
      <c r="O43" s="4" t="str">
        <f>IF(OR($A43="Power Cable",$A43="RTD Cable",$A43="Fieldbus Cable"),IF(AND($AE43&lt;&gt;""),"YES","NO"),"N/A")</f>
        <v>NO</v>
      </c>
      <c r="P43" s="4" t="str">
        <f>IF(OR($A43="RTD"),IF(AND($AH43&lt;&gt;""),"YES","NO"),"N/A")</f>
        <v>N/A</v>
      </c>
      <c r="Q43" s="4" t="str">
        <f>IF(OR($A43="RTD"),IF(AND($AI43&lt;&gt;""),"YES","NO"),"N/A")</f>
        <v>N/A</v>
      </c>
      <c r="R43" s="4" t="str">
        <f>IF(OR($AM43&lt;&gt;"",$Z43&lt;&gt;"",$AC43&lt;&gt;""),"YES","NO")</f>
        <v>NO</v>
      </c>
      <c r="S43" s="4" t="str">
        <f>IF(COUNTIF(I43:R43,"NO")=0,"YES","NO")</f>
        <v>NO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inlineStr">
        <is>
          <t>Teck</t>
        </is>
      </c>
      <c r="AK43" s="9" t="inlineStr">
        <is>
          <t>8AWG</t>
        </is>
      </c>
      <c r="AL43" s="9" t="inlineStr">
        <is>
          <t>Levy Ostrup</t>
        </is>
      </c>
      <c r="AM43" s="9" t="n"/>
      <c r="AN43" s="9" t="n"/>
    </row>
    <row r="44">
      <c r="A44" s="9" t="inlineStr">
        <is>
          <t>Power Cable</t>
        </is>
      </c>
      <c r="B44" s="9" t="inlineStr">
        <is>
          <t>29103-ET-PE2802-4-PWK-1</t>
        </is>
      </c>
      <c r="C44" s="9" t="inlineStr">
        <is>
          <t>29103-ET-PE2802-4</t>
        </is>
      </c>
      <c r="D44" s="9" t="inlineStr">
        <is>
          <t>29103-HTP-101 HTC-10</t>
        </is>
      </c>
      <c r="E44" s="9" t="inlineStr">
        <is>
          <t>29103-HTP-101</t>
        </is>
      </c>
      <c r="F44" s="9" t="inlineStr"/>
      <c r="G44" s="9" t="inlineStr">
        <is>
          <t>113</t>
        </is>
      </c>
      <c r="H44" s="9" t="inlineStr">
        <is>
          <t>29103-ET-PE2802-4-PWK-1.pdf</t>
        </is>
      </c>
      <c r="I44" s="4" t="str">
        <f>IF($H44&lt;&gt;"","YES","NO")</f>
        <v>YES</v>
      </c>
      <c r="J44" s="4" t="str">
        <f>IF(N($T44)&gt;0,"YES","NO")</f>
        <v>NO</v>
      </c>
      <c r="K44" s="4" t="str">
        <f>IF(OR($A44="EHT Trace"),IF(AND($U44&lt;&gt;"",$V44&lt;&gt;""),"YES","NO"),"N/A")</f>
        <v>N/A</v>
      </c>
      <c r="L44" s="4" t="str">
        <f>IF(OR($A44="EHT Trace"),IF(AND($X44&lt;&gt;"",$Y44&lt;&gt;""),"YES","NO"),"N/A")</f>
        <v>N/A</v>
      </c>
      <c r="M44" s="4" t="str">
        <f>IF(OR($A44="EHT Trace"),IF(AND($AA44&lt;&gt;"",$AB44&lt;&gt;""),"YES","NO"),"N/A")</f>
        <v>N/A</v>
      </c>
      <c r="N44" s="4" t="str">
        <f>IF(OR($A44="Power Cable"),IF(AND($AD44&lt;&gt;""),"YES","NO"),"N/A")</f>
        <v>NO</v>
      </c>
      <c r="O44" s="4" t="str">
        <f>IF(OR($A44="Power Cable",$A44="RTD Cable",$A44="Fieldbus Cable"),IF(AND($AE44&lt;&gt;""),"YES","NO"),"N/A")</f>
        <v>NO</v>
      </c>
      <c r="P44" s="4" t="str">
        <f>IF(OR($A44="RTD"),IF(AND($AH44&lt;&gt;""),"YES","NO"),"N/A")</f>
        <v>N/A</v>
      </c>
      <c r="Q44" s="4" t="str">
        <f>IF(OR($A44="RTD"),IF(AND($AI44&lt;&gt;""),"YES","NO"),"N/A")</f>
        <v>N/A</v>
      </c>
      <c r="R44" s="4" t="str">
        <f>IF(OR($AM44&lt;&gt;"",$Z44&lt;&gt;"",$AC44&lt;&gt;""),"YES","NO")</f>
        <v>NO</v>
      </c>
      <c r="S44" s="4" t="str">
        <f>IF(COUNTIF(I44:R44,"NO")=0,"YES","NO")</f>
        <v>NO</v>
      </c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inlineStr">
        <is>
          <t>Teck</t>
        </is>
      </c>
      <c r="AK44" s="9" t="inlineStr">
        <is>
          <t>10AWG</t>
        </is>
      </c>
      <c r="AL44" s="9" t="inlineStr">
        <is>
          <t>Levy Ostrup</t>
        </is>
      </c>
      <c r="AM44" s="9" t="n"/>
      <c r="AN44" s="9" t="n"/>
    </row>
    <row r="45">
      <c r="A45" s="9" t="inlineStr">
        <is>
          <t>Power Cable</t>
        </is>
      </c>
      <c r="B45" s="9" t="inlineStr">
        <is>
          <t>29103-ET-PE2802-5-PWK-1</t>
        </is>
      </c>
      <c r="C45" s="9" t="inlineStr">
        <is>
          <t>29103-ET-PE2802-5</t>
        </is>
      </c>
      <c r="D45" s="9" t="inlineStr">
        <is>
          <t>29103-HTP-101 HTC-37</t>
        </is>
      </c>
      <c r="E45" s="9" t="inlineStr">
        <is>
          <t>29103-HTP-101</t>
        </is>
      </c>
      <c r="F45" s="9" t="inlineStr"/>
      <c r="G45" s="9" t="inlineStr">
        <is>
          <t>113</t>
        </is>
      </c>
      <c r="H45" s="9" t="inlineStr">
        <is>
          <t>29103-ET-PE2802-5-PWK-1.pdf</t>
        </is>
      </c>
      <c r="I45" s="4" t="str">
        <f>IF($H45&lt;&gt;"","YES","NO")</f>
        <v>YES</v>
      </c>
      <c r="J45" s="4" t="str">
        <f>IF(N($T45)&gt;0,"YES","NO")</f>
        <v>NO</v>
      </c>
      <c r="K45" s="4" t="str">
        <f>IF(OR($A45="EHT Trace"),IF(AND($U45&lt;&gt;"",$V45&lt;&gt;""),"YES","NO"),"N/A")</f>
        <v>N/A</v>
      </c>
      <c r="L45" s="4" t="str">
        <f>IF(OR($A45="EHT Trace"),IF(AND($X45&lt;&gt;"",$Y45&lt;&gt;""),"YES","NO"),"N/A")</f>
        <v>N/A</v>
      </c>
      <c r="M45" s="4" t="str">
        <f>IF(OR($A45="EHT Trace"),IF(AND($AA45&lt;&gt;"",$AB45&lt;&gt;""),"YES","NO"),"N/A")</f>
        <v>N/A</v>
      </c>
      <c r="N45" s="4" t="str">
        <f>IF(OR($A45="Power Cable"),IF(AND($AD45&lt;&gt;""),"YES","NO"),"N/A")</f>
        <v>NO</v>
      </c>
      <c r="O45" s="4" t="str">
        <f>IF(OR($A45="Power Cable",$A45="RTD Cable",$A45="Fieldbus Cable"),IF(AND($AE45&lt;&gt;""),"YES","NO"),"N/A")</f>
        <v>NO</v>
      </c>
      <c r="P45" s="4" t="str">
        <f>IF(OR($A45="RTD"),IF(AND($AH45&lt;&gt;""),"YES","NO"),"N/A")</f>
        <v>N/A</v>
      </c>
      <c r="Q45" s="4" t="str">
        <f>IF(OR($A45="RTD"),IF(AND($AI45&lt;&gt;""),"YES","NO"),"N/A")</f>
        <v>N/A</v>
      </c>
      <c r="R45" s="4" t="str">
        <f>IF(OR($AM45&lt;&gt;"",$Z45&lt;&gt;"",$AC45&lt;&gt;""),"YES","NO")</f>
        <v>NO</v>
      </c>
      <c r="S45" s="4" t="str">
        <f>IF(COUNTIF(I45:R45,"NO")=0,"YES","NO")</f>
        <v>NO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inlineStr">
        <is>
          <t>Teck</t>
        </is>
      </c>
      <c r="AK45" s="9" t="inlineStr">
        <is>
          <t>10AWG</t>
        </is>
      </c>
      <c r="AL45" s="9" t="inlineStr">
        <is>
          <t>Levy Ostrup</t>
        </is>
      </c>
      <c r="AM45" s="9" t="n"/>
      <c r="AN45" s="9" t="n"/>
    </row>
    <row r="46">
      <c r="A46" s="9" t="inlineStr">
        <is>
          <t>Power Cable</t>
        </is>
      </c>
      <c r="B46" s="9" t="inlineStr">
        <is>
          <t>29103-ET-PE2803-3-PWK-1</t>
        </is>
      </c>
      <c r="C46" s="9" t="inlineStr">
        <is>
          <t>29103-ET-PE2803-3</t>
        </is>
      </c>
      <c r="D46" s="9" t="inlineStr">
        <is>
          <t>29103-HTP-101 HTC-04</t>
        </is>
      </c>
      <c r="E46" s="9" t="inlineStr">
        <is>
          <t>29103-HTP-101</t>
        </is>
      </c>
      <c r="F46" s="9" t="inlineStr"/>
      <c r="G46" s="9" t="inlineStr">
        <is>
          <t>113</t>
        </is>
      </c>
      <c r="H46" s="9" t="inlineStr">
        <is>
          <t>29103-ET-PE2803-3-PWK-1.pdf</t>
        </is>
      </c>
      <c r="I46" s="4" t="str">
        <f>IF($H46&lt;&gt;"","YES","NO")</f>
        <v>YES</v>
      </c>
      <c r="J46" s="4" t="str">
        <f>IF(N($T46)&gt;0,"YES","NO")</f>
        <v>NO</v>
      </c>
      <c r="K46" s="4" t="str">
        <f>IF(OR($A46="EHT Trace"),IF(AND($U46&lt;&gt;"",$V46&lt;&gt;""),"YES","NO"),"N/A")</f>
        <v>N/A</v>
      </c>
      <c r="L46" s="4" t="str">
        <f>IF(OR($A46="EHT Trace"),IF(AND($X46&lt;&gt;"",$Y46&lt;&gt;""),"YES","NO"),"N/A")</f>
        <v>N/A</v>
      </c>
      <c r="M46" s="4" t="str">
        <f>IF(OR($A46="EHT Trace"),IF(AND($AA46&lt;&gt;"",$AB46&lt;&gt;""),"YES","NO"),"N/A")</f>
        <v>N/A</v>
      </c>
      <c r="N46" s="4" t="str">
        <f>IF(OR($A46="Power Cable"),IF(AND($AD46&lt;&gt;""),"YES","NO"),"N/A")</f>
        <v>NO</v>
      </c>
      <c r="O46" s="4" t="str">
        <f>IF(OR($A46="Power Cable",$A46="RTD Cable",$A46="Fieldbus Cable"),IF(AND($AE46&lt;&gt;""),"YES","NO"),"N/A")</f>
        <v>NO</v>
      </c>
      <c r="P46" s="4" t="str">
        <f>IF(OR($A46="RTD"),IF(AND($AH46&lt;&gt;""),"YES","NO"),"N/A")</f>
        <v>N/A</v>
      </c>
      <c r="Q46" s="4" t="str">
        <f>IF(OR($A46="RTD"),IF(AND($AI46&lt;&gt;""),"YES","NO"),"N/A")</f>
        <v>N/A</v>
      </c>
      <c r="R46" s="4" t="str">
        <f>IF(OR($AM46&lt;&gt;"",$Z46&lt;&gt;"",$AC46&lt;&gt;""),"YES","NO")</f>
        <v>NO</v>
      </c>
      <c r="S46" s="4" t="str">
        <f>IF(COUNTIF(I46:R46,"NO")=0,"YES","NO")</f>
        <v>NO</v>
      </c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inlineStr">
        <is>
          <t>Teck</t>
        </is>
      </c>
      <c r="AK46" s="9" t="inlineStr">
        <is>
          <t>10AWG</t>
        </is>
      </c>
      <c r="AL46" s="9" t="inlineStr">
        <is>
          <t>Levy Ostrup</t>
        </is>
      </c>
      <c r="AM46" s="9" t="n"/>
      <c r="AN46" s="9" t="n"/>
    </row>
    <row r="47">
      <c r="A47" s="9" t="inlineStr">
        <is>
          <t>Power Cable</t>
        </is>
      </c>
      <c r="B47" s="9" t="inlineStr">
        <is>
          <t>29103-ET-ST1809-1-PWK-1</t>
        </is>
      </c>
      <c r="C47" s="9" t="inlineStr">
        <is>
          <t>29103-ET-ST1809-1</t>
        </is>
      </c>
      <c r="D47" s="9" t="inlineStr">
        <is>
          <t>29103-HTP-101 HTC-17</t>
        </is>
      </c>
      <c r="E47" s="9" t="inlineStr">
        <is>
          <t>29103-HTP-101</t>
        </is>
      </c>
      <c r="F47" s="9" t="inlineStr"/>
      <c r="G47" s="9" t="inlineStr">
        <is>
          <t>113</t>
        </is>
      </c>
      <c r="H47" s="9" t="inlineStr">
        <is>
          <t>29103-ET-ST1809-1-PWK-1.pdf</t>
        </is>
      </c>
      <c r="I47" s="4" t="str">
        <f>IF($H47&lt;&gt;"","YES","NO")</f>
        <v>YES</v>
      </c>
      <c r="J47" s="4" t="str">
        <f>IF(N($T47)&gt;0,"YES","NO")</f>
        <v>NO</v>
      </c>
      <c r="K47" s="4" t="str">
        <f>IF(OR($A47="EHT Trace"),IF(AND($U47&lt;&gt;"",$V47&lt;&gt;""),"YES","NO"),"N/A")</f>
        <v>N/A</v>
      </c>
      <c r="L47" s="4" t="str">
        <f>IF(OR($A47="EHT Trace"),IF(AND($X47&lt;&gt;"",$Y47&lt;&gt;""),"YES","NO"),"N/A")</f>
        <v>N/A</v>
      </c>
      <c r="M47" s="4" t="str">
        <f>IF(OR($A47="EHT Trace"),IF(AND($AA47&lt;&gt;"",$AB47&lt;&gt;""),"YES","NO"),"N/A")</f>
        <v>N/A</v>
      </c>
      <c r="N47" s="4" t="str">
        <f>IF(OR($A47="Power Cable"),IF(AND($AD47&lt;&gt;""),"YES","NO"),"N/A")</f>
        <v>NO</v>
      </c>
      <c r="O47" s="4" t="str">
        <f>IF(OR($A47="Power Cable",$A47="RTD Cable",$A47="Fieldbus Cable"),IF(AND($AE47&lt;&gt;""),"YES","NO"),"N/A")</f>
        <v>NO</v>
      </c>
      <c r="P47" s="4" t="str">
        <f>IF(OR($A47="RTD"),IF(AND($AH47&lt;&gt;""),"YES","NO"),"N/A")</f>
        <v>N/A</v>
      </c>
      <c r="Q47" s="4" t="str">
        <f>IF(OR($A47="RTD"),IF(AND($AI47&lt;&gt;""),"YES","NO"),"N/A")</f>
        <v>N/A</v>
      </c>
      <c r="R47" s="4" t="str">
        <f>IF(OR($AM47&lt;&gt;"",$Z47&lt;&gt;"",$AC47&lt;&gt;""),"YES","NO")</f>
        <v>NO</v>
      </c>
      <c r="S47" s="4" t="str">
        <f>IF(COUNTIF(I47:R47,"NO")=0,"YES","NO")</f>
        <v>NO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inlineStr">
        <is>
          <t>Teck</t>
        </is>
      </c>
      <c r="AK47" s="9" t="inlineStr">
        <is>
          <t>10AWG</t>
        </is>
      </c>
      <c r="AL47" s="9" t="inlineStr">
        <is>
          <t>Levy Ostrup</t>
        </is>
      </c>
      <c r="AM47" s="9" t="n"/>
      <c r="AN47" s="9" t="n"/>
    </row>
    <row r="48">
      <c r="A48" s="9" t="inlineStr">
        <is>
          <t>Power Cable</t>
        </is>
      </c>
      <c r="B48" s="9" t="inlineStr">
        <is>
          <t>29103-ET-ST2801-1-PWK-1</t>
        </is>
      </c>
      <c r="C48" s="9" t="inlineStr">
        <is>
          <t>29103-ET-ST2801-1</t>
        </is>
      </c>
      <c r="D48" s="9" t="inlineStr">
        <is>
          <t>29103-AMB-014</t>
        </is>
      </c>
      <c r="E48" s="9" t="inlineStr">
        <is>
          <t>29103-HTP-101</t>
        </is>
      </c>
      <c r="F48" s="9" t="inlineStr"/>
      <c r="G48" s="9" t="inlineStr">
        <is>
          <t>113</t>
        </is>
      </c>
      <c r="H48" s="9" t="inlineStr">
        <is>
          <t>29103-ET-ST2801-1-PWK-1.pdf</t>
        </is>
      </c>
      <c r="I48" s="4" t="str">
        <f>IF($H48&lt;&gt;"","YES","NO")</f>
        <v>YES</v>
      </c>
      <c r="J48" s="4" t="str">
        <f>IF(N($T48)&gt;0,"YES","NO")</f>
        <v>NO</v>
      </c>
      <c r="K48" s="4" t="str">
        <f>IF(OR($A48="EHT Trace"),IF(AND($U48&lt;&gt;"",$V48&lt;&gt;""),"YES","NO"),"N/A")</f>
        <v>N/A</v>
      </c>
      <c r="L48" s="4" t="str">
        <f>IF(OR($A48="EHT Trace"),IF(AND($X48&lt;&gt;"",$Y48&lt;&gt;""),"YES","NO"),"N/A")</f>
        <v>N/A</v>
      </c>
      <c r="M48" s="4" t="str">
        <f>IF(OR($A48="EHT Trace"),IF(AND($AA48&lt;&gt;"",$AB48&lt;&gt;""),"YES","NO"),"N/A")</f>
        <v>N/A</v>
      </c>
      <c r="N48" s="4" t="str">
        <f>IF(OR($A48="Power Cable"),IF(AND($AD48&lt;&gt;""),"YES","NO"),"N/A")</f>
        <v>NO</v>
      </c>
      <c r="O48" s="4" t="str">
        <f>IF(OR($A48="Power Cable",$A48="RTD Cable",$A48="Fieldbus Cable"),IF(AND($AE48&lt;&gt;""),"YES","NO"),"N/A")</f>
        <v>NO</v>
      </c>
      <c r="P48" s="4" t="str">
        <f>IF(OR($A48="RTD"),IF(AND($AH48&lt;&gt;""),"YES","NO"),"N/A")</f>
        <v>N/A</v>
      </c>
      <c r="Q48" s="4" t="str">
        <f>IF(OR($A48="RTD"),IF(AND($AI48&lt;&gt;""),"YES","NO"),"N/A")</f>
        <v>N/A</v>
      </c>
      <c r="R48" s="4" t="str">
        <f>IF(OR($AM48&lt;&gt;"",$Z48&lt;&gt;"",$AC48&lt;&gt;""),"YES","NO")</f>
        <v>NO</v>
      </c>
      <c r="S48" s="4" t="str">
        <f>IF(COUNTIF(I48:R48,"NO")=0,"YES","NO")</f>
        <v>NO</v>
      </c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inlineStr">
        <is>
          <t>Teck</t>
        </is>
      </c>
      <c r="AK48" s="9" t="inlineStr">
        <is>
          <t>10AWG</t>
        </is>
      </c>
      <c r="AL48" s="9" t="inlineStr">
        <is>
          <t>Levy Ostrup</t>
        </is>
      </c>
      <c r="AM48" s="9" t="n"/>
      <c r="AN48" s="9" t="n"/>
    </row>
    <row r="49">
      <c r="A49" s="9" t="inlineStr">
        <is>
          <t>Power Cable</t>
        </is>
      </c>
      <c r="B49" s="9" t="inlineStr">
        <is>
          <t>29103-ET-ST2803-1-PWK-1</t>
        </is>
      </c>
      <c r="C49" s="9" t="inlineStr">
        <is>
          <t>29103-ET-ST2803-1</t>
        </is>
      </c>
      <c r="D49" s="9" t="inlineStr">
        <is>
          <t>29103-AMB-014</t>
        </is>
      </c>
      <c r="E49" s="9" t="inlineStr">
        <is>
          <t>29103-HTP-101</t>
        </is>
      </c>
      <c r="F49" s="9" t="inlineStr"/>
      <c r="G49" s="9" t="inlineStr">
        <is>
          <t>113</t>
        </is>
      </c>
      <c r="H49" s="9" t="inlineStr">
        <is>
          <t>29103-ET-ST2803-1-PWK-1.pdf</t>
        </is>
      </c>
      <c r="I49" s="4" t="str">
        <f>IF($H49&lt;&gt;"","YES","NO")</f>
        <v>YES</v>
      </c>
      <c r="J49" s="4" t="str">
        <f>IF(N($T49)&gt;0,"YES","NO")</f>
        <v>NO</v>
      </c>
      <c r="K49" s="4" t="str">
        <f>IF(OR($A49="EHT Trace"),IF(AND($U49&lt;&gt;"",$V49&lt;&gt;""),"YES","NO"),"N/A")</f>
        <v>N/A</v>
      </c>
      <c r="L49" s="4" t="str">
        <f>IF(OR($A49="EHT Trace"),IF(AND($X49&lt;&gt;"",$Y49&lt;&gt;""),"YES","NO"),"N/A")</f>
        <v>N/A</v>
      </c>
      <c r="M49" s="4" t="str">
        <f>IF(OR($A49="EHT Trace"),IF(AND($AA49&lt;&gt;"",$AB49&lt;&gt;""),"YES","NO"),"N/A")</f>
        <v>N/A</v>
      </c>
      <c r="N49" s="4" t="str">
        <f>IF(OR($A49="Power Cable"),IF(AND($AD49&lt;&gt;""),"YES","NO"),"N/A")</f>
        <v>NO</v>
      </c>
      <c r="O49" s="4" t="str">
        <f>IF(OR($A49="Power Cable",$A49="RTD Cable",$A49="Fieldbus Cable"),IF(AND($AE49&lt;&gt;""),"YES","NO"),"N/A")</f>
        <v>NO</v>
      </c>
      <c r="P49" s="4" t="str">
        <f>IF(OR($A49="RTD"),IF(AND($AH49&lt;&gt;""),"YES","NO"),"N/A")</f>
        <v>N/A</v>
      </c>
      <c r="Q49" s="4" t="str">
        <f>IF(OR($A49="RTD"),IF(AND($AI49&lt;&gt;""),"YES","NO"),"N/A")</f>
        <v>N/A</v>
      </c>
      <c r="R49" s="4" t="str">
        <f>IF(OR($AM49&lt;&gt;"",$Z49&lt;&gt;"",$AC49&lt;&gt;""),"YES","NO")</f>
        <v>NO</v>
      </c>
      <c r="S49" s="4" t="str">
        <f>IF(COUNTIF(I49:R49,"NO")=0,"YES","NO")</f>
        <v>NO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inlineStr">
        <is>
          <t>Teck</t>
        </is>
      </c>
      <c r="AK49" s="9" t="inlineStr">
        <is>
          <t>10AWG</t>
        </is>
      </c>
      <c r="AL49" s="9" t="inlineStr">
        <is>
          <t>Levy Ostrup</t>
        </is>
      </c>
      <c r="AM49" s="9" t="n"/>
      <c r="AN49" s="9" t="n"/>
    </row>
    <row r="50">
      <c r="A50" s="9" t="inlineStr">
        <is>
          <t>Power Cable</t>
        </is>
      </c>
      <c r="B50" s="9" t="inlineStr">
        <is>
          <t>29103-ET-ST2805-1-PWK-1</t>
        </is>
      </c>
      <c r="C50" s="9" t="inlineStr">
        <is>
          <t>29103-ET-ST2805-1</t>
        </is>
      </c>
      <c r="D50" s="9" t="inlineStr">
        <is>
          <t>29103-AMB-014</t>
        </is>
      </c>
      <c r="E50" s="9" t="inlineStr">
        <is>
          <t>29103-HTP-101</t>
        </is>
      </c>
      <c r="F50" s="9" t="inlineStr"/>
      <c r="G50" s="9" t="inlineStr">
        <is>
          <t>113</t>
        </is>
      </c>
      <c r="H50" s="9" t="inlineStr">
        <is>
          <t>29103-ET-ST2805-1-PWK-1.pdf</t>
        </is>
      </c>
      <c r="I50" s="4" t="str">
        <f>IF($H50&lt;&gt;"","YES","NO")</f>
        <v>YES</v>
      </c>
      <c r="J50" s="4" t="str">
        <f>IF(N($T50)&gt;0,"YES","NO")</f>
        <v>NO</v>
      </c>
      <c r="K50" s="4" t="str">
        <f>IF(OR($A50="EHT Trace"),IF(AND($U50&lt;&gt;"",$V50&lt;&gt;""),"YES","NO"),"N/A")</f>
        <v>N/A</v>
      </c>
      <c r="L50" s="4" t="str">
        <f>IF(OR($A50="EHT Trace"),IF(AND($X50&lt;&gt;"",$Y50&lt;&gt;""),"YES","NO"),"N/A")</f>
        <v>N/A</v>
      </c>
      <c r="M50" s="4" t="str">
        <f>IF(OR($A50="EHT Trace"),IF(AND($AA50&lt;&gt;"",$AB50&lt;&gt;""),"YES","NO"),"N/A")</f>
        <v>N/A</v>
      </c>
      <c r="N50" s="4" t="str">
        <f>IF(OR($A50="Power Cable"),IF(AND($AD50&lt;&gt;""),"YES","NO"),"N/A")</f>
        <v>NO</v>
      </c>
      <c r="O50" s="4" t="str">
        <f>IF(OR($A50="Power Cable",$A50="RTD Cable",$A50="Fieldbus Cable"),IF(AND($AE50&lt;&gt;""),"YES","NO"),"N/A")</f>
        <v>NO</v>
      </c>
      <c r="P50" s="4" t="str">
        <f>IF(OR($A50="RTD"),IF(AND($AH50&lt;&gt;""),"YES","NO"),"N/A")</f>
        <v>N/A</v>
      </c>
      <c r="Q50" s="4" t="str">
        <f>IF(OR($A50="RTD"),IF(AND($AI50&lt;&gt;""),"YES","NO"),"N/A")</f>
        <v>N/A</v>
      </c>
      <c r="R50" s="4" t="str">
        <f>IF(OR($AM50&lt;&gt;"",$Z50&lt;&gt;"",$AC50&lt;&gt;""),"YES","NO")</f>
        <v>NO</v>
      </c>
      <c r="S50" s="4" t="str">
        <f>IF(COUNTIF(I50:R50,"NO")=0,"YES","NO")</f>
        <v>NO</v>
      </c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inlineStr">
        <is>
          <t>Teck</t>
        </is>
      </c>
      <c r="AK50" s="9" t="inlineStr">
        <is>
          <t>10AWG</t>
        </is>
      </c>
      <c r="AL50" s="9" t="inlineStr">
        <is>
          <t>Levy Ostrup</t>
        </is>
      </c>
      <c r="AM50" s="9" t="n"/>
      <c r="AN50" s="9" t="n"/>
    </row>
    <row r="51">
      <c r="A51" s="9" t="inlineStr">
        <is>
          <t>Power Cable</t>
        </is>
      </c>
      <c r="B51" s="9" t="inlineStr">
        <is>
          <t>29103-ET-UT1400-1-PWK-1</t>
        </is>
      </c>
      <c r="C51" s="9" t="inlineStr">
        <is>
          <t>29103-ET-UT1400-1</t>
        </is>
      </c>
      <c r="D51" s="9" t="inlineStr">
        <is>
          <t>29103-HTP-101 HTC-11</t>
        </is>
      </c>
      <c r="E51" s="9" t="inlineStr">
        <is>
          <t>29103-HTP-101</t>
        </is>
      </c>
      <c r="F51" s="9" t="inlineStr"/>
      <c r="G51" s="9" t="inlineStr">
        <is>
          <t>113</t>
        </is>
      </c>
      <c r="H51" s="9" t="inlineStr">
        <is>
          <t>29103-ET-UT1400-1-PWK-1.pdf</t>
        </is>
      </c>
      <c r="I51" s="4" t="str">
        <f>IF($H51&lt;&gt;"","YES","NO")</f>
        <v>YES</v>
      </c>
      <c r="J51" s="4" t="str">
        <f>IF(N($T51)&gt;0,"YES","NO")</f>
        <v>NO</v>
      </c>
      <c r="K51" s="4" t="str">
        <f>IF(OR($A51="EHT Trace"),IF(AND($U51&lt;&gt;"",$V51&lt;&gt;""),"YES","NO"),"N/A")</f>
        <v>N/A</v>
      </c>
      <c r="L51" s="4" t="str">
        <f>IF(OR($A51="EHT Trace"),IF(AND($X51&lt;&gt;"",$Y51&lt;&gt;""),"YES","NO"),"N/A")</f>
        <v>N/A</v>
      </c>
      <c r="M51" s="4" t="str">
        <f>IF(OR($A51="EHT Trace"),IF(AND($AA51&lt;&gt;"",$AB51&lt;&gt;""),"YES","NO"),"N/A")</f>
        <v>N/A</v>
      </c>
      <c r="N51" s="4" t="str">
        <f>IF(OR($A51="Power Cable"),IF(AND($AD51&lt;&gt;""),"YES","NO"),"N/A")</f>
        <v>NO</v>
      </c>
      <c r="O51" s="4" t="str">
        <f>IF(OR($A51="Power Cable",$A51="RTD Cable",$A51="Fieldbus Cable"),IF(AND($AE51&lt;&gt;""),"YES","NO"),"N/A")</f>
        <v>NO</v>
      </c>
      <c r="P51" s="4" t="str">
        <f>IF(OR($A51="RTD"),IF(AND($AH51&lt;&gt;""),"YES","NO"),"N/A")</f>
        <v>N/A</v>
      </c>
      <c r="Q51" s="4" t="str">
        <f>IF(OR($A51="RTD"),IF(AND($AI51&lt;&gt;""),"YES","NO"),"N/A")</f>
        <v>N/A</v>
      </c>
      <c r="R51" s="4" t="str">
        <f>IF(OR($AM51&lt;&gt;"",$Z51&lt;&gt;"",$AC51&lt;&gt;""),"YES","NO")</f>
        <v>NO</v>
      </c>
      <c r="S51" s="4" t="str">
        <f>IF(COUNTIF(I51:R51,"NO")=0,"YES","NO")</f>
        <v>NO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inlineStr">
        <is>
          <t>Teck</t>
        </is>
      </c>
      <c r="AK51" s="9" t="inlineStr">
        <is>
          <t>10AWG</t>
        </is>
      </c>
      <c r="AL51" s="9" t="inlineStr">
        <is>
          <t>Levy Ostrup</t>
        </is>
      </c>
      <c r="AM51" s="9" t="n"/>
      <c r="AN51" s="9" t="n"/>
    </row>
    <row r="52">
      <c r="A52" s="9" t="inlineStr">
        <is>
          <t>RTD</t>
        </is>
      </c>
      <c r="B52" s="9" t="inlineStr">
        <is>
          <t>29103-ET-P1001-1-R-1</t>
        </is>
      </c>
      <c r="C52" s="9" t="inlineStr">
        <is>
          <t>29103-ET-P1001-1</t>
        </is>
      </c>
      <c r="D52" s="9" t="inlineStr">
        <is>
          <t>29103-HTP-101 HTC-39</t>
        </is>
      </c>
      <c r="E52" s="9" t="inlineStr">
        <is>
          <t>PRODUCED EMULSION</t>
        </is>
      </c>
      <c r="F52" s="9" t="inlineStr">
        <is>
          <t>29103-65R-ET-P1001-01-01</t>
        </is>
      </c>
      <c r="G52" s="9" t="inlineStr">
        <is>
          <t>13.2</t>
        </is>
      </c>
      <c r="H52" s="9" t="inlineStr">
        <is>
          <t>29103-ET-P1001-1-R-1.pdf</t>
        </is>
      </c>
      <c r="I52" s="4" t="str">
        <f>IF($H52&lt;&gt;"","YES","NO")</f>
        <v>YES</v>
      </c>
      <c r="J52" s="4" t="str">
        <f>IF(N($T52)&gt;0,"YES","NO")</f>
        <v>NO</v>
      </c>
      <c r="K52" s="4" t="str">
        <f>IF(OR($A52="EHT Trace"),IF(AND($U52&lt;&gt;"",$V52&lt;&gt;""),"YES","NO"),"N/A")</f>
        <v>N/A</v>
      </c>
      <c r="L52" s="4" t="str">
        <f>IF(OR($A52="EHT Trace"),IF(AND($X52&lt;&gt;"",$Y52&lt;&gt;""),"YES","NO"),"N/A")</f>
        <v>N/A</v>
      </c>
      <c r="M52" s="4" t="str">
        <f>IF(OR($A52="EHT Trace"),IF(AND($AA52&lt;&gt;"",$AB52&lt;&gt;""),"YES","NO"),"N/A")</f>
        <v>N/A</v>
      </c>
      <c r="N52" s="4" t="str">
        <f>IF(OR($A52="Power Cable"),IF(AND($AD52&lt;&gt;""),"YES","NO"),"N/A")</f>
        <v>N/A</v>
      </c>
      <c r="O52" s="4" t="str">
        <f>IF(OR($A52="Power Cable",$A52="RTD Cable",$A52="Fieldbus Cable"),IF(AND($AE52&lt;&gt;""),"YES","NO"),"N/A")</f>
        <v>N/A</v>
      </c>
      <c r="P52" s="4" t="str">
        <f>IF(OR($A52="RTD"),IF(AND($AH52&lt;&gt;""),"YES","NO"),"N/A")</f>
        <v>NO</v>
      </c>
      <c r="Q52" s="4" t="str">
        <f>IF(OR($A52="RTD"),IF(AND($AI52&lt;&gt;""),"YES","NO"),"N/A")</f>
        <v>NO</v>
      </c>
      <c r="R52" s="4" t="str">
        <f>IF(OR($AM52&lt;&gt;"",$Z52&lt;&gt;"",$AC52&lt;&gt;""),"YES","NO")</f>
        <v>NO</v>
      </c>
      <c r="S52" s="4" t="str">
        <f>IF(COUNTIF(I52:R52,"NO")=0,"YES","NO")</f>
        <v>NO</v>
      </c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inlineStr">
        <is>
          <t>Levy Ostrup</t>
        </is>
      </c>
      <c r="AM52" s="9" t="n"/>
      <c r="AN52" s="9" t="n"/>
    </row>
    <row r="53">
      <c r="A53" s="9" t="inlineStr">
        <is>
          <t>RTD</t>
        </is>
      </c>
      <c r="B53" s="9" t="inlineStr">
        <is>
          <t>29103-ET-P2800-4-R-1</t>
        </is>
      </c>
      <c r="C53" s="9" t="inlineStr">
        <is>
          <t>29103-ET-P2800-4</t>
        </is>
      </c>
      <c r="D53" s="9" t="inlineStr">
        <is>
          <t>29103-HTP-101 HTC-05</t>
        </is>
      </c>
      <c r="E53" s="9" t="inlineStr">
        <is>
          <t>PRODUCED EMULSION</t>
        </is>
      </c>
      <c r="F53" s="9" t="inlineStr">
        <is>
          <t>29103-65R-ET-P2800-04-01</t>
        </is>
      </c>
      <c r="G53" s="9" t="inlineStr">
        <is>
          <t>13.2</t>
        </is>
      </c>
      <c r="H53" s="9" t="inlineStr">
        <is>
          <t>29103-ET-P2800-4-R-1.pdf</t>
        </is>
      </c>
      <c r="I53" s="4" t="str">
        <f>IF($H53&lt;&gt;"","YES","NO")</f>
        <v>YES</v>
      </c>
      <c r="J53" s="4" t="str">
        <f>IF(N($T53)&gt;0,"YES","NO")</f>
        <v>NO</v>
      </c>
      <c r="K53" s="4" t="str">
        <f>IF(OR($A53="EHT Trace"),IF(AND($U53&lt;&gt;"",$V53&lt;&gt;""),"YES","NO"),"N/A")</f>
        <v>N/A</v>
      </c>
      <c r="L53" s="4" t="str">
        <f>IF(OR($A53="EHT Trace"),IF(AND($X53&lt;&gt;"",$Y53&lt;&gt;""),"YES","NO"),"N/A")</f>
        <v>N/A</v>
      </c>
      <c r="M53" s="4" t="str">
        <f>IF(OR($A53="EHT Trace"),IF(AND($AA53&lt;&gt;"",$AB53&lt;&gt;""),"YES","NO"),"N/A")</f>
        <v>N/A</v>
      </c>
      <c r="N53" s="4" t="str">
        <f>IF(OR($A53="Power Cable"),IF(AND($AD53&lt;&gt;""),"YES","NO"),"N/A")</f>
        <v>N/A</v>
      </c>
      <c r="O53" s="4" t="str">
        <f>IF(OR($A53="Power Cable",$A53="RTD Cable",$A53="Fieldbus Cable"),IF(AND($AE53&lt;&gt;""),"YES","NO"),"N/A")</f>
        <v>N/A</v>
      </c>
      <c r="P53" s="4" t="str">
        <f>IF(OR($A53="RTD"),IF(AND($AH53&lt;&gt;""),"YES","NO"),"N/A")</f>
        <v>NO</v>
      </c>
      <c r="Q53" s="4" t="str">
        <f>IF(OR($A53="RTD"),IF(AND($AI53&lt;&gt;""),"YES","NO"),"N/A")</f>
        <v>NO</v>
      </c>
      <c r="R53" s="4" t="str">
        <f>IF(OR($AM53&lt;&gt;"",$Z53&lt;&gt;"",$AC53&lt;&gt;""),"YES","NO")</f>
        <v>NO</v>
      </c>
      <c r="S53" s="4" t="str">
        <f>IF(COUNTIF(I53:R53,"NO")=0,"YES","NO")</f>
        <v>NO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inlineStr">
        <is>
          <t>Levy Ostrup</t>
        </is>
      </c>
      <c r="AM53" s="9" t="n"/>
      <c r="AN53" s="9" t="n"/>
    </row>
    <row r="54">
      <c r="A54" s="9" t="inlineStr">
        <is>
          <t>RTD</t>
        </is>
      </c>
      <c r="B54" s="9" t="inlineStr">
        <is>
          <t>29103-ET-P2800-5-R-1</t>
        </is>
      </c>
      <c r="C54" s="9" t="inlineStr">
        <is>
          <t>29103-ET-P2800-5</t>
        </is>
      </c>
      <c r="D54" s="9" t="inlineStr">
        <is>
          <t>29103-HTP-101 HTC-02</t>
        </is>
      </c>
      <c r="E54" s="9" t="inlineStr">
        <is>
          <t>PRODUCED EMULSION</t>
        </is>
      </c>
      <c r="F54" s="9" t="inlineStr">
        <is>
          <t>29103-65R-ET-P2800-05-01</t>
        </is>
      </c>
      <c r="G54" s="9" t="inlineStr">
        <is>
          <t>13.2</t>
        </is>
      </c>
      <c r="H54" s="9" t="inlineStr">
        <is>
          <t>29103-ET-P2800-5-R-1.pdf</t>
        </is>
      </c>
      <c r="I54" s="4" t="str">
        <f>IF($H54&lt;&gt;"","YES","NO")</f>
        <v>YES</v>
      </c>
      <c r="J54" s="4" t="str">
        <f>IF(N($T54)&gt;0,"YES","NO")</f>
        <v>NO</v>
      </c>
      <c r="K54" s="4" t="str">
        <f>IF(OR($A54="EHT Trace"),IF(AND($U54&lt;&gt;"",$V54&lt;&gt;""),"YES","NO"),"N/A")</f>
        <v>N/A</v>
      </c>
      <c r="L54" s="4" t="str">
        <f>IF(OR($A54="EHT Trace"),IF(AND($X54&lt;&gt;"",$Y54&lt;&gt;""),"YES","NO"),"N/A")</f>
        <v>N/A</v>
      </c>
      <c r="M54" s="4" t="str">
        <f>IF(OR($A54="EHT Trace"),IF(AND($AA54&lt;&gt;"",$AB54&lt;&gt;""),"YES","NO"),"N/A")</f>
        <v>N/A</v>
      </c>
      <c r="N54" s="4" t="str">
        <f>IF(OR($A54="Power Cable"),IF(AND($AD54&lt;&gt;""),"YES","NO"),"N/A")</f>
        <v>N/A</v>
      </c>
      <c r="O54" s="4" t="str">
        <f>IF(OR($A54="Power Cable",$A54="RTD Cable",$A54="Fieldbus Cable"),IF(AND($AE54&lt;&gt;""),"YES","NO"),"N/A")</f>
        <v>N/A</v>
      </c>
      <c r="P54" s="4" t="str">
        <f>IF(OR($A54="RTD"),IF(AND($AH54&lt;&gt;""),"YES","NO"),"N/A")</f>
        <v>NO</v>
      </c>
      <c r="Q54" s="4" t="str">
        <f>IF(OR($A54="RTD"),IF(AND($AI54&lt;&gt;""),"YES","NO"),"N/A")</f>
        <v>NO</v>
      </c>
      <c r="R54" s="4" t="str">
        <f>IF(OR($AM54&lt;&gt;"",$Z54&lt;&gt;"",$AC54&lt;&gt;""),"YES","NO")</f>
        <v>NO</v>
      </c>
      <c r="S54" s="4" t="str">
        <f>IF(COUNTIF(I54:R54,"NO")=0,"YES","NO")</f>
        <v>NO</v>
      </c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inlineStr">
        <is>
          <t>Levy Ostrup</t>
        </is>
      </c>
      <c r="AM54" s="9" t="n"/>
      <c r="AN54" s="9" t="n"/>
    </row>
    <row r="55">
      <c r="A55" s="9" t="inlineStr">
        <is>
          <t>RTD</t>
        </is>
      </c>
      <c r="B55" s="9" t="inlineStr">
        <is>
          <t>29103-ET-P2800-6-R-1</t>
        </is>
      </c>
      <c r="C55" s="9" t="inlineStr">
        <is>
          <t>29103-ET-P2800-6</t>
        </is>
      </c>
      <c r="D55" s="9" t="inlineStr">
        <is>
          <t>29103-HTP-101 HTC-06</t>
        </is>
      </c>
      <c r="E55" s="9" t="inlineStr">
        <is>
          <t>PRODUCED EMULSION</t>
        </is>
      </c>
      <c r="F55" s="9" t="inlineStr">
        <is>
          <t>29103-65R-ET-P2800-06-01</t>
        </is>
      </c>
      <c r="G55" s="9" t="inlineStr">
        <is>
          <t>13.2</t>
        </is>
      </c>
      <c r="H55" s="9" t="inlineStr">
        <is>
          <t>29103-ET-P2800-6-R-1.pdf</t>
        </is>
      </c>
      <c r="I55" s="4" t="str">
        <f>IF($H55&lt;&gt;"","YES","NO")</f>
        <v>YES</v>
      </c>
      <c r="J55" s="4" t="str">
        <f>IF(N($T55)&gt;0,"YES","NO")</f>
        <v>NO</v>
      </c>
      <c r="K55" s="4" t="str">
        <f>IF(OR($A55="EHT Trace"),IF(AND($U55&lt;&gt;"",$V55&lt;&gt;""),"YES","NO"),"N/A")</f>
        <v>N/A</v>
      </c>
      <c r="L55" s="4" t="str">
        <f>IF(OR($A55="EHT Trace"),IF(AND($X55&lt;&gt;"",$Y55&lt;&gt;""),"YES","NO"),"N/A")</f>
        <v>N/A</v>
      </c>
      <c r="M55" s="4" t="str">
        <f>IF(OR($A55="EHT Trace"),IF(AND($AA55&lt;&gt;"",$AB55&lt;&gt;""),"YES","NO"),"N/A")</f>
        <v>N/A</v>
      </c>
      <c r="N55" s="4" t="str">
        <f>IF(OR($A55="Power Cable"),IF(AND($AD55&lt;&gt;""),"YES","NO"),"N/A")</f>
        <v>N/A</v>
      </c>
      <c r="O55" s="4" t="str">
        <f>IF(OR($A55="Power Cable",$A55="RTD Cable",$A55="Fieldbus Cable"),IF(AND($AE55&lt;&gt;""),"YES","NO"),"N/A")</f>
        <v>N/A</v>
      </c>
      <c r="P55" s="4" t="str">
        <f>IF(OR($A55="RTD"),IF(AND($AH55&lt;&gt;""),"YES","NO"),"N/A")</f>
        <v>NO</v>
      </c>
      <c r="Q55" s="4" t="str">
        <f>IF(OR($A55="RTD"),IF(AND($AI55&lt;&gt;""),"YES","NO"),"N/A")</f>
        <v>NO</v>
      </c>
      <c r="R55" s="4" t="str">
        <f>IF(OR($AM55&lt;&gt;"",$Z55&lt;&gt;"",$AC55&lt;&gt;""),"YES","NO")</f>
        <v>NO</v>
      </c>
      <c r="S55" s="4" t="str">
        <f>IF(COUNTIF(I55:R55,"NO")=0,"YES","NO")</f>
        <v>NO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inlineStr">
        <is>
          <t>Levy Ostrup</t>
        </is>
      </c>
      <c r="AM55" s="9" t="n"/>
      <c r="AN55" s="9" t="n"/>
    </row>
    <row r="56">
      <c r="A56" s="9" t="inlineStr">
        <is>
          <t>RTD</t>
        </is>
      </c>
      <c r="B56" s="9" t="inlineStr">
        <is>
          <t>29103-ET-P2800-7-R-1</t>
        </is>
      </c>
      <c r="C56" s="9" t="inlineStr">
        <is>
          <t>29103-ET-P2800-7</t>
        </is>
      </c>
      <c r="D56" s="9" t="inlineStr">
        <is>
          <t>29103-HTP-101 HTC-38 / CB-38</t>
        </is>
      </c>
      <c r="E56" s="9" t="inlineStr">
        <is>
          <t>PRODUCED EMULSION</t>
        </is>
      </c>
      <c r="F56" s="9" t="inlineStr">
        <is>
          <t>29103-65R-ET-P2800-07-01 Rev 1A0   Trace: 29103-ET-P2800-7-1</t>
        </is>
      </c>
      <c r="G56" s="9" t="inlineStr">
        <is>
          <t>13.2</t>
        </is>
      </c>
      <c r="H56" s="9" t="inlineStr">
        <is>
          <t>29103-ET-P2800-7-R-1.pdf</t>
        </is>
      </c>
      <c r="I56" s="4" t="str">
        <f>IF($H56&lt;&gt;"","YES","NO")</f>
        <v>YES</v>
      </c>
      <c r="J56" s="4" t="str">
        <f>IF(N($T56)&gt;0,"YES","NO")</f>
        <v>NO</v>
      </c>
      <c r="K56" s="4" t="str">
        <f>IF(OR($A56="EHT Trace"),IF(AND($U56&lt;&gt;"",$V56&lt;&gt;""),"YES","NO"),"N/A")</f>
        <v>N/A</v>
      </c>
      <c r="L56" s="4" t="str">
        <f>IF(OR($A56="EHT Trace"),IF(AND($X56&lt;&gt;"",$Y56&lt;&gt;""),"YES","NO"),"N/A")</f>
        <v>N/A</v>
      </c>
      <c r="M56" s="4" t="str">
        <f>IF(OR($A56="EHT Trace"),IF(AND($AA56&lt;&gt;"",$AB56&lt;&gt;""),"YES","NO"),"N/A")</f>
        <v>N/A</v>
      </c>
      <c r="N56" s="4" t="str">
        <f>IF(OR($A56="Power Cable"),IF(AND($AD56&lt;&gt;""),"YES","NO"),"N/A")</f>
        <v>N/A</v>
      </c>
      <c r="O56" s="4" t="str">
        <f>IF(OR($A56="Power Cable",$A56="RTD Cable",$A56="Fieldbus Cable"),IF(AND($AE56&lt;&gt;""),"YES","NO"),"N/A")</f>
        <v>N/A</v>
      </c>
      <c r="P56" s="4" t="str">
        <f>IF(OR($A56="RTD"),IF(AND($AH56&lt;&gt;""),"YES","NO"),"N/A")</f>
        <v>NO</v>
      </c>
      <c r="Q56" s="4" t="str">
        <f>IF(OR($A56="RTD"),IF(AND($AI56&lt;&gt;""),"YES","NO"),"N/A")</f>
        <v>NO</v>
      </c>
      <c r="R56" s="4" t="str">
        <f>IF(OR($AM56&lt;&gt;"",$Z56&lt;&gt;"",$AC56&lt;&gt;""),"YES","NO")</f>
        <v>YES</v>
      </c>
      <c r="S56" s="4" t="str">
        <f>IF(COUNTIF(I56:R56,"NO")=0,"YES","NO")</f>
        <v>NO</v>
      </c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inlineStr">
        <is>
          <t>Levy Ostrup</t>
        </is>
      </c>
      <c r="AM56" s="9" t="inlineStr">
        <is>
          <t>09/20/2026</t>
        </is>
      </c>
      <c r="AN56" s="9" t="n"/>
    </row>
    <row r="57">
      <c r="A57" s="9" t="inlineStr">
        <is>
          <t>RTD</t>
        </is>
      </c>
      <c r="B57" s="9" t="inlineStr">
        <is>
          <t>29103-ET-P2800-7-R-2</t>
        </is>
      </c>
      <c r="C57" s="9" t="inlineStr">
        <is>
          <t>29103-ET-P2800-7</t>
        </is>
      </c>
      <c r="D57" s="9" t="inlineStr">
        <is>
          <t>29103-HTP-101</t>
        </is>
      </c>
      <c r="E57" s="9" t="inlineStr">
        <is>
          <t>PRODUCED EMULSION</t>
        </is>
      </c>
      <c r="F57" s="9" t="inlineStr">
        <is>
          <t>Zone drawing: 29103   Trace: 29103-ET-P2800-7-2</t>
        </is>
      </c>
      <c r="G57" s="9" t="inlineStr">
        <is>
          <t>13.2</t>
        </is>
      </c>
      <c r="H57" s="9" t="inlineStr">
        <is>
          <t>29103-ET-P2800-7-R-2.pdf</t>
        </is>
      </c>
      <c r="I57" s="4" t="str">
        <f>IF($H57&lt;&gt;"","YES","NO")</f>
        <v>YES</v>
      </c>
      <c r="J57" s="4" t="str">
        <f>IF(N($T57)&gt;0,"YES","NO")</f>
        <v>NO</v>
      </c>
      <c r="K57" s="4" t="str">
        <f>IF(OR($A57="EHT Trace"),IF(AND($U57&lt;&gt;"",$V57&lt;&gt;""),"YES","NO"),"N/A")</f>
        <v>N/A</v>
      </c>
      <c r="L57" s="4" t="str">
        <f>IF(OR($A57="EHT Trace"),IF(AND($X57&lt;&gt;"",$Y57&lt;&gt;""),"YES","NO"),"N/A")</f>
        <v>N/A</v>
      </c>
      <c r="M57" s="4" t="str">
        <f>IF(OR($A57="EHT Trace"),IF(AND($AA57&lt;&gt;"",$AB57&lt;&gt;""),"YES","NO"),"N/A")</f>
        <v>N/A</v>
      </c>
      <c r="N57" s="4" t="str">
        <f>IF(OR($A57="Power Cable"),IF(AND($AD57&lt;&gt;""),"YES","NO"),"N/A")</f>
        <v>N/A</v>
      </c>
      <c r="O57" s="4" t="str">
        <f>IF(OR($A57="Power Cable",$A57="RTD Cable",$A57="Fieldbus Cable"),IF(AND($AE57&lt;&gt;""),"YES","NO"),"N/A")</f>
        <v>N/A</v>
      </c>
      <c r="P57" s="4" t="str">
        <f>IF(OR($A57="RTD"),IF(AND($AH57&lt;&gt;""),"YES","NO"),"N/A")</f>
        <v>NO</v>
      </c>
      <c r="Q57" s="4" t="str">
        <f>IF(OR($A57="RTD"),IF(AND($AI57&lt;&gt;""),"YES","NO"),"N/A")</f>
        <v>NO</v>
      </c>
      <c r="R57" s="4" t="str">
        <f>IF(OR($AM57&lt;&gt;"",$Z57&lt;&gt;"",$AC57&lt;&gt;""),"YES","NO")</f>
        <v>YES</v>
      </c>
      <c r="S57" s="4" t="str">
        <f>IF(COUNTIF(I57:R57,"NO")=0,"YES","NO")</f>
        <v>NO</v>
      </c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inlineStr">
        <is>
          <t>Levy Ostrup</t>
        </is>
      </c>
      <c r="AM57" s="9" t="inlineStr">
        <is>
          <t>09/20/2026</t>
        </is>
      </c>
      <c r="AN57" s="9" t="n"/>
    </row>
    <row r="58">
      <c r="A58" s="9" t="inlineStr">
        <is>
          <t>RTD</t>
        </is>
      </c>
      <c r="B58" s="9" t="inlineStr">
        <is>
          <t>29103-ET-PE1001-1-R-1</t>
        </is>
      </c>
      <c r="C58" s="9" t="inlineStr">
        <is>
          <t>29103-ET-PE1001-1</t>
        </is>
      </c>
      <c r="D58" s="9" t="inlineStr">
        <is>
          <t>29103-HTP-101 HTC-12</t>
        </is>
      </c>
      <c r="E58" s="9" t="inlineStr">
        <is>
          <t>PRODUCED EMULSION</t>
        </is>
      </c>
      <c r="F58" s="9" t="inlineStr">
        <is>
          <t>29103-65R-ET-PE1001-01-01</t>
        </is>
      </c>
      <c r="G58" s="9" t="inlineStr">
        <is>
          <t>13.2</t>
        </is>
      </c>
      <c r="H58" s="9" t="inlineStr">
        <is>
          <t>29103-ET-PE1001-1-R-1.pdf</t>
        </is>
      </c>
      <c r="I58" s="4" t="str">
        <f>IF($H58&lt;&gt;"","YES","NO")</f>
        <v>YES</v>
      </c>
      <c r="J58" s="4" t="str">
        <f>IF(N($T58)&gt;0,"YES","NO")</f>
        <v>NO</v>
      </c>
      <c r="K58" s="4" t="str">
        <f>IF(OR($A58="EHT Trace"),IF(AND($U58&lt;&gt;"",$V58&lt;&gt;""),"YES","NO"),"N/A")</f>
        <v>N/A</v>
      </c>
      <c r="L58" s="4" t="str">
        <f>IF(OR($A58="EHT Trace"),IF(AND($X58&lt;&gt;"",$Y58&lt;&gt;""),"YES","NO"),"N/A")</f>
        <v>N/A</v>
      </c>
      <c r="M58" s="4" t="str">
        <f>IF(OR($A58="EHT Trace"),IF(AND($AA58&lt;&gt;"",$AB58&lt;&gt;""),"YES","NO"),"N/A")</f>
        <v>N/A</v>
      </c>
      <c r="N58" s="4" t="str">
        <f>IF(OR($A58="Power Cable"),IF(AND($AD58&lt;&gt;""),"YES","NO"),"N/A")</f>
        <v>N/A</v>
      </c>
      <c r="O58" s="4" t="str">
        <f>IF(OR($A58="Power Cable",$A58="RTD Cable",$A58="Fieldbus Cable"),IF(AND($AE58&lt;&gt;""),"YES","NO"),"N/A")</f>
        <v>N/A</v>
      </c>
      <c r="P58" s="4" t="str">
        <f>IF(OR($A58="RTD"),IF(AND($AH58&lt;&gt;""),"YES","NO"),"N/A")</f>
        <v>NO</v>
      </c>
      <c r="Q58" s="4" t="str">
        <f>IF(OR($A58="RTD"),IF(AND($AI58&lt;&gt;""),"YES","NO"),"N/A")</f>
        <v>NO</v>
      </c>
      <c r="R58" s="4" t="str">
        <f>IF(OR($AM58&lt;&gt;"",$Z58&lt;&gt;"",$AC58&lt;&gt;""),"YES","NO")</f>
        <v>NO</v>
      </c>
      <c r="S58" s="4" t="str">
        <f>IF(COUNTIF(I58:R58,"NO")=0,"YES","NO")</f>
        <v>NO</v>
      </c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inlineStr">
        <is>
          <t>Levy Ostrup</t>
        </is>
      </c>
      <c r="AM58" s="9" t="n"/>
      <c r="AN58" s="9" t="n"/>
    </row>
    <row r="59">
      <c r="A59" s="9" t="inlineStr">
        <is>
          <t>RTD</t>
        </is>
      </c>
      <c r="B59" s="9" t="inlineStr">
        <is>
          <t>29103-ET-PE1001-1-R-2</t>
        </is>
      </c>
      <c r="C59" s="9" t="inlineStr">
        <is>
          <t>29103-ET-PE1001-1</t>
        </is>
      </c>
      <c r="D59" s="9" t="inlineStr">
        <is>
          <t>29103-HTP-101 I/O-1-4</t>
        </is>
      </c>
      <c r="E59" s="9" t="inlineStr">
        <is>
          <t>PRODUCED EMULSION</t>
        </is>
      </c>
      <c r="F59" s="9" t="inlineStr">
        <is>
          <t>29103-65R-ET-PE1001-01-01</t>
        </is>
      </c>
      <c r="G59" s="9" t="inlineStr">
        <is>
          <t>13.2</t>
        </is>
      </c>
      <c r="H59" s="9" t="inlineStr">
        <is>
          <t>29103-ET-PE1001-1-R-2.pdf</t>
        </is>
      </c>
      <c r="I59" s="4" t="str">
        <f>IF($H59&lt;&gt;"","YES","NO")</f>
        <v>YES</v>
      </c>
      <c r="J59" s="4" t="str">
        <f>IF(N($T59)&gt;0,"YES","NO")</f>
        <v>NO</v>
      </c>
      <c r="K59" s="4" t="str">
        <f>IF(OR($A59="EHT Trace"),IF(AND($U59&lt;&gt;"",$V59&lt;&gt;""),"YES","NO"),"N/A")</f>
        <v>N/A</v>
      </c>
      <c r="L59" s="4" t="str">
        <f>IF(OR($A59="EHT Trace"),IF(AND($X59&lt;&gt;"",$Y59&lt;&gt;""),"YES","NO"),"N/A")</f>
        <v>N/A</v>
      </c>
      <c r="M59" s="4" t="str">
        <f>IF(OR($A59="EHT Trace"),IF(AND($AA59&lt;&gt;"",$AB59&lt;&gt;""),"YES","NO"),"N/A")</f>
        <v>N/A</v>
      </c>
      <c r="N59" s="4" t="str">
        <f>IF(OR($A59="Power Cable"),IF(AND($AD59&lt;&gt;""),"YES","NO"),"N/A")</f>
        <v>N/A</v>
      </c>
      <c r="O59" s="4" t="str">
        <f>IF(OR($A59="Power Cable",$A59="RTD Cable",$A59="Fieldbus Cable"),IF(AND($AE59&lt;&gt;""),"YES","NO"),"N/A")</f>
        <v>N/A</v>
      </c>
      <c r="P59" s="4" t="str">
        <f>IF(OR($A59="RTD"),IF(AND($AH59&lt;&gt;""),"YES","NO"),"N/A")</f>
        <v>NO</v>
      </c>
      <c r="Q59" s="4" t="str">
        <f>IF(OR($A59="RTD"),IF(AND($AI59&lt;&gt;""),"YES","NO"),"N/A")</f>
        <v>NO</v>
      </c>
      <c r="R59" s="4" t="str">
        <f>IF(OR($AM59&lt;&gt;"",$Z59&lt;&gt;"",$AC59&lt;&gt;""),"YES","NO")</f>
        <v>NO</v>
      </c>
      <c r="S59" s="4" t="str">
        <f>IF(COUNTIF(I59:R59,"NO")=0,"YES","NO")</f>
        <v>NO</v>
      </c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inlineStr">
        <is>
          <t>Levy Ostrup</t>
        </is>
      </c>
      <c r="AM59" s="9" t="n"/>
      <c r="AN59" s="9" t="n"/>
    </row>
    <row r="60">
      <c r="A60" s="9" t="inlineStr">
        <is>
          <t>RTD</t>
        </is>
      </c>
      <c r="B60" s="9" t="inlineStr">
        <is>
          <t>29103-ET-PE1803-4-R-1</t>
        </is>
      </c>
      <c r="C60" s="9" t="inlineStr">
        <is>
          <t>29103-ET-PE1803-4</t>
        </is>
      </c>
      <c r="D60" s="9" t="inlineStr">
        <is>
          <t>29103-HTP-101 HTC-18</t>
        </is>
      </c>
      <c r="E60" s="9" t="inlineStr">
        <is>
          <t>PRODUCED EMULSION</t>
        </is>
      </c>
      <c r="F60" s="9" t="inlineStr">
        <is>
          <t>29103-65R-ET-PE1803-04-01</t>
        </is>
      </c>
      <c r="G60" s="9" t="inlineStr">
        <is>
          <t>13.2</t>
        </is>
      </c>
      <c r="H60" s="9" t="inlineStr">
        <is>
          <t>29103-ET-PE1803-4-R-1.pdf</t>
        </is>
      </c>
      <c r="I60" s="4" t="str">
        <f>IF($H60&lt;&gt;"","YES","NO")</f>
        <v>YES</v>
      </c>
      <c r="J60" s="4" t="str">
        <f>IF(N($T60)&gt;0,"YES","NO")</f>
        <v>NO</v>
      </c>
      <c r="K60" s="4" t="str">
        <f>IF(OR($A60="EHT Trace"),IF(AND($U60&lt;&gt;"",$V60&lt;&gt;""),"YES","NO"),"N/A")</f>
        <v>N/A</v>
      </c>
      <c r="L60" s="4" t="str">
        <f>IF(OR($A60="EHT Trace"),IF(AND($X60&lt;&gt;"",$Y60&lt;&gt;""),"YES","NO"),"N/A")</f>
        <v>N/A</v>
      </c>
      <c r="M60" s="4" t="str">
        <f>IF(OR($A60="EHT Trace"),IF(AND($AA60&lt;&gt;"",$AB60&lt;&gt;""),"YES","NO"),"N/A")</f>
        <v>N/A</v>
      </c>
      <c r="N60" s="4" t="str">
        <f>IF(OR($A60="Power Cable"),IF(AND($AD60&lt;&gt;""),"YES","NO"),"N/A")</f>
        <v>N/A</v>
      </c>
      <c r="O60" s="4" t="str">
        <f>IF(OR($A60="Power Cable",$A60="RTD Cable",$A60="Fieldbus Cable"),IF(AND($AE60&lt;&gt;""),"YES","NO"),"N/A")</f>
        <v>N/A</v>
      </c>
      <c r="P60" s="4" t="str">
        <f>IF(OR($A60="RTD"),IF(AND($AH60&lt;&gt;""),"YES","NO"),"N/A")</f>
        <v>NO</v>
      </c>
      <c r="Q60" s="4" t="str">
        <f>IF(OR($A60="RTD"),IF(AND($AI60&lt;&gt;""),"YES","NO"),"N/A")</f>
        <v>NO</v>
      </c>
      <c r="R60" s="4" t="str">
        <f>IF(OR($AM60&lt;&gt;"",$Z60&lt;&gt;"",$AC60&lt;&gt;""),"YES","NO")</f>
        <v>NO</v>
      </c>
      <c r="S60" s="4" t="str">
        <f>IF(COUNTIF(I60:R60,"NO")=0,"YES","NO")</f>
        <v>NO</v>
      </c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inlineStr">
        <is>
          <t>Levy Ostrup</t>
        </is>
      </c>
      <c r="AM60" s="9" t="n"/>
      <c r="AN60" s="9" t="n"/>
    </row>
    <row r="61">
      <c r="A61" s="9" t="inlineStr">
        <is>
          <t>RTD</t>
        </is>
      </c>
      <c r="B61" s="9" t="inlineStr">
        <is>
          <t>29103-ET-PE2802-3-R-1</t>
        </is>
      </c>
      <c r="C61" s="9" t="inlineStr">
        <is>
          <t>29103-ET-PE2802-3</t>
        </is>
      </c>
      <c r="D61" s="9" t="inlineStr">
        <is>
          <t>29103-HTP-101 HTC-03</t>
        </is>
      </c>
      <c r="E61" s="9" t="inlineStr">
        <is>
          <t>PRODUCED EMULSION</t>
        </is>
      </c>
      <c r="F61" s="9" t="inlineStr">
        <is>
          <t>29103-65R-ET-PE2802-03-01</t>
        </is>
      </c>
      <c r="G61" s="9" t="inlineStr">
        <is>
          <t>13.2</t>
        </is>
      </c>
      <c r="H61" s="9" t="inlineStr">
        <is>
          <t>29103-ET-PE2802-3-R-1.pdf</t>
        </is>
      </c>
      <c r="I61" s="4" t="str">
        <f>IF($H61&lt;&gt;"","YES","NO")</f>
        <v>YES</v>
      </c>
      <c r="J61" s="4" t="str">
        <f>IF(N($T61)&gt;0,"YES","NO")</f>
        <v>NO</v>
      </c>
      <c r="K61" s="4" t="str">
        <f>IF(OR($A61="EHT Trace"),IF(AND($U61&lt;&gt;"",$V61&lt;&gt;""),"YES","NO"),"N/A")</f>
        <v>N/A</v>
      </c>
      <c r="L61" s="4" t="str">
        <f>IF(OR($A61="EHT Trace"),IF(AND($X61&lt;&gt;"",$Y61&lt;&gt;""),"YES","NO"),"N/A")</f>
        <v>N/A</v>
      </c>
      <c r="M61" s="4" t="str">
        <f>IF(OR($A61="EHT Trace"),IF(AND($AA61&lt;&gt;"",$AB61&lt;&gt;""),"YES","NO"),"N/A")</f>
        <v>N/A</v>
      </c>
      <c r="N61" s="4" t="str">
        <f>IF(OR($A61="Power Cable"),IF(AND($AD61&lt;&gt;""),"YES","NO"),"N/A")</f>
        <v>N/A</v>
      </c>
      <c r="O61" s="4" t="str">
        <f>IF(OR($A61="Power Cable",$A61="RTD Cable",$A61="Fieldbus Cable"),IF(AND($AE61&lt;&gt;""),"YES","NO"),"N/A")</f>
        <v>N/A</v>
      </c>
      <c r="P61" s="4" t="str">
        <f>IF(OR($A61="RTD"),IF(AND($AH61&lt;&gt;""),"YES","NO"),"N/A")</f>
        <v>NO</v>
      </c>
      <c r="Q61" s="4" t="str">
        <f>IF(OR($A61="RTD"),IF(AND($AI61&lt;&gt;""),"YES","NO"),"N/A")</f>
        <v>NO</v>
      </c>
      <c r="R61" s="4" t="str">
        <f>IF(OR($AM61&lt;&gt;"",$Z61&lt;&gt;"",$AC61&lt;&gt;""),"YES","NO")</f>
        <v>NO</v>
      </c>
      <c r="S61" s="4" t="str">
        <f>IF(COUNTIF(I61:R61,"NO")=0,"YES","NO")</f>
        <v>NO</v>
      </c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inlineStr">
        <is>
          <t>Levy Ostrup</t>
        </is>
      </c>
      <c r="AM61" s="9" t="n"/>
      <c r="AN61" s="9" t="n"/>
    </row>
    <row r="62">
      <c r="A62" s="9" t="inlineStr">
        <is>
          <t>RTD</t>
        </is>
      </c>
      <c r="B62" s="9" t="inlineStr">
        <is>
          <t>29103-ET-PE2802-4-R-1</t>
        </is>
      </c>
      <c r="C62" s="9" t="inlineStr">
        <is>
          <t>29103-ET-PE2802-4</t>
        </is>
      </c>
      <c r="D62" s="9" t="inlineStr">
        <is>
          <t>29103-HTP-101 HTC-10</t>
        </is>
      </c>
      <c r="E62" s="9" t="inlineStr">
        <is>
          <t>PRODUCED EMULSION</t>
        </is>
      </c>
      <c r="F62" s="9" t="inlineStr">
        <is>
          <t>29103-65R-ET-PE2802-04-01</t>
        </is>
      </c>
      <c r="G62" s="9" t="inlineStr">
        <is>
          <t>13.2</t>
        </is>
      </c>
      <c r="H62" s="9" t="inlineStr">
        <is>
          <t>29103-ET-PE2802-4-R-1.pdf</t>
        </is>
      </c>
      <c r="I62" s="4" t="str">
        <f>IF($H62&lt;&gt;"","YES","NO")</f>
        <v>YES</v>
      </c>
      <c r="J62" s="4" t="str">
        <f>IF(N($T62)&gt;0,"YES","NO")</f>
        <v>NO</v>
      </c>
      <c r="K62" s="4" t="str">
        <f>IF(OR($A62="EHT Trace"),IF(AND($U62&lt;&gt;"",$V62&lt;&gt;""),"YES","NO"),"N/A")</f>
        <v>N/A</v>
      </c>
      <c r="L62" s="4" t="str">
        <f>IF(OR($A62="EHT Trace"),IF(AND($X62&lt;&gt;"",$Y62&lt;&gt;""),"YES","NO"),"N/A")</f>
        <v>N/A</v>
      </c>
      <c r="M62" s="4" t="str">
        <f>IF(OR($A62="EHT Trace"),IF(AND($AA62&lt;&gt;"",$AB62&lt;&gt;""),"YES","NO"),"N/A")</f>
        <v>N/A</v>
      </c>
      <c r="N62" s="4" t="str">
        <f>IF(OR($A62="Power Cable"),IF(AND($AD62&lt;&gt;""),"YES","NO"),"N/A")</f>
        <v>N/A</v>
      </c>
      <c r="O62" s="4" t="str">
        <f>IF(OR($A62="Power Cable",$A62="RTD Cable",$A62="Fieldbus Cable"),IF(AND($AE62&lt;&gt;""),"YES","NO"),"N/A")</f>
        <v>N/A</v>
      </c>
      <c r="P62" s="4" t="str">
        <f>IF(OR($A62="RTD"),IF(AND($AH62&lt;&gt;""),"YES","NO"),"N/A")</f>
        <v>NO</v>
      </c>
      <c r="Q62" s="4" t="str">
        <f>IF(OR($A62="RTD"),IF(AND($AI62&lt;&gt;""),"YES","NO"),"N/A")</f>
        <v>NO</v>
      </c>
      <c r="R62" s="4" t="str">
        <f>IF(OR($AM62&lt;&gt;"",$Z62&lt;&gt;"",$AC62&lt;&gt;""),"YES","NO")</f>
        <v>NO</v>
      </c>
      <c r="S62" s="4" t="str">
        <f>IF(COUNTIF(I62:R62,"NO")=0,"YES","NO")</f>
        <v>NO</v>
      </c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inlineStr">
        <is>
          <t>Levy Ostrup</t>
        </is>
      </c>
      <c r="AM62" s="9" t="n"/>
      <c r="AN62" s="9" t="n"/>
    </row>
    <row r="63">
      <c r="A63" s="9" t="inlineStr">
        <is>
          <t>RTD</t>
        </is>
      </c>
      <c r="B63" s="9" t="inlineStr">
        <is>
          <t>29103-ET-PE2802-5-R-1</t>
        </is>
      </c>
      <c r="C63" s="9" t="inlineStr">
        <is>
          <t>29103-ET-PE2802-5</t>
        </is>
      </c>
      <c r="D63" s="9" t="inlineStr">
        <is>
          <t>29103-HTP-101 HTC-37</t>
        </is>
      </c>
      <c r="E63" s="9" t="inlineStr">
        <is>
          <t>PRODUCED EMULSION</t>
        </is>
      </c>
      <c r="F63" s="9" t="inlineStr">
        <is>
          <t>29103-65R-ET-PE2802-05-01</t>
        </is>
      </c>
      <c r="G63" s="9" t="inlineStr">
        <is>
          <t>13.2</t>
        </is>
      </c>
      <c r="H63" s="9" t="inlineStr">
        <is>
          <t>29103-ET-PE2802-5-R-1.pdf</t>
        </is>
      </c>
      <c r="I63" s="4" t="str">
        <f>IF($H63&lt;&gt;"","YES","NO")</f>
        <v>YES</v>
      </c>
      <c r="J63" s="4" t="str">
        <f>IF(N($T63)&gt;0,"YES","NO")</f>
        <v>NO</v>
      </c>
      <c r="K63" s="4" t="str">
        <f>IF(OR($A63="EHT Trace"),IF(AND($U63&lt;&gt;"",$V63&lt;&gt;""),"YES","NO"),"N/A")</f>
        <v>N/A</v>
      </c>
      <c r="L63" s="4" t="str">
        <f>IF(OR($A63="EHT Trace"),IF(AND($X63&lt;&gt;"",$Y63&lt;&gt;""),"YES","NO"),"N/A")</f>
        <v>N/A</v>
      </c>
      <c r="M63" s="4" t="str">
        <f>IF(OR($A63="EHT Trace"),IF(AND($AA63&lt;&gt;"",$AB63&lt;&gt;""),"YES","NO"),"N/A")</f>
        <v>N/A</v>
      </c>
      <c r="N63" s="4" t="str">
        <f>IF(OR($A63="Power Cable"),IF(AND($AD63&lt;&gt;""),"YES","NO"),"N/A")</f>
        <v>N/A</v>
      </c>
      <c r="O63" s="4" t="str">
        <f>IF(OR($A63="Power Cable",$A63="RTD Cable",$A63="Fieldbus Cable"),IF(AND($AE63&lt;&gt;""),"YES","NO"),"N/A")</f>
        <v>N/A</v>
      </c>
      <c r="P63" s="4" t="str">
        <f>IF(OR($A63="RTD"),IF(AND($AH63&lt;&gt;""),"YES","NO"),"N/A")</f>
        <v>NO</v>
      </c>
      <c r="Q63" s="4" t="str">
        <f>IF(OR($A63="RTD"),IF(AND($AI63&lt;&gt;""),"YES","NO"),"N/A")</f>
        <v>NO</v>
      </c>
      <c r="R63" s="4" t="str">
        <f>IF(OR($AM63&lt;&gt;"",$Z63&lt;&gt;"",$AC63&lt;&gt;""),"YES","NO")</f>
        <v>NO</v>
      </c>
      <c r="S63" s="4" t="str">
        <f>IF(COUNTIF(I63:R63,"NO")=0,"YES","NO")</f>
        <v>NO</v>
      </c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inlineStr">
        <is>
          <t>Levy Ostrup</t>
        </is>
      </c>
      <c r="AM63" s="9" t="n"/>
      <c r="AN63" s="9" t="n"/>
    </row>
    <row r="64">
      <c r="A64" s="9" t="inlineStr">
        <is>
          <t>RTD</t>
        </is>
      </c>
      <c r="B64" s="9" t="inlineStr">
        <is>
          <t>29103-ET-PE2803-3-R-1</t>
        </is>
      </c>
      <c r="C64" s="9" t="inlineStr">
        <is>
          <t>29103-ET-PE2803-3</t>
        </is>
      </c>
      <c r="D64" s="9" t="inlineStr">
        <is>
          <t>29103-HTP-101 HTC-04</t>
        </is>
      </c>
      <c r="E64" s="9" t="inlineStr">
        <is>
          <t>PRODUCED EMULSION</t>
        </is>
      </c>
      <c r="F64" s="9" t="inlineStr">
        <is>
          <t>29103-65R-ET-PE2803-03-01</t>
        </is>
      </c>
      <c r="G64" s="9" t="inlineStr">
        <is>
          <t>13.2</t>
        </is>
      </c>
      <c r="H64" s="9" t="inlineStr">
        <is>
          <t>29103-ET-PE2803-3-R-1.pdf</t>
        </is>
      </c>
      <c r="I64" s="4" t="str">
        <f>IF($H64&lt;&gt;"","YES","NO")</f>
        <v>YES</v>
      </c>
      <c r="J64" s="4" t="str">
        <f>IF(N($T64)&gt;0,"YES","NO")</f>
        <v>NO</v>
      </c>
      <c r="K64" s="4" t="str">
        <f>IF(OR($A64="EHT Trace"),IF(AND($U64&lt;&gt;"",$V64&lt;&gt;""),"YES","NO"),"N/A")</f>
        <v>N/A</v>
      </c>
      <c r="L64" s="4" t="str">
        <f>IF(OR($A64="EHT Trace"),IF(AND($X64&lt;&gt;"",$Y64&lt;&gt;""),"YES","NO"),"N/A")</f>
        <v>N/A</v>
      </c>
      <c r="M64" s="4" t="str">
        <f>IF(OR($A64="EHT Trace"),IF(AND($AA64&lt;&gt;"",$AB64&lt;&gt;""),"YES","NO"),"N/A")</f>
        <v>N/A</v>
      </c>
      <c r="N64" s="4" t="str">
        <f>IF(OR($A64="Power Cable"),IF(AND($AD64&lt;&gt;""),"YES","NO"),"N/A")</f>
        <v>N/A</v>
      </c>
      <c r="O64" s="4" t="str">
        <f>IF(OR($A64="Power Cable",$A64="RTD Cable",$A64="Fieldbus Cable"),IF(AND($AE64&lt;&gt;""),"YES","NO"),"N/A")</f>
        <v>N/A</v>
      </c>
      <c r="P64" s="4" t="str">
        <f>IF(OR($A64="RTD"),IF(AND($AH64&lt;&gt;""),"YES","NO"),"N/A")</f>
        <v>NO</v>
      </c>
      <c r="Q64" s="4" t="str">
        <f>IF(OR($A64="RTD"),IF(AND($AI64&lt;&gt;""),"YES","NO"),"N/A")</f>
        <v>NO</v>
      </c>
      <c r="R64" s="4" t="str">
        <f>IF(OR($AM64&lt;&gt;"",$Z64&lt;&gt;"",$AC64&lt;&gt;""),"YES","NO")</f>
        <v>NO</v>
      </c>
      <c r="S64" s="4" t="str">
        <f>IF(COUNTIF(I64:R64,"NO")=0,"YES","NO")</f>
        <v>NO</v>
      </c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inlineStr">
        <is>
          <t>Levy Ostrup</t>
        </is>
      </c>
      <c r="AM64" s="9" t="n"/>
      <c r="AN64" s="9" t="n"/>
    </row>
    <row r="65">
      <c r="A65" s="9" t="inlineStr">
        <is>
          <t>RTD Cable</t>
        </is>
      </c>
      <c r="B65" s="9" t="inlineStr">
        <is>
          <t>29103-ET-P1001-1-R-1</t>
        </is>
      </c>
      <c r="C65" s="9" t="inlineStr">
        <is>
          <t>29103-ET-P1001-1</t>
        </is>
      </c>
      <c r="D65" s="9" t="inlineStr">
        <is>
          <t>29103-HTP-101 HTC-39</t>
        </is>
      </c>
      <c r="E65" s="9" t="inlineStr">
        <is>
          <t>29103-HTP-101</t>
        </is>
      </c>
      <c r="F65" s="9" t="inlineStr"/>
      <c r="G65" s="9" t="inlineStr">
        <is>
          <t>113</t>
        </is>
      </c>
      <c r="H65" s="9" t="inlineStr">
        <is>
          <t>29103-ET-P1001-1-R-1.pdf</t>
        </is>
      </c>
      <c r="I65" s="4" t="str">
        <f>IF($H65&lt;&gt;"","YES","NO")</f>
        <v>YES</v>
      </c>
      <c r="J65" s="4" t="str">
        <f>IF(N($T65)&gt;0,"YES","NO")</f>
        <v>NO</v>
      </c>
      <c r="K65" s="4" t="str">
        <f>IF(OR($A65="EHT Trace"),IF(AND($U65&lt;&gt;"",$V65&lt;&gt;""),"YES","NO"),"N/A")</f>
        <v>N/A</v>
      </c>
      <c r="L65" s="4" t="str">
        <f>IF(OR($A65="EHT Trace"),IF(AND($X65&lt;&gt;"",$Y65&lt;&gt;""),"YES","NO"),"N/A")</f>
        <v>N/A</v>
      </c>
      <c r="M65" s="4" t="str">
        <f>IF(OR($A65="EHT Trace"),IF(AND($AA65&lt;&gt;"",$AB65&lt;&gt;""),"YES","NO"),"N/A")</f>
        <v>N/A</v>
      </c>
      <c r="N65" s="4" t="str">
        <f>IF(OR($A65="Power Cable"),IF(AND($AD65&lt;&gt;""),"YES","NO"),"N/A")</f>
        <v>N/A</v>
      </c>
      <c r="O65" s="4" t="str">
        <f>IF(OR($A65="Power Cable",$A65="RTD Cable",$A65="Fieldbus Cable"),IF(AND($AE65&lt;&gt;""),"YES","NO"),"N/A")</f>
        <v>NO</v>
      </c>
      <c r="P65" s="4" t="str">
        <f>IF(OR($A65="RTD"),IF(AND($AH65&lt;&gt;""),"YES","NO"),"N/A")</f>
        <v>N/A</v>
      </c>
      <c r="Q65" s="4" t="str">
        <f>IF(OR($A65="RTD"),IF(AND($AI65&lt;&gt;""),"YES","NO"),"N/A")</f>
        <v>N/A</v>
      </c>
      <c r="R65" s="4" t="str">
        <f>IF(OR($AM65&lt;&gt;"",$Z65&lt;&gt;"",$AC65&lt;&gt;""),"YES","NO")</f>
        <v>NO</v>
      </c>
      <c r="S65" s="4" t="str">
        <f>IF(COUNTIF(I65:R65,"NO")=0,"YES","NO")</f>
        <v>NO</v>
      </c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inlineStr">
        <is>
          <t>ACIC</t>
        </is>
      </c>
      <c r="AK65" s="9" t="inlineStr">
        <is>
          <t>16AWG</t>
        </is>
      </c>
      <c r="AL65" s="9" t="inlineStr">
        <is>
          <t>Levy Ostrup</t>
        </is>
      </c>
      <c r="AM65" s="9" t="n"/>
      <c r="AN65" s="9" t="n"/>
    </row>
    <row r="66">
      <c r="A66" s="9" t="inlineStr">
        <is>
          <t>RTD Cable</t>
        </is>
      </c>
      <c r="B66" s="9" t="inlineStr">
        <is>
          <t>29103-ET-P2800-4-R-1</t>
        </is>
      </c>
      <c r="C66" s="9" t="inlineStr">
        <is>
          <t>29103-ET-P2800-4</t>
        </is>
      </c>
      <c r="D66" s="9" t="inlineStr">
        <is>
          <t>29103-HTP-101 HTC-05</t>
        </is>
      </c>
      <c r="E66" s="9" t="inlineStr">
        <is>
          <t>29103-HTP-101</t>
        </is>
      </c>
      <c r="F66" s="9" t="inlineStr"/>
      <c r="G66" s="9" t="inlineStr">
        <is>
          <t>113</t>
        </is>
      </c>
      <c r="H66" s="9" t="inlineStr">
        <is>
          <t>29103-ET-P2800-4-R-1.pdf</t>
        </is>
      </c>
      <c r="I66" s="4" t="str">
        <f>IF($H66&lt;&gt;"","YES","NO")</f>
        <v>YES</v>
      </c>
      <c r="J66" s="4" t="str">
        <f>IF(N($T66)&gt;0,"YES","NO")</f>
        <v>NO</v>
      </c>
      <c r="K66" s="4" t="str">
        <f>IF(OR($A66="EHT Trace"),IF(AND($U66&lt;&gt;"",$V66&lt;&gt;""),"YES","NO"),"N/A")</f>
        <v>N/A</v>
      </c>
      <c r="L66" s="4" t="str">
        <f>IF(OR($A66="EHT Trace"),IF(AND($X66&lt;&gt;"",$Y66&lt;&gt;""),"YES","NO"),"N/A")</f>
        <v>N/A</v>
      </c>
      <c r="M66" s="4" t="str">
        <f>IF(OR($A66="EHT Trace"),IF(AND($AA66&lt;&gt;"",$AB66&lt;&gt;""),"YES","NO"),"N/A")</f>
        <v>N/A</v>
      </c>
      <c r="N66" s="4" t="str">
        <f>IF(OR($A66="Power Cable"),IF(AND($AD66&lt;&gt;""),"YES","NO"),"N/A")</f>
        <v>N/A</v>
      </c>
      <c r="O66" s="4" t="str">
        <f>IF(OR($A66="Power Cable",$A66="RTD Cable",$A66="Fieldbus Cable"),IF(AND($AE66&lt;&gt;""),"YES","NO"),"N/A")</f>
        <v>NO</v>
      </c>
      <c r="P66" s="4" t="str">
        <f>IF(OR($A66="RTD"),IF(AND($AH66&lt;&gt;""),"YES","NO"),"N/A")</f>
        <v>N/A</v>
      </c>
      <c r="Q66" s="4" t="str">
        <f>IF(OR($A66="RTD"),IF(AND($AI66&lt;&gt;""),"YES","NO"),"N/A")</f>
        <v>N/A</v>
      </c>
      <c r="R66" s="4" t="str">
        <f>IF(OR($AM66&lt;&gt;"",$Z66&lt;&gt;"",$AC66&lt;&gt;""),"YES","NO")</f>
        <v>NO</v>
      </c>
      <c r="S66" s="4" t="str">
        <f>IF(COUNTIF(I66:R66,"NO")=0,"YES","NO")</f>
        <v>NO</v>
      </c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inlineStr">
        <is>
          <t>ACIC</t>
        </is>
      </c>
      <c r="AK66" s="9" t="inlineStr">
        <is>
          <t>16AWG</t>
        </is>
      </c>
      <c r="AL66" s="9" t="inlineStr">
        <is>
          <t>Levy Ostrup</t>
        </is>
      </c>
      <c r="AM66" s="9" t="n"/>
      <c r="AN66" s="9" t="n"/>
    </row>
    <row r="67">
      <c r="A67" s="9" t="inlineStr">
        <is>
          <t>RTD Cable</t>
        </is>
      </c>
      <c r="B67" s="9" t="inlineStr">
        <is>
          <t>29103-ET-P2800-5-R-1</t>
        </is>
      </c>
      <c r="C67" s="9" t="inlineStr">
        <is>
          <t>29103-ET-P2800-5</t>
        </is>
      </c>
      <c r="D67" s="9" t="inlineStr">
        <is>
          <t>29103-HTP-101 HTC-02</t>
        </is>
      </c>
      <c r="E67" s="9" t="inlineStr">
        <is>
          <t>29103-HTP-101</t>
        </is>
      </c>
      <c r="F67" s="9" t="inlineStr"/>
      <c r="G67" s="9" t="inlineStr">
        <is>
          <t>113</t>
        </is>
      </c>
      <c r="H67" s="9" t="inlineStr">
        <is>
          <t>29103-ET-P2800-5-R-1.pdf</t>
        </is>
      </c>
      <c r="I67" s="4" t="str">
        <f>IF($H67&lt;&gt;"","YES","NO")</f>
        <v>YES</v>
      </c>
      <c r="J67" s="4" t="str">
        <f>IF(N($T67)&gt;0,"YES","NO")</f>
        <v>NO</v>
      </c>
      <c r="K67" s="4" t="str">
        <f>IF(OR($A67="EHT Trace"),IF(AND($U67&lt;&gt;"",$V67&lt;&gt;""),"YES","NO"),"N/A")</f>
        <v>N/A</v>
      </c>
      <c r="L67" s="4" t="str">
        <f>IF(OR($A67="EHT Trace"),IF(AND($X67&lt;&gt;"",$Y67&lt;&gt;""),"YES","NO"),"N/A")</f>
        <v>N/A</v>
      </c>
      <c r="M67" s="4" t="str">
        <f>IF(OR($A67="EHT Trace"),IF(AND($AA67&lt;&gt;"",$AB67&lt;&gt;""),"YES","NO"),"N/A")</f>
        <v>N/A</v>
      </c>
      <c r="N67" s="4" t="str">
        <f>IF(OR($A67="Power Cable"),IF(AND($AD67&lt;&gt;""),"YES","NO"),"N/A")</f>
        <v>N/A</v>
      </c>
      <c r="O67" s="4" t="str">
        <f>IF(OR($A67="Power Cable",$A67="RTD Cable",$A67="Fieldbus Cable"),IF(AND($AE67&lt;&gt;""),"YES","NO"),"N/A")</f>
        <v>NO</v>
      </c>
      <c r="P67" s="4" t="str">
        <f>IF(OR($A67="RTD"),IF(AND($AH67&lt;&gt;""),"YES","NO"),"N/A")</f>
        <v>N/A</v>
      </c>
      <c r="Q67" s="4" t="str">
        <f>IF(OR($A67="RTD"),IF(AND($AI67&lt;&gt;""),"YES","NO"),"N/A")</f>
        <v>N/A</v>
      </c>
      <c r="R67" s="4" t="str">
        <f>IF(OR($AM67&lt;&gt;"",$Z67&lt;&gt;"",$AC67&lt;&gt;""),"YES","NO")</f>
        <v>NO</v>
      </c>
      <c r="S67" s="4" t="str">
        <f>IF(COUNTIF(I67:R67,"NO")=0,"YES","NO")</f>
        <v>NO</v>
      </c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inlineStr">
        <is>
          <t>ACIC</t>
        </is>
      </c>
      <c r="AK67" s="9" t="inlineStr">
        <is>
          <t>16AWG</t>
        </is>
      </c>
      <c r="AL67" s="9" t="inlineStr">
        <is>
          <t>Levy Ostrup</t>
        </is>
      </c>
      <c r="AM67" s="9" t="n"/>
      <c r="AN67" s="9" t="n"/>
    </row>
    <row r="68">
      <c r="A68" s="9" t="inlineStr">
        <is>
          <t>RTD Cable</t>
        </is>
      </c>
      <c r="B68" s="9" t="inlineStr">
        <is>
          <t>29103-ET-P2800-6-R-1</t>
        </is>
      </c>
      <c r="C68" s="9" t="inlineStr">
        <is>
          <t>29103-ET-P2800-6</t>
        </is>
      </c>
      <c r="D68" s="9" t="inlineStr">
        <is>
          <t>29103-HTP-101 HTC-06</t>
        </is>
      </c>
      <c r="E68" s="9" t="inlineStr">
        <is>
          <t>29103-HTP-101</t>
        </is>
      </c>
      <c r="F68" s="9" t="inlineStr"/>
      <c r="G68" s="9" t="inlineStr">
        <is>
          <t>113</t>
        </is>
      </c>
      <c r="H68" s="9" t="inlineStr">
        <is>
          <t>29103-ET-P2800-6-R-1.pdf</t>
        </is>
      </c>
      <c r="I68" s="4" t="str">
        <f>IF($H68&lt;&gt;"","YES","NO")</f>
        <v>YES</v>
      </c>
      <c r="J68" s="4" t="str">
        <f>IF(N($T68)&gt;0,"YES","NO")</f>
        <v>NO</v>
      </c>
      <c r="K68" s="4" t="str">
        <f>IF(OR($A68="EHT Trace"),IF(AND($U68&lt;&gt;"",$V68&lt;&gt;""),"YES","NO"),"N/A")</f>
        <v>N/A</v>
      </c>
      <c r="L68" s="4" t="str">
        <f>IF(OR($A68="EHT Trace"),IF(AND($X68&lt;&gt;"",$Y68&lt;&gt;""),"YES","NO"),"N/A")</f>
        <v>N/A</v>
      </c>
      <c r="M68" s="4" t="str">
        <f>IF(OR($A68="EHT Trace"),IF(AND($AA68&lt;&gt;"",$AB68&lt;&gt;""),"YES","NO"),"N/A")</f>
        <v>N/A</v>
      </c>
      <c r="N68" s="4" t="str">
        <f>IF(OR($A68="Power Cable"),IF(AND($AD68&lt;&gt;""),"YES","NO"),"N/A")</f>
        <v>N/A</v>
      </c>
      <c r="O68" s="4" t="str">
        <f>IF(OR($A68="Power Cable",$A68="RTD Cable",$A68="Fieldbus Cable"),IF(AND($AE68&lt;&gt;""),"YES","NO"),"N/A")</f>
        <v>NO</v>
      </c>
      <c r="P68" s="4" t="str">
        <f>IF(OR($A68="RTD"),IF(AND($AH68&lt;&gt;""),"YES","NO"),"N/A")</f>
        <v>N/A</v>
      </c>
      <c r="Q68" s="4" t="str">
        <f>IF(OR($A68="RTD"),IF(AND($AI68&lt;&gt;""),"YES","NO"),"N/A")</f>
        <v>N/A</v>
      </c>
      <c r="R68" s="4" t="str">
        <f>IF(OR($AM68&lt;&gt;"",$Z68&lt;&gt;"",$AC68&lt;&gt;""),"YES","NO")</f>
        <v>NO</v>
      </c>
      <c r="S68" s="4" t="str">
        <f>IF(COUNTIF(I68:R68,"NO")=0,"YES","NO")</f>
        <v>NO</v>
      </c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inlineStr">
        <is>
          <t>ACIC</t>
        </is>
      </c>
      <c r="AK68" s="9" t="inlineStr">
        <is>
          <t>16AWG</t>
        </is>
      </c>
      <c r="AL68" s="9" t="inlineStr">
        <is>
          <t>Levy Ostrup</t>
        </is>
      </c>
      <c r="AM68" s="9" t="n"/>
      <c r="AN68" s="9" t="n"/>
    </row>
    <row r="69">
      <c r="A69" s="9" t="inlineStr">
        <is>
          <t>RTD Cable</t>
        </is>
      </c>
      <c r="B69" s="9" t="inlineStr">
        <is>
          <t>29103-ET-P2800-7-R-1</t>
        </is>
      </c>
      <c r="C69" s="9" t="inlineStr">
        <is>
          <t>29103-ET-P2800-7</t>
        </is>
      </c>
      <c r="D69" s="9" t="inlineStr">
        <is>
          <t>29103-HTP-101 HTC-38</t>
        </is>
      </c>
      <c r="E69" s="9" t="inlineStr">
        <is>
          <t>29103-HTP-101</t>
        </is>
      </c>
      <c r="F69" s="9" t="inlineStr"/>
      <c r="G69" s="9" t="inlineStr">
        <is>
          <t>113</t>
        </is>
      </c>
      <c r="H69" s="9" t="inlineStr">
        <is>
          <t>29103-ET-P2800-7-R-1.pdf</t>
        </is>
      </c>
      <c r="I69" s="4" t="str">
        <f>IF($H69&lt;&gt;"","YES","NO")</f>
        <v>YES</v>
      </c>
      <c r="J69" s="4" t="str">
        <f>IF(N($T69)&gt;0,"YES","NO")</f>
        <v>NO</v>
      </c>
      <c r="K69" s="4" t="str">
        <f>IF(OR($A69="EHT Trace"),IF(AND($U69&lt;&gt;"",$V69&lt;&gt;""),"YES","NO"),"N/A")</f>
        <v>N/A</v>
      </c>
      <c r="L69" s="4" t="str">
        <f>IF(OR($A69="EHT Trace"),IF(AND($X69&lt;&gt;"",$Y69&lt;&gt;""),"YES","NO"),"N/A")</f>
        <v>N/A</v>
      </c>
      <c r="M69" s="4" t="str">
        <f>IF(OR($A69="EHT Trace"),IF(AND($AA69&lt;&gt;"",$AB69&lt;&gt;""),"YES","NO"),"N/A")</f>
        <v>N/A</v>
      </c>
      <c r="N69" s="4" t="str">
        <f>IF(OR($A69="Power Cable"),IF(AND($AD69&lt;&gt;""),"YES","NO"),"N/A")</f>
        <v>N/A</v>
      </c>
      <c r="O69" s="4" t="str">
        <f>IF(OR($A69="Power Cable",$A69="RTD Cable",$A69="Fieldbus Cable"),IF(AND($AE69&lt;&gt;""),"YES","NO"),"N/A")</f>
        <v>NO</v>
      </c>
      <c r="P69" s="4" t="str">
        <f>IF(OR($A69="RTD"),IF(AND($AH69&lt;&gt;""),"YES","NO"),"N/A")</f>
        <v>N/A</v>
      </c>
      <c r="Q69" s="4" t="str">
        <f>IF(OR($A69="RTD"),IF(AND($AI69&lt;&gt;""),"YES","NO"),"N/A")</f>
        <v>N/A</v>
      </c>
      <c r="R69" s="4" t="str">
        <f>IF(OR($AM69&lt;&gt;"",$Z69&lt;&gt;"",$AC69&lt;&gt;""),"YES","NO")</f>
        <v>NO</v>
      </c>
      <c r="S69" s="4" t="str">
        <f>IF(COUNTIF(I69:R69,"NO")=0,"YES","NO")</f>
        <v>NO</v>
      </c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inlineStr">
        <is>
          <t>ACIC</t>
        </is>
      </c>
      <c r="AK69" s="9" t="inlineStr">
        <is>
          <t>16AWG</t>
        </is>
      </c>
      <c r="AL69" s="9" t="inlineStr">
        <is>
          <t>Levy Ostrup</t>
        </is>
      </c>
      <c r="AM69" s="9" t="n"/>
      <c r="AN69" s="9" t="n"/>
    </row>
    <row r="70">
      <c r="A70" s="9" t="inlineStr">
        <is>
          <t>RTD Cable</t>
        </is>
      </c>
      <c r="B70" s="9" t="inlineStr">
        <is>
          <t>29103-ET-PE1001-1-R-1</t>
        </is>
      </c>
      <c r="C70" s="9" t="inlineStr">
        <is>
          <t>29103-ET-PE1001-1</t>
        </is>
      </c>
      <c r="D70" s="9" t="inlineStr">
        <is>
          <t>29103-HTP-101 HTC-12</t>
        </is>
      </c>
      <c r="E70" s="9" t="inlineStr">
        <is>
          <t>29103-HTP-101</t>
        </is>
      </c>
      <c r="F70" s="9" t="inlineStr"/>
      <c r="G70" s="9" t="inlineStr">
        <is>
          <t>113</t>
        </is>
      </c>
      <c r="H70" s="9" t="inlineStr">
        <is>
          <t>29103-ET-PE1001-1-R-1.pdf</t>
        </is>
      </c>
      <c r="I70" s="4" t="str">
        <f>IF($H70&lt;&gt;"","YES","NO")</f>
        <v>YES</v>
      </c>
      <c r="J70" s="4" t="str">
        <f>IF(N($T70)&gt;0,"YES","NO")</f>
        <v>NO</v>
      </c>
      <c r="K70" s="4" t="str">
        <f>IF(OR($A70="EHT Trace"),IF(AND($U70&lt;&gt;"",$V70&lt;&gt;""),"YES","NO"),"N/A")</f>
        <v>N/A</v>
      </c>
      <c r="L70" s="4" t="str">
        <f>IF(OR($A70="EHT Trace"),IF(AND($X70&lt;&gt;"",$Y70&lt;&gt;""),"YES","NO"),"N/A")</f>
        <v>N/A</v>
      </c>
      <c r="M70" s="4" t="str">
        <f>IF(OR($A70="EHT Trace"),IF(AND($AA70&lt;&gt;"",$AB70&lt;&gt;""),"YES","NO"),"N/A")</f>
        <v>N/A</v>
      </c>
      <c r="N70" s="4" t="str">
        <f>IF(OR($A70="Power Cable"),IF(AND($AD70&lt;&gt;""),"YES","NO"),"N/A")</f>
        <v>N/A</v>
      </c>
      <c r="O70" s="4" t="str">
        <f>IF(OR($A70="Power Cable",$A70="RTD Cable",$A70="Fieldbus Cable"),IF(AND($AE70&lt;&gt;""),"YES","NO"),"N/A")</f>
        <v>NO</v>
      </c>
      <c r="P70" s="4" t="str">
        <f>IF(OR($A70="RTD"),IF(AND($AH70&lt;&gt;""),"YES","NO"),"N/A")</f>
        <v>N/A</v>
      </c>
      <c r="Q70" s="4" t="str">
        <f>IF(OR($A70="RTD"),IF(AND($AI70&lt;&gt;""),"YES","NO"),"N/A")</f>
        <v>N/A</v>
      </c>
      <c r="R70" s="4" t="str">
        <f>IF(OR($AM70&lt;&gt;"",$Z70&lt;&gt;"",$AC70&lt;&gt;""),"YES","NO")</f>
        <v>NO</v>
      </c>
      <c r="S70" s="4" t="str">
        <f>IF(COUNTIF(I70:R70,"NO")=0,"YES","NO")</f>
        <v>NO</v>
      </c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inlineStr">
        <is>
          <t>ACIC</t>
        </is>
      </c>
      <c r="AK70" s="9" t="inlineStr">
        <is>
          <t>16AWG</t>
        </is>
      </c>
      <c r="AL70" s="9" t="inlineStr">
        <is>
          <t>Levy Ostrup</t>
        </is>
      </c>
      <c r="AM70" s="9" t="n"/>
      <c r="AN70" s="9" t="n"/>
    </row>
    <row r="71">
      <c r="A71" s="9" t="inlineStr">
        <is>
          <t>RTD Cable</t>
        </is>
      </c>
      <c r="B71" s="9" t="inlineStr">
        <is>
          <t>29103-ET-PE1001-1-R-2</t>
        </is>
      </c>
      <c r="C71" s="9" t="inlineStr">
        <is>
          <t>29103-ET-PE1001-1</t>
        </is>
      </c>
      <c r="D71" s="9" t="inlineStr">
        <is>
          <t>29103-HTP-101 I/O-1-4</t>
        </is>
      </c>
      <c r="E71" s="9" t="inlineStr">
        <is>
          <t>29103-HTP-101</t>
        </is>
      </c>
      <c r="F71" s="9" t="inlineStr"/>
      <c r="G71" s="9" t="inlineStr">
        <is>
          <t>113</t>
        </is>
      </c>
      <c r="H71" s="9" t="inlineStr">
        <is>
          <t>29103-ET-PE1001-1-R-2.pdf</t>
        </is>
      </c>
      <c r="I71" s="4" t="str">
        <f>IF($H71&lt;&gt;"","YES","NO")</f>
        <v>YES</v>
      </c>
      <c r="J71" s="4" t="str">
        <f>IF(N($T71)&gt;0,"YES","NO")</f>
        <v>NO</v>
      </c>
      <c r="K71" s="4" t="str">
        <f>IF(OR($A71="EHT Trace"),IF(AND($U71&lt;&gt;"",$V71&lt;&gt;""),"YES","NO"),"N/A")</f>
        <v>N/A</v>
      </c>
      <c r="L71" s="4" t="str">
        <f>IF(OR($A71="EHT Trace"),IF(AND($X71&lt;&gt;"",$Y71&lt;&gt;""),"YES","NO"),"N/A")</f>
        <v>N/A</v>
      </c>
      <c r="M71" s="4" t="str">
        <f>IF(OR($A71="EHT Trace"),IF(AND($AA71&lt;&gt;"",$AB71&lt;&gt;""),"YES","NO"),"N/A")</f>
        <v>N/A</v>
      </c>
      <c r="N71" s="4" t="str">
        <f>IF(OR($A71="Power Cable"),IF(AND($AD71&lt;&gt;""),"YES","NO"),"N/A")</f>
        <v>N/A</v>
      </c>
      <c r="O71" s="4" t="str">
        <f>IF(OR($A71="Power Cable",$A71="RTD Cable",$A71="Fieldbus Cable"),IF(AND($AE71&lt;&gt;""),"YES","NO"),"N/A")</f>
        <v>NO</v>
      </c>
      <c r="P71" s="4" t="str">
        <f>IF(OR($A71="RTD"),IF(AND($AH71&lt;&gt;""),"YES","NO"),"N/A")</f>
        <v>N/A</v>
      </c>
      <c r="Q71" s="4" t="str">
        <f>IF(OR($A71="RTD"),IF(AND($AI71&lt;&gt;""),"YES","NO"),"N/A")</f>
        <v>N/A</v>
      </c>
      <c r="R71" s="4" t="str">
        <f>IF(OR($AM71&lt;&gt;"",$Z71&lt;&gt;"",$AC71&lt;&gt;""),"YES","NO")</f>
        <v>NO</v>
      </c>
      <c r="S71" s="4" t="str">
        <f>IF(COUNTIF(I71:R71,"NO")=0,"YES","NO")</f>
        <v>NO</v>
      </c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inlineStr">
        <is>
          <t>ACIC</t>
        </is>
      </c>
      <c r="AK71" s="9" t="inlineStr">
        <is>
          <t>16AWG</t>
        </is>
      </c>
      <c r="AL71" s="9" t="inlineStr">
        <is>
          <t>Levy Ostrup</t>
        </is>
      </c>
      <c r="AM71" s="9" t="n"/>
      <c r="AN71" s="9" t="n"/>
    </row>
    <row r="72">
      <c r="A72" s="9" t="inlineStr">
        <is>
          <t>RTD Cable</t>
        </is>
      </c>
      <c r="B72" s="9" t="inlineStr">
        <is>
          <t>29103-ET-PE1803-4-R-1</t>
        </is>
      </c>
      <c r="C72" s="9" t="inlineStr">
        <is>
          <t>29103-ET-PE1803-4</t>
        </is>
      </c>
      <c r="D72" s="9" t="inlineStr">
        <is>
          <t>29103-HTP-101 HTC-18</t>
        </is>
      </c>
      <c r="E72" s="9" t="inlineStr">
        <is>
          <t>29103-HTP-101</t>
        </is>
      </c>
      <c r="F72" s="9" t="inlineStr"/>
      <c r="G72" s="9" t="inlineStr">
        <is>
          <t>113</t>
        </is>
      </c>
      <c r="H72" s="9" t="inlineStr">
        <is>
          <t>29103-ET-PE1803-4-R-1.pdf</t>
        </is>
      </c>
      <c r="I72" s="4" t="str">
        <f>IF($H72&lt;&gt;"","YES","NO")</f>
        <v>YES</v>
      </c>
      <c r="J72" s="4" t="str">
        <f>IF(N($T72)&gt;0,"YES","NO")</f>
        <v>NO</v>
      </c>
      <c r="K72" s="4" t="str">
        <f>IF(OR($A72="EHT Trace"),IF(AND($U72&lt;&gt;"",$V72&lt;&gt;""),"YES","NO"),"N/A")</f>
        <v>N/A</v>
      </c>
      <c r="L72" s="4" t="str">
        <f>IF(OR($A72="EHT Trace"),IF(AND($X72&lt;&gt;"",$Y72&lt;&gt;""),"YES","NO"),"N/A")</f>
        <v>N/A</v>
      </c>
      <c r="M72" s="4" t="str">
        <f>IF(OR($A72="EHT Trace"),IF(AND($AA72&lt;&gt;"",$AB72&lt;&gt;""),"YES","NO"),"N/A")</f>
        <v>N/A</v>
      </c>
      <c r="N72" s="4" t="str">
        <f>IF(OR($A72="Power Cable"),IF(AND($AD72&lt;&gt;""),"YES","NO"),"N/A")</f>
        <v>N/A</v>
      </c>
      <c r="O72" s="4" t="str">
        <f>IF(OR($A72="Power Cable",$A72="RTD Cable",$A72="Fieldbus Cable"),IF(AND($AE72&lt;&gt;""),"YES","NO"),"N/A")</f>
        <v>NO</v>
      </c>
      <c r="P72" s="4" t="str">
        <f>IF(OR($A72="RTD"),IF(AND($AH72&lt;&gt;""),"YES","NO"),"N/A")</f>
        <v>N/A</v>
      </c>
      <c r="Q72" s="4" t="str">
        <f>IF(OR($A72="RTD"),IF(AND($AI72&lt;&gt;""),"YES","NO"),"N/A")</f>
        <v>N/A</v>
      </c>
      <c r="R72" s="4" t="str">
        <f>IF(OR($AM72&lt;&gt;"",$Z72&lt;&gt;"",$AC72&lt;&gt;""),"YES","NO")</f>
        <v>NO</v>
      </c>
      <c r="S72" s="4" t="str">
        <f>IF(COUNTIF(I72:R72,"NO")=0,"YES","NO")</f>
        <v>NO</v>
      </c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inlineStr">
        <is>
          <t>ACIC</t>
        </is>
      </c>
      <c r="AK72" s="9" t="inlineStr">
        <is>
          <t>16AWG</t>
        </is>
      </c>
      <c r="AL72" s="9" t="inlineStr">
        <is>
          <t>Levy Ostrup</t>
        </is>
      </c>
      <c r="AM72" s="9" t="n"/>
      <c r="AN72" s="9" t="n"/>
    </row>
    <row r="73">
      <c r="A73" s="9" t="inlineStr">
        <is>
          <t>RTD Cable</t>
        </is>
      </c>
      <c r="B73" s="9" t="inlineStr">
        <is>
          <t>29103-ET-PE2802-3-R-1</t>
        </is>
      </c>
      <c r="C73" s="9" t="inlineStr">
        <is>
          <t>29103-ET-PE2802-3</t>
        </is>
      </c>
      <c r="D73" s="9" t="inlineStr">
        <is>
          <t>29103-HTP-101 HTC-03</t>
        </is>
      </c>
      <c r="E73" s="9" t="inlineStr">
        <is>
          <t>29103-HTP-101</t>
        </is>
      </c>
      <c r="F73" s="9" t="inlineStr"/>
      <c r="G73" s="9" t="inlineStr">
        <is>
          <t>113</t>
        </is>
      </c>
      <c r="H73" s="9" t="inlineStr">
        <is>
          <t>29103-ET-PE2802-3-R-1.pdf</t>
        </is>
      </c>
      <c r="I73" s="4" t="str">
        <f>IF($H73&lt;&gt;"","YES","NO")</f>
        <v>YES</v>
      </c>
      <c r="J73" s="4" t="str">
        <f>IF(N($T73)&gt;0,"YES","NO")</f>
        <v>NO</v>
      </c>
      <c r="K73" s="4" t="str">
        <f>IF(OR($A73="EHT Trace"),IF(AND($U73&lt;&gt;"",$V73&lt;&gt;""),"YES","NO"),"N/A")</f>
        <v>N/A</v>
      </c>
      <c r="L73" s="4" t="str">
        <f>IF(OR($A73="EHT Trace"),IF(AND($X73&lt;&gt;"",$Y73&lt;&gt;""),"YES","NO"),"N/A")</f>
        <v>N/A</v>
      </c>
      <c r="M73" s="4" t="str">
        <f>IF(OR($A73="EHT Trace"),IF(AND($AA73&lt;&gt;"",$AB73&lt;&gt;""),"YES","NO"),"N/A")</f>
        <v>N/A</v>
      </c>
      <c r="N73" s="4" t="str">
        <f>IF(OR($A73="Power Cable"),IF(AND($AD73&lt;&gt;""),"YES","NO"),"N/A")</f>
        <v>N/A</v>
      </c>
      <c r="O73" s="4" t="str">
        <f>IF(OR($A73="Power Cable",$A73="RTD Cable",$A73="Fieldbus Cable"),IF(AND($AE73&lt;&gt;""),"YES","NO"),"N/A")</f>
        <v>NO</v>
      </c>
      <c r="P73" s="4" t="str">
        <f>IF(OR($A73="RTD"),IF(AND($AH73&lt;&gt;""),"YES","NO"),"N/A")</f>
        <v>N/A</v>
      </c>
      <c r="Q73" s="4" t="str">
        <f>IF(OR($A73="RTD"),IF(AND($AI73&lt;&gt;""),"YES","NO"),"N/A")</f>
        <v>N/A</v>
      </c>
      <c r="R73" s="4" t="str">
        <f>IF(OR($AM73&lt;&gt;"",$Z73&lt;&gt;"",$AC73&lt;&gt;""),"YES","NO")</f>
        <v>NO</v>
      </c>
      <c r="S73" s="4" t="str">
        <f>IF(COUNTIF(I73:R73,"NO")=0,"YES","NO")</f>
        <v>NO</v>
      </c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inlineStr">
        <is>
          <t>ACIC</t>
        </is>
      </c>
      <c r="AK73" s="9" t="inlineStr">
        <is>
          <t>16AWG</t>
        </is>
      </c>
      <c r="AL73" s="9" t="inlineStr">
        <is>
          <t>Levy Ostrup</t>
        </is>
      </c>
      <c r="AM73" s="9" t="n"/>
      <c r="AN73" s="9" t="n"/>
    </row>
    <row r="74">
      <c r="A74" s="9" t="inlineStr">
        <is>
          <t>RTD Cable</t>
        </is>
      </c>
      <c r="B74" s="9" t="inlineStr">
        <is>
          <t>29103-ET-PE2802-4-R-1</t>
        </is>
      </c>
      <c r="C74" s="9" t="inlineStr">
        <is>
          <t>29103-ET-PE2802-4</t>
        </is>
      </c>
      <c r="D74" s="9" t="inlineStr">
        <is>
          <t>29103-HTP-101 HTC-10</t>
        </is>
      </c>
      <c r="E74" s="9" t="inlineStr">
        <is>
          <t>29103-HTP-101</t>
        </is>
      </c>
      <c r="F74" s="9" t="inlineStr"/>
      <c r="G74" s="9" t="inlineStr">
        <is>
          <t>113</t>
        </is>
      </c>
      <c r="H74" s="9" t="inlineStr">
        <is>
          <t>29103-ET-PE2802-4-R-1.pdf</t>
        </is>
      </c>
      <c r="I74" s="4" t="str">
        <f>IF($H74&lt;&gt;"","YES","NO")</f>
        <v>YES</v>
      </c>
      <c r="J74" s="4" t="str">
        <f>IF(N($T74)&gt;0,"YES","NO")</f>
        <v>NO</v>
      </c>
      <c r="K74" s="4" t="str">
        <f>IF(OR($A74="EHT Trace"),IF(AND($U74&lt;&gt;"",$V74&lt;&gt;""),"YES","NO"),"N/A")</f>
        <v>N/A</v>
      </c>
      <c r="L74" s="4" t="str">
        <f>IF(OR($A74="EHT Trace"),IF(AND($X74&lt;&gt;"",$Y74&lt;&gt;""),"YES","NO"),"N/A")</f>
        <v>N/A</v>
      </c>
      <c r="M74" s="4" t="str">
        <f>IF(OR($A74="EHT Trace"),IF(AND($AA74&lt;&gt;"",$AB74&lt;&gt;""),"YES","NO"),"N/A")</f>
        <v>N/A</v>
      </c>
      <c r="N74" s="4" t="str">
        <f>IF(OR($A74="Power Cable"),IF(AND($AD74&lt;&gt;""),"YES","NO"),"N/A")</f>
        <v>N/A</v>
      </c>
      <c r="O74" s="4" t="str">
        <f>IF(OR($A74="Power Cable",$A74="RTD Cable",$A74="Fieldbus Cable"),IF(AND($AE74&lt;&gt;""),"YES","NO"),"N/A")</f>
        <v>NO</v>
      </c>
      <c r="P74" s="4" t="str">
        <f>IF(OR($A74="RTD"),IF(AND($AH74&lt;&gt;""),"YES","NO"),"N/A")</f>
        <v>N/A</v>
      </c>
      <c r="Q74" s="4" t="str">
        <f>IF(OR($A74="RTD"),IF(AND($AI74&lt;&gt;""),"YES","NO"),"N/A")</f>
        <v>N/A</v>
      </c>
      <c r="R74" s="4" t="str">
        <f>IF(OR($AM74&lt;&gt;"",$Z74&lt;&gt;"",$AC74&lt;&gt;""),"YES","NO")</f>
        <v>NO</v>
      </c>
      <c r="S74" s="4" t="str">
        <f>IF(COUNTIF(I74:R74,"NO")=0,"YES","NO")</f>
        <v>NO</v>
      </c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inlineStr">
        <is>
          <t>ACIC</t>
        </is>
      </c>
      <c r="AK74" s="9" t="inlineStr">
        <is>
          <t>16AWG</t>
        </is>
      </c>
      <c r="AL74" s="9" t="inlineStr">
        <is>
          <t>Levy Ostrup</t>
        </is>
      </c>
      <c r="AM74" s="9" t="n"/>
      <c r="AN74" s="9" t="n"/>
    </row>
    <row r="75">
      <c r="A75" s="9" t="inlineStr">
        <is>
          <t>RTD Cable</t>
        </is>
      </c>
      <c r="B75" s="9" t="inlineStr">
        <is>
          <t>29103-ET-PE2802-5-R-1</t>
        </is>
      </c>
      <c r="C75" s="9" t="inlineStr">
        <is>
          <t>29103-ET-PE2802-5</t>
        </is>
      </c>
      <c r="D75" s="9" t="inlineStr">
        <is>
          <t>29103-HTP-101 HTC-37</t>
        </is>
      </c>
      <c r="E75" s="9" t="inlineStr">
        <is>
          <t>29103-HTP-101</t>
        </is>
      </c>
      <c r="F75" s="9" t="inlineStr"/>
      <c r="G75" s="9" t="inlineStr">
        <is>
          <t>113</t>
        </is>
      </c>
      <c r="H75" s="9" t="inlineStr">
        <is>
          <t>29103-ET-PE2802-5-R-1.pdf</t>
        </is>
      </c>
      <c r="I75" s="4" t="str">
        <f>IF($H75&lt;&gt;"","YES","NO")</f>
        <v>YES</v>
      </c>
      <c r="J75" s="4" t="str">
        <f>IF(N($T75)&gt;0,"YES","NO")</f>
        <v>NO</v>
      </c>
      <c r="K75" s="4" t="str">
        <f>IF(OR($A75="EHT Trace"),IF(AND($U75&lt;&gt;"",$V75&lt;&gt;""),"YES","NO"),"N/A")</f>
        <v>N/A</v>
      </c>
      <c r="L75" s="4" t="str">
        <f>IF(OR($A75="EHT Trace"),IF(AND($X75&lt;&gt;"",$Y75&lt;&gt;""),"YES","NO"),"N/A")</f>
        <v>N/A</v>
      </c>
      <c r="M75" s="4" t="str">
        <f>IF(OR($A75="EHT Trace"),IF(AND($AA75&lt;&gt;"",$AB75&lt;&gt;""),"YES","NO"),"N/A")</f>
        <v>N/A</v>
      </c>
      <c r="N75" s="4" t="str">
        <f>IF(OR($A75="Power Cable"),IF(AND($AD75&lt;&gt;""),"YES","NO"),"N/A")</f>
        <v>N/A</v>
      </c>
      <c r="O75" s="4" t="str">
        <f>IF(OR($A75="Power Cable",$A75="RTD Cable",$A75="Fieldbus Cable"),IF(AND($AE75&lt;&gt;""),"YES","NO"),"N/A")</f>
        <v>NO</v>
      </c>
      <c r="P75" s="4" t="str">
        <f>IF(OR($A75="RTD"),IF(AND($AH75&lt;&gt;""),"YES","NO"),"N/A")</f>
        <v>N/A</v>
      </c>
      <c r="Q75" s="4" t="str">
        <f>IF(OR($A75="RTD"),IF(AND($AI75&lt;&gt;""),"YES","NO"),"N/A")</f>
        <v>N/A</v>
      </c>
      <c r="R75" s="4" t="str">
        <f>IF(OR($AM75&lt;&gt;"",$Z75&lt;&gt;"",$AC75&lt;&gt;""),"YES","NO")</f>
        <v>NO</v>
      </c>
      <c r="S75" s="4" t="str">
        <f>IF(COUNTIF(I75:R75,"NO")=0,"YES","NO")</f>
        <v>NO</v>
      </c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inlineStr">
        <is>
          <t>ACIC</t>
        </is>
      </c>
      <c r="AK75" s="9" t="inlineStr">
        <is>
          <t>16AWG</t>
        </is>
      </c>
      <c r="AL75" s="9" t="inlineStr">
        <is>
          <t>Levy Ostrup</t>
        </is>
      </c>
      <c r="AM75" s="9" t="n"/>
      <c r="AN75" s="9" t="n"/>
    </row>
    <row r="76">
      <c r="A76" s="9" t="inlineStr">
        <is>
          <t>RTD Cable</t>
        </is>
      </c>
      <c r="B76" s="9" t="inlineStr">
        <is>
          <t>29103-ET-PE2803-3-R-1</t>
        </is>
      </c>
      <c r="C76" s="9" t="inlineStr">
        <is>
          <t>29103-ET-PE2803-3</t>
        </is>
      </c>
      <c r="D76" s="9" t="inlineStr">
        <is>
          <t>29103-HTP-101 HTC-04</t>
        </is>
      </c>
      <c r="E76" s="9" t="inlineStr">
        <is>
          <t>29103-HTP-101</t>
        </is>
      </c>
      <c r="F76" s="9" t="inlineStr"/>
      <c r="G76" s="9" t="inlineStr">
        <is>
          <t>113</t>
        </is>
      </c>
      <c r="H76" s="9" t="inlineStr">
        <is>
          <t>29103-ET-PE2803-3-R-1.pdf</t>
        </is>
      </c>
      <c r="I76" s="4" t="str">
        <f>IF($H76&lt;&gt;"","YES","NO")</f>
        <v>YES</v>
      </c>
      <c r="J76" s="4" t="str">
        <f>IF(N($T76)&gt;0,"YES","NO")</f>
        <v>NO</v>
      </c>
      <c r="K76" s="4" t="str">
        <f>IF(OR($A76="EHT Trace"),IF(AND($U76&lt;&gt;"",$V76&lt;&gt;""),"YES","NO"),"N/A")</f>
        <v>N/A</v>
      </c>
      <c r="L76" s="4" t="str">
        <f>IF(OR($A76="EHT Trace"),IF(AND($X76&lt;&gt;"",$Y76&lt;&gt;""),"YES","NO"),"N/A")</f>
        <v>N/A</v>
      </c>
      <c r="M76" s="4" t="str">
        <f>IF(OR($A76="EHT Trace"),IF(AND($AA76&lt;&gt;"",$AB76&lt;&gt;""),"YES","NO"),"N/A")</f>
        <v>N/A</v>
      </c>
      <c r="N76" s="4" t="str">
        <f>IF(OR($A76="Power Cable"),IF(AND($AD76&lt;&gt;""),"YES","NO"),"N/A")</f>
        <v>N/A</v>
      </c>
      <c r="O76" s="4" t="str">
        <f>IF(OR($A76="Power Cable",$A76="RTD Cable",$A76="Fieldbus Cable"),IF(AND($AE76&lt;&gt;""),"YES","NO"),"N/A")</f>
        <v>NO</v>
      </c>
      <c r="P76" s="4" t="str">
        <f>IF(OR($A76="RTD"),IF(AND($AH76&lt;&gt;""),"YES","NO"),"N/A")</f>
        <v>N/A</v>
      </c>
      <c r="Q76" s="4" t="str">
        <f>IF(OR($A76="RTD"),IF(AND($AI76&lt;&gt;""),"YES","NO"),"N/A")</f>
        <v>N/A</v>
      </c>
      <c r="R76" s="4" t="str">
        <f>IF(OR($AM76&lt;&gt;"",$Z76&lt;&gt;"",$AC76&lt;&gt;""),"YES","NO")</f>
        <v>NO</v>
      </c>
      <c r="S76" s="4" t="str">
        <f>IF(COUNTIF(I76:R76,"NO")=0,"YES","NO")</f>
        <v>NO</v>
      </c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inlineStr">
        <is>
          <t>ACIC</t>
        </is>
      </c>
      <c r="AK76" s="9" t="inlineStr">
        <is>
          <t>16AWG</t>
        </is>
      </c>
      <c r="AL76" s="9" t="inlineStr">
        <is>
          <t>Levy Ostrup</t>
        </is>
      </c>
      <c r="AM76" s="9" t="n"/>
      <c r="AN76" s="9" t="n"/>
    </row>
    <row r="77">
      <c r="A77" s="9" t="inlineStr">
        <is>
          <t>RTD Cable</t>
        </is>
      </c>
      <c r="B77" s="9" t="inlineStr">
        <is>
          <t>29103-RJB-015</t>
        </is>
      </c>
      <c r="C77" s="9" t="inlineStr"/>
      <c r="D77" s="9" t="inlineStr">
        <is>
          <t>29103-HTP-101 HTC-07</t>
        </is>
      </c>
      <c r="E77" s="9" t="inlineStr">
        <is>
          <t>29103-HTP-101</t>
        </is>
      </c>
      <c r="F77" s="9" t="inlineStr"/>
      <c r="G77" s="9" t="inlineStr">
        <is>
          <t>113</t>
        </is>
      </c>
      <c r="H77" s="9" t="inlineStr">
        <is>
          <t>29103-RJB-015.pdf</t>
        </is>
      </c>
      <c r="I77" s="4" t="str">
        <f>IF($H77&lt;&gt;"","YES","NO")</f>
        <v>YES</v>
      </c>
      <c r="J77" s="4" t="str">
        <f>IF(N($T77)&gt;0,"YES","NO")</f>
        <v>NO</v>
      </c>
      <c r="K77" s="4" t="str">
        <f>IF(OR($A77="EHT Trace"),IF(AND($U77&lt;&gt;"",$V77&lt;&gt;""),"YES","NO"),"N/A")</f>
        <v>N/A</v>
      </c>
      <c r="L77" s="4" t="str">
        <f>IF(OR($A77="EHT Trace"),IF(AND($X77&lt;&gt;"",$Y77&lt;&gt;""),"YES","NO"),"N/A")</f>
        <v>N/A</v>
      </c>
      <c r="M77" s="4" t="str">
        <f>IF(OR($A77="EHT Trace"),IF(AND($AA77&lt;&gt;"",$AB77&lt;&gt;""),"YES","NO"),"N/A")</f>
        <v>N/A</v>
      </c>
      <c r="N77" s="4" t="str">
        <f>IF(OR($A77="Power Cable"),IF(AND($AD77&lt;&gt;""),"YES","NO"),"N/A")</f>
        <v>N/A</v>
      </c>
      <c r="O77" s="4" t="str">
        <f>IF(OR($A77="Power Cable",$A77="RTD Cable",$A77="Fieldbus Cable"),IF(AND($AE77&lt;&gt;""),"YES","NO"),"N/A")</f>
        <v>NO</v>
      </c>
      <c r="P77" s="4" t="str">
        <f>IF(OR($A77="RTD"),IF(AND($AH77&lt;&gt;""),"YES","NO"),"N/A")</f>
        <v>N/A</v>
      </c>
      <c r="Q77" s="4" t="str">
        <f>IF(OR($A77="RTD"),IF(AND($AI77&lt;&gt;""),"YES","NO"),"N/A")</f>
        <v>N/A</v>
      </c>
      <c r="R77" s="4" t="str">
        <f>IF(OR($AM77&lt;&gt;"",$Z77&lt;&gt;"",$AC77&lt;&gt;""),"YES","NO")</f>
        <v>NO</v>
      </c>
      <c r="S77" s="4" t="str">
        <f>IF(COUNTIF(I77:R77,"NO")=0,"YES","NO")</f>
        <v>NO</v>
      </c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inlineStr">
        <is>
          <t>ACIC</t>
        </is>
      </c>
      <c r="AK77" s="9" t="inlineStr">
        <is>
          <t>16AWG</t>
        </is>
      </c>
      <c r="AL77" s="9" t="inlineStr">
        <is>
          <t>Levy Ostrup</t>
        </is>
      </c>
      <c r="AM77" s="9" t="n"/>
      <c r="AN77" s="9" t="n"/>
    </row>
    <row r="78">
      <c r="A78" s="9" t="inlineStr">
        <is>
          <t>RTD Cable</t>
        </is>
      </c>
      <c r="B78" s="9" t="inlineStr">
        <is>
          <t>29103-RJB-024</t>
        </is>
      </c>
      <c r="C78" s="9" t="inlineStr"/>
      <c r="D78" s="9" t="inlineStr">
        <is>
          <t>29103-HTP-101 I/O-1-3</t>
        </is>
      </c>
      <c r="E78" s="9" t="inlineStr">
        <is>
          <t>29103-HTP-101</t>
        </is>
      </c>
      <c r="F78" s="9" t="inlineStr"/>
      <c r="G78" s="9" t="inlineStr">
        <is>
          <t>113</t>
        </is>
      </c>
      <c r="H78" s="9" t="inlineStr">
        <is>
          <t>29103-RJB-024.pdf</t>
        </is>
      </c>
      <c r="I78" s="4" t="str">
        <f>IF($H78&lt;&gt;"","YES","NO")</f>
        <v>YES</v>
      </c>
      <c r="J78" s="4" t="str">
        <f>IF(N($T78)&gt;0,"YES","NO")</f>
        <v>NO</v>
      </c>
      <c r="K78" s="4" t="str">
        <f>IF(OR($A78="EHT Trace"),IF(AND($U78&lt;&gt;"",$V78&lt;&gt;""),"YES","NO"),"N/A")</f>
        <v>N/A</v>
      </c>
      <c r="L78" s="4" t="str">
        <f>IF(OR($A78="EHT Trace"),IF(AND($X78&lt;&gt;"",$Y78&lt;&gt;""),"YES","NO"),"N/A")</f>
        <v>N/A</v>
      </c>
      <c r="M78" s="4" t="str">
        <f>IF(OR($A78="EHT Trace"),IF(AND($AA78&lt;&gt;"",$AB78&lt;&gt;""),"YES","NO"),"N/A")</f>
        <v>N/A</v>
      </c>
      <c r="N78" s="4" t="str">
        <f>IF(OR($A78="Power Cable"),IF(AND($AD78&lt;&gt;""),"YES","NO"),"N/A")</f>
        <v>N/A</v>
      </c>
      <c r="O78" s="4" t="str">
        <f>IF(OR($A78="Power Cable",$A78="RTD Cable",$A78="Fieldbus Cable"),IF(AND($AE78&lt;&gt;""),"YES","NO"),"N/A")</f>
        <v>NO</v>
      </c>
      <c r="P78" s="4" t="str">
        <f>IF(OR($A78="RTD"),IF(AND($AH78&lt;&gt;""),"YES","NO"),"N/A")</f>
        <v>N/A</v>
      </c>
      <c r="Q78" s="4" t="str">
        <f>IF(OR($A78="RTD"),IF(AND($AI78&lt;&gt;""),"YES","NO"),"N/A")</f>
        <v>N/A</v>
      </c>
      <c r="R78" s="4" t="str">
        <f>IF(OR($AM78&lt;&gt;"",$Z78&lt;&gt;"",$AC78&lt;&gt;""),"YES","NO")</f>
        <v>NO</v>
      </c>
      <c r="S78" s="4" t="str">
        <f>IF(COUNTIF(I78:R78,"NO")=0,"YES","NO")</f>
        <v>NO</v>
      </c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inlineStr">
        <is>
          <t>ACIC</t>
        </is>
      </c>
      <c r="AK78" s="9" t="inlineStr">
        <is>
          <t>16AWG</t>
        </is>
      </c>
      <c r="AL78" s="9" t="inlineStr">
        <is>
          <t>Levy Ostrup</t>
        </is>
      </c>
      <c r="AM78" s="9" t="n"/>
      <c r="AN78" s="9" t="n"/>
    </row>
    <row r="79">
      <c r="A79" s="9" t="inlineStr">
        <is>
          <t>RTD Cable</t>
        </is>
      </c>
      <c r="B79" s="9" t="inlineStr">
        <is>
          <t>29103-RJB-025</t>
        </is>
      </c>
      <c r="C79" s="9" t="inlineStr"/>
      <c r="D79" s="9" t="inlineStr">
        <is>
          <t>29103-HTP-101 HTC-23</t>
        </is>
      </c>
      <c r="E79" s="9" t="inlineStr">
        <is>
          <t>29103-HTP-101</t>
        </is>
      </c>
      <c r="F79" s="9" t="inlineStr"/>
      <c r="G79" s="9" t="inlineStr">
        <is>
          <t>113</t>
        </is>
      </c>
      <c r="H79" s="9" t="inlineStr">
        <is>
          <t>29103-RJB-025.pdf</t>
        </is>
      </c>
      <c r="I79" s="4" t="str">
        <f>IF($H79&lt;&gt;"","YES","NO")</f>
        <v>YES</v>
      </c>
      <c r="J79" s="4" t="str">
        <f>IF(N($T79)&gt;0,"YES","NO")</f>
        <v>NO</v>
      </c>
      <c r="K79" s="4" t="str">
        <f>IF(OR($A79="EHT Trace"),IF(AND($U79&lt;&gt;"",$V79&lt;&gt;""),"YES","NO"),"N/A")</f>
        <v>N/A</v>
      </c>
      <c r="L79" s="4" t="str">
        <f>IF(OR($A79="EHT Trace"),IF(AND($X79&lt;&gt;"",$Y79&lt;&gt;""),"YES","NO"),"N/A")</f>
        <v>N/A</v>
      </c>
      <c r="M79" s="4" t="str">
        <f>IF(OR($A79="EHT Trace"),IF(AND($AA79&lt;&gt;"",$AB79&lt;&gt;""),"YES","NO"),"N/A")</f>
        <v>N/A</v>
      </c>
      <c r="N79" s="4" t="str">
        <f>IF(OR($A79="Power Cable"),IF(AND($AD79&lt;&gt;""),"YES","NO"),"N/A")</f>
        <v>N/A</v>
      </c>
      <c r="O79" s="4" t="str">
        <f>IF(OR($A79="Power Cable",$A79="RTD Cable",$A79="Fieldbus Cable"),IF(AND($AE79&lt;&gt;""),"YES","NO"),"N/A")</f>
        <v>NO</v>
      </c>
      <c r="P79" s="4" t="str">
        <f>IF(OR($A79="RTD"),IF(AND($AH79&lt;&gt;""),"YES","NO"),"N/A")</f>
        <v>N/A</v>
      </c>
      <c r="Q79" s="4" t="str">
        <f>IF(OR($A79="RTD"),IF(AND($AI79&lt;&gt;""),"YES","NO"),"N/A")</f>
        <v>N/A</v>
      </c>
      <c r="R79" s="4" t="str">
        <f>IF(OR($AM79&lt;&gt;"",$Z79&lt;&gt;"",$AC79&lt;&gt;""),"YES","NO")</f>
        <v>NO</v>
      </c>
      <c r="S79" s="4" t="str">
        <f>IF(COUNTIF(I79:R79,"NO")=0,"YES","NO")</f>
        <v>NO</v>
      </c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inlineStr">
        <is>
          <t>ACIC</t>
        </is>
      </c>
      <c r="AK79" s="9" t="inlineStr">
        <is>
          <t>16AWG</t>
        </is>
      </c>
      <c r="AL79" s="9" t="inlineStr">
        <is>
          <t>Levy Ostrup</t>
        </is>
      </c>
      <c r="AM79" s="9" t="n"/>
      <c r="AN79" s="9" t="n"/>
    </row>
  </sheetData>
  <autoFilter ref="A4:AN79"/>
  <mergeCells count="3">
    <mergeCell ref="A3:H3"/>
    <mergeCell ref="I3:S3"/>
    <mergeCell ref="T3:AN3"/>
  </mergeCells>
  <conditionalFormatting sqref="I5:S79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"N/A"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6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2" customWidth="1" min="4" max="4"/>
    <col width="20" customWidth="1" min="5" max="5"/>
    <col width="27" customWidth="1" min="6" max="6"/>
    <col width="6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24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60" customWidth="1" min="40" max="40"/>
  </cols>
  <sheetData>
    <row r="1">
      <c r="A1" s="1" t="inlineStr">
        <is>
          <t>29103-HTP-004</t>
        </is>
      </c>
    </row>
    <row r="3">
      <c r="A3" s="6" t="n"/>
      <c r="I3" s="7" t="inlineStr">
        <is>
          <t>CHECKSHEETS</t>
        </is>
      </c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7" t="inlineStr">
        <is>
          <t>TEST RESULTS</t>
        </is>
      </c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</row>
    <row r="4" ht="30" customHeight="1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9" t="inlineStr">
        <is>
          <t>EHT Trace</t>
        </is>
      </c>
      <c r="B5" s="9" t="inlineStr">
        <is>
          <t>29103-ET-FG2101-1-1</t>
        </is>
      </c>
      <c r="C5" s="9" t="inlineStr">
        <is>
          <t>29103-ET-FG2101-1</t>
        </is>
      </c>
      <c r="D5" s="9" t="inlineStr">
        <is>
          <t>HTC-34 / CB-34</t>
        </is>
      </c>
      <c r="E5" s="9" t="inlineStr">
        <is>
          <t>29103-FG-2101</t>
        </is>
      </c>
      <c r="F5" s="9" t="inlineStr">
        <is>
          <t>29103-65R-ET-FG2101-01-01</t>
        </is>
      </c>
      <c r="G5" s="9" t="inlineStr">
        <is>
          <t>13.1</t>
        </is>
      </c>
      <c r="H5" s="9" t="inlineStr">
        <is>
          <t>29103-ET-FG2101-1-1.pdf</t>
        </is>
      </c>
      <c r="I5" s="4" t="str">
        <f>IF($H5&lt;&gt;"","YES","NO")</f>
        <v>YES</v>
      </c>
      <c r="J5" s="4" t="str">
        <f>IF(N($T5)&gt;0,"YES","NO")</f>
        <v>NO</v>
      </c>
      <c r="K5" s="4" t="str">
        <f>IF(OR($A5="EHT Trace"),IF(AND($U5&lt;&gt;"",$V5&lt;&gt;""),"YES","NO"),"N/A")</f>
        <v>NO</v>
      </c>
      <c r="L5" s="4" t="str">
        <f>IF(OR($A5="EHT Trace"),IF(AND($X5&lt;&gt;"",$Y5&lt;&gt;""),"YES","NO"),"N/A")</f>
        <v>NO</v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NO</v>
      </c>
      <c r="S5" s="4" t="str">
        <f>IF(COUNTIF(I5:R5,"NO")=0,"YES","NO")</f>
        <v>NO</v>
      </c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inlineStr">
        <is>
          <t>5XTVR2-CT</t>
        </is>
      </c>
      <c r="AK5" s="9" t="inlineStr">
        <is>
          <t>25.4 m m</t>
        </is>
      </c>
      <c r="AL5" s="9" t="inlineStr">
        <is>
          <t>Levy Ostrup</t>
        </is>
      </c>
      <c r="AM5" s="9" t="n"/>
      <c r="AN5" s="9" t="n"/>
    </row>
    <row r="6">
      <c r="A6" s="9" t="inlineStr">
        <is>
          <t>EHT Trace</t>
        </is>
      </c>
      <c r="B6" s="9" t="inlineStr">
        <is>
          <t>29103-ET-FG2103-1-1</t>
        </is>
      </c>
      <c r="C6" s="9" t="inlineStr">
        <is>
          <t>29103-ET-FG2103-1</t>
        </is>
      </c>
      <c r="D6" s="9" t="inlineStr">
        <is>
          <t>HTC-30 / CB-30</t>
        </is>
      </c>
      <c r="E6" s="9" t="inlineStr">
        <is>
          <t>29103-FG-2103</t>
        </is>
      </c>
      <c r="F6" s="9" t="inlineStr">
        <is>
          <t>29103-65R-ET-FG2103-01-01</t>
        </is>
      </c>
      <c r="G6" s="9" t="inlineStr">
        <is>
          <t>13.1</t>
        </is>
      </c>
      <c r="H6" s="9" t="inlineStr">
        <is>
          <t>29103-ET-FG2103-1-1.pdf</t>
        </is>
      </c>
      <c r="I6" s="4" t="str">
        <f>IF($H6&lt;&gt;"","YES","NO")</f>
        <v>YES</v>
      </c>
      <c r="J6" s="4" t="str">
        <f>IF(N($T6)&gt;0,"YES","NO")</f>
        <v>NO</v>
      </c>
      <c r="K6" s="4" t="str">
        <f>IF(OR($A6="EHT Trace"),IF(AND($U6&lt;&gt;"",$V6&lt;&gt;""),"YES","NO"),"N/A")</f>
        <v>NO</v>
      </c>
      <c r="L6" s="4" t="str">
        <f>IF(OR($A6="EHT Trace"),IF(AND($X6&lt;&gt;"",$Y6&lt;&gt;""),"YES","NO"),"N/A")</f>
        <v>NO</v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inlineStr">
        <is>
          <t>5XTVR2-CT</t>
        </is>
      </c>
      <c r="AK6" s="9" t="inlineStr">
        <is>
          <t>15.5 m m</t>
        </is>
      </c>
      <c r="AL6" s="9" t="inlineStr">
        <is>
          <t>Levy Ostrup</t>
        </is>
      </c>
      <c r="AM6" s="9" t="n"/>
      <c r="AN6" s="9" t="n"/>
    </row>
    <row r="7">
      <c r="A7" s="9" t="inlineStr">
        <is>
          <t>EHT Trace</t>
        </is>
      </c>
      <c r="B7" s="9" t="inlineStr">
        <is>
          <t>29103-ET-FG2103-1-2</t>
        </is>
      </c>
      <c r="C7" s="9" t="inlineStr">
        <is>
          <t>29103-ET-FG2103-1</t>
        </is>
      </c>
      <c r="D7" s="9" t="inlineStr">
        <is>
          <t>HTC-30 / CB-30</t>
        </is>
      </c>
      <c r="E7" s="9" t="inlineStr">
        <is>
          <t>29103-FG-2103</t>
        </is>
      </c>
      <c r="F7" s="9" t="inlineStr">
        <is>
          <t>29103-65R-ET-FG2103-01-01</t>
        </is>
      </c>
      <c r="G7" s="9" t="inlineStr">
        <is>
          <t>13.1</t>
        </is>
      </c>
      <c r="H7" s="9" t="inlineStr">
        <is>
          <t>29103-ET-FG2103-1-2.pdf</t>
        </is>
      </c>
      <c r="I7" s="4" t="str">
        <f>IF($H7&lt;&gt;"","YES","NO")</f>
        <v>YES</v>
      </c>
      <c r="J7" s="4" t="str">
        <f>IF(N($T7)&gt;0,"YES","NO")</f>
        <v>NO</v>
      </c>
      <c r="K7" s="4" t="str">
        <f>IF(OR($A7="EHT Trace"),IF(AND($U7&lt;&gt;"",$V7&lt;&gt;""),"YES","NO"),"N/A")</f>
        <v>NO</v>
      </c>
      <c r="L7" s="4" t="str">
        <f>IF(OR($A7="EHT Trace"),IF(AND($X7&lt;&gt;"",$Y7&lt;&gt;""),"YES","NO"),"N/A")</f>
        <v>NO</v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inlineStr">
        <is>
          <t>5XTVR2-CT</t>
        </is>
      </c>
      <c r="AK7" s="9" t="inlineStr">
        <is>
          <t>11.7 m m</t>
        </is>
      </c>
      <c r="AL7" s="9" t="inlineStr">
        <is>
          <t>Levy Ostrup</t>
        </is>
      </c>
      <c r="AM7" s="9" t="n"/>
      <c r="AN7" s="9" t="n"/>
    </row>
    <row r="8">
      <c r="A8" s="9" t="inlineStr">
        <is>
          <t>EHT Trace</t>
        </is>
      </c>
      <c r="B8" s="9" t="inlineStr">
        <is>
          <t>29103-ET-FG2103-1-3</t>
        </is>
      </c>
      <c r="C8" s="9" t="inlineStr">
        <is>
          <t>29103-ET-FG2103-1</t>
        </is>
      </c>
      <c r="D8" s="9" t="inlineStr">
        <is>
          <t>HTC-30 / CB-30</t>
        </is>
      </c>
      <c r="E8" s="9" t="inlineStr"/>
      <c r="F8" s="9" t="inlineStr">
        <is>
          <t>29103-65R-ET-FG2103-01-01</t>
        </is>
      </c>
      <c r="G8" s="9" t="inlineStr">
        <is>
          <t>13.1</t>
        </is>
      </c>
      <c r="H8" s="9" t="inlineStr">
        <is>
          <t>29103-ET-FG2103-1-3.pdf</t>
        </is>
      </c>
      <c r="I8" s="4" t="str">
        <f>IF($H8&lt;&gt;"","YES","NO")</f>
        <v>YES</v>
      </c>
      <c r="J8" s="4" t="str">
        <f>IF(N($T8)&gt;0,"YES","NO")</f>
        <v>NO</v>
      </c>
      <c r="K8" s="4" t="str">
        <f>IF(OR($A8="EHT Trace"),IF(AND($U8&lt;&gt;"",$V8&lt;&gt;""),"YES","NO"),"N/A")</f>
        <v>NO</v>
      </c>
      <c r="L8" s="4" t="str">
        <f>IF(OR($A8="EHT Trace"),IF(AND($X8&lt;&gt;"",$Y8&lt;&gt;""),"YES","NO"),"N/A")</f>
        <v>NO</v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NO</v>
      </c>
      <c r="S8" s="4" t="str">
        <f>IF(COUNTIF(I8:R8,"NO")=0,"YES","NO")</f>
        <v>NO</v>
      </c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inlineStr">
        <is>
          <t>5XTVR2-CT</t>
        </is>
      </c>
      <c r="AK8" s="9" t="inlineStr">
        <is>
          <t>6.3 m m</t>
        </is>
      </c>
      <c r="AL8" s="9" t="inlineStr">
        <is>
          <t>Levy Ostrup</t>
        </is>
      </c>
      <c r="AM8" s="9" t="n"/>
      <c r="AN8" s="9" t="n"/>
    </row>
    <row r="9">
      <c r="A9" s="9" t="inlineStr">
        <is>
          <t>EHT Trace</t>
        </is>
      </c>
      <c r="B9" s="9" t="inlineStr">
        <is>
          <t>29103-ET-FG2103-1-4</t>
        </is>
      </c>
      <c r="C9" s="9" t="inlineStr">
        <is>
          <t>29103-ET-FG2103-1</t>
        </is>
      </c>
      <c r="D9" s="9" t="inlineStr">
        <is>
          <t>HTC-30 / CB-30</t>
        </is>
      </c>
      <c r="E9" s="9" t="inlineStr"/>
      <c r="F9" s="9" t="inlineStr">
        <is>
          <t>29103-65R-ET-FG2103-01-01</t>
        </is>
      </c>
      <c r="G9" s="9" t="inlineStr">
        <is>
          <t>13.1</t>
        </is>
      </c>
      <c r="H9" s="9" t="inlineStr">
        <is>
          <t>29103-ET-FG2103-1-4.pdf</t>
        </is>
      </c>
      <c r="I9" s="4" t="str">
        <f>IF($H9&lt;&gt;"","YES","NO")</f>
        <v>YES</v>
      </c>
      <c r="J9" s="4" t="str">
        <f>IF(N($T9)&gt;0,"YES","NO")</f>
        <v>NO</v>
      </c>
      <c r="K9" s="4" t="str">
        <f>IF(OR($A9="EHT Trace"),IF(AND($U9&lt;&gt;"",$V9&lt;&gt;""),"YES","NO"),"N/A")</f>
        <v>NO</v>
      </c>
      <c r="L9" s="4" t="str">
        <f>IF(OR($A9="EHT Trace"),IF(AND($X9&lt;&gt;"",$Y9&lt;&gt;""),"YES","NO"),"N/A")</f>
        <v>NO</v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NO</v>
      </c>
      <c r="S9" s="4" t="str">
        <f>IF(COUNTIF(I9:R9,"NO")=0,"YES","NO")</f>
        <v>NO</v>
      </c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inlineStr">
        <is>
          <t>5XTVR2-CT</t>
        </is>
      </c>
      <c r="AK9" s="9" t="inlineStr">
        <is>
          <t>13.1 m m</t>
        </is>
      </c>
      <c r="AL9" s="9" t="inlineStr">
        <is>
          <t>Levy Ostrup</t>
        </is>
      </c>
      <c r="AM9" s="9" t="n"/>
      <c r="AN9" s="9" t="n"/>
    </row>
    <row r="10">
      <c r="A10" s="9" t="inlineStr">
        <is>
          <t>EHT Trace</t>
        </is>
      </c>
      <c r="B10" s="9" t="inlineStr">
        <is>
          <t>29103-ET-FG2201-1-1</t>
        </is>
      </c>
      <c r="C10" s="9" t="inlineStr">
        <is>
          <t>29103-ET-FG2201-1</t>
        </is>
      </c>
      <c r="D10" s="9" t="inlineStr">
        <is>
          <t>29103-AMB-007</t>
        </is>
      </c>
      <c r="E10" s="9" t="inlineStr">
        <is>
          <t>29103-FG-2201</t>
        </is>
      </c>
      <c r="F10" s="9" t="inlineStr">
        <is>
          <t>29103-65R-ET-FG2201-01-01</t>
        </is>
      </c>
      <c r="G10" s="9" t="inlineStr">
        <is>
          <t>13.1</t>
        </is>
      </c>
      <c r="H10" s="9" t="inlineStr">
        <is>
          <t>29103-ET-FG2201-1-1.pdf</t>
        </is>
      </c>
      <c r="I10" s="4" t="str">
        <f>IF($H10&lt;&gt;"","YES","NO")</f>
        <v>YES</v>
      </c>
      <c r="J10" s="4" t="str">
        <f>IF(N($T10)&gt;0,"YES","NO")</f>
        <v>NO</v>
      </c>
      <c r="K10" s="4" t="str">
        <f>IF(OR($A10="EHT Trace"),IF(AND($U10&lt;&gt;"",$V10&lt;&gt;""),"YES","NO"),"N/A")</f>
        <v>NO</v>
      </c>
      <c r="L10" s="4" t="str">
        <f>IF(OR($A10="EHT Trace"),IF(AND($X10&lt;&gt;"",$Y10&lt;&gt;""),"YES","NO"),"N/A")</f>
        <v>NO</v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inlineStr">
        <is>
          <t>5XTVR2-CT</t>
        </is>
      </c>
      <c r="AK10" s="9" t="inlineStr">
        <is>
          <t>23.5 m m</t>
        </is>
      </c>
      <c r="AL10" s="9" t="inlineStr">
        <is>
          <t>Levy Ostrup</t>
        </is>
      </c>
      <c r="AM10" s="9" t="n"/>
      <c r="AN10" s="9" t="n"/>
    </row>
    <row r="11">
      <c r="A11" s="9" t="inlineStr">
        <is>
          <t>EHT Trace</t>
        </is>
      </c>
      <c r="B11" s="9" t="inlineStr">
        <is>
          <t>29103-ET-FG2201-1-2</t>
        </is>
      </c>
      <c r="C11" s="9" t="inlineStr">
        <is>
          <t>29103-ET-FG2201-1</t>
        </is>
      </c>
      <c r="D11" s="9" t="inlineStr">
        <is>
          <t>29103-AMB-007</t>
        </is>
      </c>
      <c r="E11" s="9" t="inlineStr"/>
      <c r="F11" s="9" t="inlineStr">
        <is>
          <t>29103-65R-ET-FG2201-01-01</t>
        </is>
      </c>
      <c r="G11" s="9" t="inlineStr">
        <is>
          <t>13.1</t>
        </is>
      </c>
      <c r="H11" s="9" t="inlineStr">
        <is>
          <t>29103-ET-FG2201-1-2.pdf</t>
        </is>
      </c>
      <c r="I11" s="4" t="str">
        <f>IF($H11&lt;&gt;"","YES","NO")</f>
        <v>YES</v>
      </c>
      <c r="J11" s="4" t="str">
        <f>IF(N($T11)&gt;0,"YES","NO")</f>
        <v>NO</v>
      </c>
      <c r="K11" s="4" t="str">
        <f>IF(OR($A11="EHT Trace"),IF(AND($U11&lt;&gt;"",$V11&lt;&gt;""),"YES","NO"),"N/A")</f>
        <v>NO</v>
      </c>
      <c r="L11" s="4" t="str">
        <f>IF(OR($A11="EHT Trace"),IF(AND($X11&lt;&gt;"",$Y11&lt;&gt;""),"YES","NO"),"N/A")</f>
        <v>NO</v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inlineStr">
        <is>
          <t>5XTVR2-CT</t>
        </is>
      </c>
      <c r="AK11" s="9" t="inlineStr">
        <is>
          <t>1.2 m m</t>
        </is>
      </c>
      <c r="AL11" s="9" t="inlineStr">
        <is>
          <t>Levy Ostrup</t>
        </is>
      </c>
      <c r="AM11" s="9" t="n"/>
      <c r="AN11" s="9" t="n"/>
    </row>
    <row r="12">
      <c r="A12" s="9" t="inlineStr">
        <is>
          <t>EHT Trace</t>
        </is>
      </c>
      <c r="B12" s="9" t="inlineStr">
        <is>
          <t>29103-ET-FG2203-1-1</t>
        </is>
      </c>
      <c r="C12" s="9" t="inlineStr">
        <is>
          <t>29103-ET-FG2203-1</t>
        </is>
      </c>
      <c r="D12" s="9" t="inlineStr">
        <is>
          <t>29103-AMB-007</t>
        </is>
      </c>
      <c r="E12" s="9" t="inlineStr">
        <is>
          <t>29103-FG-2203</t>
        </is>
      </c>
      <c r="F12" s="9" t="inlineStr">
        <is>
          <t>29103-65R-ET-FG2203-01-01</t>
        </is>
      </c>
      <c r="G12" s="9" t="inlineStr">
        <is>
          <t>13.1</t>
        </is>
      </c>
      <c r="H12" s="9" t="inlineStr">
        <is>
          <t>29103-ET-FG2203-1-1.pdf</t>
        </is>
      </c>
      <c r="I12" s="4" t="str">
        <f>IF($H12&lt;&gt;"","YES","NO")</f>
        <v>YES</v>
      </c>
      <c r="J12" s="4" t="str">
        <f>IF(N($T12)&gt;0,"YES","NO")</f>
        <v>NO</v>
      </c>
      <c r="K12" s="4" t="str">
        <f>IF(OR($A12="EHT Trace"),IF(AND($U12&lt;&gt;"",$V12&lt;&gt;""),"YES","NO"),"N/A")</f>
        <v>NO</v>
      </c>
      <c r="L12" s="4" t="str">
        <f>IF(OR($A12="EHT Trace"),IF(AND($X12&lt;&gt;"",$Y12&lt;&gt;""),"YES","NO"),"N/A")</f>
        <v>NO</v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NO</v>
      </c>
      <c r="S12" s="4" t="str">
        <f>IF(COUNTIF(I12:R12,"NO")=0,"YES","NO")</f>
        <v>NO</v>
      </c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inlineStr">
        <is>
          <t>5XTVR2-CT</t>
        </is>
      </c>
      <c r="AK12" s="9" t="inlineStr">
        <is>
          <t>11.3 m m</t>
        </is>
      </c>
      <c r="AL12" s="9" t="inlineStr">
        <is>
          <t>Levy Ostrup</t>
        </is>
      </c>
      <c r="AM12" s="9" t="n"/>
      <c r="AN12" s="9" t="n"/>
    </row>
    <row r="13">
      <c r="A13" s="9" t="inlineStr">
        <is>
          <t>EHT Trace</t>
        </is>
      </c>
      <c r="B13" s="9" t="inlineStr">
        <is>
          <t>29103-ET-FG2203-1-2</t>
        </is>
      </c>
      <c r="C13" s="9" t="inlineStr">
        <is>
          <t>29103-ET-FG2203-1</t>
        </is>
      </c>
      <c r="D13" s="9" t="inlineStr">
        <is>
          <t>29103-AMB-007</t>
        </is>
      </c>
      <c r="E13" s="9" t="inlineStr">
        <is>
          <t>29103-FG-2203</t>
        </is>
      </c>
      <c r="F13" s="9" t="inlineStr">
        <is>
          <t>29103-65R-ET-FG2203-01-01</t>
        </is>
      </c>
      <c r="G13" s="9" t="inlineStr">
        <is>
          <t>13.1</t>
        </is>
      </c>
      <c r="H13" s="9" t="inlineStr">
        <is>
          <t>29103-ET-FG2203-1-2.pdf</t>
        </is>
      </c>
      <c r="I13" s="4" t="str">
        <f>IF($H13&lt;&gt;"","YES","NO")</f>
        <v>YES</v>
      </c>
      <c r="J13" s="4" t="str">
        <f>IF(N($T13)&gt;0,"YES","NO")</f>
        <v>NO</v>
      </c>
      <c r="K13" s="4" t="str">
        <f>IF(OR($A13="EHT Trace"),IF(AND($U13&lt;&gt;"",$V13&lt;&gt;""),"YES","NO"),"N/A")</f>
        <v>NO</v>
      </c>
      <c r="L13" s="4" t="str">
        <f>IF(OR($A13="EHT Trace"),IF(AND($X13&lt;&gt;"",$Y13&lt;&gt;""),"YES","NO"),"N/A")</f>
        <v>NO</v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NO</v>
      </c>
      <c r="S13" s="4" t="str">
        <f>IF(COUNTIF(I13:R13,"NO")=0,"YES","NO")</f>
        <v>NO</v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inlineStr">
        <is>
          <t>5XTVR2-CT</t>
        </is>
      </c>
      <c r="AK13" s="9" t="inlineStr">
        <is>
          <t>12.9 m m</t>
        </is>
      </c>
      <c r="AL13" s="9" t="inlineStr">
        <is>
          <t>Levy Ostrup</t>
        </is>
      </c>
      <c r="AM13" s="9" t="n"/>
      <c r="AN13" s="9" t="n"/>
    </row>
    <row r="14">
      <c r="A14" s="9" t="inlineStr">
        <is>
          <t>EHT Trace</t>
        </is>
      </c>
      <c r="B14" s="9" t="inlineStr">
        <is>
          <t>29103-ET-FG2203-1-3</t>
        </is>
      </c>
      <c r="C14" s="9" t="inlineStr">
        <is>
          <t>29103-ET-FG2203-1</t>
        </is>
      </c>
      <c r="D14" s="9" t="inlineStr">
        <is>
          <t>29103-AMB-007</t>
        </is>
      </c>
      <c r="E14" s="9" t="inlineStr"/>
      <c r="F14" s="9" t="inlineStr">
        <is>
          <t>29103-65R-ET-FG2203-01-01</t>
        </is>
      </c>
      <c r="G14" s="9" t="inlineStr">
        <is>
          <t>13.1</t>
        </is>
      </c>
      <c r="H14" s="9" t="inlineStr">
        <is>
          <t>29103-ET-FG2203-1-3.pdf</t>
        </is>
      </c>
      <c r="I14" s="4" t="str">
        <f>IF($H14&lt;&gt;"","YES","NO")</f>
        <v>YES</v>
      </c>
      <c r="J14" s="4" t="str">
        <f>IF(N($T14)&gt;0,"YES","NO")</f>
        <v>NO</v>
      </c>
      <c r="K14" s="4" t="str">
        <f>IF(OR($A14="EHT Trace"),IF(AND($U14&lt;&gt;"",$V14&lt;&gt;""),"YES","NO"),"N/A")</f>
        <v>NO</v>
      </c>
      <c r="L14" s="4" t="str">
        <f>IF(OR($A14="EHT Trace"),IF(AND($X14&lt;&gt;"",$Y14&lt;&gt;""),"YES","NO"),"N/A")</f>
        <v>NO</v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inlineStr">
        <is>
          <t>5XTVR2-CT</t>
        </is>
      </c>
      <c r="AK14" s="9" t="inlineStr">
        <is>
          <t>6.1 m m</t>
        </is>
      </c>
      <c r="AL14" s="9" t="inlineStr">
        <is>
          <t>Levy Ostrup</t>
        </is>
      </c>
      <c r="AM14" s="9" t="n"/>
      <c r="AN14" s="9" t="n"/>
    </row>
    <row r="15">
      <c r="A15" s="9" t="inlineStr">
        <is>
          <t>EHT Trace</t>
        </is>
      </c>
      <c r="B15" s="9" t="inlineStr">
        <is>
          <t>29103-ET-FG2203-1-4</t>
        </is>
      </c>
      <c r="C15" s="9" t="inlineStr">
        <is>
          <t>29103-ET-FG2203-1</t>
        </is>
      </c>
      <c r="D15" s="9" t="inlineStr">
        <is>
          <t>29103-AMB-007</t>
        </is>
      </c>
      <c r="E15" s="9" t="inlineStr"/>
      <c r="F15" s="9" t="inlineStr">
        <is>
          <t>29103-65R-ET-FG2203-01-01</t>
        </is>
      </c>
      <c r="G15" s="9" t="inlineStr">
        <is>
          <t>13.1</t>
        </is>
      </c>
      <c r="H15" s="9" t="inlineStr">
        <is>
          <t>29103-ET-FG2203-1-4.pdf</t>
        </is>
      </c>
      <c r="I15" s="4" t="str">
        <f>IF($H15&lt;&gt;"","YES","NO")</f>
        <v>YES</v>
      </c>
      <c r="J15" s="4" t="str">
        <f>IF(N($T15)&gt;0,"YES","NO")</f>
        <v>NO</v>
      </c>
      <c r="K15" s="4" t="str">
        <f>IF(OR($A15="EHT Trace"),IF(AND($U15&lt;&gt;"",$V15&lt;&gt;""),"YES","NO"),"N/A")</f>
        <v>NO</v>
      </c>
      <c r="L15" s="4" t="str">
        <f>IF(OR($A15="EHT Trace"),IF(AND($X15&lt;&gt;"",$Y15&lt;&gt;""),"YES","NO"),"N/A")</f>
        <v>NO</v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inlineStr">
        <is>
          <t>5XTVR2-CT</t>
        </is>
      </c>
      <c r="AK15" s="9" t="inlineStr">
        <is>
          <t>13.1 m m</t>
        </is>
      </c>
      <c r="AL15" s="9" t="inlineStr">
        <is>
          <t>Levy Ostrup</t>
        </is>
      </c>
      <c r="AM15" s="9" t="n"/>
      <c r="AN15" s="9" t="n"/>
    </row>
    <row r="16">
      <c r="A16" s="9" t="inlineStr">
        <is>
          <t>EHT Trace</t>
        </is>
      </c>
      <c r="B16" s="9" t="inlineStr">
        <is>
          <t>29103-ET-FG2205-1-1</t>
        </is>
      </c>
      <c r="C16" s="9" t="inlineStr">
        <is>
          <t>29103-ET-FG2205-1</t>
        </is>
      </c>
      <c r="D16" s="9" t="inlineStr">
        <is>
          <t>29103-AMB-008</t>
        </is>
      </c>
      <c r="E16" s="9" t="inlineStr">
        <is>
          <t>29103-FG-2206, 29103-FG-2205</t>
        </is>
      </c>
      <c r="F16" s="9" t="inlineStr">
        <is>
          <t>29103-65R-ET-FG2205-01-01</t>
        </is>
      </c>
      <c r="G16" s="9" t="inlineStr">
        <is>
          <t>13.1</t>
        </is>
      </c>
      <c r="H16" s="9" t="inlineStr">
        <is>
          <t>29103-ET-FG2205-1-1.pdf</t>
        </is>
      </c>
      <c r="I16" s="4" t="str">
        <f>IF($H16&lt;&gt;"","YES","NO")</f>
        <v>YES</v>
      </c>
      <c r="J16" s="4" t="str">
        <f>IF(N($T16)&gt;0,"YES","NO")</f>
        <v>NO</v>
      </c>
      <c r="K16" s="4" t="str">
        <f>IF(OR($A16="EHT Trace"),IF(AND($U16&lt;&gt;"",$V16&lt;&gt;""),"YES","NO"),"N/A")</f>
        <v>YES</v>
      </c>
      <c r="L16" s="4" t="str">
        <f>IF(OR($A16="EHT Trace"),IF(AND($X16&lt;&gt;"",$Y16&lt;&gt;""),"YES","NO"),"N/A")</f>
        <v>NO</v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9" t="n"/>
      <c r="U16" s="9" t="inlineStr">
        <is>
          <t>&gt;2.2 GΩ</t>
        </is>
      </c>
      <c r="V16" s="9" t="inlineStr">
        <is>
          <t>326.2 Ω</t>
        </is>
      </c>
      <c r="W16" s="9" t="inlineStr">
        <is>
          <t>2026-05-17</t>
        </is>
      </c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inlineStr">
        <is>
          <t>D/32SA2600/16M/243/277/1.2M/LS23A/X/N12</t>
        </is>
      </c>
      <c r="AK16" s="9" t="inlineStr">
        <is>
          <t>16 m m</t>
        </is>
      </c>
      <c r="AL16" s="9" t="inlineStr">
        <is>
          <t>Levy Ostrup</t>
        </is>
      </c>
      <c r="AM16" s="9" t="n"/>
      <c r="AN16" s="9" t="n"/>
    </row>
    <row r="17">
      <c r="A17" s="9" t="inlineStr">
        <is>
          <t>EHT Trace</t>
        </is>
      </c>
      <c r="B17" s="9" t="inlineStr">
        <is>
          <t>29103-ET-FG2301-1-1</t>
        </is>
      </c>
      <c r="C17" s="9" t="inlineStr">
        <is>
          <t>29103-ET-FG2301-1</t>
        </is>
      </c>
      <c r="D17" s="9" t="inlineStr">
        <is>
          <t>29103-AMB-007</t>
        </is>
      </c>
      <c r="E17" s="9" t="inlineStr">
        <is>
          <t>29103-FG-2301</t>
        </is>
      </c>
      <c r="F17" s="9" t="inlineStr">
        <is>
          <t>29103-65R-ET-FG2301-01-01</t>
        </is>
      </c>
      <c r="G17" s="9" t="inlineStr">
        <is>
          <t>13.1</t>
        </is>
      </c>
      <c r="H17" s="9" t="inlineStr">
        <is>
          <t>29103-ET-FG2301-1-1.pdf</t>
        </is>
      </c>
      <c r="I17" s="4" t="str">
        <f>IF($H17&lt;&gt;"","YES","NO")</f>
        <v>YES</v>
      </c>
      <c r="J17" s="4" t="str">
        <f>IF(N($T17)&gt;0,"YES","NO")</f>
        <v>NO</v>
      </c>
      <c r="K17" s="4" t="str">
        <f>IF(OR($A17="EHT Trace"),IF(AND($U17&lt;&gt;"",$V17&lt;&gt;""),"YES","NO"),"N/A")</f>
        <v>NO</v>
      </c>
      <c r="L17" s="4" t="str">
        <f>IF(OR($A17="EHT Trace"),IF(AND($X17&lt;&gt;"",$Y17&lt;&gt;""),"YES","NO"),"N/A")</f>
        <v>NO</v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inlineStr">
        <is>
          <t>5XTVR2-CT</t>
        </is>
      </c>
      <c r="AK17" s="9" t="inlineStr">
        <is>
          <t>23.2 m m</t>
        </is>
      </c>
      <c r="AL17" s="9" t="inlineStr">
        <is>
          <t>Levy Ostrup</t>
        </is>
      </c>
      <c r="AM17" s="9" t="n"/>
      <c r="AN17" s="9" t="n"/>
    </row>
    <row r="18">
      <c r="A18" s="9" t="inlineStr">
        <is>
          <t>EHT Trace</t>
        </is>
      </c>
      <c r="B18" s="9" t="inlineStr">
        <is>
          <t>29103-ET-FG2303-1-1</t>
        </is>
      </c>
      <c r="C18" s="9" t="inlineStr">
        <is>
          <t>29103-ET-FG2303-1</t>
        </is>
      </c>
      <c r="D18" s="9" t="inlineStr">
        <is>
          <t>29103-AMB-007</t>
        </is>
      </c>
      <c r="E18" s="9" t="inlineStr">
        <is>
          <t>29103-FG-2303</t>
        </is>
      </c>
      <c r="F18" s="9" t="inlineStr">
        <is>
          <t>29103-65R-ET-FG2303-01-01</t>
        </is>
      </c>
      <c r="G18" s="9" t="inlineStr">
        <is>
          <t>13.1</t>
        </is>
      </c>
      <c r="H18" s="9" t="inlineStr">
        <is>
          <t>29103-ET-FG2303-1-1.pdf</t>
        </is>
      </c>
      <c r="I18" s="4" t="str">
        <f>IF($H18&lt;&gt;"","YES","NO")</f>
        <v>YES</v>
      </c>
      <c r="J18" s="4" t="str">
        <f>IF(N($T18)&gt;0,"YES","NO")</f>
        <v>NO</v>
      </c>
      <c r="K18" s="4" t="str">
        <f>IF(OR($A18="EHT Trace"),IF(AND($U18&lt;&gt;"",$V18&lt;&gt;""),"YES","NO"),"N/A")</f>
        <v>NO</v>
      </c>
      <c r="L18" s="4" t="str">
        <f>IF(OR($A18="EHT Trace"),IF(AND($X18&lt;&gt;"",$Y18&lt;&gt;""),"YES","NO"),"N/A")</f>
        <v>NO</v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inlineStr">
        <is>
          <t>5XTVR2-CT</t>
        </is>
      </c>
      <c r="AK18" s="9" t="inlineStr">
        <is>
          <t>14 m m</t>
        </is>
      </c>
      <c r="AL18" s="9" t="inlineStr">
        <is>
          <t>Levy Ostrup</t>
        </is>
      </c>
      <c r="AM18" s="9" t="n"/>
      <c r="AN18" s="9" t="n"/>
    </row>
    <row r="19">
      <c r="A19" s="9" t="inlineStr">
        <is>
          <t>EHT Trace</t>
        </is>
      </c>
      <c r="B19" s="9" t="inlineStr">
        <is>
          <t>29103-ET-FG2303-1-2</t>
        </is>
      </c>
      <c r="C19" s="9" t="inlineStr">
        <is>
          <t>29103-ET-FG2303-1</t>
        </is>
      </c>
      <c r="D19" s="9" t="inlineStr">
        <is>
          <t>29103-AMB-007</t>
        </is>
      </c>
      <c r="E19" s="9" t="inlineStr">
        <is>
          <t>29103-FG-2303</t>
        </is>
      </c>
      <c r="F19" s="9" t="inlineStr">
        <is>
          <t>29103-65R-ET-FG2303-01-01</t>
        </is>
      </c>
      <c r="G19" s="9" t="inlineStr">
        <is>
          <t>13.1</t>
        </is>
      </c>
      <c r="H19" s="9" t="inlineStr">
        <is>
          <t>29103-ET-FG2303-1-2.pdf</t>
        </is>
      </c>
      <c r="I19" s="4" t="str">
        <f>IF($H19&lt;&gt;"","YES","NO")</f>
        <v>YES</v>
      </c>
      <c r="J19" s="4" t="str">
        <f>IF(N($T19)&gt;0,"YES","NO")</f>
        <v>NO</v>
      </c>
      <c r="K19" s="4" t="str">
        <f>IF(OR($A19="EHT Trace"),IF(AND($U19&lt;&gt;"",$V19&lt;&gt;""),"YES","NO"),"N/A")</f>
        <v>NO</v>
      </c>
      <c r="L19" s="4" t="str">
        <f>IF(OR($A19="EHT Trace"),IF(AND($X19&lt;&gt;"",$Y19&lt;&gt;""),"YES","NO"),"N/A")</f>
        <v>NO</v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inlineStr">
        <is>
          <t>5XTVR2-CT</t>
        </is>
      </c>
      <c r="AK19" s="9" t="inlineStr">
        <is>
          <t>17.3 m m</t>
        </is>
      </c>
      <c r="AL19" s="9" t="inlineStr">
        <is>
          <t>Levy Ostrup</t>
        </is>
      </c>
      <c r="AM19" s="9" t="n"/>
      <c r="AN19" s="9" t="n"/>
    </row>
    <row r="20">
      <c r="A20" s="9" t="inlineStr">
        <is>
          <t>EHT Trace</t>
        </is>
      </c>
      <c r="B20" s="9" t="inlineStr">
        <is>
          <t>29103-ET-FG2303-1-3</t>
        </is>
      </c>
      <c r="C20" s="9" t="inlineStr">
        <is>
          <t>29103-ET-FG2303-1</t>
        </is>
      </c>
      <c r="D20" s="9" t="inlineStr">
        <is>
          <t>29103-AMB-007</t>
        </is>
      </c>
      <c r="E20" s="9" t="inlineStr"/>
      <c r="F20" s="9" t="inlineStr">
        <is>
          <t>29103-65R-ET-FG2303-01-01</t>
        </is>
      </c>
      <c r="G20" s="9" t="inlineStr">
        <is>
          <t>13.1</t>
        </is>
      </c>
      <c r="H20" s="9" t="inlineStr">
        <is>
          <t>29103-ET-FG2303-1-3.pdf</t>
        </is>
      </c>
      <c r="I20" s="4" t="str">
        <f>IF($H20&lt;&gt;"","YES","NO")</f>
        <v>YES</v>
      </c>
      <c r="J20" s="4" t="str">
        <f>IF(N($T20)&gt;0,"YES","NO")</f>
        <v>NO</v>
      </c>
      <c r="K20" s="4" t="str">
        <f>IF(OR($A20="EHT Trace"),IF(AND($U20&lt;&gt;"",$V20&lt;&gt;""),"YES","NO"),"N/A")</f>
        <v>NO</v>
      </c>
      <c r="L20" s="4" t="str">
        <f>IF(OR($A20="EHT Trace"),IF(AND($X20&lt;&gt;"",$Y20&lt;&gt;""),"YES","NO"),"N/A")</f>
        <v>NO</v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inlineStr">
        <is>
          <t>5XTVR2-CT</t>
        </is>
      </c>
      <c r="AK20" s="9" t="inlineStr">
        <is>
          <t>6.5 m m</t>
        </is>
      </c>
      <c r="AL20" s="9" t="inlineStr">
        <is>
          <t>Levy Ostrup</t>
        </is>
      </c>
      <c r="AM20" s="9" t="n"/>
      <c r="AN20" s="9" t="n"/>
    </row>
    <row r="21">
      <c r="A21" s="9" t="inlineStr">
        <is>
          <t>EHT Trace</t>
        </is>
      </c>
      <c r="B21" s="9" t="inlineStr">
        <is>
          <t>29103-ET-FG2303-1-4</t>
        </is>
      </c>
      <c r="C21" s="9" t="inlineStr">
        <is>
          <t>29103-ET-FG2303-1</t>
        </is>
      </c>
      <c r="D21" s="9" t="inlineStr">
        <is>
          <t>29103-AMB-007</t>
        </is>
      </c>
      <c r="E21" s="9" t="inlineStr"/>
      <c r="F21" s="9" t="inlineStr">
        <is>
          <t>29103-65R-ET-FG2303-01-01</t>
        </is>
      </c>
      <c r="G21" s="9" t="inlineStr">
        <is>
          <t>13.1</t>
        </is>
      </c>
      <c r="H21" s="9" t="inlineStr">
        <is>
          <t>29103-ET-FG2303-1-4.pdf</t>
        </is>
      </c>
      <c r="I21" s="4" t="str">
        <f>IF($H21&lt;&gt;"","YES","NO")</f>
        <v>YES</v>
      </c>
      <c r="J21" s="4" t="str">
        <f>IF(N($T21)&gt;0,"YES","NO")</f>
        <v>NO</v>
      </c>
      <c r="K21" s="4" t="str">
        <f>IF(OR($A21="EHT Trace"),IF(AND($U21&lt;&gt;"",$V21&lt;&gt;""),"YES","NO"),"N/A")</f>
        <v>NO</v>
      </c>
      <c r="L21" s="4" t="str">
        <f>IF(OR($A21="EHT Trace"),IF(AND($X21&lt;&gt;"",$Y21&lt;&gt;""),"YES","NO"),"N/A")</f>
        <v>NO</v>
      </c>
      <c r="M21" s="4" t="str">
        <f>IF(OR($A21="EHT Trace"),IF(AND($AA21&lt;&gt;"",$AB21&lt;&gt;""),"YES","NO"),"N/A")</f>
        <v>NO</v>
      </c>
      <c r="N21" s="4" t="str">
        <f>IF(OR($A21="Power Cable"),IF(AND($AD21&lt;&gt;""),"YES","NO"),"N/A")</f>
        <v>N/A</v>
      </c>
      <c r="O21" s="4" t="str">
        <f>IF(OR($A21="Power Cable",$A21="RTD Cable",$A21="Fieldbus Cable"),IF(AND($AE21&lt;&gt;""),"YES","NO"),"N/A")</f>
        <v>N/A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str">
        <f>IF(OR($AM21&lt;&gt;"",$Z21&lt;&gt;"",$AC21&lt;&gt;""),"YES","NO")</f>
        <v>NO</v>
      </c>
      <c r="S21" s="4" t="str">
        <f>IF(COUNTIF(I21:R21,"NO")=0,"YES","NO")</f>
        <v>NO</v>
      </c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inlineStr">
        <is>
          <t>5XTVR2-CT</t>
        </is>
      </c>
      <c r="AK21" s="9" t="inlineStr">
        <is>
          <t>13.1 m m</t>
        </is>
      </c>
      <c r="AL21" s="9" t="inlineStr">
        <is>
          <t>Levy Ostrup</t>
        </is>
      </c>
      <c r="AM21" s="9" t="n"/>
      <c r="AN21" s="9" t="n"/>
    </row>
    <row r="22">
      <c r="A22" s="9" t="inlineStr">
        <is>
          <t>EHT Trace</t>
        </is>
      </c>
      <c r="B22" s="9" t="inlineStr">
        <is>
          <t>29103-ET-FG2405-1-1</t>
        </is>
      </c>
      <c r="C22" s="9" t="inlineStr">
        <is>
          <t>29103-ET-FG2405-1</t>
        </is>
      </c>
      <c r="D22" s="9" t="inlineStr">
        <is>
          <t>29103-AMB-010</t>
        </is>
      </c>
      <c r="E22" s="9" t="inlineStr">
        <is>
          <t>29103-FG-2406, 29103-FG-2405</t>
        </is>
      </c>
      <c r="F22" s="9" t="inlineStr">
        <is>
          <t>29103-65R-ET-FG2405-01-01</t>
        </is>
      </c>
      <c r="G22" s="9" t="inlineStr">
        <is>
          <t>13.1</t>
        </is>
      </c>
      <c r="H22" s="9" t="inlineStr">
        <is>
          <t>29103-ET-FG2405-1-1.pdf</t>
        </is>
      </c>
      <c r="I22" s="4" t="str">
        <f>IF($H22&lt;&gt;"","YES","NO")</f>
        <v>YES</v>
      </c>
      <c r="J22" s="4" t="str">
        <f>IF(N($T22)&gt;0,"YES","NO")</f>
        <v>NO</v>
      </c>
      <c r="K22" s="4" t="str">
        <f>IF(OR($A22="EHT Trace"),IF(AND($U22&lt;&gt;"",$V22&lt;&gt;""),"YES","NO"),"N/A")</f>
        <v>YES</v>
      </c>
      <c r="L22" s="4" t="str">
        <f>IF(OR($A22="EHT Trace"),IF(AND($X22&lt;&gt;"",$Y22&lt;&gt;""),"YES","NO"),"N/A")</f>
        <v>NO</v>
      </c>
      <c r="M22" s="4" t="str">
        <f>IF(OR($A22="EHT Trace"),IF(AND($AA22&lt;&gt;"",$AB22&lt;&gt;""),"YES","NO"),"N/A")</f>
        <v>NO</v>
      </c>
      <c r="N22" s="4" t="str">
        <f>IF(OR($A22="Power Cable"),IF(AND($AD22&lt;&gt;""),"YES","NO"),"N/A")</f>
        <v>N/A</v>
      </c>
      <c r="O22" s="4" t="str">
        <f>IF(OR($A22="Power Cable",$A22="RTD Cable",$A22="Fieldbus Cable"),IF(AND($AE22&lt;&gt;""),"YES","NO"),"N/A")</f>
        <v>N/A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str">
        <f>IF(OR($AM22&lt;&gt;"",$Z22&lt;&gt;"",$AC22&lt;&gt;""),"YES","NO")</f>
        <v>NO</v>
      </c>
      <c r="S22" s="4" t="str">
        <f>IF(COUNTIF(I22:R22,"NO")=0,"YES","NO")</f>
        <v>NO</v>
      </c>
      <c r="T22" s="9" t="n"/>
      <c r="U22" s="9" t="inlineStr">
        <is>
          <t>&gt;2.2 GΩ</t>
        </is>
      </c>
      <c r="V22" s="9" t="inlineStr">
        <is>
          <t>323.8 Ω</t>
        </is>
      </c>
      <c r="W22" s="9" t="inlineStr">
        <is>
          <t>2026-05-17</t>
        </is>
      </c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inlineStr">
        <is>
          <t>D/32SA2600/16M/243/277/1.2M/LS23A/X/N12</t>
        </is>
      </c>
      <c r="AK22" s="9" t="inlineStr">
        <is>
          <t>16 m m</t>
        </is>
      </c>
      <c r="AL22" s="9" t="inlineStr">
        <is>
          <t>Levy Ostrup</t>
        </is>
      </c>
      <c r="AM22" s="9" t="n"/>
      <c r="AN22" s="9" t="n"/>
    </row>
    <row r="23">
      <c r="A23" s="9" t="inlineStr">
        <is>
          <t>EHT Trace</t>
        </is>
      </c>
      <c r="B23" s="9" t="inlineStr">
        <is>
          <t>29103-ET-P2101-1-1</t>
        </is>
      </c>
      <c r="C23" s="9" t="inlineStr">
        <is>
          <t>29103-ET-P2101-1</t>
        </is>
      </c>
      <c r="D23" s="9" t="inlineStr">
        <is>
          <t>HTC-19 / CB-19</t>
        </is>
      </c>
      <c r="E23" s="9" t="inlineStr">
        <is>
          <t>29103-P-2101</t>
        </is>
      </c>
      <c r="F23" s="9" t="inlineStr">
        <is>
          <t>29103-65R-ET-P2101-01-01</t>
        </is>
      </c>
      <c r="G23" s="9" t="inlineStr">
        <is>
          <t>13.1</t>
        </is>
      </c>
      <c r="H23" s="9" t="inlineStr">
        <is>
          <t>29103-ET-P2101-1-1.pdf</t>
        </is>
      </c>
      <c r="I23" s="4" t="str">
        <f>IF($H23&lt;&gt;"","YES","NO")</f>
        <v>YES</v>
      </c>
      <c r="J23" s="4" t="str">
        <f>IF(N($T23)&gt;0,"YES","NO")</f>
        <v>NO</v>
      </c>
      <c r="K23" s="4" t="str">
        <f>IF(OR($A23="EHT Trace"),IF(AND($U23&lt;&gt;"",$V23&lt;&gt;""),"YES","NO"),"N/A")</f>
        <v>NO</v>
      </c>
      <c r="L23" s="4" t="str">
        <f>IF(OR($A23="EHT Trace"),IF(AND($X23&lt;&gt;"",$Y23&lt;&gt;""),"YES","NO"),"N/A")</f>
        <v>NO</v>
      </c>
      <c r="M23" s="4" t="str">
        <f>IF(OR($A23="EHT Trace"),IF(AND($AA23&lt;&gt;"",$AB23&lt;&gt;""),"YES","NO"),"N/A")</f>
        <v>NO</v>
      </c>
      <c r="N23" s="4" t="str">
        <f>IF(OR($A23="Power Cable"),IF(AND($AD23&lt;&gt;""),"YES","NO"),"N/A")</f>
        <v>N/A</v>
      </c>
      <c r="O23" s="4" t="str">
        <f>IF(OR($A23="Power Cable",$A23="RTD Cable",$A23="Fieldbus Cable"),IF(AND($AE23&lt;&gt;""),"YES","NO"),"N/A")</f>
        <v>N/A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str">
        <f>IF(OR($AM23&lt;&gt;"",$Z23&lt;&gt;"",$AC23&lt;&gt;""),"YES","NO")</f>
        <v>NO</v>
      </c>
      <c r="S23" s="4" t="str">
        <f>IF(COUNTIF(I23:R23,"NO")=0,"YES","NO")</f>
        <v>NO</v>
      </c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inlineStr">
        <is>
          <t>E/32SQ3374/20.5M/1007/166/1.2M/LS23A/X/N12/XNF</t>
        </is>
      </c>
      <c r="AK23" s="9" t="inlineStr">
        <is>
          <t>20.5 m m</t>
        </is>
      </c>
      <c r="AL23" s="9" t="inlineStr">
        <is>
          <t>Levy Ostrup</t>
        </is>
      </c>
      <c r="AM23" s="9" t="n"/>
      <c r="AN23" s="9" t="n"/>
    </row>
    <row r="24">
      <c r="A24" s="9" t="inlineStr">
        <is>
          <t>EHT Trace</t>
        </is>
      </c>
      <c r="B24" s="9" t="inlineStr">
        <is>
          <t>29103-ET-P2101-1-2</t>
        </is>
      </c>
      <c r="C24" s="9" t="inlineStr">
        <is>
          <t>29103-ET-P2101-1</t>
        </is>
      </c>
      <c r="D24" s="9" t="inlineStr">
        <is>
          <t>HTC-19 / CB-19</t>
        </is>
      </c>
      <c r="E24" s="9" t="inlineStr">
        <is>
          <t>29103-P-2101</t>
        </is>
      </c>
      <c r="F24" s="9" t="inlineStr">
        <is>
          <t>29103-65R-ET-P2101-01-01</t>
        </is>
      </c>
      <c r="G24" s="9" t="inlineStr">
        <is>
          <t>13.1</t>
        </is>
      </c>
      <c r="H24" s="9" t="inlineStr">
        <is>
          <t>29103-ET-P2101-1-2.pdf</t>
        </is>
      </c>
      <c r="I24" s="4" t="str">
        <f>IF($H24&lt;&gt;"","YES","NO")</f>
        <v>YES</v>
      </c>
      <c r="J24" s="4" t="str">
        <f>IF(N($T24)&gt;0,"YES","NO")</f>
        <v>NO</v>
      </c>
      <c r="K24" s="4" t="str">
        <f>IF(OR($A24="EHT Trace"),IF(AND($U24&lt;&gt;"",$V24&lt;&gt;""),"YES","NO"),"N/A")</f>
        <v>NO</v>
      </c>
      <c r="L24" s="4" t="str">
        <f>IF(OR($A24="EHT Trace"),IF(AND($X24&lt;&gt;"",$Y24&lt;&gt;""),"YES","NO"),"N/A")</f>
        <v>NO</v>
      </c>
      <c r="M24" s="4" t="str">
        <f>IF(OR($A24="EHT Trace"),IF(AND($AA24&lt;&gt;"",$AB24&lt;&gt;""),"YES","NO"),"N/A")</f>
        <v>NO</v>
      </c>
      <c r="N24" s="4" t="str">
        <f>IF(OR($A24="Power Cable"),IF(AND($AD24&lt;&gt;""),"YES","NO"),"N/A")</f>
        <v>N/A</v>
      </c>
      <c r="O24" s="4" t="str">
        <f>IF(OR($A24="Power Cable",$A24="RTD Cable",$A24="Fieldbus Cable"),IF(AND($AE24&lt;&gt;""),"YES","NO"),"N/A")</f>
        <v>N/A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str">
        <f>IF(OR($AM24&lt;&gt;"",$Z24&lt;&gt;"",$AC24&lt;&gt;""),"YES","NO")</f>
        <v>NO</v>
      </c>
      <c r="S24" s="4" t="str">
        <f>IF(COUNTIF(I24:R24,"NO")=0,"YES","NO")</f>
        <v>NO</v>
      </c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inlineStr">
        <is>
          <t>D/32SQ3374/13.8M/678/111/1.2M/LS23A/X/N12/XMN</t>
        </is>
      </c>
      <c r="AK24" s="9" t="inlineStr">
        <is>
          <t>13.8 m m</t>
        </is>
      </c>
      <c r="AL24" s="9" t="inlineStr">
        <is>
          <t>Levy Ostrup</t>
        </is>
      </c>
      <c r="AM24" s="9" t="n"/>
      <c r="AN24" s="9" t="n"/>
    </row>
    <row r="25">
      <c r="A25" s="9" t="inlineStr">
        <is>
          <t>EHT Trace</t>
        </is>
      </c>
      <c r="B25" s="9" t="inlineStr">
        <is>
          <t>29103-ET-P2104-1-1</t>
        </is>
      </c>
      <c r="C25" s="9" t="inlineStr">
        <is>
          <t>29103-ET-P2104-1</t>
        </is>
      </c>
      <c r="D25" s="9" t="inlineStr">
        <is>
          <t>HTC-18 / CB-18</t>
        </is>
      </c>
      <c r="E25" s="9" t="inlineStr">
        <is>
          <t>29103-PE-2101, 29103-P-2104</t>
        </is>
      </c>
      <c r="F25" s="9" t="inlineStr">
        <is>
          <t>29103-65R-ET-P2104-01-01</t>
        </is>
      </c>
      <c r="G25" s="9" t="inlineStr">
        <is>
          <t>13.1</t>
        </is>
      </c>
      <c r="H25" s="9" t="inlineStr">
        <is>
          <t>29103-ET-P2104-1-1.pdf</t>
        </is>
      </c>
      <c r="I25" s="4" t="str">
        <f>IF($H25&lt;&gt;"","YES","NO")</f>
        <v>YES</v>
      </c>
      <c r="J25" s="4" t="str">
        <f>IF(N($T25)&gt;0,"YES","NO")</f>
        <v>NO</v>
      </c>
      <c r="K25" s="4" t="str">
        <f>IF(OR($A25="EHT Trace"),IF(AND($U25&lt;&gt;"",$V25&lt;&gt;""),"YES","NO"),"N/A")</f>
        <v>NO</v>
      </c>
      <c r="L25" s="4" t="str">
        <f>IF(OR($A25="EHT Trace"),IF(AND($X25&lt;&gt;"",$Y25&lt;&gt;""),"YES","NO"),"N/A")</f>
        <v>NO</v>
      </c>
      <c r="M25" s="4" t="str">
        <f>IF(OR($A25="EHT Trace"),IF(AND($AA25&lt;&gt;"",$AB25&lt;&gt;""),"YES","NO"),"N/A")</f>
        <v>NO</v>
      </c>
      <c r="N25" s="4" t="str">
        <f>IF(OR($A25="Power Cable"),IF(AND($AD25&lt;&gt;""),"YES","NO"),"N/A")</f>
        <v>N/A</v>
      </c>
      <c r="O25" s="4" t="str">
        <f>IF(OR($A25="Power Cable",$A25="RTD Cable",$A25="Fieldbus Cable"),IF(AND($AE25&lt;&gt;""),"YES","NO"),"N/A")</f>
        <v>N/A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str">
        <f>IF(OR($AM25&lt;&gt;"",$Z25&lt;&gt;"",$AC25&lt;&gt;""),"YES","NO")</f>
        <v>NO</v>
      </c>
      <c r="S25" s="4" t="str">
        <f>IF(COUNTIF(I25:R25,"NO")=0,"YES","NO")</f>
        <v>NO</v>
      </c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inlineStr">
        <is>
          <t>D/32SA2200/20.9M/554/277/1.2M/LS23A/X/N12</t>
        </is>
      </c>
      <c r="AK25" s="9" t="inlineStr">
        <is>
          <t>20.9 m m</t>
        </is>
      </c>
      <c r="AL25" s="9" t="inlineStr">
        <is>
          <t>Levy Ostrup</t>
        </is>
      </c>
      <c r="AM25" s="9" t="n"/>
      <c r="AN25" s="9" t="n"/>
    </row>
    <row r="26">
      <c r="A26" s="9" t="inlineStr">
        <is>
          <t>EHT Trace</t>
        </is>
      </c>
      <c r="B26" s="9" t="inlineStr">
        <is>
          <t>29103-ET-P2104-1-2</t>
        </is>
      </c>
      <c r="C26" s="9" t="inlineStr">
        <is>
          <t>29103-ET-P2104-1</t>
        </is>
      </c>
      <c r="D26" s="9" t="inlineStr">
        <is>
          <t>HTC-18 / CB-18</t>
        </is>
      </c>
      <c r="E26" s="9" t="inlineStr">
        <is>
          <t>29103-P-2104</t>
        </is>
      </c>
      <c r="F26" s="9" t="inlineStr">
        <is>
          <t>29103-65R-ET-P2104-01-01</t>
        </is>
      </c>
      <c r="G26" s="9" t="inlineStr">
        <is>
          <t>13.1</t>
        </is>
      </c>
      <c r="H26" s="9" t="inlineStr">
        <is>
          <t>29103-ET-P2104-1-2.pdf</t>
        </is>
      </c>
      <c r="I26" s="4" t="str">
        <f>IF($H26&lt;&gt;"","YES","NO")</f>
        <v>YES</v>
      </c>
      <c r="J26" s="4" t="str">
        <f>IF(N($T26)&gt;0,"YES","NO")</f>
        <v>NO</v>
      </c>
      <c r="K26" s="4" t="str">
        <f>IF(OR($A26="EHT Trace"),IF(AND($U26&lt;&gt;"",$V26&lt;&gt;""),"YES","NO"),"N/A")</f>
        <v>YES</v>
      </c>
      <c r="L26" s="4" t="str">
        <f>IF(OR($A26="EHT Trace"),IF(AND($X26&lt;&gt;"",$Y26&lt;&gt;""),"YES","NO"),"N/A")</f>
        <v>NO</v>
      </c>
      <c r="M26" s="4" t="str">
        <f>IF(OR($A26="EHT Trace"),IF(AND($AA26&lt;&gt;"",$AB26&lt;&gt;""),"YES","NO"),"N/A")</f>
        <v>NO</v>
      </c>
      <c r="N26" s="4" t="str">
        <f>IF(OR($A26="Power Cable"),IF(AND($AD26&lt;&gt;""),"YES","NO"),"N/A")</f>
        <v>N/A</v>
      </c>
      <c r="O26" s="4" t="str">
        <f>IF(OR($A26="Power Cable",$A26="RTD Cable",$A26="Fieldbus Cable"),IF(AND($AE26&lt;&gt;""),"YES","NO"),"N/A")</f>
        <v>N/A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str">
        <f>IF(OR($AM26&lt;&gt;"",$Z26&lt;&gt;"",$AC26&lt;&gt;""),"YES","NO")</f>
        <v>NO</v>
      </c>
      <c r="S26" s="4" t="str">
        <f>IF(COUNTIF(I26:R26,"NO")=0,"YES","NO")</f>
        <v>NO</v>
      </c>
      <c r="T26" s="9" t="n"/>
      <c r="U26" s="9" t="inlineStr">
        <is>
          <t>&gt;2.2 GΩ</t>
        </is>
      </c>
      <c r="V26" s="9" t="inlineStr">
        <is>
          <t>12.9 Ω</t>
        </is>
      </c>
      <c r="W26" s="9" t="inlineStr">
        <is>
          <t>2026-05-17</t>
        </is>
      </c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inlineStr">
        <is>
          <t>E/32SQ3472/8M/461/78.9/1.2M/LS23A/X/N12/XNF</t>
        </is>
      </c>
      <c r="AK26" s="9" t="inlineStr">
        <is>
          <t>8 m m</t>
        </is>
      </c>
      <c r="AL26" s="9" t="inlineStr">
        <is>
          <t>Levy Ostrup</t>
        </is>
      </c>
      <c r="AM26" s="9" t="n"/>
      <c r="AN26" s="9" t="n"/>
    </row>
    <row r="27">
      <c r="A27" s="9" t="inlineStr">
        <is>
          <t>EHT Trace</t>
        </is>
      </c>
      <c r="B27" s="9" t="inlineStr">
        <is>
          <t>29103-ET-P2104-1-3</t>
        </is>
      </c>
      <c r="C27" s="9" t="inlineStr">
        <is>
          <t>29103-ET-P2104-1</t>
        </is>
      </c>
      <c r="D27" s="9" t="inlineStr">
        <is>
          <t>HTC-18 / CB-18</t>
        </is>
      </c>
      <c r="E27" s="9" t="inlineStr">
        <is>
          <t>29103-P-2104</t>
        </is>
      </c>
      <c r="F27" s="9" t="inlineStr">
        <is>
          <t>29103-65R-ET-P2104-01-01</t>
        </is>
      </c>
      <c r="G27" s="9" t="inlineStr">
        <is>
          <t>13.1</t>
        </is>
      </c>
      <c r="H27" s="9" t="inlineStr">
        <is>
          <t>29103-ET-P2104-1-3.pdf</t>
        </is>
      </c>
      <c r="I27" s="4" t="str">
        <f>IF($H27&lt;&gt;"","YES","NO")</f>
        <v>YES</v>
      </c>
      <c r="J27" s="4" t="str">
        <f>IF(N($T27)&gt;0,"YES","NO")</f>
        <v>NO</v>
      </c>
      <c r="K27" s="4" t="str">
        <f>IF(OR($A27="EHT Trace"),IF(AND($U27&lt;&gt;"",$V27&lt;&gt;""),"YES","NO"),"N/A")</f>
        <v>YES</v>
      </c>
      <c r="L27" s="4" t="str">
        <f>IF(OR($A27="EHT Trace"),IF(AND($X27&lt;&gt;"",$Y27&lt;&gt;""),"YES","NO"),"N/A")</f>
        <v>NO</v>
      </c>
      <c r="M27" s="4" t="str">
        <f>IF(OR($A27="EHT Trace"),IF(AND($AA27&lt;&gt;"",$AB27&lt;&gt;""),"YES","NO"),"N/A")</f>
        <v>NO</v>
      </c>
      <c r="N27" s="4" t="str">
        <f>IF(OR($A27="Power Cable"),IF(AND($AD27&lt;&gt;""),"YES","NO"),"N/A")</f>
        <v>N/A</v>
      </c>
      <c r="O27" s="4" t="str">
        <f>IF(OR($A27="Power Cable",$A27="RTD Cable",$A27="Fieldbus Cable"),IF(AND($AE27&lt;&gt;""),"YES","NO"),"N/A")</f>
        <v>N/A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str">
        <f>IF(OR($AM27&lt;&gt;"",$Z27&lt;&gt;"",$AC27&lt;&gt;""),"YES","NO")</f>
        <v>NO</v>
      </c>
      <c r="S27" s="4" t="str">
        <f>IF(COUNTIF(I27:R27,"NO")=0,"YES","NO")</f>
        <v>NO</v>
      </c>
      <c r="T27" s="9" t="n"/>
      <c r="U27" s="9" t="inlineStr">
        <is>
          <t>&gt;2.2 GΩ</t>
        </is>
      </c>
      <c r="V27" s="9" t="inlineStr">
        <is>
          <t>11.4 Ω</t>
        </is>
      </c>
      <c r="W27" s="9" t="inlineStr">
        <is>
          <t>2026-05-17</t>
        </is>
      </c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inlineStr">
        <is>
          <t>E/32SQ3472/7M/403/69/1.2M/LS23A/X/N12/XMF</t>
        </is>
      </c>
      <c r="AK27" s="9" t="inlineStr">
        <is>
          <t>7 m m</t>
        </is>
      </c>
      <c r="AL27" s="9" t="inlineStr">
        <is>
          <t>Levy Ostrup</t>
        </is>
      </c>
      <c r="AM27" s="9" t="n"/>
      <c r="AN27" s="9" t="n"/>
    </row>
    <row r="28">
      <c r="A28" s="9" t="inlineStr">
        <is>
          <t>EHT Trace</t>
        </is>
      </c>
      <c r="B28" s="9" t="inlineStr">
        <is>
          <t>29103-ET-P2104-1-4</t>
        </is>
      </c>
      <c r="C28" s="9" t="inlineStr">
        <is>
          <t>29103-ET-P2104-1</t>
        </is>
      </c>
      <c r="D28" s="9" t="inlineStr">
        <is>
          <t>HTC-18 / CB-18</t>
        </is>
      </c>
      <c r="E28" s="9" t="inlineStr">
        <is>
          <t>29103-P-2104</t>
        </is>
      </c>
      <c r="F28" s="9" t="inlineStr">
        <is>
          <t>29103-65R-ET-P2104-01-01</t>
        </is>
      </c>
      <c r="G28" s="9" t="inlineStr">
        <is>
          <t>13.1</t>
        </is>
      </c>
      <c r="H28" s="9" t="inlineStr">
        <is>
          <t>29103-ET-P2104-1-4.pdf</t>
        </is>
      </c>
      <c r="I28" s="4" t="str">
        <f>IF($H28&lt;&gt;"","YES","NO")</f>
        <v>YES</v>
      </c>
      <c r="J28" s="4" t="str">
        <f>IF(N($T28)&gt;0,"YES","NO")</f>
        <v>NO</v>
      </c>
      <c r="K28" s="4" t="str">
        <f>IF(OR($A28="EHT Trace"),IF(AND($U28&lt;&gt;"",$V28&lt;&gt;""),"YES","NO"),"N/A")</f>
        <v>YES</v>
      </c>
      <c r="L28" s="4" t="str">
        <f>IF(OR($A28="EHT Trace"),IF(AND($X28&lt;&gt;"",$Y28&lt;&gt;""),"YES","NO"),"N/A")</f>
        <v>NO</v>
      </c>
      <c r="M28" s="4" t="str">
        <f>IF(OR($A28="EHT Trace"),IF(AND($AA28&lt;&gt;"",$AB28&lt;&gt;""),"YES","NO"),"N/A")</f>
        <v>NO</v>
      </c>
      <c r="N28" s="4" t="str">
        <f>IF(OR($A28="Power Cable"),IF(AND($AD28&lt;&gt;""),"YES","NO"),"N/A")</f>
        <v>N/A</v>
      </c>
      <c r="O28" s="4" t="str">
        <f>IF(OR($A28="Power Cable",$A28="RTD Cable",$A28="Fieldbus Cable"),IF(AND($AE28&lt;&gt;""),"YES","NO"),"N/A")</f>
        <v>N/A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str">
        <f>IF(OR($AM28&lt;&gt;"",$Z28&lt;&gt;"",$AC28&lt;&gt;""),"YES","NO")</f>
        <v>NO</v>
      </c>
      <c r="S28" s="4" t="str">
        <f>IF(COUNTIF(I28:R28,"NO")=0,"YES","NO")</f>
        <v>NO</v>
      </c>
      <c r="T28" s="9" t="n"/>
      <c r="U28" s="9" t="inlineStr">
        <is>
          <t>&gt;2.2 GΩ</t>
        </is>
      </c>
      <c r="V28" s="9" t="inlineStr">
        <is>
          <t>20.9 Ω</t>
        </is>
      </c>
      <c r="W28" s="9" t="inlineStr">
        <is>
          <t>2026-05-17</t>
        </is>
      </c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inlineStr">
        <is>
          <t>D/32SQ3472/13.1M/755/129/1.2M/LS23A/X/N12/XMN</t>
        </is>
      </c>
      <c r="AK28" s="9" t="inlineStr">
        <is>
          <t>13.1 m m</t>
        </is>
      </c>
      <c r="AL28" s="9" t="inlineStr">
        <is>
          <t>Levy Ostrup</t>
        </is>
      </c>
      <c r="AM28" s="9" t="n"/>
      <c r="AN28" s="9" t="n"/>
    </row>
    <row r="29">
      <c r="A29" s="9" t="inlineStr">
        <is>
          <t>EHT Trace</t>
        </is>
      </c>
      <c r="B29" s="9" t="inlineStr">
        <is>
          <t>29103-ET-P2104-2-1</t>
        </is>
      </c>
      <c r="C29" s="9" t="inlineStr">
        <is>
          <t>29103-ET-P2104-2</t>
        </is>
      </c>
      <c r="D29" s="9" t="inlineStr">
        <is>
          <t>HTC-25 / CB-25</t>
        </is>
      </c>
      <c r="E29" s="9" t="inlineStr">
        <is>
          <t>29103-P-2104, 29103-FG-2102</t>
        </is>
      </c>
      <c r="F29" s="9" t="inlineStr">
        <is>
          <t>29103-65R-ET-P2104-02-01</t>
        </is>
      </c>
      <c r="G29" s="9" t="inlineStr">
        <is>
          <t>13.1</t>
        </is>
      </c>
      <c r="H29" s="9" t="inlineStr">
        <is>
          <t>29103-ET-P2104-2-1.pdf</t>
        </is>
      </c>
      <c r="I29" s="4" t="str">
        <f>IF($H29&lt;&gt;"","YES","NO")</f>
        <v>YES</v>
      </c>
      <c r="J29" s="4" t="str">
        <f>IF(N($T29)&gt;0,"YES","NO")</f>
        <v>NO</v>
      </c>
      <c r="K29" s="4" t="str">
        <f>IF(OR($A29="EHT Trace"),IF(AND($U29&lt;&gt;"",$V29&lt;&gt;""),"YES","NO"),"N/A")</f>
        <v>YES</v>
      </c>
      <c r="L29" s="4" t="str">
        <f>IF(OR($A29="EHT Trace"),IF(AND($X29&lt;&gt;"",$Y29&lt;&gt;""),"YES","NO"),"N/A")</f>
        <v>NO</v>
      </c>
      <c r="M29" s="4" t="str">
        <f>IF(OR($A29="EHT Trace"),IF(AND($AA29&lt;&gt;"",$AB29&lt;&gt;""),"YES","NO"),"N/A")</f>
        <v>NO</v>
      </c>
      <c r="N29" s="4" t="str">
        <f>IF(OR($A29="Power Cable"),IF(AND($AD29&lt;&gt;""),"YES","NO"),"N/A")</f>
        <v>N/A</v>
      </c>
      <c r="O29" s="4" t="str">
        <f>IF(OR($A29="Power Cable",$A29="RTD Cable",$A29="Fieldbus Cable"),IF(AND($AE29&lt;&gt;""),"YES","NO"),"N/A")</f>
        <v>N/A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str">
        <f>IF(OR($AM29&lt;&gt;"",$Z29&lt;&gt;"",$AC29&lt;&gt;""),"YES","NO")</f>
        <v>NO</v>
      </c>
      <c r="S29" s="4" t="str">
        <f>IF(COUNTIF(I29:R29,"NO")=0,"YES","NO")</f>
        <v>NO</v>
      </c>
      <c r="T29" s="9" t="n"/>
      <c r="U29" s="9" t="inlineStr">
        <is>
          <t>&gt;2.2 GΩ</t>
        </is>
      </c>
      <c r="V29" s="9" t="inlineStr">
        <is>
          <t>373.5 Ω</t>
        </is>
      </c>
      <c r="W29" s="9" t="inlineStr">
        <is>
          <t>2026-05-17</t>
        </is>
      </c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inlineStr">
        <is>
          <t>D/32SF1180/6.2M/207/277/1.2M/LS23A/X/N12</t>
        </is>
      </c>
      <c r="AK29" s="9" t="inlineStr">
        <is>
          <t>6.2 m m</t>
        </is>
      </c>
      <c r="AL29" s="9" t="inlineStr">
        <is>
          <t>Levy Ostrup</t>
        </is>
      </c>
      <c r="AM29" s="9" t="n"/>
      <c r="AN29" s="9" t="n"/>
    </row>
    <row r="30">
      <c r="A30" s="9" t="inlineStr">
        <is>
          <t>EHT Trace</t>
        </is>
      </c>
      <c r="B30" s="9" t="inlineStr">
        <is>
          <t>29103-ET-P2201-1-1</t>
        </is>
      </c>
      <c r="C30" s="9" t="inlineStr">
        <is>
          <t>29103-ET-P2201-1</t>
        </is>
      </c>
      <c r="D30" s="9" t="inlineStr">
        <is>
          <t>HTC-05 / CB-05</t>
        </is>
      </c>
      <c r="E30" s="9" t="inlineStr">
        <is>
          <t>29103-P-2201</t>
        </is>
      </c>
      <c r="F30" s="9" t="inlineStr">
        <is>
          <t>29103-65R-ET-P2201-01-01</t>
        </is>
      </c>
      <c r="G30" s="9" t="inlineStr">
        <is>
          <t>13.1</t>
        </is>
      </c>
      <c r="H30" s="9" t="inlineStr">
        <is>
          <t>29103-ET-P2201-1-1.pdf</t>
        </is>
      </c>
      <c r="I30" s="4" t="str">
        <f>IF($H30&lt;&gt;"","YES","NO")</f>
        <v>YES</v>
      </c>
      <c r="J30" s="4" t="str">
        <f>IF(N($T30)&gt;0,"YES","NO")</f>
        <v>NO</v>
      </c>
      <c r="K30" s="4" t="str">
        <f>IF(OR($A30="EHT Trace"),IF(AND($U30&lt;&gt;"",$V30&lt;&gt;""),"YES","NO"),"N/A")</f>
        <v>NO</v>
      </c>
      <c r="L30" s="4" t="str">
        <f>IF(OR($A30="EHT Trace"),IF(AND($X30&lt;&gt;"",$Y30&lt;&gt;""),"YES","NO"),"N/A")</f>
        <v>NO</v>
      </c>
      <c r="M30" s="4" t="str">
        <f>IF(OR($A30="EHT Trace"),IF(AND($AA30&lt;&gt;"",$AB30&lt;&gt;""),"YES","NO"),"N/A")</f>
        <v>NO</v>
      </c>
      <c r="N30" s="4" t="str">
        <f>IF(OR($A30="Power Cable"),IF(AND($AD30&lt;&gt;""),"YES","NO"),"N/A")</f>
        <v>N/A</v>
      </c>
      <c r="O30" s="4" t="str">
        <f>IF(OR($A30="Power Cable",$A30="RTD Cable",$A30="Fieldbus Cable"),IF(AND($AE30&lt;&gt;""),"YES","NO"),"N/A")</f>
        <v>N/A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str">
        <f>IF(OR($AM30&lt;&gt;"",$Z30&lt;&gt;"",$AC30&lt;&gt;""),"YES","NO")</f>
        <v>NO</v>
      </c>
      <c r="S30" s="4" t="str">
        <f>IF(COUNTIF(I30:R30,"NO")=0,"YES","NO")</f>
        <v>NO</v>
      </c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inlineStr">
        <is>
          <t>E/32SQ3374/20.6M/1001/165/1.2M/LS23A/X/N12/XNF</t>
        </is>
      </c>
      <c r="AK30" s="9" t="inlineStr">
        <is>
          <t>20.6 m m</t>
        </is>
      </c>
      <c r="AL30" s="9" t="inlineStr">
        <is>
          <t>Levy Ostrup</t>
        </is>
      </c>
      <c r="AM30" s="9" t="n"/>
      <c r="AN30" s="9" t="n"/>
    </row>
    <row r="31">
      <c r="A31" s="9" t="inlineStr">
        <is>
          <t>EHT Trace</t>
        </is>
      </c>
      <c r="B31" s="9" t="inlineStr">
        <is>
          <t>29103-ET-P2201-1-2</t>
        </is>
      </c>
      <c r="C31" s="9" t="inlineStr">
        <is>
          <t>29103-ET-P2201-1</t>
        </is>
      </c>
      <c r="D31" s="9" t="inlineStr">
        <is>
          <t>HTC-05 / CB-05</t>
        </is>
      </c>
      <c r="E31" s="9" t="inlineStr">
        <is>
          <t>29103-P-2201</t>
        </is>
      </c>
      <c r="F31" s="9" t="inlineStr">
        <is>
          <t>29103-65R-ET-P2201-01-01</t>
        </is>
      </c>
      <c r="G31" s="9" t="inlineStr">
        <is>
          <t>13.1</t>
        </is>
      </c>
      <c r="H31" s="9" t="inlineStr">
        <is>
          <t>29103-ET-P2201-1-2.pdf</t>
        </is>
      </c>
      <c r="I31" s="4" t="str">
        <f>IF($H31&lt;&gt;"","YES","NO")</f>
        <v>YES</v>
      </c>
      <c r="J31" s="4" t="str">
        <f>IF(N($T31)&gt;0,"YES","NO")</f>
        <v>NO</v>
      </c>
      <c r="K31" s="4" t="str">
        <f>IF(OR($A31="EHT Trace"),IF(AND($U31&lt;&gt;"",$V31&lt;&gt;""),"YES","NO"),"N/A")</f>
        <v>NO</v>
      </c>
      <c r="L31" s="4" t="str">
        <f>IF(OR($A31="EHT Trace"),IF(AND($X31&lt;&gt;"",$Y31&lt;&gt;""),"YES","NO"),"N/A")</f>
        <v>NO</v>
      </c>
      <c r="M31" s="4" t="str">
        <f>IF(OR($A31="EHT Trace"),IF(AND($AA31&lt;&gt;"",$AB31&lt;&gt;""),"YES","NO"),"N/A")</f>
        <v>NO</v>
      </c>
      <c r="N31" s="4" t="str">
        <f>IF(OR($A31="Power Cable"),IF(AND($AD31&lt;&gt;""),"YES","NO"),"N/A")</f>
        <v>N/A</v>
      </c>
      <c r="O31" s="4" t="str">
        <f>IF(OR($A31="Power Cable",$A31="RTD Cable",$A31="Fieldbus Cable"),IF(AND($AE31&lt;&gt;""),"YES","NO"),"N/A")</f>
        <v>N/A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str">
        <f>IF(OR($AM31&lt;&gt;"",$Z31&lt;&gt;"",$AC31&lt;&gt;""),"YES","NO")</f>
        <v>NO</v>
      </c>
      <c r="S31" s="4" t="str">
        <f>IF(COUNTIF(I31:R31,"NO")=0,"YES","NO")</f>
        <v>NO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inlineStr">
        <is>
          <t>D/32SQ3374/13.9M/676/112/1.2M/LS23A/X/N12/XMN</t>
        </is>
      </c>
      <c r="AK31" s="9" t="inlineStr">
        <is>
          <t>13.9 m m</t>
        </is>
      </c>
      <c r="AL31" s="9" t="inlineStr">
        <is>
          <t>Levy Ostrup</t>
        </is>
      </c>
      <c r="AM31" s="9" t="n"/>
      <c r="AN31" s="9" t="n"/>
    </row>
    <row r="32">
      <c r="A32" s="9" t="inlineStr">
        <is>
          <t>EHT Trace</t>
        </is>
      </c>
      <c r="B32" s="9" t="inlineStr">
        <is>
          <t>29103-ET-P2204-1-1</t>
        </is>
      </c>
      <c r="C32" s="9" t="inlineStr">
        <is>
          <t>29103-ET-P2204-1</t>
        </is>
      </c>
      <c r="D32" s="9" t="inlineStr">
        <is>
          <t>HTC-09 / CB-09</t>
        </is>
      </c>
      <c r="E32" s="9" t="inlineStr">
        <is>
          <t>29103-PE-2201, 29103-P-2204</t>
        </is>
      </c>
      <c r="F32" s="9" t="inlineStr">
        <is>
          <t>29103-65R-ET-P2204-01-01</t>
        </is>
      </c>
      <c r="G32" s="9" t="inlineStr">
        <is>
          <t>13.1</t>
        </is>
      </c>
      <c r="H32" s="9" t="inlineStr">
        <is>
          <t>29103-ET-P2204-1-1.pdf</t>
        </is>
      </c>
      <c r="I32" s="4" t="str">
        <f>IF($H32&lt;&gt;"","YES","NO")</f>
        <v>YES</v>
      </c>
      <c r="J32" s="4" t="str">
        <f>IF(N($T32)&gt;0,"YES","NO")</f>
        <v>NO</v>
      </c>
      <c r="K32" s="4" t="str">
        <f>IF(OR($A32="EHT Trace"),IF(AND($U32&lt;&gt;"",$V32&lt;&gt;""),"YES","NO"),"N/A")</f>
        <v>NO</v>
      </c>
      <c r="L32" s="4" t="str">
        <f>IF(OR($A32="EHT Trace"),IF(AND($X32&lt;&gt;"",$Y32&lt;&gt;""),"YES","NO"),"N/A")</f>
        <v>NO</v>
      </c>
      <c r="M32" s="4" t="str">
        <f>IF(OR($A32="EHT Trace"),IF(AND($AA32&lt;&gt;"",$AB32&lt;&gt;""),"YES","NO"),"N/A")</f>
        <v>NO</v>
      </c>
      <c r="N32" s="4" t="str">
        <f>IF(OR($A32="Power Cable"),IF(AND($AD32&lt;&gt;""),"YES","NO"),"N/A")</f>
        <v>N/A</v>
      </c>
      <c r="O32" s="4" t="str">
        <f>IF(OR($A32="Power Cable",$A32="RTD Cable",$A32="Fieldbus Cable"),IF(AND($AE32&lt;&gt;""),"YES","NO"),"N/A")</f>
        <v>N/A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str">
        <f>IF(OR($AM32&lt;&gt;"",$Z32&lt;&gt;"",$AC32&lt;&gt;""),"YES","NO")</f>
        <v>NO</v>
      </c>
      <c r="S32" s="4" t="str">
        <f>IF(COUNTIF(I32:R32,"NO")=0,"YES","NO")</f>
        <v>NO</v>
      </c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inlineStr">
        <is>
          <t>D/32SA2200/20.9M/554/277/1.2M/LS23A/X/N12</t>
        </is>
      </c>
      <c r="AK32" s="9" t="inlineStr">
        <is>
          <t>20.9 m m</t>
        </is>
      </c>
      <c r="AL32" s="9" t="inlineStr">
        <is>
          <t>Levy Ostrup</t>
        </is>
      </c>
      <c r="AM32" s="9" t="n"/>
      <c r="AN32" s="9" t="n"/>
    </row>
    <row r="33">
      <c r="A33" s="9" t="inlineStr">
        <is>
          <t>EHT Trace</t>
        </is>
      </c>
      <c r="B33" s="9" t="inlineStr">
        <is>
          <t>29103-ET-P2204-1-2</t>
        </is>
      </c>
      <c r="C33" s="9" t="inlineStr">
        <is>
          <t>29103-ET-P2204-1</t>
        </is>
      </c>
      <c r="D33" s="9" t="inlineStr">
        <is>
          <t>HTC-09 / CB-09</t>
        </is>
      </c>
      <c r="E33" s="9" t="inlineStr">
        <is>
          <t>29103-P-2204</t>
        </is>
      </c>
      <c r="F33" s="9" t="inlineStr">
        <is>
          <t>29103-65R-ET-P2204-01-01</t>
        </is>
      </c>
      <c r="G33" s="9" t="inlineStr">
        <is>
          <t>13.1</t>
        </is>
      </c>
      <c r="H33" s="9" t="inlineStr">
        <is>
          <t>29103-ET-P2204-1-2.pdf</t>
        </is>
      </c>
      <c r="I33" s="4" t="str">
        <f>IF($H33&lt;&gt;"","YES","NO")</f>
        <v>YES</v>
      </c>
      <c r="J33" s="4" t="str">
        <f>IF(N($T33)&gt;0,"YES","NO")</f>
        <v>NO</v>
      </c>
      <c r="K33" s="4" t="str">
        <f>IF(OR($A33="EHT Trace"),IF(AND($U33&lt;&gt;"",$V33&lt;&gt;""),"YES","NO"),"N/A")</f>
        <v>YES</v>
      </c>
      <c r="L33" s="4" t="str">
        <f>IF(OR($A33="EHT Trace"),IF(AND($X33&lt;&gt;"",$Y33&lt;&gt;""),"YES","NO"),"N/A")</f>
        <v>NO</v>
      </c>
      <c r="M33" s="4" t="str">
        <f>IF(OR($A33="EHT Trace"),IF(AND($AA33&lt;&gt;"",$AB33&lt;&gt;""),"YES","NO"),"N/A")</f>
        <v>NO</v>
      </c>
      <c r="N33" s="4" t="str">
        <f>IF(OR($A33="Power Cable"),IF(AND($AD33&lt;&gt;""),"YES","NO"),"N/A")</f>
        <v>N/A</v>
      </c>
      <c r="O33" s="4" t="str">
        <f>IF(OR($A33="Power Cable",$A33="RTD Cable",$A33="Fieldbus Cable"),IF(AND($AE33&lt;&gt;""),"YES","NO"),"N/A")</f>
        <v>N/A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str">
        <f>IF(OR($AM33&lt;&gt;"",$Z33&lt;&gt;"",$AC33&lt;&gt;""),"YES","NO")</f>
        <v>NO</v>
      </c>
      <c r="S33" s="4" t="str">
        <f>IF(COUNTIF(I33:R33,"NO")=0,"YES","NO")</f>
        <v>NO</v>
      </c>
      <c r="T33" s="9" t="n"/>
      <c r="U33" s="9" t="inlineStr">
        <is>
          <t>&gt;2.2 GΩ</t>
        </is>
      </c>
      <c r="V33" s="9" t="inlineStr">
        <is>
          <t>10.5 Ω</t>
        </is>
      </c>
      <c r="W33" s="9" t="inlineStr">
        <is>
          <t>2026-05-17</t>
        </is>
      </c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inlineStr">
        <is>
          <t>E/32SQ3472/6.5M/416/67.7/1.2M/LS23A/X/N12/XNF</t>
        </is>
      </c>
      <c r="AK33" s="9" t="inlineStr">
        <is>
          <t>6.5 m m</t>
        </is>
      </c>
      <c r="AL33" s="9" t="inlineStr">
        <is>
          <t>Levy Ostrup</t>
        </is>
      </c>
      <c r="AM33" s="9" t="n"/>
      <c r="AN33" s="9" t="n"/>
    </row>
    <row r="34">
      <c r="A34" s="9" t="inlineStr">
        <is>
          <t>EHT Trace</t>
        </is>
      </c>
      <c r="B34" s="9" t="inlineStr">
        <is>
          <t>29103-ET-P2204-1-3</t>
        </is>
      </c>
      <c r="C34" s="9" t="inlineStr">
        <is>
          <t>29103-ET-P2204-1</t>
        </is>
      </c>
      <c r="D34" s="9" t="inlineStr">
        <is>
          <t>HTC-09 / CB-09</t>
        </is>
      </c>
      <c r="E34" s="9" t="inlineStr">
        <is>
          <t>29103-P-2204</t>
        </is>
      </c>
      <c r="F34" s="9" t="inlineStr">
        <is>
          <t>29103-65R-ET-P2204-01-01</t>
        </is>
      </c>
      <c r="G34" s="9" t="inlineStr">
        <is>
          <t>13.1</t>
        </is>
      </c>
      <c r="H34" s="9" t="inlineStr">
        <is>
          <t>29103-ET-P2204-1-3.pdf</t>
        </is>
      </c>
      <c r="I34" s="4" t="str">
        <f>IF($H34&lt;&gt;"","YES","NO")</f>
        <v>YES</v>
      </c>
      <c r="J34" s="4" t="str">
        <f>IF(N($T34)&gt;0,"YES","NO")</f>
        <v>NO</v>
      </c>
      <c r="K34" s="4" t="str">
        <f>IF(OR($A34="EHT Trace"),IF(AND($U34&lt;&gt;"",$V34&lt;&gt;""),"YES","NO"),"N/A")</f>
        <v>YES</v>
      </c>
      <c r="L34" s="4" t="str">
        <f>IF(OR($A34="EHT Trace"),IF(AND($X34&lt;&gt;"",$Y34&lt;&gt;""),"YES","NO"),"N/A")</f>
        <v>NO</v>
      </c>
      <c r="M34" s="4" t="str">
        <f>IF(OR($A34="EHT Trace"),IF(AND($AA34&lt;&gt;"",$AB34&lt;&gt;""),"YES","NO"),"N/A")</f>
        <v>NO</v>
      </c>
      <c r="N34" s="4" t="str">
        <f>IF(OR($A34="Power Cable"),IF(AND($AD34&lt;&gt;""),"YES","NO"),"N/A")</f>
        <v>N/A</v>
      </c>
      <c r="O34" s="4" t="str">
        <f>IF(OR($A34="Power Cable",$A34="RTD Cable",$A34="Fieldbus Cable"),IF(AND($AE34&lt;&gt;""),"YES","NO"),"N/A")</f>
        <v>N/A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str">
        <f>IF(OR($AM34&lt;&gt;"",$Z34&lt;&gt;"",$AC34&lt;&gt;""),"YES","NO")</f>
        <v>NO</v>
      </c>
      <c r="S34" s="4" t="str">
        <f>IF(COUNTIF(I34:R34,"NO")=0,"YES","NO")</f>
        <v>NO</v>
      </c>
      <c r="T34" s="9" t="n"/>
      <c r="U34" s="9" t="inlineStr">
        <is>
          <t>&gt;2.2 GΩ</t>
        </is>
      </c>
      <c r="V34" s="9" t="inlineStr">
        <is>
          <t>11.4 Ω</t>
        </is>
      </c>
      <c r="W34" s="9" t="inlineStr">
        <is>
          <t>2026-05-17</t>
        </is>
      </c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inlineStr">
        <is>
          <t>E/32SQ3472/7M/448/72.9/1.2M/LS23A/X/N12/XMF</t>
        </is>
      </c>
      <c r="AK34" s="9" t="inlineStr">
        <is>
          <t>7 m m</t>
        </is>
      </c>
      <c r="AL34" s="9" t="inlineStr">
        <is>
          <t>Levy Ostrup</t>
        </is>
      </c>
      <c r="AM34" s="9" t="n"/>
      <c r="AN34" s="9" t="n"/>
    </row>
    <row r="35">
      <c r="A35" s="9" t="inlineStr">
        <is>
          <t>EHT Trace</t>
        </is>
      </c>
      <c r="B35" s="9" t="inlineStr">
        <is>
          <t>29103-ET-P2204-1-4</t>
        </is>
      </c>
      <c r="C35" s="9" t="inlineStr">
        <is>
          <t>29103-ET-P2204-1</t>
        </is>
      </c>
      <c r="D35" s="9" t="inlineStr">
        <is>
          <t>HTC-09 / CB-09</t>
        </is>
      </c>
      <c r="E35" s="9" t="inlineStr">
        <is>
          <t>29103-P-2204</t>
        </is>
      </c>
      <c r="F35" s="9" t="inlineStr">
        <is>
          <t>29103-65R-ET-P2204-01-01</t>
        </is>
      </c>
      <c r="G35" s="9" t="inlineStr">
        <is>
          <t>13.1</t>
        </is>
      </c>
      <c r="H35" s="9" t="inlineStr">
        <is>
          <t>29103-ET-P2204-1-4.pdf</t>
        </is>
      </c>
      <c r="I35" s="4" t="str">
        <f>IF($H35&lt;&gt;"","YES","NO")</f>
        <v>YES</v>
      </c>
      <c r="J35" s="4" t="str">
        <f>IF(N($T35)&gt;0,"YES","NO")</f>
        <v>NO</v>
      </c>
      <c r="K35" s="4" t="str">
        <f>IF(OR($A35="EHT Trace"),IF(AND($U35&lt;&gt;"",$V35&lt;&gt;""),"YES","NO"),"N/A")</f>
        <v>YES</v>
      </c>
      <c r="L35" s="4" t="str">
        <f>IF(OR($A35="EHT Trace"),IF(AND($X35&lt;&gt;"",$Y35&lt;&gt;""),"YES","NO"),"N/A")</f>
        <v>NO</v>
      </c>
      <c r="M35" s="4" t="str">
        <f>IF(OR($A35="EHT Trace"),IF(AND($AA35&lt;&gt;"",$AB35&lt;&gt;""),"YES","NO"),"N/A")</f>
        <v>NO</v>
      </c>
      <c r="N35" s="4" t="str">
        <f>IF(OR($A35="Power Cable"),IF(AND($AD35&lt;&gt;""),"YES","NO"),"N/A")</f>
        <v>N/A</v>
      </c>
      <c r="O35" s="4" t="str">
        <f>IF(OR($A35="Power Cable",$A35="RTD Cable",$A35="Fieldbus Cable"),IF(AND($AE35&lt;&gt;""),"YES","NO"),"N/A")</f>
        <v>N/A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str">
        <f>IF(OR($AM35&lt;&gt;"",$Z35&lt;&gt;"",$AC35&lt;&gt;""),"YES","NO")</f>
        <v>NO</v>
      </c>
      <c r="S35" s="4" t="str">
        <f>IF(COUNTIF(I35:R35,"NO")=0,"YES","NO")</f>
        <v>NO</v>
      </c>
      <c r="T35" s="9" t="n"/>
      <c r="U35" s="9" t="inlineStr">
        <is>
          <t>&gt;2.2 GΩ</t>
        </is>
      </c>
      <c r="V35" s="9" t="inlineStr">
        <is>
          <t>20.9 Ω</t>
        </is>
      </c>
      <c r="W35" s="9" t="inlineStr">
        <is>
          <t>2026-05-17</t>
        </is>
      </c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inlineStr">
        <is>
          <t>D/32SQ3472/13.1M/838/136/1.2M/LS23A/X/N12/XMN</t>
        </is>
      </c>
      <c r="AK35" s="9" t="inlineStr">
        <is>
          <t>13.1 m m</t>
        </is>
      </c>
      <c r="AL35" s="9" t="inlineStr">
        <is>
          <t>Levy Ostrup</t>
        </is>
      </c>
      <c r="AM35" s="9" t="n"/>
      <c r="AN35" s="9" t="n"/>
    </row>
    <row r="36">
      <c r="A36" s="9" t="inlineStr">
        <is>
          <t>EHT Trace</t>
        </is>
      </c>
      <c r="B36" s="9" t="inlineStr">
        <is>
          <t>29103-ET-P2204-2-1</t>
        </is>
      </c>
      <c r="C36" s="9" t="inlineStr">
        <is>
          <t>29103-ET-P2204-2</t>
        </is>
      </c>
      <c r="D36" s="9" t="inlineStr">
        <is>
          <t>HTC-26 / CB-26</t>
        </is>
      </c>
      <c r="E36" s="9" t="inlineStr">
        <is>
          <t>29103-P-2204, 29103-FG-2202</t>
        </is>
      </c>
      <c r="F36" s="9" t="inlineStr">
        <is>
          <t>29103-65R-ET-P2204-02-01</t>
        </is>
      </c>
      <c r="G36" s="9" t="inlineStr">
        <is>
          <t>13.1</t>
        </is>
      </c>
      <c r="H36" s="9" t="inlineStr">
        <is>
          <t>29103-ET-P2204-2-1.pdf</t>
        </is>
      </c>
      <c r="I36" s="4" t="str">
        <f>IF($H36&lt;&gt;"","YES","NO")</f>
        <v>YES</v>
      </c>
      <c r="J36" s="4" t="str">
        <f>IF(N($T36)&gt;0,"YES","NO")</f>
        <v>NO</v>
      </c>
      <c r="K36" s="4" t="str">
        <f>IF(OR($A36="EHT Trace"),IF(AND($U36&lt;&gt;"",$V36&lt;&gt;""),"YES","NO"),"N/A")</f>
        <v>YES</v>
      </c>
      <c r="L36" s="4" t="str">
        <f>IF(OR($A36="EHT Trace"),IF(AND($X36&lt;&gt;"",$Y36&lt;&gt;""),"YES","NO"),"N/A")</f>
        <v>NO</v>
      </c>
      <c r="M36" s="4" t="str">
        <f>IF(OR($A36="EHT Trace"),IF(AND($AA36&lt;&gt;"",$AB36&lt;&gt;""),"YES","NO"),"N/A")</f>
        <v>NO</v>
      </c>
      <c r="N36" s="4" t="str">
        <f>IF(OR($A36="Power Cable"),IF(AND($AD36&lt;&gt;""),"YES","NO"),"N/A")</f>
        <v>N/A</v>
      </c>
      <c r="O36" s="4" t="str">
        <f>IF(OR($A36="Power Cable",$A36="RTD Cable",$A36="Fieldbus Cable"),IF(AND($AE36&lt;&gt;""),"YES","NO"),"N/A")</f>
        <v>N/A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str">
        <f>IF(OR($AM36&lt;&gt;"",$Z36&lt;&gt;"",$AC36&lt;&gt;""),"YES","NO")</f>
        <v>NO</v>
      </c>
      <c r="S36" s="4" t="str">
        <f>IF(COUNTIF(I36:R36,"NO")=0,"YES","NO")</f>
        <v>NO</v>
      </c>
      <c r="T36" s="9" t="n"/>
      <c r="U36" s="9" t="inlineStr">
        <is>
          <t>&gt;2.2 GΩ</t>
        </is>
      </c>
      <c r="V36" s="9" t="inlineStr">
        <is>
          <t>262.8 Ω</t>
        </is>
      </c>
      <c r="W36" s="9" t="inlineStr">
        <is>
          <t>2026-05-17</t>
        </is>
      </c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inlineStr">
        <is>
          <t>D/32SF1110/7M/299/277/1.2M/LS23A/X/N12</t>
        </is>
      </c>
      <c r="AK36" s="9" t="inlineStr">
        <is>
          <t>7 m m</t>
        </is>
      </c>
      <c r="AL36" s="9" t="inlineStr">
        <is>
          <t>Levy Ostrup</t>
        </is>
      </c>
      <c r="AM36" s="9" t="n"/>
      <c r="AN36" s="9" t="n"/>
    </row>
    <row r="37">
      <c r="A37" s="9" t="inlineStr">
        <is>
          <t>EHT Trace</t>
        </is>
      </c>
      <c r="B37" s="9" t="inlineStr">
        <is>
          <t>29103-ET-P2301-1-1</t>
        </is>
      </c>
      <c r="C37" s="9" t="inlineStr">
        <is>
          <t>29103-ET-P2301-1</t>
        </is>
      </c>
      <c r="D37" s="9" t="inlineStr">
        <is>
          <t>HTC-04 / CB-04</t>
        </is>
      </c>
      <c r="E37" s="9" t="inlineStr">
        <is>
          <t>29103-P-2301</t>
        </is>
      </c>
      <c r="F37" s="9" t="inlineStr">
        <is>
          <t>29103-65R-ET-P2301-01-01</t>
        </is>
      </c>
      <c r="G37" s="9" t="inlineStr">
        <is>
          <t>13.1</t>
        </is>
      </c>
      <c r="H37" s="9" t="inlineStr">
        <is>
          <t>29103-ET-P2301-1-1.pdf</t>
        </is>
      </c>
      <c r="I37" s="4" t="str">
        <f>IF($H37&lt;&gt;"","YES","NO")</f>
        <v>YES</v>
      </c>
      <c r="J37" s="4" t="str">
        <f>IF(N($T37)&gt;0,"YES","NO")</f>
        <v>NO</v>
      </c>
      <c r="K37" s="4" t="str">
        <f>IF(OR($A37="EHT Trace"),IF(AND($U37&lt;&gt;"",$V37&lt;&gt;""),"YES","NO"),"N/A")</f>
        <v>NO</v>
      </c>
      <c r="L37" s="4" t="str">
        <f>IF(OR($A37="EHT Trace"),IF(AND($X37&lt;&gt;"",$Y37&lt;&gt;""),"YES","NO"),"N/A")</f>
        <v>NO</v>
      </c>
      <c r="M37" s="4" t="str">
        <f>IF(OR($A37="EHT Trace"),IF(AND($AA37&lt;&gt;"",$AB37&lt;&gt;""),"YES","NO"),"N/A")</f>
        <v>NO</v>
      </c>
      <c r="N37" s="4" t="str">
        <f>IF(OR($A37="Power Cable"),IF(AND($AD37&lt;&gt;""),"YES","NO"),"N/A")</f>
        <v>N/A</v>
      </c>
      <c r="O37" s="4" t="str">
        <f>IF(OR($A37="Power Cable",$A37="RTD Cable",$A37="Fieldbus Cable"),IF(AND($AE37&lt;&gt;""),"YES","NO"),"N/A")</f>
        <v>N/A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str">
        <f>IF(OR($AM37&lt;&gt;"",$Z37&lt;&gt;"",$AC37&lt;&gt;""),"YES","NO")</f>
        <v>NO</v>
      </c>
      <c r="S37" s="4" t="str">
        <f>IF(COUNTIF(I37:R37,"NO")=0,"YES","NO")</f>
        <v>NO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inlineStr">
        <is>
          <t>E/32SQ3374/20.5M/1007/166/1.2M/LS23A/X/N12/XNF</t>
        </is>
      </c>
      <c r="AK37" s="9" t="inlineStr">
        <is>
          <t>20.5 m m</t>
        </is>
      </c>
      <c r="AL37" s="9" t="inlineStr">
        <is>
          <t>Levy Ostrup</t>
        </is>
      </c>
      <c r="AM37" s="9" t="n"/>
      <c r="AN37" s="9" t="n"/>
    </row>
    <row r="38">
      <c r="A38" s="9" t="inlineStr">
        <is>
          <t>EHT Trace</t>
        </is>
      </c>
      <c r="B38" s="9" t="inlineStr">
        <is>
          <t>29103-ET-P2301-1-2</t>
        </is>
      </c>
      <c r="C38" s="9" t="inlineStr">
        <is>
          <t>29103-ET-P2301-1</t>
        </is>
      </c>
      <c r="D38" s="9" t="inlineStr">
        <is>
          <t>HTC-04 / CB-04</t>
        </is>
      </c>
      <c r="E38" s="9" t="inlineStr">
        <is>
          <t>29103-P-2301</t>
        </is>
      </c>
      <c r="F38" s="9" t="inlineStr">
        <is>
          <t>29103-65R-ET-P2301-01-01</t>
        </is>
      </c>
      <c r="G38" s="9" t="inlineStr">
        <is>
          <t>13.1</t>
        </is>
      </c>
      <c r="H38" s="9" t="inlineStr">
        <is>
          <t>29103-ET-P2301-1-2.pdf</t>
        </is>
      </c>
      <c r="I38" s="4" t="str">
        <f>IF($H38&lt;&gt;"","YES","NO")</f>
        <v>YES</v>
      </c>
      <c r="J38" s="4" t="str">
        <f>IF(N($T38)&gt;0,"YES","NO")</f>
        <v>NO</v>
      </c>
      <c r="K38" s="4" t="str">
        <f>IF(OR($A38="EHT Trace"),IF(AND($U38&lt;&gt;"",$V38&lt;&gt;""),"YES","NO"),"N/A")</f>
        <v>NO</v>
      </c>
      <c r="L38" s="4" t="str">
        <f>IF(OR($A38="EHT Trace"),IF(AND($X38&lt;&gt;"",$Y38&lt;&gt;""),"YES","NO"),"N/A")</f>
        <v>NO</v>
      </c>
      <c r="M38" s="4" t="str">
        <f>IF(OR($A38="EHT Trace"),IF(AND($AA38&lt;&gt;"",$AB38&lt;&gt;""),"YES","NO"),"N/A")</f>
        <v>NO</v>
      </c>
      <c r="N38" s="4" t="str">
        <f>IF(OR($A38="Power Cable"),IF(AND($AD38&lt;&gt;""),"YES","NO"),"N/A")</f>
        <v>N/A</v>
      </c>
      <c r="O38" s="4" t="str">
        <f>IF(OR($A38="Power Cable",$A38="RTD Cable",$A38="Fieldbus Cable"),IF(AND($AE38&lt;&gt;""),"YES","NO"),"N/A")</f>
        <v>N/A</v>
      </c>
      <c r="P38" s="4" t="str">
        <f>IF(OR($A38="RTD"),IF(AND($AH38&lt;&gt;""),"YES","NO"),"N/A")</f>
        <v>N/A</v>
      </c>
      <c r="Q38" s="4" t="str">
        <f>IF(OR($A38="RTD"),IF(AND($AI38&lt;&gt;""),"YES","NO"),"N/A")</f>
        <v>N/A</v>
      </c>
      <c r="R38" s="4" t="str">
        <f>IF(OR($AM38&lt;&gt;"",$Z38&lt;&gt;"",$AC38&lt;&gt;""),"YES","NO")</f>
        <v>NO</v>
      </c>
      <c r="S38" s="4" t="str">
        <f>IF(COUNTIF(I38:R38,"NO")=0,"YES","NO")</f>
        <v>NO</v>
      </c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inlineStr">
        <is>
          <t>D/32SQ3374/13.8M/678/111/1.2M/LS23A/X/N12/XMN</t>
        </is>
      </c>
      <c r="AK38" s="9" t="inlineStr">
        <is>
          <t>13.8 m m</t>
        </is>
      </c>
      <c r="AL38" s="9" t="inlineStr">
        <is>
          <t>Levy Ostrup</t>
        </is>
      </c>
      <c r="AM38" s="9" t="n"/>
      <c r="AN38" s="9" t="n"/>
    </row>
    <row r="39">
      <c r="A39" s="9" t="inlineStr">
        <is>
          <t>EHT Trace</t>
        </is>
      </c>
      <c r="B39" s="9" t="inlineStr">
        <is>
          <t>29103-ET-P2304-1-1</t>
        </is>
      </c>
      <c r="C39" s="9" t="inlineStr">
        <is>
          <t>29103-ET-P2304-1</t>
        </is>
      </c>
      <c r="D39" s="9" t="inlineStr">
        <is>
          <t>HTC-02 / CB-02</t>
        </is>
      </c>
      <c r="E39" s="9" t="inlineStr">
        <is>
          <t>29103-PE-2301, 29103-P-2304</t>
        </is>
      </c>
      <c r="F39" s="9" t="inlineStr">
        <is>
          <t>29103-65R-ET-P2304-01-01</t>
        </is>
      </c>
      <c r="G39" s="9" t="inlineStr">
        <is>
          <t>13.1</t>
        </is>
      </c>
      <c r="H39" s="9" t="inlineStr">
        <is>
          <t>29103-ET-P2304-1-1.pdf</t>
        </is>
      </c>
      <c r="I39" s="4" t="str">
        <f>IF($H39&lt;&gt;"","YES","NO")</f>
        <v>YES</v>
      </c>
      <c r="J39" s="4" t="str">
        <f>IF(N($T39)&gt;0,"YES","NO")</f>
        <v>NO</v>
      </c>
      <c r="K39" s="4" t="str">
        <f>IF(OR($A39="EHT Trace"),IF(AND($U39&lt;&gt;"",$V39&lt;&gt;""),"YES","NO"),"N/A")</f>
        <v>NO</v>
      </c>
      <c r="L39" s="4" t="str">
        <f>IF(OR($A39="EHT Trace"),IF(AND($X39&lt;&gt;"",$Y39&lt;&gt;""),"YES","NO"),"N/A")</f>
        <v>NO</v>
      </c>
      <c r="M39" s="4" t="str">
        <f>IF(OR($A39="EHT Trace"),IF(AND($AA39&lt;&gt;"",$AB39&lt;&gt;""),"YES","NO"),"N/A")</f>
        <v>NO</v>
      </c>
      <c r="N39" s="4" t="str">
        <f>IF(OR($A39="Power Cable"),IF(AND($AD39&lt;&gt;""),"YES","NO"),"N/A")</f>
        <v>N/A</v>
      </c>
      <c r="O39" s="4" t="str">
        <f>IF(OR($A39="Power Cable",$A39="RTD Cable",$A39="Fieldbus Cable"),IF(AND($AE39&lt;&gt;""),"YES","NO"),"N/A")</f>
        <v>N/A</v>
      </c>
      <c r="P39" s="4" t="str">
        <f>IF(OR($A39="RTD"),IF(AND($AH39&lt;&gt;""),"YES","NO"),"N/A")</f>
        <v>N/A</v>
      </c>
      <c r="Q39" s="4" t="str">
        <f>IF(OR($A39="RTD"),IF(AND($AI39&lt;&gt;""),"YES","NO"),"N/A")</f>
        <v>N/A</v>
      </c>
      <c r="R39" s="4" t="str">
        <f>IF(OR($AM39&lt;&gt;"",$Z39&lt;&gt;"",$AC39&lt;&gt;""),"YES","NO")</f>
        <v>NO</v>
      </c>
      <c r="S39" s="4" t="str">
        <f>IF(COUNTIF(I39:R39,"NO")=0,"YES","NO")</f>
        <v>NO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inlineStr">
        <is>
          <t>D/32SA2200/20.9M/554/277/1.2M/LS23A/X/N12</t>
        </is>
      </c>
      <c r="AK39" s="9" t="inlineStr">
        <is>
          <t>20.9 m m</t>
        </is>
      </c>
      <c r="AL39" s="9" t="inlineStr">
        <is>
          <t>Levy Ostrup</t>
        </is>
      </c>
      <c r="AM39" s="9" t="n"/>
      <c r="AN39" s="9" t="n"/>
    </row>
    <row r="40">
      <c r="A40" s="9" t="inlineStr">
        <is>
          <t>EHT Trace</t>
        </is>
      </c>
      <c r="B40" s="9" t="inlineStr">
        <is>
          <t>29103-ET-P2304-1-2</t>
        </is>
      </c>
      <c r="C40" s="9" t="inlineStr">
        <is>
          <t>29103-ET-P2304-1</t>
        </is>
      </c>
      <c r="D40" s="9" t="inlineStr">
        <is>
          <t>HTC-02 / CB-02</t>
        </is>
      </c>
      <c r="E40" s="9" t="inlineStr">
        <is>
          <t>29103-P-2304</t>
        </is>
      </c>
      <c r="F40" s="9" t="inlineStr">
        <is>
          <t>29103-65R-ET-P2304-01-01</t>
        </is>
      </c>
      <c r="G40" s="9" t="inlineStr">
        <is>
          <t>13.1</t>
        </is>
      </c>
      <c r="H40" s="9" t="inlineStr">
        <is>
          <t>29103-ET-P2304-1-2.pdf</t>
        </is>
      </c>
      <c r="I40" s="4" t="str">
        <f>IF($H40&lt;&gt;"","YES","NO")</f>
        <v>YES</v>
      </c>
      <c r="J40" s="4" t="str">
        <f>IF(N($T40)&gt;0,"YES","NO")</f>
        <v>NO</v>
      </c>
      <c r="K40" s="4" t="str">
        <f>IF(OR($A40="EHT Trace"),IF(AND($U40&lt;&gt;"",$V40&lt;&gt;""),"YES","NO"),"N/A")</f>
        <v>YES</v>
      </c>
      <c r="L40" s="4" t="str">
        <f>IF(OR($A40="EHT Trace"),IF(AND($X40&lt;&gt;"",$Y40&lt;&gt;""),"YES","NO"),"N/A")</f>
        <v>NO</v>
      </c>
      <c r="M40" s="4" t="str">
        <f>IF(OR($A40="EHT Trace"),IF(AND($AA40&lt;&gt;"",$AB40&lt;&gt;""),"YES","NO"),"N/A")</f>
        <v>NO</v>
      </c>
      <c r="N40" s="4" t="str">
        <f>IF(OR($A40="Power Cable"),IF(AND($AD40&lt;&gt;""),"YES","NO"),"N/A")</f>
        <v>N/A</v>
      </c>
      <c r="O40" s="4" t="str">
        <f>IF(OR($A40="Power Cable",$A40="RTD Cable",$A40="Fieldbus Cable"),IF(AND($AE40&lt;&gt;""),"YES","NO"),"N/A")</f>
        <v>N/A</v>
      </c>
      <c r="P40" s="4" t="str">
        <f>IF(OR($A40="RTD"),IF(AND($AH40&lt;&gt;""),"YES","NO"),"N/A")</f>
        <v>N/A</v>
      </c>
      <c r="Q40" s="4" t="str">
        <f>IF(OR($A40="RTD"),IF(AND($AI40&lt;&gt;""),"YES","NO"),"N/A")</f>
        <v>N/A</v>
      </c>
      <c r="R40" s="4" t="str">
        <f>IF(OR($AM40&lt;&gt;"",$Z40&lt;&gt;"",$AC40&lt;&gt;""),"YES","NO")</f>
        <v>NO</v>
      </c>
      <c r="S40" s="4" t="str">
        <f>IF(COUNTIF(I40:R40,"NO")=0,"YES","NO")</f>
        <v>NO</v>
      </c>
      <c r="T40" s="9" t="n"/>
      <c r="U40" s="9" t="inlineStr">
        <is>
          <t>&gt;2.2 GΩ</t>
        </is>
      </c>
      <c r="V40" s="9" t="inlineStr">
        <is>
          <t>12.9 Ω</t>
        </is>
      </c>
      <c r="W40" s="9" t="inlineStr">
        <is>
          <t>2026-05-17</t>
        </is>
      </c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inlineStr">
        <is>
          <t>E/32SQ3472/8M/461/78.9/1.2M/LS23A/X/N12/XNF</t>
        </is>
      </c>
      <c r="AK40" s="9" t="inlineStr">
        <is>
          <t>8 m m</t>
        </is>
      </c>
      <c r="AL40" s="9" t="inlineStr">
        <is>
          <t>Levy Ostrup</t>
        </is>
      </c>
      <c r="AM40" s="9" t="n"/>
      <c r="AN40" s="9" t="n"/>
    </row>
    <row r="41">
      <c r="A41" s="9" t="inlineStr">
        <is>
          <t>EHT Trace</t>
        </is>
      </c>
      <c r="B41" s="9" t="inlineStr">
        <is>
          <t>29103-ET-P2304-1-3</t>
        </is>
      </c>
      <c r="C41" s="9" t="inlineStr">
        <is>
          <t>29103-ET-P2304-1</t>
        </is>
      </c>
      <c r="D41" s="9" t="inlineStr">
        <is>
          <t>HTC-02 / CB-02</t>
        </is>
      </c>
      <c r="E41" s="9" t="inlineStr">
        <is>
          <t>29103-P-2304</t>
        </is>
      </c>
      <c r="F41" s="9" t="inlineStr">
        <is>
          <t>29103-65R-ET-P2304-01-01</t>
        </is>
      </c>
      <c r="G41" s="9" t="inlineStr">
        <is>
          <t>13.1</t>
        </is>
      </c>
      <c r="H41" s="9" t="inlineStr">
        <is>
          <t>29103-ET-P2304-1-3.pdf</t>
        </is>
      </c>
      <c r="I41" s="4" t="str">
        <f>IF($H41&lt;&gt;"","YES","NO")</f>
        <v>YES</v>
      </c>
      <c r="J41" s="4" t="str">
        <f>IF(N($T41)&gt;0,"YES","NO")</f>
        <v>NO</v>
      </c>
      <c r="K41" s="4" t="str">
        <f>IF(OR($A41="EHT Trace"),IF(AND($U41&lt;&gt;"",$V41&lt;&gt;""),"YES","NO"),"N/A")</f>
        <v>YES</v>
      </c>
      <c r="L41" s="4" t="str">
        <f>IF(OR($A41="EHT Trace"),IF(AND($X41&lt;&gt;"",$Y41&lt;&gt;""),"YES","NO"),"N/A")</f>
        <v>NO</v>
      </c>
      <c r="M41" s="4" t="str">
        <f>IF(OR($A41="EHT Trace"),IF(AND($AA41&lt;&gt;"",$AB41&lt;&gt;""),"YES","NO"),"N/A")</f>
        <v>NO</v>
      </c>
      <c r="N41" s="4" t="str">
        <f>IF(OR($A41="Power Cable"),IF(AND($AD41&lt;&gt;""),"YES","NO"),"N/A")</f>
        <v>N/A</v>
      </c>
      <c r="O41" s="4" t="str">
        <f>IF(OR($A41="Power Cable",$A41="RTD Cable",$A41="Fieldbus Cable"),IF(AND($AE41&lt;&gt;""),"YES","NO"),"N/A")</f>
        <v>N/A</v>
      </c>
      <c r="P41" s="4" t="str">
        <f>IF(OR($A41="RTD"),IF(AND($AH41&lt;&gt;""),"YES","NO"),"N/A")</f>
        <v>N/A</v>
      </c>
      <c r="Q41" s="4" t="str">
        <f>IF(OR($A41="RTD"),IF(AND($AI41&lt;&gt;""),"YES","NO"),"N/A")</f>
        <v>N/A</v>
      </c>
      <c r="R41" s="4" t="str">
        <f>IF(OR($AM41&lt;&gt;"",$Z41&lt;&gt;"",$AC41&lt;&gt;""),"YES","NO")</f>
        <v>NO</v>
      </c>
      <c r="S41" s="4" t="str">
        <f>IF(COUNTIF(I41:R41,"NO")=0,"YES","NO")</f>
        <v>NO</v>
      </c>
      <c r="T41" s="9" t="n"/>
      <c r="U41" s="9" t="inlineStr">
        <is>
          <t>&gt;2.2 GΩ</t>
        </is>
      </c>
      <c r="V41" s="9" t="inlineStr">
        <is>
          <t>11.4 Ω</t>
        </is>
      </c>
      <c r="W41" s="9" t="inlineStr">
        <is>
          <t>2026-05-17</t>
        </is>
      </c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inlineStr">
        <is>
          <t>E/32SQ3472/7M/403/69/1.2M/LS23A/X/N12/XMF</t>
        </is>
      </c>
      <c r="AK41" s="9" t="inlineStr">
        <is>
          <t>7 m m</t>
        </is>
      </c>
      <c r="AL41" s="9" t="inlineStr">
        <is>
          <t>Levy Ostrup</t>
        </is>
      </c>
      <c r="AM41" s="9" t="n"/>
      <c r="AN41" s="9" t="n"/>
    </row>
    <row r="42">
      <c r="A42" s="9" t="inlineStr">
        <is>
          <t>EHT Trace</t>
        </is>
      </c>
      <c r="B42" s="9" t="inlineStr">
        <is>
          <t>29103-ET-P2304-1-4</t>
        </is>
      </c>
      <c r="C42" s="9" t="inlineStr">
        <is>
          <t>29103-ET-P2304-1</t>
        </is>
      </c>
      <c r="D42" s="9" t="inlineStr">
        <is>
          <t>HTC-02 / CB-02</t>
        </is>
      </c>
      <c r="E42" s="9" t="inlineStr">
        <is>
          <t>29103-P-2304</t>
        </is>
      </c>
      <c r="F42" s="9" t="inlineStr">
        <is>
          <t>29103-65R-ET-P2304-01-01</t>
        </is>
      </c>
      <c r="G42" s="9" t="inlineStr">
        <is>
          <t>13.1</t>
        </is>
      </c>
      <c r="H42" s="9" t="inlineStr">
        <is>
          <t>29103-ET-P2304-1-4.pdf</t>
        </is>
      </c>
      <c r="I42" s="4" t="str">
        <f>IF($H42&lt;&gt;"","YES","NO")</f>
        <v>YES</v>
      </c>
      <c r="J42" s="4" t="str">
        <f>IF(N($T42)&gt;0,"YES","NO")</f>
        <v>NO</v>
      </c>
      <c r="K42" s="4" t="str">
        <f>IF(OR($A42="EHT Trace"),IF(AND($U42&lt;&gt;"",$V42&lt;&gt;""),"YES","NO"),"N/A")</f>
        <v>YES</v>
      </c>
      <c r="L42" s="4" t="str">
        <f>IF(OR($A42="EHT Trace"),IF(AND($X42&lt;&gt;"",$Y42&lt;&gt;""),"YES","NO"),"N/A")</f>
        <v>NO</v>
      </c>
      <c r="M42" s="4" t="str">
        <f>IF(OR($A42="EHT Trace"),IF(AND($AA42&lt;&gt;"",$AB42&lt;&gt;""),"YES","NO"),"N/A")</f>
        <v>NO</v>
      </c>
      <c r="N42" s="4" t="str">
        <f>IF(OR($A42="Power Cable"),IF(AND($AD42&lt;&gt;""),"YES","NO"),"N/A")</f>
        <v>N/A</v>
      </c>
      <c r="O42" s="4" t="str">
        <f>IF(OR($A42="Power Cable",$A42="RTD Cable",$A42="Fieldbus Cable"),IF(AND($AE42&lt;&gt;""),"YES","NO"),"N/A")</f>
        <v>N/A</v>
      </c>
      <c r="P42" s="4" t="str">
        <f>IF(OR($A42="RTD"),IF(AND($AH42&lt;&gt;""),"YES","NO"),"N/A")</f>
        <v>N/A</v>
      </c>
      <c r="Q42" s="4" t="str">
        <f>IF(OR($A42="RTD"),IF(AND($AI42&lt;&gt;""),"YES","NO"),"N/A")</f>
        <v>N/A</v>
      </c>
      <c r="R42" s="4" t="str">
        <f>IF(OR($AM42&lt;&gt;"",$Z42&lt;&gt;"",$AC42&lt;&gt;""),"YES","NO")</f>
        <v>NO</v>
      </c>
      <c r="S42" s="4" t="str">
        <f>IF(COUNTIF(I42:R42,"NO")=0,"YES","NO")</f>
        <v>NO</v>
      </c>
      <c r="T42" s="9" t="n"/>
      <c r="U42" s="9" t="inlineStr">
        <is>
          <t>&gt;2.2 GΩ</t>
        </is>
      </c>
      <c r="V42" s="9" t="inlineStr">
        <is>
          <t>21 Ω</t>
        </is>
      </c>
      <c r="W42" s="9" t="inlineStr">
        <is>
          <t>2026-05-17</t>
        </is>
      </c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inlineStr">
        <is>
          <t>D/32SQ3472/13.1M/755/129/1.2M/LS23A/X/N12/XMN</t>
        </is>
      </c>
      <c r="AK42" s="9" t="inlineStr">
        <is>
          <t>13.1 m m</t>
        </is>
      </c>
      <c r="AL42" s="9" t="inlineStr">
        <is>
          <t>Levy Ostrup</t>
        </is>
      </c>
      <c r="AM42" s="9" t="n"/>
      <c r="AN42" s="9" t="n"/>
    </row>
    <row r="43">
      <c r="A43" s="9" t="inlineStr">
        <is>
          <t>EHT Trace</t>
        </is>
      </c>
      <c r="B43" s="9" t="inlineStr">
        <is>
          <t>29103-ET-P2304-2-1</t>
        </is>
      </c>
      <c r="C43" s="9" t="inlineStr">
        <is>
          <t>29103-ET-P2304-2</t>
        </is>
      </c>
      <c r="D43" s="9" t="inlineStr">
        <is>
          <t>HTC-27 / CB-27</t>
        </is>
      </c>
      <c r="E43" s="9" t="inlineStr">
        <is>
          <t>29103-P-2304, 29103-FG-2302</t>
        </is>
      </c>
      <c r="F43" s="9" t="inlineStr">
        <is>
          <t>29103-65R-ET-P2304-02-01</t>
        </is>
      </c>
      <c r="G43" s="9" t="inlineStr">
        <is>
          <t>13.1</t>
        </is>
      </c>
      <c r="H43" s="9" t="inlineStr">
        <is>
          <t>29103-ET-P2304-2-1.pdf</t>
        </is>
      </c>
      <c r="I43" s="4" t="str">
        <f>IF($H43&lt;&gt;"","YES","NO")</f>
        <v>YES</v>
      </c>
      <c r="J43" s="4" t="str">
        <f>IF(N($T43)&gt;0,"YES","NO")</f>
        <v>NO</v>
      </c>
      <c r="K43" s="4" t="str">
        <f>IF(OR($A43="EHT Trace"),IF(AND($U43&lt;&gt;"",$V43&lt;&gt;""),"YES","NO"),"N/A")</f>
        <v>YES</v>
      </c>
      <c r="L43" s="4" t="str">
        <f>IF(OR($A43="EHT Trace"),IF(AND($X43&lt;&gt;"",$Y43&lt;&gt;""),"YES","NO"),"N/A")</f>
        <v>NO</v>
      </c>
      <c r="M43" s="4" t="str">
        <f>IF(OR($A43="EHT Trace"),IF(AND($AA43&lt;&gt;"",$AB43&lt;&gt;""),"YES","NO"),"N/A")</f>
        <v>NO</v>
      </c>
      <c r="N43" s="4" t="str">
        <f>IF(OR($A43="Power Cable"),IF(AND($AD43&lt;&gt;""),"YES","NO"),"N/A")</f>
        <v>N/A</v>
      </c>
      <c r="O43" s="4" t="str">
        <f>IF(OR($A43="Power Cable",$A43="RTD Cable",$A43="Fieldbus Cable"),IF(AND($AE43&lt;&gt;""),"YES","NO"),"N/A")</f>
        <v>N/A</v>
      </c>
      <c r="P43" s="4" t="str">
        <f>IF(OR($A43="RTD"),IF(AND($AH43&lt;&gt;""),"YES","NO"),"N/A")</f>
        <v>N/A</v>
      </c>
      <c r="Q43" s="4" t="str">
        <f>IF(OR($A43="RTD"),IF(AND($AI43&lt;&gt;""),"YES","NO"),"N/A")</f>
        <v>N/A</v>
      </c>
      <c r="R43" s="4" t="str">
        <f>IF(OR($AM43&lt;&gt;"",$Z43&lt;&gt;"",$AC43&lt;&gt;""),"YES","NO")</f>
        <v>NO</v>
      </c>
      <c r="S43" s="4" t="str">
        <f>IF(COUNTIF(I43:R43,"NO")=0,"YES","NO")</f>
        <v>NO</v>
      </c>
      <c r="T43" s="9" t="n"/>
      <c r="U43" s="9" t="inlineStr">
        <is>
          <t>&gt;2.2 GΩ</t>
        </is>
      </c>
      <c r="V43" s="9" t="inlineStr">
        <is>
          <t>374.3 Ω</t>
        </is>
      </c>
      <c r="W43" s="9" t="inlineStr">
        <is>
          <t>2026-05-17</t>
        </is>
      </c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inlineStr">
        <is>
          <t>D/32SF1180/6.2M/207/277/1.2M/LS23A/X/N12</t>
        </is>
      </c>
      <c r="AK43" s="9" t="inlineStr">
        <is>
          <t>6.2 m m</t>
        </is>
      </c>
      <c r="AL43" s="9" t="inlineStr">
        <is>
          <t>Levy Ostrup</t>
        </is>
      </c>
      <c r="AM43" s="9" t="n"/>
      <c r="AN43" s="9" t="n"/>
    </row>
    <row r="44">
      <c r="A44" s="9" t="inlineStr">
        <is>
          <t>EHT Trace</t>
        </is>
      </c>
      <c r="B44" s="9" t="inlineStr">
        <is>
          <t>29103-ET-P2404-1-1</t>
        </is>
      </c>
      <c r="C44" s="9" t="inlineStr">
        <is>
          <t>29103-ET-P2404-1</t>
        </is>
      </c>
      <c r="D44" s="9" t="inlineStr">
        <is>
          <t>HTC-32 / CB-32</t>
        </is>
      </c>
      <c r="E44" s="9" t="inlineStr">
        <is>
          <t>29103-PE-2401, 29103-P-2404</t>
        </is>
      </c>
      <c r="F44" s="9" t="inlineStr">
        <is>
          <t>29103-65R-ET-P2404-01-01</t>
        </is>
      </c>
      <c r="G44" s="9" t="inlineStr">
        <is>
          <t>13.1</t>
        </is>
      </c>
      <c r="H44" s="9" t="inlineStr">
        <is>
          <t>29103-ET-P2404-1-1.pdf</t>
        </is>
      </c>
      <c r="I44" s="4" t="str">
        <f>IF($H44&lt;&gt;"","YES","NO")</f>
        <v>YES</v>
      </c>
      <c r="J44" s="4" t="str">
        <f>IF(N($T44)&gt;0,"YES","NO")</f>
        <v>NO</v>
      </c>
      <c r="K44" s="4" t="str">
        <f>IF(OR($A44="EHT Trace"),IF(AND($U44&lt;&gt;"",$V44&lt;&gt;""),"YES","NO"),"N/A")</f>
        <v>NO</v>
      </c>
      <c r="L44" s="4" t="str">
        <f>IF(OR($A44="EHT Trace"),IF(AND($X44&lt;&gt;"",$Y44&lt;&gt;""),"YES","NO"),"N/A")</f>
        <v>NO</v>
      </c>
      <c r="M44" s="4" t="str">
        <f>IF(OR($A44="EHT Trace"),IF(AND($AA44&lt;&gt;"",$AB44&lt;&gt;""),"YES","NO"),"N/A")</f>
        <v>NO</v>
      </c>
      <c r="N44" s="4" t="str">
        <f>IF(OR($A44="Power Cable"),IF(AND($AD44&lt;&gt;""),"YES","NO"),"N/A")</f>
        <v>N/A</v>
      </c>
      <c r="O44" s="4" t="str">
        <f>IF(OR($A44="Power Cable",$A44="RTD Cable",$A44="Fieldbus Cable"),IF(AND($AE44&lt;&gt;""),"YES","NO"),"N/A")</f>
        <v>N/A</v>
      </c>
      <c r="P44" s="4" t="str">
        <f>IF(OR($A44="RTD"),IF(AND($AH44&lt;&gt;""),"YES","NO"),"N/A")</f>
        <v>N/A</v>
      </c>
      <c r="Q44" s="4" t="str">
        <f>IF(OR($A44="RTD"),IF(AND($AI44&lt;&gt;""),"YES","NO"),"N/A")</f>
        <v>N/A</v>
      </c>
      <c r="R44" s="4" t="str">
        <f>IF(OR($AM44&lt;&gt;"",$Z44&lt;&gt;"",$AC44&lt;&gt;""),"YES","NO")</f>
        <v>NO</v>
      </c>
      <c r="S44" s="4" t="str">
        <f>IF(COUNTIF(I44:R44,"NO")=0,"YES","NO")</f>
        <v>NO</v>
      </c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inlineStr">
        <is>
          <t>D/32SA2200/20.9M/554/277/1.2M/LS23A/X/N12</t>
        </is>
      </c>
      <c r="AK44" s="9" t="inlineStr">
        <is>
          <t>20.9 m m</t>
        </is>
      </c>
      <c r="AL44" s="9" t="inlineStr">
        <is>
          <t>Levy Ostrup</t>
        </is>
      </c>
      <c r="AM44" s="9" t="n"/>
      <c r="AN44" s="9" t="n"/>
    </row>
    <row r="45">
      <c r="A45" s="9" t="inlineStr">
        <is>
          <t>EHT Trace</t>
        </is>
      </c>
      <c r="B45" s="9" t="inlineStr">
        <is>
          <t>29103-ET-P2404-1-2</t>
        </is>
      </c>
      <c r="C45" s="9" t="inlineStr">
        <is>
          <t>29103-ET-P2404-1</t>
        </is>
      </c>
      <c r="D45" s="9" t="inlineStr">
        <is>
          <t>HTC-32 / CB-32</t>
        </is>
      </c>
      <c r="E45" s="9" t="inlineStr">
        <is>
          <t>29103-P-2404</t>
        </is>
      </c>
      <c r="F45" s="9" t="inlineStr">
        <is>
          <t>29103-65R-ET-P2404-01-01</t>
        </is>
      </c>
      <c r="G45" s="9" t="inlineStr">
        <is>
          <t>13.1</t>
        </is>
      </c>
      <c r="H45" s="9" t="inlineStr">
        <is>
          <t>29103-ET-P2404-1-2.pdf</t>
        </is>
      </c>
      <c r="I45" s="4" t="str">
        <f>IF($H45&lt;&gt;"","YES","NO")</f>
        <v>YES</v>
      </c>
      <c r="J45" s="4" t="str">
        <f>IF(N($T45)&gt;0,"YES","NO")</f>
        <v>NO</v>
      </c>
      <c r="K45" s="4" t="str">
        <f>IF(OR($A45="EHT Trace"),IF(AND($U45&lt;&gt;"",$V45&lt;&gt;""),"YES","NO"),"N/A")</f>
        <v>YES</v>
      </c>
      <c r="L45" s="4" t="str">
        <f>IF(OR($A45="EHT Trace"),IF(AND($X45&lt;&gt;"",$Y45&lt;&gt;""),"YES","NO"),"N/A")</f>
        <v>NO</v>
      </c>
      <c r="M45" s="4" t="str">
        <f>IF(OR($A45="EHT Trace"),IF(AND($AA45&lt;&gt;"",$AB45&lt;&gt;""),"YES","NO"),"N/A")</f>
        <v>NO</v>
      </c>
      <c r="N45" s="4" t="str">
        <f>IF(OR($A45="Power Cable"),IF(AND($AD45&lt;&gt;""),"YES","NO"),"N/A")</f>
        <v>N/A</v>
      </c>
      <c r="O45" s="4" t="str">
        <f>IF(OR($A45="Power Cable",$A45="RTD Cable",$A45="Fieldbus Cable"),IF(AND($AE45&lt;&gt;""),"YES","NO"),"N/A")</f>
        <v>N/A</v>
      </c>
      <c r="P45" s="4" t="str">
        <f>IF(OR($A45="RTD"),IF(AND($AH45&lt;&gt;""),"YES","NO"),"N/A")</f>
        <v>N/A</v>
      </c>
      <c r="Q45" s="4" t="str">
        <f>IF(OR($A45="RTD"),IF(AND($AI45&lt;&gt;""),"YES","NO"),"N/A")</f>
        <v>N/A</v>
      </c>
      <c r="R45" s="4" t="str">
        <f>IF(OR($AM45&lt;&gt;"",$Z45&lt;&gt;"",$AC45&lt;&gt;""),"YES","NO")</f>
        <v>NO</v>
      </c>
      <c r="S45" s="4" t="str">
        <f>IF(COUNTIF(I45:R45,"NO")=0,"YES","NO")</f>
        <v>NO</v>
      </c>
      <c r="T45" s="9" t="n"/>
      <c r="U45" s="9" t="inlineStr">
        <is>
          <t>&gt;2.2 GΩ</t>
        </is>
      </c>
      <c r="V45" s="9" t="inlineStr">
        <is>
          <t>10.6 Ω</t>
        </is>
      </c>
      <c r="W45" s="9" t="inlineStr">
        <is>
          <t>2026-05-17</t>
        </is>
      </c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inlineStr">
        <is>
          <t>E/32SQ3472/6.5M/416/67.7/1.2M/LS23A/X/N12/XNF</t>
        </is>
      </c>
      <c r="AK45" s="9" t="inlineStr">
        <is>
          <t>6.5 m m</t>
        </is>
      </c>
      <c r="AL45" s="9" t="inlineStr">
        <is>
          <t>Levy Ostrup</t>
        </is>
      </c>
      <c r="AM45" s="9" t="n"/>
      <c r="AN45" s="9" t="n"/>
    </row>
    <row r="46">
      <c r="A46" s="9" t="inlineStr">
        <is>
          <t>EHT Trace</t>
        </is>
      </c>
      <c r="B46" s="9" t="inlineStr">
        <is>
          <t>29103-ET-P2404-1-3</t>
        </is>
      </c>
      <c r="C46" s="9" t="inlineStr">
        <is>
          <t>29103-ET-P2404-1</t>
        </is>
      </c>
      <c r="D46" s="9" t="inlineStr">
        <is>
          <t>HTC-32 / CB-32</t>
        </is>
      </c>
      <c r="E46" s="9" t="inlineStr">
        <is>
          <t>29103-P-2404</t>
        </is>
      </c>
      <c r="F46" s="9" t="inlineStr">
        <is>
          <t>29103-65R-ET-P2404-01-01</t>
        </is>
      </c>
      <c r="G46" s="9" t="inlineStr">
        <is>
          <t>13.1</t>
        </is>
      </c>
      <c r="H46" s="9" t="inlineStr">
        <is>
          <t>29103-ET-P2404-1-3.pdf</t>
        </is>
      </c>
      <c r="I46" s="4" t="str">
        <f>IF($H46&lt;&gt;"","YES","NO")</f>
        <v>YES</v>
      </c>
      <c r="J46" s="4" t="str">
        <f>IF(N($T46)&gt;0,"YES","NO")</f>
        <v>NO</v>
      </c>
      <c r="K46" s="4" t="str">
        <f>IF(OR($A46="EHT Trace"),IF(AND($U46&lt;&gt;"",$V46&lt;&gt;""),"YES","NO"),"N/A")</f>
        <v>YES</v>
      </c>
      <c r="L46" s="4" t="str">
        <f>IF(OR($A46="EHT Trace"),IF(AND($X46&lt;&gt;"",$Y46&lt;&gt;""),"YES","NO"),"N/A")</f>
        <v>NO</v>
      </c>
      <c r="M46" s="4" t="str">
        <f>IF(OR($A46="EHT Trace"),IF(AND($AA46&lt;&gt;"",$AB46&lt;&gt;""),"YES","NO"),"N/A")</f>
        <v>NO</v>
      </c>
      <c r="N46" s="4" t="str">
        <f>IF(OR($A46="Power Cable"),IF(AND($AD46&lt;&gt;""),"YES","NO"),"N/A")</f>
        <v>N/A</v>
      </c>
      <c r="O46" s="4" t="str">
        <f>IF(OR($A46="Power Cable",$A46="RTD Cable",$A46="Fieldbus Cable"),IF(AND($AE46&lt;&gt;""),"YES","NO"),"N/A")</f>
        <v>N/A</v>
      </c>
      <c r="P46" s="4" t="str">
        <f>IF(OR($A46="RTD"),IF(AND($AH46&lt;&gt;""),"YES","NO"),"N/A")</f>
        <v>N/A</v>
      </c>
      <c r="Q46" s="4" t="str">
        <f>IF(OR($A46="RTD"),IF(AND($AI46&lt;&gt;""),"YES","NO"),"N/A")</f>
        <v>N/A</v>
      </c>
      <c r="R46" s="4" t="str">
        <f>IF(OR($AM46&lt;&gt;"",$Z46&lt;&gt;"",$AC46&lt;&gt;""),"YES","NO")</f>
        <v>NO</v>
      </c>
      <c r="S46" s="4" t="str">
        <f>IF(COUNTIF(I46:R46,"NO")=0,"YES","NO")</f>
        <v>NO</v>
      </c>
      <c r="T46" s="9" t="n"/>
      <c r="U46" s="9" t="inlineStr">
        <is>
          <t>&gt;2.2 GΩ</t>
        </is>
      </c>
      <c r="V46" s="9" t="inlineStr">
        <is>
          <t>11.3 Ω</t>
        </is>
      </c>
      <c r="W46" s="9" t="inlineStr">
        <is>
          <t>2026-05-17</t>
        </is>
      </c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inlineStr">
        <is>
          <t>E/32SQ3472/7M/448/72.9/1.2M/LS23A/X/N12/XMF</t>
        </is>
      </c>
      <c r="AK46" s="9" t="inlineStr">
        <is>
          <t>7 m m</t>
        </is>
      </c>
      <c r="AL46" s="9" t="inlineStr">
        <is>
          <t>Levy Ostrup</t>
        </is>
      </c>
      <c r="AM46" s="9" t="n"/>
      <c r="AN46" s="9" t="n"/>
    </row>
    <row r="47">
      <c r="A47" s="9" t="inlineStr">
        <is>
          <t>EHT Trace</t>
        </is>
      </c>
      <c r="B47" s="9" t="inlineStr">
        <is>
          <t>29103-ET-P2404-1-4</t>
        </is>
      </c>
      <c r="C47" s="9" t="inlineStr">
        <is>
          <t>29103-ET-P2404-1</t>
        </is>
      </c>
      <c r="D47" s="9" t="inlineStr">
        <is>
          <t>HTC-32 / CB-32</t>
        </is>
      </c>
      <c r="E47" s="9" t="inlineStr">
        <is>
          <t>29103-P-2404</t>
        </is>
      </c>
      <c r="F47" s="9" t="inlineStr">
        <is>
          <t>29103-65R-ET-P2404-01-01</t>
        </is>
      </c>
      <c r="G47" s="9" t="inlineStr">
        <is>
          <t>13.1</t>
        </is>
      </c>
      <c r="H47" s="9" t="inlineStr">
        <is>
          <t>29103-ET-P2404-1-4.pdf</t>
        </is>
      </c>
      <c r="I47" s="4" t="str">
        <f>IF($H47&lt;&gt;"","YES","NO")</f>
        <v>YES</v>
      </c>
      <c r="J47" s="4" t="str">
        <f>IF(N($T47)&gt;0,"YES","NO")</f>
        <v>NO</v>
      </c>
      <c r="K47" s="4" t="str">
        <f>IF(OR($A47="EHT Trace"),IF(AND($U47&lt;&gt;"",$V47&lt;&gt;""),"YES","NO"),"N/A")</f>
        <v>YES</v>
      </c>
      <c r="L47" s="4" t="str">
        <f>IF(OR($A47="EHT Trace"),IF(AND($X47&lt;&gt;"",$Y47&lt;&gt;""),"YES","NO"),"N/A")</f>
        <v>NO</v>
      </c>
      <c r="M47" s="4" t="str">
        <f>IF(OR($A47="EHT Trace"),IF(AND($AA47&lt;&gt;"",$AB47&lt;&gt;""),"YES","NO"),"N/A")</f>
        <v>NO</v>
      </c>
      <c r="N47" s="4" t="str">
        <f>IF(OR($A47="Power Cable"),IF(AND($AD47&lt;&gt;""),"YES","NO"),"N/A")</f>
        <v>N/A</v>
      </c>
      <c r="O47" s="4" t="str">
        <f>IF(OR($A47="Power Cable",$A47="RTD Cable",$A47="Fieldbus Cable"),IF(AND($AE47&lt;&gt;""),"YES","NO"),"N/A")</f>
        <v>N/A</v>
      </c>
      <c r="P47" s="4" t="str">
        <f>IF(OR($A47="RTD"),IF(AND($AH47&lt;&gt;""),"YES","NO"),"N/A")</f>
        <v>N/A</v>
      </c>
      <c r="Q47" s="4" t="str">
        <f>IF(OR($A47="RTD"),IF(AND($AI47&lt;&gt;""),"YES","NO"),"N/A")</f>
        <v>N/A</v>
      </c>
      <c r="R47" s="4" t="str">
        <f>IF(OR($AM47&lt;&gt;"",$Z47&lt;&gt;"",$AC47&lt;&gt;""),"YES","NO")</f>
        <v>NO</v>
      </c>
      <c r="S47" s="4" t="str">
        <f>IF(COUNTIF(I47:R47,"NO")=0,"YES","NO")</f>
        <v>NO</v>
      </c>
      <c r="T47" s="9" t="n"/>
      <c r="U47" s="9" t="inlineStr">
        <is>
          <t>&gt;2.2 GΩ</t>
        </is>
      </c>
      <c r="V47" s="9" t="inlineStr">
        <is>
          <t>20.8 Ω</t>
        </is>
      </c>
      <c r="W47" s="9" t="inlineStr">
        <is>
          <t>2026-05-17</t>
        </is>
      </c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inlineStr">
        <is>
          <t>D/32SQ3472/13.1M/838/136/1.2M/LS23A/X/N12/XMN</t>
        </is>
      </c>
      <c r="AK47" s="9" t="inlineStr">
        <is>
          <t>13.1 m m</t>
        </is>
      </c>
      <c r="AL47" s="9" t="inlineStr">
        <is>
          <t>Levy Ostrup</t>
        </is>
      </c>
      <c r="AM47" s="9" t="n"/>
      <c r="AN47" s="9" t="n"/>
    </row>
    <row r="48">
      <c r="A48" s="9" t="inlineStr">
        <is>
          <t>EHT Trace</t>
        </is>
      </c>
      <c r="B48" s="9" t="inlineStr">
        <is>
          <t>29103-ET-P2404-2-1</t>
        </is>
      </c>
      <c r="C48" s="9" t="inlineStr">
        <is>
          <t>29103-ET-P2404-2</t>
        </is>
      </c>
      <c r="D48" s="9" t="inlineStr">
        <is>
          <t>HTC-41 / CB-41</t>
        </is>
      </c>
      <c r="E48" s="9" t="inlineStr">
        <is>
          <t>29103-P-2404, 29103-FG-2402</t>
        </is>
      </c>
      <c r="F48" s="9" t="inlineStr">
        <is>
          <t>29103-65R-ET-P2404-02-01</t>
        </is>
      </c>
      <c r="G48" s="9" t="inlineStr">
        <is>
          <t>13.1</t>
        </is>
      </c>
      <c r="H48" s="9" t="inlineStr">
        <is>
          <t>29103-ET-P2404-2-1.pdf</t>
        </is>
      </c>
      <c r="I48" s="4" t="str">
        <f>IF($H48&lt;&gt;"","YES","NO")</f>
        <v>YES</v>
      </c>
      <c r="J48" s="4" t="str">
        <f>IF(N($T48)&gt;0,"YES","NO")</f>
        <v>NO</v>
      </c>
      <c r="K48" s="4" t="str">
        <f>IF(OR($A48="EHT Trace"),IF(AND($U48&lt;&gt;"",$V48&lt;&gt;""),"YES","NO"),"N/A")</f>
        <v>YES</v>
      </c>
      <c r="L48" s="4" t="str">
        <f>IF(OR($A48="EHT Trace"),IF(AND($X48&lt;&gt;"",$Y48&lt;&gt;""),"YES","NO"),"N/A")</f>
        <v>NO</v>
      </c>
      <c r="M48" s="4" t="str">
        <f>IF(OR($A48="EHT Trace"),IF(AND($AA48&lt;&gt;"",$AB48&lt;&gt;""),"YES","NO"),"N/A")</f>
        <v>NO</v>
      </c>
      <c r="N48" s="4" t="str">
        <f>IF(OR($A48="Power Cable"),IF(AND($AD48&lt;&gt;""),"YES","NO"),"N/A")</f>
        <v>N/A</v>
      </c>
      <c r="O48" s="4" t="str">
        <f>IF(OR($A48="Power Cable",$A48="RTD Cable",$A48="Fieldbus Cable"),IF(AND($AE48&lt;&gt;""),"YES","NO"),"N/A")</f>
        <v>N/A</v>
      </c>
      <c r="P48" s="4" t="str">
        <f>IF(OR($A48="RTD"),IF(AND($AH48&lt;&gt;""),"YES","NO"),"N/A")</f>
        <v>N/A</v>
      </c>
      <c r="Q48" s="4" t="str">
        <f>IF(OR($A48="RTD"),IF(AND($AI48&lt;&gt;""),"YES","NO"),"N/A")</f>
        <v>N/A</v>
      </c>
      <c r="R48" s="4" t="str">
        <f>IF(OR($AM48&lt;&gt;"",$Z48&lt;&gt;"",$AC48&lt;&gt;""),"YES","NO")</f>
        <v>NO</v>
      </c>
      <c r="S48" s="4" t="str">
        <f>IF(COUNTIF(I48:R48,"NO")=0,"YES","NO")</f>
        <v>NO</v>
      </c>
      <c r="T48" s="9" t="n"/>
      <c r="U48" s="9" t="inlineStr">
        <is>
          <t>&gt;2.2 GΩ</t>
        </is>
      </c>
      <c r="V48" s="9" t="inlineStr">
        <is>
          <t>262.9 Ω</t>
        </is>
      </c>
      <c r="W48" s="9" t="inlineStr">
        <is>
          <t>2026-05-17</t>
        </is>
      </c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inlineStr">
        <is>
          <t>D/32SF1110/7M/299/277/1.2M/LS23A/X/N12</t>
        </is>
      </c>
      <c r="AK48" s="9" t="inlineStr">
        <is>
          <t>7 m m</t>
        </is>
      </c>
      <c r="AL48" s="9" t="inlineStr">
        <is>
          <t>Levy Ostrup</t>
        </is>
      </c>
      <c r="AM48" s="9" t="n"/>
      <c r="AN48" s="9" t="n"/>
    </row>
    <row r="49">
      <c r="A49" s="9" t="inlineStr">
        <is>
          <t>EHT Trace</t>
        </is>
      </c>
      <c r="B49" s="9" t="inlineStr">
        <is>
          <t>29103-ET-P2800-2-1</t>
        </is>
      </c>
      <c r="C49" s="9" t="inlineStr">
        <is>
          <t>29103-ET-P2800-2</t>
        </is>
      </c>
      <c r="D49" s="9" t="inlineStr">
        <is>
          <t>HTC-31 / CB-31</t>
        </is>
      </c>
      <c r="E49" s="9" t="inlineStr">
        <is>
          <t>29103-P-2800</t>
        </is>
      </c>
      <c r="F49" s="9" t="inlineStr">
        <is>
          <t>29103-65R-ET-P2800-02-01</t>
        </is>
      </c>
      <c r="G49" s="9" t="inlineStr">
        <is>
          <t>13.1</t>
        </is>
      </c>
      <c r="H49" s="9" t="inlineStr">
        <is>
          <t>29103-ET-P2800-2-1.pdf</t>
        </is>
      </c>
      <c r="I49" s="4" t="str">
        <f>IF($H49&lt;&gt;"","YES","NO")</f>
        <v>YES</v>
      </c>
      <c r="J49" s="4" t="str">
        <f>IF(N($T49)&gt;0,"YES","NO")</f>
        <v>NO</v>
      </c>
      <c r="K49" s="4" t="str">
        <f>IF(OR($A49="EHT Trace"),IF(AND($U49&lt;&gt;"",$V49&lt;&gt;""),"YES","NO"),"N/A")</f>
        <v>NO</v>
      </c>
      <c r="L49" s="4" t="str">
        <f>IF(OR($A49="EHT Trace"),IF(AND($X49&lt;&gt;"",$Y49&lt;&gt;""),"YES","NO"),"N/A")</f>
        <v>NO</v>
      </c>
      <c r="M49" s="4" t="str">
        <f>IF(OR($A49="EHT Trace"),IF(AND($AA49&lt;&gt;"",$AB49&lt;&gt;""),"YES","NO"),"N/A")</f>
        <v>NO</v>
      </c>
      <c r="N49" s="4" t="str">
        <f>IF(OR($A49="Power Cable"),IF(AND($AD49&lt;&gt;""),"YES","NO"),"N/A")</f>
        <v>N/A</v>
      </c>
      <c r="O49" s="4" t="str">
        <f>IF(OR($A49="Power Cable",$A49="RTD Cable",$A49="Fieldbus Cable"),IF(AND($AE49&lt;&gt;""),"YES","NO"),"N/A")</f>
        <v>N/A</v>
      </c>
      <c r="P49" s="4" t="str">
        <f>IF(OR($A49="RTD"),IF(AND($AH49&lt;&gt;""),"YES","NO"),"N/A")</f>
        <v>N/A</v>
      </c>
      <c r="Q49" s="4" t="str">
        <f>IF(OR($A49="RTD"),IF(AND($AI49&lt;&gt;""),"YES","NO"),"N/A")</f>
        <v>N/A</v>
      </c>
      <c r="R49" s="4" t="str">
        <f>IF(OR($AM49&lt;&gt;"",$Z49&lt;&gt;"",$AC49&lt;&gt;""),"YES","NO")</f>
        <v>NO</v>
      </c>
      <c r="S49" s="4" t="str">
        <f>IF(COUNTIF(I49:R49,"NO")=0,"YES","NO")</f>
        <v>NO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inlineStr">
        <is>
          <t>D/32SQ3100/47.1M/2553/207/2.1M/LS23A/X/N12</t>
        </is>
      </c>
      <c r="AK49" s="9" t="inlineStr">
        <is>
          <t>47.1 m m</t>
        </is>
      </c>
      <c r="AL49" s="9" t="inlineStr">
        <is>
          <t>Levy Ostrup</t>
        </is>
      </c>
      <c r="AM49" s="9" t="n"/>
      <c r="AN49" s="9" t="n"/>
    </row>
    <row r="50">
      <c r="A50" s="9" t="inlineStr">
        <is>
          <t>EHT Trace</t>
        </is>
      </c>
      <c r="B50" s="9" t="inlineStr">
        <is>
          <t>29103-ET-P2800-2-2</t>
        </is>
      </c>
      <c r="C50" s="9" t="inlineStr">
        <is>
          <t>29103-ET-P2800-2</t>
        </is>
      </c>
      <c r="D50" s="9" t="inlineStr">
        <is>
          <t>HTC-31 / CB-31</t>
        </is>
      </c>
      <c r="E50" s="9" t="inlineStr">
        <is>
          <t>29103-P-2800</t>
        </is>
      </c>
      <c r="F50" s="9" t="inlineStr">
        <is>
          <t>29103-65R-ET-P2800-02-01</t>
        </is>
      </c>
      <c r="G50" s="9" t="inlineStr">
        <is>
          <t>13.1</t>
        </is>
      </c>
      <c r="H50" s="9" t="inlineStr">
        <is>
          <t>29103-ET-P2800-2-2.pdf</t>
        </is>
      </c>
      <c r="I50" s="4" t="str">
        <f>IF($H50&lt;&gt;"","YES","NO")</f>
        <v>YES</v>
      </c>
      <c r="J50" s="4" t="str">
        <f>IF(N($T50)&gt;0,"YES","NO")</f>
        <v>NO</v>
      </c>
      <c r="K50" s="4" t="str">
        <f>IF(OR($A50="EHT Trace"),IF(AND($U50&lt;&gt;"",$V50&lt;&gt;""),"YES","NO"),"N/A")</f>
        <v>NO</v>
      </c>
      <c r="L50" s="4" t="str">
        <f>IF(OR($A50="EHT Trace"),IF(AND($X50&lt;&gt;"",$Y50&lt;&gt;""),"YES","NO"),"N/A")</f>
        <v>NO</v>
      </c>
      <c r="M50" s="4" t="str">
        <f>IF(OR($A50="EHT Trace"),IF(AND($AA50&lt;&gt;"",$AB50&lt;&gt;""),"YES","NO"),"N/A")</f>
        <v>NO</v>
      </c>
      <c r="N50" s="4" t="str">
        <f>IF(OR($A50="Power Cable"),IF(AND($AD50&lt;&gt;""),"YES","NO"),"N/A")</f>
        <v>N/A</v>
      </c>
      <c r="O50" s="4" t="str">
        <f>IF(OR($A50="Power Cable",$A50="RTD Cable",$A50="Fieldbus Cable"),IF(AND($AE50&lt;&gt;""),"YES","NO"),"N/A")</f>
        <v>N/A</v>
      </c>
      <c r="P50" s="4" t="str">
        <f>IF(OR($A50="RTD"),IF(AND($AH50&lt;&gt;""),"YES","NO"),"N/A")</f>
        <v>N/A</v>
      </c>
      <c r="Q50" s="4" t="str">
        <f>IF(OR($A50="RTD"),IF(AND($AI50&lt;&gt;""),"YES","NO"),"N/A")</f>
        <v>N/A</v>
      </c>
      <c r="R50" s="4" t="str">
        <f>IF(OR($AM50&lt;&gt;"",$Z50&lt;&gt;"",$AC50&lt;&gt;""),"YES","NO")</f>
        <v>NO</v>
      </c>
      <c r="S50" s="4" t="str">
        <f>IF(COUNTIF(I50:R50,"NO")=0,"YES","NO")</f>
        <v>NO</v>
      </c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inlineStr">
        <is>
          <t>D/32SQ3100/15.9M/862/69.9/2.1M/LS23A/X/N12</t>
        </is>
      </c>
      <c r="AK50" s="9" t="inlineStr">
        <is>
          <t>15.9 m m</t>
        </is>
      </c>
      <c r="AL50" s="9" t="inlineStr">
        <is>
          <t>Levy Ostrup</t>
        </is>
      </c>
      <c r="AM50" s="9" t="n"/>
      <c r="AN50" s="9" t="n"/>
    </row>
    <row r="51">
      <c r="A51" s="9" t="inlineStr">
        <is>
          <t>EHT Trace</t>
        </is>
      </c>
      <c r="B51" s="9" t="inlineStr">
        <is>
          <t>29103-ET-P2800-3-1</t>
        </is>
      </c>
      <c r="C51" s="9" t="inlineStr">
        <is>
          <t>29103-ET-P2800-3</t>
        </is>
      </c>
      <c r="D51" s="9" t="inlineStr">
        <is>
          <t>HTC-24 / CB-24</t>
        </is>
      </c>
      <c r="E51" s="9" t="inlineStr">
        <is>
          <t>29103-P-2800</t>
        </is>
      </c>
      <c r="F51" s="9" t="inlineStr">
        <is>
          <t>29103-65R-ET-P2800-03-01</t>
        </is>
      </c>
      <c r="G51" s="9" t="inlineStr">
        <is>
          <t>13.1</t>
        </is>
      </c>
      <c r="H51" s="9" t="inlineStr">
        <is>
          <t>29103-ET-P2800-3-1.pdf</t>
        </is>
      </c>
      <c r="I51" s="4" t="str">
        <f>IF($H51&lt;&gt;"","YES","NO")</f>
        <v>YES</v>
      </c>
      <c r="J51" s="4" t="str">
        <f>IF(N($T51)&gt;0,"YES","NO")</f>
        <v>NO</v>
      </c>
      <c r="K51" s="4" t="str">
        <f>IF(OR($A51="EHT Trace"),IF(AND($U51&lt;&gt;"",$V51&lt;&gt;""),"YES","NO"),"N/A")</f>
        <v>NO</v>
      </c>
      <c r="L51" s="4" t="str">
        <f>IF(OR($A51="EHT Trace"),IF(AND($X51&lt;&gt;"",$Y51&lt;&gt;""),"YES","NO"),"N/A")</f>
        <v>NO</v>
      </c>
      <c r="M51" s="4" t="str">
        <f>IF(OR($A51="EHT Trace"),IF(AND($AA51&lt;&gt;"",$AB51&lt;&gt;""),"YES","NO"),"N/A")</f>
        <v>NO</v>
      </c>
      <c r="N51" s="4" t="str">
        <f>IF(OR($A51="Power Cable"),IF(AND($AD51&lt;&gt;""),"YES","NO"),"N/A")</f>
        <v>N/A</v>
      </c>
      <c r="O51" s="4" t="str">
        <f>IF(OR($A51="Power Cable",$A51="RTD Cable",$A51="Fieldbus Cable"),IF(AND($AE51&lt;&gt;""),"YES","NO"),"N/A")</f>
        <v>N/A</v>
      </c>
      <c r="P51" s="4" t="str">
        <f>IF(OR($A51="RTD"),IF(AND($AH51&lt;&gt;""),"YES","NO"),"N/A")</f>
        <v>N/A</v>
      </c>
      <c r="Q51" s="4" t="str">
        <f>IF(OR($A51="RTD"),IF(AND($AI51&lt;&gt;""),"YES","NO"),"N/A")</f>
        <v>N/A</v>
      </c>
      <c r="R51" s="4" t="str">
        <f>IF(OR($AM51&lt;&gt;"",$Z51&lt;&gt;"",$AC51&lt;&gt;""),"YES","NO")</f>
        <v>NO</v>
      </c>
      <c r="S51" s="4" t="str">
        <f>IF(COUNTIF(I51:R51,"NO")=0,"YES","NO")</f>
        <v>NO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inlineStr">
        <is>
          <t>E/32SQ3374/9.7M/555/84.8/2.1M/LS23A/X/N12/XNF</t>
        </is>
      </c>
      <c r="AK51" s="9" t="inlineStr">
        <is>
          <t>9.7 m m</t>
        </is>
      </c>
      <c r="AL51" s="9" t="inlineStr">
        <is>
          <t>Levy Ostrup</t>
        </is>
      </c>
      <c r="AM51" s="9" t="n"/>
      <c r="AN51" s="9" t="n"/>
    </row>
    <row r="52">
      <c r="A52" s="9" t="inlineStr">
        <is>
          <t>EHT Trace</t>
        </is>
      </c>
      <c r="B52" s="9" t="inlineStr">
        <is>
          <t>29103-ET-P2800-3-2</t>
        </is>
      </c>
      <c r="C52" s="9" t="inlineStr">
        <is>
          <t>29103-ET-P2800-3</t>
        </is>
      </c>
      <c r="D52" s="9" t="inlineStr">
        <is>
          <t>HTC-24 / CB-24</t>
        </is>
      </c>
      <c r="E52" s="9" t="inlineStr">
        <is>
          <t>29103-P-2800</t>
        </is>
      </c>
      <c r="F52" s="9" t="inlineStr">
        <is>
          <t>29103-65R-ET-P2800-03-01</t>
        </is>
      </c>
      <c r="G52" s="9" t="inlineStr">
        <is>
          <t>13.1</t>
        </is>
      </c>
      <c r="H52" s="9" t="inlineStr">
        <is>
          <t>29103-ET-P2800-3-2.pdf</t>
        </is>
      </c>
      <c r="I52" s="4" t="str">
        <f>IF($H52&lt;&gt;"","YES","NO")</f>
        <v>YES</v>
      </c>
      <c r="J52" s="4" t="str">
        <f>IF(N($T52)&gt;0,"YES","NO")</f>
        <v>NO</v>
      </c>
      <c r="K52" s="4" t="str">
        <f>IF(OR($A52="EHT Trace"),IF(AND($U52&lt;&gt;"",$V52&lt;&gt;""),"YES","NO"),"N/A")</f>
        <v>NO</v>
      </c>
      <c r="L52" s="4" t="str">
        <f>IF(OR($A52="EHT Trace"),IF(AND($X52&lt;&gt;"",$Y52&lt;&gt;""),"YES","NO"),"N/A")</f>
        <v>NO</v>
      </c>
      <c r="M52" s="4" t="str">
        <f>IF(OR($A52="EHT Trace"),IF(AND($AA52&lt;&gt;"",$AB52&lt;&gt;""),"YES","NO"),"N/A")</f>
        <v>NO</v>
      </c>
      <c r="N52" s="4" t="str">
        <f>IF(OR($A52="Power Cable"),IF(AND($AD52&lt;&gt;""),"YES","NO"),"N/A")</f>
        <v>N/A</v>
      </c>
      <c r="O52" s="4" t="str">
        <f>IF(OR($A52="Power Cable",$A52="RTD Cable",$A52="Fieldbus Cable"),IF(AND($AE52&lt;&gt;""),"YES","NO"),"N/A")</f>
        <v>N/A</v>
      </c>
      <c r="P52" s="4" t="str">
        <f>IF(OR($A52="RTD"),IF(AND($AH52&lt;&gt;""),"YES","NO"),"N/A")</f>
        <v>N/A</v>
      </c>
      <c r="Q52" s="4" t="str">
        <f>IF(OR($A52="RTD"),IF(AND($AI52&lt;&gt;""),"YES","NO"),"N/A")</f>
        <v>N/A</v>
      </c>
      <c r="R52" s="4" t="str">
        <f>IF(OR($AM52&lt;&gt;"",$Z52&lt;&gt;"",$AC52&lt;&gt;""),"YES","NO")</f>
        <v>NO</v>
      </c>
      <c r="S52" s="4" t="str">
        <f>IF(COUNTIF(I52:R52,"NO")=0,"YES","NO")</f>
        <v>NO</v>
      </c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inlineStr">
        <is>
          <t>E/32SQ3374/9.7M/555/84.8/2.1M/LS23A/X/N12/XNF</t>
        </is>
      </c>
      <c r="AK52" s="9" t="inlineStr">
        <is>
          <t>9.7 m m</t>
        </is>
      </c>
      <c r="AL52" s="9" t="inlineStr">
        <is>
          <t>Levy Ostrup</t>
        </is>
      </c>
      <c r="AM52" s="9" t="n"/>
      <c r="AN52" s="9" t="n"/>
    </row>
    <row r="53">
      <c r="A53" s="9" t="inlineStr">
        <is>
          <t>EHT Trace</t>
        </is>
      </c>
      <c r="B53" s="9" t="inlineStr">
        <is>
          <t>29103-ET-P2800-3-3</t>
        </is>
      </c>
      <c r="C53" s="9" t="inlineStr">
        <is>
          <t>29103-ET-P2800-3</t>
        </is>
      </c>
      <c r="D53" s="9" t="inlineStr">
        <is>
          <t>HTC-24 / CB-24</t>
        </is>
      </c>
      <c r="E53" s="9" t="inlineStr">
        <is>
          <t>29103-P-2800</t>
        </is>
      </c>
      <c r="F53" s="9" t="inlineStr">
        <is>
          <t>29103-65R-ET-P2800-03-01</t>
        </is>
      </c>
      <c r="G53" s="9" t="inlineStr">
        <is>
          <t>13.1</t>
        </is>
      </c>
      <c r="H53" s="9" t="inlineStr">
        <is>
          <t>29103-ET-P2800-3-3.pdf</t>
        </is>
      </c>
      <c r="I53" s="4" t="str">
        <f>IF($H53&lt;&gt;"","YES","NO")</f>
        <v>YES</v>
      </c>
      <c r="J53" s="4" t="str">
        <f>IF(N($T53)&gt;0,"YES","NO")</f>
        <v>NO</v>
      </c>
      <c r="K53" s="4" t="str">
        <f>IF(OR($A53="EHT Trace"),IF(AND($U53&lt;&gt;"",$V53&lt;&gt;""),"YES","NO"),"N/A")</f>
        <v>NO</v>
      </c>
      <c r="L53" s="4" t="str">
        <f>IF(OR($A53="EHT Trace"),IF(AND($X53&lt;&gt;"",$Y53&lt;&gt;""),"YES","NO"),"N/A")</f>
        <v>NO</v>
      </c>
      <c r="M53" s="4" t="str">
        <f>IF(OR($A53="EHT Trace"),IF(AND($AA53&lt;&gt;"",$AB53&lt;&gt;""),"YES","NO"),"N/A")</f>
        <v>NO</v>
      </c>
      <c r="N53" s="4" t="str">
        <f>IF(OR($A53="Power Cable"),IF(AND($AD53&lt;&gt;""),"YES","NO"),"N/A")</f>
        <v>N/A</v>
      </c>
      <c r="O53" s="4" t="str">
        <f>IF(OR($A53="Power Cable",$A53="RTD Cable",$A53="Fieldbus Cable"),IF(AND($AE53&lt;&gt;""),"YES","NO"),"N/A")</f>
        <v>N/A</v>
      </c>
      <c r="P53" s="4" t="str">
        <f>IF(OR($A53="RTD"),IF(AND($AH53&lt;&gt;""),"YES","NO"),"N/A")</f>
        <v>N/A</v>
      </c>
      <c r="Q53" s="4" t="str">
        <f>IF(OR($A53="RTD"),IF(AND($AI53&lt;&gt;""),"YES","NO"),"N/A")</f>
        <v>N/A</v>
      </c>
      <c r="R53" s="4" t="str">
        <f>IF(OR($AM53&lt;&gt;"",$Z53&lt;&gt;"",$AC53&lt;&gt;""),"YES","NO")</f>
        <v>NO</v>
      </c>
      <c r="S53" s="4" t="str">
        <f>IF(COUNTIF(I53:R53,"NO")=0,"YES","NO")</f>
        <v>NO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inlineStr">
        <is>
          <t>D/32SQ3374/22M/1258/192/2.1M/LS23A/X/N12/XMN</t>
        </is>
      </c>
      <c r="AK53" s="9" t="inlineStr">
        <is>
          <t>22 m m</t>
        </is>
      </c>
      <c r="AL53" s="9" t="inlineStr">
        <is>
          <t>Levy Ostrup</t>
        </is>
      </c>
      <c r="AM53" s="9" t="n"/>
      <c r="AN53" s="9" t="n"/>
    </row>
    <row r="54">
      <c r="A54" s="9" t="inlineStr">
        <is>
          <t>EHT Trace</t>
        </is>
      </c>
      <c r="B54" s="9" t="inlineStr">
        <is>
          <t>29103-ET-P2800-3-4</t>
        </is>
      </c>
      <c r="C54" s="9" t="inlineStr">
        <is>
          <t>29103-ET-P2800-3</t>
        </is>
      </c>
      <c r="D54" s="9" t="inlineStr">
        <is>
          <t>HTC-24 / CB-24</t>
        </is>
      </c>
      <c r="E54" s="9" t="inlineStr">
        <is>
          <t>29103-P-2800</t>
        </is>
      </c>
      <c r="F54" s="9" t="inlineStr">
        <is>
          <t>29103-65R-ET-P2800-03-01</t>
        </is>
      </c>
      <c r="G54" s="9" t="inlineStr">
        <is>
          <t>13.1</t>
        </is>
      </c>
      <c r="H54" s="9" t="inlineStr">
        <is>
          <t>29103-ET-P2800-3-4.pdf</t>
        </is>
      </c>
      <c r="I54" s="4" t="str">
        <f>IF($H54&lt;&gt;"","YES","NO")</f>
        <v>YES</v>
      </c>
      <c r="J54" s="4" t="str">
        <f>IF(N($T54)&gt;0,"YES","NO")</f>
        <v>NO</v>
      </c>
      <c r="K54" s="4" t="str">
        <f>IF(OR($A54="EHT Trace"),IF(AND($U54&lt;&gt;"",$V54&lt;&gt;""),"YES","NO"),"N/A")</f>
        <v>NO</v>
      </c>
      <c r="L54" s="4" t="str">
        <f>IF(OR($A54="EHT Trace"),IF(AND($X54&lt;&gt;"",$Y54&lt;&gt;""),"YES","NO"),"N/A")</f>
        <v>NO</v>
      </c>
      <c r="M54" s="4" t="str">
        <f>IF(OR($A54="EHT Trace"),IF(AND($AA54&lt;&gt;"",$AB54&lt;&gt;""),"YES","NO"),"N/A")</f>
        <v>NO</v>
      </c>
      <c r="N54" s="4" t="str">
        <f>IF(OR($A54="Power Cable"),IF(AND($AD54&lt;&gt;""),"YES","NO"),"N/A")</f>
        <v>N/A</v>
      </c>
      <c r="O54" s="4" t="str">
        <f>IF(OR($A54="Power Cable",$A54="RTD Cable",$A54="Fieldbus Cable"),IF(AND($AE54&lt;&gt;""),"YES","NO"),"N/A")</f>
        <v>N/A</v>
      </c>
      <c r="P54" s="4" t="str">
        <f>IF(OR($A54="RTD"),IF(AND($AH54&lt;&gt;""),"YES","NO"),"N/A")</f>
        <v>N/A</v>
      </c>
      <c r="Q54" s="4" t="str">
        <f>IF(OR($A54="RTD"),IF(AND($AI54&lt;&gt;""),"YES","NO"),"N/A")</f>
        <v>N/A</v>
      </c>
      <c r="R54" s="4" t="str">
        <f>IF(OR($AM54&lt;&gt;"",$Z54&lt;&gt;"",$AC54&lt;&gt;""),"YES","NO")</f>
        <v>NO</v>
      </c>
      <c r="S54" s="4" t="str">
        <f>IF(COUNTIF(I54:R54,"NO")=0,"YES","NO")</f>
        <v>NO</v>
      </c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inlineStr">
        <is>
          <t>D/32SQ3374/22M/1258/192/2.1M/LS23A/X/N12/XMN</t>
        </is>
      </c>
      <c r="AK54" s="9" t="inlineStr">
        <is>
          <t>22 m m</t>
        </is>
      </c>
      <c r="AL54" s="9" t="inlineStr">
        <is>
          <t>Levy Ostrup</t>
        </is>
      </c>
      <c r="AM54" s="9" t="n"/>
      <c r="AN54" s="9" t="n"/>
    </row>
    <row r="55">
      <c r="A55" s="9" t="inlineStr">
        <is>
          <t>EHT Trace</t>
        </is>
      </c>
      <c r="B55" s="9" t="inlineStr">
        <is>
          <t>29103-ET-PE2101-1-1</t>
        </is>
      </c>
      <c r="C55" s="9" t="inlineStr">
        <is>
          <t>29103-ET-PE2101-1</t>
        </is>
      </c>
      <c r="D55" s="9" t="inlineStr">
        <is>
          <t>HTC-23 / CB-23</t>
        </is>
      </c>
      <c r="E55" s="9" t="inlineStr">
        <is>
          <t>29103-PE-2101</t>
        </is>
      </c>
      <c r="F55" s="9" t="inlineStr">
        <is>
          <t>29103-65R-ET-PE2101-01-01</t>
        </is>
      </c>
      <c r="G55" s="9" t="inlineStr">
        <is>
          <t>13.1</t>
        </is>
      </c>
      <c r="H55" s="9" t="inlineStr">
        <is>
          <t>29103-ET-PE2101-1-1.pdf</t>
        </is>
      </c>
      <c r="I55" s="4" t="str">
        <f>IF($H55&lt;&gt;"","YES","NO")</f>
        <v>YES</v>
      </c>
      <c r="J55" s="4" t="str">
        <f>IF(N($T55)&gt;0,"YES","NO")</f>
        <v>NO</v>
      </c>
      <c r="K55" s="4" t="str">
        <f>IF(OR($A55="EHT Trace"),IF(AND($U55&lt;&gt;"",$V55&lt;&gt;""),"YES","NO"),"N/A")</f>
        <v>NO</v>
      </c>
      <c r="L55" s="4" t="str">
        <f>IF(OR($A55="EHT Trace"),IF(AND($X55&lt;&gt;"",$Y55&lt;&gt;""),"YES","NO"),"N/A")</f>
        <v>NO</v>
      </c>
      <c r="M55" s="4" t="str">
        <f>IF(OR($A55="EHT Trace"),IF(AND($AA55&lt;&gt;"",$AB55&lt;&gt;""),"YES","NO"),"N/A")</f>
        <v>NO</v>
      </c>
      <c r="N55" s="4" t="str">
        <f>IF(OR($A55="Power Cable"),IF(AND($AD55&lt;&gt;""),"YES","NO"),"N/A")</f>
        <v>N/A</v>
      </c>
      <c r="O55" s="4" t="str">
        <f>IF(OR($A55="Power Cable",$A55="RTD Cable",$A55="Fieldbus Cable"),IF(AND($AE55&lt;&gt;""),"YES","NO"),"N/A")</f>
        <v>N/A</v>
      </c>
      <c r="P55" s="4" t="str">
        <f>IF(OR($A55="RTD"),IF(AND($AH55&lt;&gt;""),"YES","NO"),"N/A")</f>
        <v>N/A</v>
      </c>
      <c r="Q55" s="4" t="str">
        <f>IF(OR($A55="RTD"),IF(AND($AI55&lt;&gt;""),"YES","NO"),"N/A")</f>
        <v>N/A</v>
      </c>
      <c r="R55" s="4" t="str">
        <f>IF(OR($AM55&lt;&gt;"",$Z55&lt;&gt;"",$AC55&lt;&gt;""),"YES","NO")</f>
        <v>NO</v>
      </c>
      <c r="S55" s="4" t="str">
        <f>IF(COUNTIF(I55:R55,"NO")=0,"YES","NO")</f>
        <v>NO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inlineStr">
        <is>
          <t>D/32SF1110/7.8M/269/277/1.2M/LS23A/X/N12</t>
        </is>
      </c>
      <c r="AK55" s="9" t="inlineStr">
        <is>
          <t>7.8 m m</t>
        </is>
      </c>
      <c r="AL55" s="9" t="inlineStr">
        <is>
          <t>Levy Ostrup</t>
        </is>
      </c>
      <c r="AM55" s="9" t="n"/>
      <c r="AN55" s="9" t="n"/>
    </row>
    <row r="56">
      <c r="A56" s="9" t="inlineStr">
        <is>
          <t>EHT Trace</t>
        </is>
      </c>
      <c r="B56" s="9" t="inlineStr">
        <is>
          <t>29103-ET-PE2101-1-2</t>
        </is>
      </c>
      <c r="C56" s="9" t="inlineStr">
        <is>
          <t>29103-ET-PE2101-1</t>
        </is>
      </c>
      <c r="D56" s="9" t="inlineStr">
        <is>
          <t>HTC-23 / CB-23</t>
        </is>
      </c>
      <c r="E56" s="9" t="inlineStr">
        <is>
          <t>29103-PE-2101</t>
        </is>
      </c>
      <c r="F56" s="9" t="inlineStr">
        <is>
          <t>29103-65R-ET-PE2101-01-01</t>
        </is>
      </c>
      <c r="G56" s="9" t="inlineStr">
        <is>
          <t>13.1</t>
        </is>
      </c>
      <c r="H56" s="9" t="inlineStr">
        <is>
          <t>29103-ET-PE2101-1-2.pdf</t>
        </is>
      </c>
      <c r="I56" s="4" t="str">
        <f>IF($H56&lt;&gt;"","YES","NO")</f>
        <v>YES</v>
      </c>
      <c r="J56" s="4" t="str">
        <f>IF(N($T56)&gt;0,"YES","NO")</f>
        <v>NO</v>
      </c>
      <c r="K56" s="4" t="str">
        <f>IF(OR($A56="EHT Trace"),IF(AND($U56&lt;&gt;"",$V56&lt;&gt;""),"YES","NO"),"N/A")</f>
        <v>NO</v>
      </c>
      <c r="L56" s="4" t="str">
        <f>IF(OR($A56="EHT Trace"),IF(AND($X56&lt;&gt;"",$Y56&lt;&gt;""),"YES","NO"),"N/A")</f>
        <v>NO</v>
      </c>
      <c r="M56" s="4" t="str">
        <f>IF(OR($A56="EHT Trace"),IF(AND($AA56&lt;&gt;"",$AB56&lt;&gt;""),"YES","NO"),"N/A")</f>
        <v>NO</v>
      </c>
      <c r="N56" s="4" t="str">
        <f>IF(OR($A56="Power Cable"),IF(AND($AD56&lt;&gt;""),"YES","NO"),"N/A")</f>
        <v>N/A</v>
      </c>
      <c r="O56" s="4" t="str">
        <f>IF(OR($A56="Power Cable",$A56="RTD Cable",$A56="Fieldbus Cable"),IF(AND($AE56&lt;&gt;""),"YES","NO"),"N/A")</f>
        <v>N/A</v>
      </c>
      <c r="P56" s="4" t="str">
        <f>IF(OR($A56="RTD"),IF(AND($AH56&lt;&gt;""),"YES","NO"),"N/A")</f>
        <v>N/A</v>
      </c>
      <c r="Q56" s="4" t="str">
        <f>IF(OR($A56="RTD"),IF(AND($AI56&lt;&gt;""),"YES","NO"),"N/A")</f>
        <v>N/A</v>
      </c>
      <c r="R56" s="4" t="str">
        <f>IF(OR($AM56&lt;&gt;"",$Z56&lt;&gt;"",$AC56&lt;&gt;""),"YES","NO")</f>
        <v>NO</v>
      </c>
      <c r="S56" s="4" t="str">
        <f>IF(COUNTIF(I56:R56,"NO")=0,"YES","NO")</f>
        <v>NO</v>
      </c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inlineStr">
        <is>
          <t>E/32SQ3472/9.5M/505/89.8/1.2M/LS23A/X/N12/XNF</t>
        </is>
      </c>
      <c r="AK56" s="9" t="inlineStr">
        <is>
          <t>9.5 m m</t>
        </is>
      </c>
      <c r="AL56" s="9" t="inlineStr">
        <is>
          <t>Levy Ostrup</t>
        </is>
      </c>
      <c r="AM56" s="9" t="n"/>
      <c r="AN56" s="9" t="n"/>
    </row>
    <row r="57">
      <c r="A57" s="9" t="inlineStr">
        <is>
          <t>EHT Trace</t>
        </is>
      </c>
      <c r="B57" s="9" t="inlineStr">
        <is>
          <t>29103-ET-PE2101-1-3</t>
        </is>
      </c>
      <c r="C57" s="9" t="inlineStr">
        <is>
          <t>29103-ET-PE2101-1</t>
        </is>
      </c>
      <c r="D57" s="9" t="inlineStr">
        <is>
          <t>HTC-23 / CB-23</t>
        </is>
      </c>
      <c r="E57" s="9" t="inlineStr">
        <is>
          <t>29103-PE-2101</t>
        </is>
      </c>
      <c r="F57" s="9" t="inlineStr">
        <is>
          <t>29103-65R-ET-PE2101-01-01</t>
        </is>
      </c>
      <c r="G57" s="9" t="inlineStr">
        <is>
          <t>13.1</t>
        </is>
      </c>
      <c r="H57" s="9" t="inlineStr">
        <is>
          <t>29103-ET-PE2101-1-3.pdf</t>
        </is>
      </c>
      <c r="I57" s="4" t="str">
        <f>IF($H57&lt;&gt;"","YES","NO")</f>
        <v>YES</v>
      </c>
      <c r="J57" s="4" t="str">
        <f>IF(N($T57)&gt;0,"YES","NO")</f>
        <v>NO</v>
      </c>
      <c r="K57" s="4" t="str">
        <f>IF(OR($A57="EHT Trace"),IF(AND($U57&lt;&gt;"",$V57&lt;&gt;""),"YES","NO"),"N/A")</f>
        <v>NO</v>
      </c>
      <c r="L57" s="4" t="str">
        <f>IF(OR($A57="EHT Trace"),IF(AND($X57&lt;&gt;"",$Y57&lt;&gt;""),"YES","NO"),"N/A")</f>
        <v>NO</v>
      </c>
      <c r="M57" s="4" t="str">
        <f>IF(OR($A57="EHT Trace"),IF(AND($AA57&lt;&gt;"",$AB57&lt;&gt;""),"YES","NO"),"N/A")</f>
        <v>NO</v>
      </c>
      <c r="N57" s="4" t="str">
        <f>IF(OR($A57="Power Cable"),IF(AND($AD57&lt;&gt;""),"YES","NO"),"N/A")</f>
        <v>N/A</v>
      </c>
      <c r="O57" s="4" t="str">
        <f>IF(OR($A57="Power Cable",$A57="RTD Cable",$A57="Fieldbus Cable"),IF(AND($AE57&lt;&gt;""),"YES","NO"),"N/A")</f>
        <v>N/A</v>
      </c>
      <c r="P57" s="4" t="str">
        <f>IF(OR($A57="RTD"),IF(AND($AH57&lt;&gt;""),"YES","NO"),"N/A")</f>
        <v>N/A</v>
      </c>
      <c r="Q57" s="4" t="str">
        <f>IF(OR($A57="RTD"),IF(AND($AI57&lt;&gt;""),"YES","NO"),"N/A")</f>
        <v>N/A</v>
      </c>
      <c r="R57" s="4" t="str">
        <f>IF(OR($AM57&lt;&gt;"",$Z57&lt;&gt;"",$AC57&lt;&gt;""),"YES","NO")</f>
        <v>NO</v>
      </c>
      <c r="S57" s="4" t="str">
        <f>IF(COUNTIF(I57:R57,"NO")=0,"YES","NO")</f>
        <v>NO</v>
      </c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inlineStr">
        <is>
          <t>E/32SQ3472/6.6M/351/62.4/1.2M/LS23A/X/N12/XMF</t>
        </is>
      </c>
      <c r="AK57" s="9" t="inlineStr">
        <is>
          <t>6.6 m m</t>
        </is>
      </c>
      <c r="AL57" s="9" t="inlineStr">
        <is>
          <t>Levy Ostrup</t>
        </is>
      </c>
      <c r="AM57" s="9" t="n"/>
      <c r="AN57" s="9" t="n"/>
    </row>
    <row r="58">
      <c r="A58" s="9" t="inlineStr">
        <is>
          <t>EHT Trace</t>
        </is>
      </c>
      <c r="B58" s="9" t="inlineStr">
        <is>
          <t>29103-ET-PE2101-1-4</t>
        </is>
      </c>
      <c r="C58" s="9" t="inlineStr">
        <is>
          <t>29103-ET-PE2101-1</t>
        </is>
      </c>
      <c r="D58" s="9" t="inlineStr">
        <is>
          <t>HTC-23 / CB-23</t>
        </is>
      </c>
      <c r="E58" s="9" t="inlineStr">
        <is>
          <t>29103-PE-2101</t>
        </is>
      </c>
      <c r="F58" s="9" t="inlineStr">
        <is>
          <t>29103-65R-ET-PE2101-01-01</t>
        </is>
      </c>
      <c r="G58" s="9" t="inlineStr">
        <is>
          <t>13.1</t>
        </is>
      </c>
      <c r="H58" s="9" t="inlineStr">
        <is>
          <t>29103-ET-PE2101-1-4.pdf</t>
        </is>
      </c>
      <c r="I58" s="4" t="str">
        <f>IF($H58&lt;&gt;"","YES","NO")</f>
        <v>YES</v>
      </c>
      <c r="J58" s="4" t="str">
        <f>IF(N($T58)&gt;0,"YES","NO")</f>
        <v>NO</v>
      </c>
      <c r="K58" s="4" t="str">
        <f>IF(OR($A58="EHT Trace"),IF(AND($U58&lt;&gt;"",$V58&lt;&gt;""),"YES","NO"),"N/A")</f>
        <v>NO</v>
      </c>
      <c r="L58" s="4" t="str">
        <f>IF(OR($A58="EHT Trace"),IF(AND($X58&lt;&gt;"",$Y58&lt;&gt;""),"YES","NO"),"N/A")</f>
        <v>NO</v>
      </c>
      <c r="M58" s="4" t="str">
        <f>IF(OR($A58="EHT Trace"),IF(AND($AA58&lt;&gt;"",$AB58&lt;&gt;""),"YES","NO"),"N/A")</f>
        <v>NO</v>
      </c>
      <c r="N58" s="4" t="str">
        <f>IF(OR($A58="Power Cable"),IF(AND($AD58&lt;&gt;""),"YES","NO"),"N/A")</f>
        <v>N/A</v>
      </c>
      <c r="O58" s="4" t="str">
        <f>IF(OR($A58="Power Cable",$A58="RTD Cable",$A58="Fieldbus Cable"),IF(AND($AE58&lt;&gt;""),"YES","NO"),"N/A")</f>
        <v>N/A</v>
      </c>
      <c r="P58" s="4" t="str">
        <f>IF(OR($A58="RTD"),IF(AND($AH58&lt;&gt;""),"YES","NO"),"N/A")</f>
        <v>N/A</v>
      </c>
      <c r="Q58" s="4" t="str">
        <f>IF(OR($A58="RTD"),IF(AND($AI58&lt;&gt;""),"YES","NO"),"N/A")</f>
        <v>N/A</v>
      </c>
      <c r="R58" s="4" t="str">
        <f>IF(OR($AM58&lt;&gt;"",$Z58&lt;&gt;"",$AC58&lt;&gt;""),"YES","NO")</f>
        <v>NO</v>
      </c>
      <c r="S58" s="4" t="str">
        <f>IF(COUNTIF(I58:R58,"NO")=0,"YES","NO")</f>
        <v>NO</v>
      </c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inlineStr">
        <is>
          <t>D/32SQ3472/13.2M/702/125/1.2M/LS23A/X/N12/XMN</t>
        </is>
      </c>
      <c r="AK58" s="9" t="inlineStr">
        <is>
          <t>13.2 m m</t>
        </is>
      </c>
      <c r="AL58" s="9" t="inlineStr">
        <is>
          <t>Levy Ostrup</t>
        </is>
      </c>
      <c r="AM58" s="9" t="n"/>
      <c r="AN58" s="9" t="n"/>
    </row>
    <row r="59">
      <c r="A59" s="9" t="inlineStr">
        <is>
          <t>EHT Trace</t>
        </is>
      </c>
      <c r="B59" s="9" t="inlineStr">
        <is>
          <t>29103-ET-PE2101-2-1</t>
        </is>
      </c>
      <c r="C59" s="9" t="inlineStr">
        <is>
          <t>29103-ET-PE2101-2</t>
        </is>
      </c>
      <c r="D59" s="9" t="inlineStr">
        <is>
          <t>HTC-16 / CB-16</t>
        </is>
      </c>
      <c r="E59" s="9" t="inlineStr">
        <is>
          <t>29103-PE-2101</t>
        </is>
      </c>
      <c r="F59" s="9" t="inlineStr">
        <is>
          <t>29103-65R-ET-PE2101-02-01</t>
        </is>
      </c>
      <c r="G59" s="9" t="inlineStr">
        <is>
          <t>13.1</t>
        </is>
      </c>
      <c r="H59" s="9" t="inlineStr">
        <is>
          <t>29103-ET-PE2101-2-1.pdf</t>
        </is>
      </c>
      <c r="I59" s="4" t="str">
        <f>IF($H59&lt;&gt;"","YES","NO")</f>
        <v>YES</v>
      </c>
      <c r="J59" s="4" t="str">
        <f>IF(N($T59)&gt;0,"YES","NO")</f>
        <v>NO</v>
      </c>
      <c r="K59" s="4" t="str">
        <f>IF(OR($A59="EHT Trace"),IF(AND($U59&lt;&gt;"",$V59&lt;&gt;""),"YES","NO"),"N/A")</f>
        <v>NO</v>
      </c>
      <c r="L59" s="4" t="str">
        <f>IF(OR($A59="EHT Trace"),IF(AND($X59&lt;&gt;"",$Y59&lt;&gt;""),"YES","NO"),"N/A")</f>
        <v>NO</v>
      </c>
      <c r="M59" s="4" t="str">
        <f>IF(OR($A59="EHT Trace"),IF(AND($AA59&lt;&gt;"",$AB59&lt;&gt;""),"YES","NO"),"N/A")</f>
        <v>NO</v>
      </c>
      <c r="N59" s="4" t="str">
        <f>IF(OR($A59="Power Cable"),IF(AND($AD59&lt;&gt;""),"YES","NO"),"N/A")</f>
        <v>N/A</v>
      </c>
      <c r="O59" s="4" t="str">
        <f>IF(OR($A59="Power Cable",$A59="RTD Cable",$A59="Fieldbus Cable"),IF(AND($AE59&lt;&gt;""),"YES","NO"),"N/A")</f>
        <v>N/A</v>
      </c>
      <c r="P59" s="4" t="str">
        <f>IF(OR($A59="RTD"),IF(AND($AH59&lt;&gt;""),"YES","NO"),"N/A")</f>
        <v>N/A</v>
      </c>
      <c r="Q59" s="4" t="str">
        <f>IF(OR($A59="RTD"),IF(AND($AI59&lt;&gt;""),"YES","NO"),"N/A")</f>
        <v>N/A</v>
      </c>
      <c r="R59" s="4" t="str">
        <f>IF(OR($AM59&lt;&gt;"",$Z59&lt;&gt;"",$AC59&lt;&gt;""),"YES","NO")</f>
        <v>NO</v>
      </c>
      <c r="S59" s="4" t="str">
        <f>IF(COUNTIF(I59:R59,"NO")=0,"YES","NO")</f>
        <v>NO</v>
      </c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inlineStr">
        <is>
          <t>D/32SQ3200/52.5M/2063/277/1.2M/LS23A/X/N12</t>
        </is>
      </c>
      <c r="AK59" s="9" t="inlineStr">
        <is>
          <t>52.5 m m</t>
        </is>
      </c>
      <c r="AL59" s="9" t="inlineStr">
        <is>
          <t>Levy Ostrup</t>
        </is>
      </c>
      <c r="AM59" s="9" t="n"/>
      <c r="AN59" s="9" t="n"/>
    </row>
    <row r="60">
      <c r="A60" s="9" t="inlineStr">
        <is>
          <t>EHT Trace</t>
        </is>
      </c>
      <c r="B60" s="9" t="inlineStr">
        <is>
          <t>29103-ET-PE2101-2-2</t>
        </is>
      </c>
      <c r="C60" s="9" t="inlineStr">
        <is>
          <t>29103-ET-PE2101-2</t>
        </is>
      </c>
      <c r="D60" s="9" t="inlineStr">
        <is>
          <t>HTC-16 / CB-16</t>
        </is>
      </c>
      <c r="E60" s="9" t="inlineStr">
        <is>
          <t>29103-PE-2101</t>
        </is>
      </c>
      <c r="F60" s="9" t="inlineStr">
        <is>
          <t>29103-65R-ET-PE2101-02-01</t>
        </is>
      </c>
      <c r="G60" s="9" t="inlineStr">
        <is>
          <t>13.1</t>
        </is>
      </c>
      <c r="H60" s="9" t="inlineStr">
        <is>
          <t>29103-ET-PE2101-2-2.pdf</t>
        </is>
      </c>
      <c r="I60" s="4" t="str">
        <f>IF($H60&lt;&gt;"","YES","NO")</f>
        <v>YES</v>
      </c>
      <c r="J60" s="4" t="str">
        <f>IF(N($T60)&gt;0,"YES","NO")</f>
        <v>NO</v>
      </c>
      <c r="K60" s="4" t="str">
        <f>IF(OR($A60="EHT Trace"),IF(AND($U60&lt;&gt;"",$V60&lt;&gt;""),"YES","NO"),"N/A")</f>
        <v>NO</v>
      </c>
      <c r="L60" s="4" t="str">
        <f>IF(OR($A60="EHT Trace"),IF(AND($X60&lt;&gt;"",$Y60&lt;&gt;""),"YES","NO"),"N/A")</f>
        <v>NO</v>
      </c>
      <c r="M60" s="4" t="str">
        <f>IF(OR($A60="EHT Trace"),IF(AND($AA60&lt;&gt;"",$AB60&lt;&gt;""),"YES","NO"),"N/A")</f>
        <v>NO</v>
      </c>
      <c r="N60" s="4" t="str">
        <f>IF(OR($A60="Power Cable"),IF(AND($AD60&lt;&gt;""),"YES","NO"),"N/A")</f>
        <v>N/A</v>
      </c>
      <c r="O60" s="4" t="str">
        <f>IF(OR($A60="Power Cable",$A60="RTD Cable",$A60="Fieldbus Cable"),IF(AND($AE60&lt;&gt;""),"YES","NO"),"N/A")</f>
        <v>N/A</v>
      </c>
      <c r="P60" s="4" t="str">
        <f>IF(OR($A60="RTD"),IF(AND($AH60&lt;&gt;""),"YES","NO"),"N/A")</f>
        <v>N/A</v>
      </c>
      <c r="Q60" s="4" t="str">
        <f>IF(OR($A60="RTD"),IF(AND($AI60&lt;&gt;""),"YES","NO"),"N/A")</f>
        <v>N/A</v>
      </c>
      <c r="R60" s="4" t="str">
        <f>IF(OR($AM60&lt;&gt;"",$Z60&lt;&gt;"",$AC60&lt;&gt;""),"YES","NO")</f>
        <v>NO</v>
      </c>
      <c r="S60" s="4" t="str">
        <f>IF(COUNTIF(I60:R60,"NO")=0,"YES","NO")</f>
        <v>NO</v>
      </c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inlineStr">
        <is>
          <t>D/32SB2114/29.4M/694/277/1.2M/LS23A/X/N12</t>
        </is>
      </c>
      <c r="AK60" s="9" t="inlineStr">
        <is>
          <t>29.4 m m</t>
        </is>
      </c>
      <c r="AL60" s="9" t="inlineStr">
        <is>
          <t>Levy Ostrup</t>
        </is>
      </c>
      <c r="AM60" s="9" t="n"/>
      <c r="AN60" s="9" t="n"/>
    </row>
    <row r="61">
      <c r="A61" s="9" t="inlineStr">
        <is>
          <t>EHT Trace</t>
        </is>
      </c>
      <c r="B61" s="9" t="inlineStr">
        <is>
          <t>29103-ET-PE2102-1-1</t>
        </is>
      </c>
      <c r="C61" s="9" t="inlineStr">
        <is>
          <t>29103-ET-PE2102-1</t>
        </is>
      </c>
      <c r="D61" s="9" t="inlineStr">
        <is>
          <t>HTC-20 / CB-20</t>
        </is>
      </c>
      <c r="E61" s="9" t="inlineStr">
        <is>
          <t>29103-PE-2103, 29103-PE-2102</t>
        </is>
      </c>
      <c r="F61" s="9" t="inlineStr">
        <is>
          <t>29103-65R-ET-PE2102-01-01</t>
        </is>
      </c>
      <c r="G61" s="9" t="inlineStr">
        <is>
          <t>13.1</t>
        </is>
      </c>
      <c r="H61" s="9" t="inlineStr">
        <is>
          <t>29103-ET-PE2102-1-1.pdf</t>
        </is>
      </c>
      <c r="I61" s="4" t="str">
        <f>IF($H61&lt;&gt;"","YES","NO")</f>
        <v>YES</v>
      </c>
      <c r="J61" s="4" t="str">
        <f>IF(N($T61)&gt;0,"YES","NO")</f>
        <v>NO</v>
      </c>
      <c r="K61" s="4" t="str">
        <f>IF(OR($A61="EHT Trace"),IF(AND($U61&lt;&gt;"",$V61&lt;&gt;""),"YES","NO"),"N/A")</f>
        <v>NO</v>
      </c>
      <c r="L61" s="4" t="str">
        <f>IF(OR($A61="EHT Trace"),IF(AND($X61&lt;&gt;"",$Y61&lt;&gt;""),"YES","NO"),"N/A")</f>
        <v>NO</v>
      </c>
      <c r="M61" s="4" t="str">
        <f>IF(OR($A61="EHT Trace"),IF(AND($AA61&lt;&gt;"",$AB61&lt;&gt;""),"YES","NO"),"N/A")</f>
        <v>NO</v>
      </c>
      <c r="N61" s="4" t="str">
        <f>IF(OR($A61="Power Cable"),IF(AND($AD61&lt;&gt;""),"YES","NO"),"N/A")</f>
        <v>N/A</v>
      </c>
      <c r="O61" s="4" t="str">
        <f>IF(OR($A61="Power Cable",$A61="RTD Cable",$A61="Fieldbus Cable"),IF(AND($AE61&lt;&gt;""),"YES","NO"),"N/A")</f>
        <v>N/A</v>
      </c>
      <c r="P61" s="4" t="str">
        <f>IF(OR($A61="RTD"),IF(AND($AH61&lt;&gt;""),"YES","NO"),"N/A")</f>
        <v>N/A</v>
      </c>
      <c r="Q61" s="4" t="str">
        <f>IF(OR($A61="RTD"),IF(AND($AI61&lt;&gt;""),"YES","NO"),"N/A")</f>
        <v>N/A</v>
      </c>
      <c r="R61" s="4" t="str">
        <f>IF(OR($AM61&lt;&gt;"",$Z61&lt;&gt;"",$AC61&lt;&gt;""),"YES","NO")</f>
        <v>NO</v>
      </c>
      <c r="S61" s="4" t="str">
        <f>IF(COUNTIF(I61:R61,"NO")=0,"YES","NO")</f>
        <v>NO</v>
      </c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inlineStr">
        <is>
          <t>D/32SQ3374/34.9M/1658/277/1.2M/LS23A/X/N12</t>
        </is>
      </c>
      <c r="AK61" s="9" t="inlineStr">
        <is>
          <t>34.9 m m</t>
        </is>
      </c>
      <c r="AL61" s="9" t="inlineStr">
        <is>
          <t>Levy Ostrup</t>
        </is>
      </c>
      <c r="AM61" s="9" t="n"/>
      <c r="AN61" s="9" t="n"/>
    </row>
    <row r="62">
      <c r="A62" s="9" t="inlineStr">
        <is>
          <t>EHT Trace</t>
        </is>
      </c>
      <c r="B62" s="9" t="inlineStr">
        <is>
          <t>29103-ET-PE2201-1-1</t>
        </is>
      </c>
      <c r="C62" s="9" t="inlineStr">
        <is>
          <t>29103-ET-PE2201-1</t>
        </is>
      </c>
      <c r="D62" s="9" t="inlineStr">
        <is>
          <t>HTC-08 / CB-08</t>
        </is>
      </c>
      <c r="E62" s="9" t="inlineStr">
        <is>
          <t>29103-PE-2201</t>
        </is>
      </c>
      <c r="F62" s="9" t="inlineStr">
        <is>
          <t>29103-65R-ET-PE2201-01-01</t>
        </is>
      </c>
      <c r="G62" s="9" t="inlineStr">
        <is>
          <t>13.1</t>
        </is>
      </c>
      <c r="H62" s="9" t="inlineStr">
        <is>
          <t>29103-ET-PE2201-1-1.pdf</t>
        </is>
      </c>
      <c r="I62" s="4" t="str">
        <f>IF($H62&lt;&gt;"","YES","NO")</f>
        <v>YES</v>
      </c>
      <c r="J62" s="4" t="str">
        <f>IF(N($T62)&gt;0,"YES","NO")</f>
        <v>NO</v>
      </c>
      <c r="K62" s="4" t="str">
        <f>IF(OR($A62="EHT Trace"),IF(AND($U62&lt;&gt;"",$V62&lt;&gt;""),"YES","NO"),"N/A")</f>
        <v>NO</v>
      </c>
      <c r="L62" s="4" t="str">
        <f>IF(OR($A62="EHT Trace"),IF(AND($X62&lt;&gt;"",$Y62&lt;&gt;""),"YES","NO"),"N/A")</f>
        <v>NO</v>
      </c>
      <c r="M62" s="4" t="str">
        <f>IF(OR($A62="EHT Trace"),IF(AND($AA62&lt;&gt;"",$AB62&lt;&gt;""),"YES","NO"),"N/A")</f>
        <v>NO</v>
      </c>
      <c r="N62" s="4" t="str">
        <f>IF(OR($A62="Power Cable"),IF(AND($AD62&lt;&gt;""),"YES","NO"),"N/A")</f>
        <v>N/A</v>
      </c>
      <c r="O62" s="4" t="str">
        <f>IF(OR($A62="Power Cable",$A62="RTD Cable",$A62="Fieldbus Cable"),IF(AND($AE62&lt;&gt;""),"YES","NO"),"N/A")</f>
        <v>N/A</v>
      </c>
      <c r="P62" s="4" t="str">
        <f>IF(OR($A62="RTD"),IF(AND($AH62&lt;&gt;""),"YES","NO"),"N/A")</f>
        <v>N/A</v>
      </c>
      <c r="Q62" s="4" t="str">
        <f>IF(OR($A62="RTD"),IF(AND($AI62&lt;&gt;""),"YES","NO"),"N/A")</f>
        <v>N/A</v>
      </c>
      <c r="R62" s="4" t="str">
        <f>IF(OR($AM62&lt;&gt;"",$Z62&lt;&gt;"",$AC62&lt;&gt;""),"YES","NO")</f>
        <v>NO</v>
      </c>
      <c r="S62" s="4" t="str">
        <f>IF(COUNTIF(I62:R62,"NO")=0,"YES","NO")</f>
        <v>NO</v>
      </c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inlineStr">
        <is>
          <t>D/32SF1110/7.5M/280/277/1.2M/LS23A/X/N12</t>
        </is>
      </c>
      <c r="AK62" s="9" t="inlineStr">
        <is>
          <t>7.5 m m</t>
        </is>
      </c>
      <c r="AL62" s="9" t="inlineStr">
        <is>
          <t>Levy Ostrup</t>
        </is>
      </c>
      <c r="AM62" s="9" t="n"/>
      <c r="AN62" s="9" t="n"/>
    </row>
    <row r="63">
      <c r="A63" s="9" t="inlineStr">
        <is>
          <t>EHT Trace</t>
        </is>
      </c>
      <c r="B63" s="9" t="inlineStr">
        <is>
          <t>29103-ET-PE2201-1-2</t>
        </is>
      </c>
      <c r="C63" s="9" t="inlineStr">
        <is>
          <t>29103-ET-PE2201-1</t>
        </is>
      </c>
      <c r="D63" s="9" t="inlineStr">
        <is>
          <t>HTC-08 / CB-08</t>
        </is>
      </c>
      <c r="E63" s="9" t="inlineStr">
        <is>
          <t>29103-PE-2201</t>
        </is>
      </c>
      <c r="F63" s="9" t="inlineStr">
        <is>
          <t>29103-65R-ET-PE2201-01-01</t>
        </is>
      </c>
      <c r="G63" s="9" t="inlineStr">
        <is>
          <t>13.1</t>
        </is>
      </c>
      <c r="H63" s="9" t="inlineStr">
        <is>
          <t>29103-ET-PE2201-1-2.pdf</t>
        </is>
      </c>
      <c r="I63" s="4" t="str">
        <f>IF($H63&lt;&gt;"","YES","NO")</f>
        <v>YES</v>
      </c>
      <c r="J63" s="4" t="str">
        <f>IF(N($T63)&gt;0,"YES","NO")</f>
        <v>NO</v>
      </c>
      <c r="K63" s="4" t="str">
        <f>IF(OR($A63="EHT Trace"),IF(AND($U63&lt;&gt;"",$V63&lt;&gt;""),"YES","NO"),"N/A")</f>
        <v>NO</v>
      </c>
      <c r="L63" s="4" t="str">
        <f>IF(OR($A63="EHT Trace"),IF(AND($X63&lt;&gt;"",$Y63&lt;&gt;""),"YES","NO"),"N/A")</f>
        <v>NO</v>
      </c>
      <c r="M63" s="4" t="str">
        <f>IF(OR($A63="EHT Trace"),IF(AND($AA63&lt;&gt;"",$AB63&lt;&gt;""),"YES","NO"),"N/A")</f>
        <v>NO</v>
      </c>
      <c r="N63" s="4" t="str">
        <f>IF(OR($A63="Power Cable"),IF(AND($AD63&lt;&gt;""),"YES","NO"),"N/A")</f>
        <v>N/A</v>
      </c>
      <c r="O63" s="4" t="str">
        <f>IF(OR($A63="Power Cable",$A63="RTD Cable",$A63="Fieldbus Cable"),IF(AND($AE63&lt;&gt;""),"YES","NO"),"N/A")</f>
        <v>N/A</v>
      </c>
      <c r="P63" s="4" t="str">
        <f>IF(OR($A63="RTD"),IF(AND($AH63&lt;&gt;""),"YES","NO"),"N/A")</f>
        <v>N/A</v>
      </c>
      <c r="Q63" s="4" t="str">
        <f>IF(OR($A63="RTD"),IF(AND($AI63&lt;&gt;""),"YES","NO"),"N/A")</f>
        <v>N/A</v>
      </c>
      <c r="R63" s="4" t="str">
        <f>IF(OR($AM63&lt;&gt;"",$Z63&lt;&gt;"",$AC63&lt;&gt;""),"YES","NO")</f>
        <v>NO</v>
      </c>
      <c r="S63" s="4" t="str">
        <f>IF(COUNTIF(I63:R63,"NO")=0,"YES","NO")</f>
        <v>NO</v>
      </c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inlineStr">
        <is>
          <t>E/32SQ3472/10.8M/522/97.1/1.2M/LS23A/X/N12/XNF</t>
        </is>
      </c>
      <c r="AK63" s="9" t="inlineStr">
        <is>
          <t>10.8 m m</t>
        </is>
      </c>
      <c r="AL63" s="9" t="inlineStr">
        <is>
          <t>Levy Ostrup</t>
        </is>
      </c>
      <c r="AM63" s="9" t="n"/>
      <c r="AN63" s="9" t="n"/>
    </row>
    <row r="64">
      <c r="A64" s="9" t="inlineStr">
        <is>
          <t>EHT Trace</t>
        </is>
      </c>
      <c r="B64" s="9" t="inlineStr">
        <is>
          <t>29103-ET-PE2201-1-3</t>
        </is>
      </c>
      <c r="C64" s="9" t="inlineStr">
        <is>
          <t>29103-ET-PE2201-1</t>
        </is>
      </c>
      <c r="D64" s="9" t="inlineStr">
        <is>
          <t>HTC-08 / CB-08</t>
        </is>
      </c>
      <c r="E64" s="9" t="inlineStr">
        <is>
          <t>29103-PE-2201</t>
        </is>
      </c>
      <c r="F64" s="9" t="inlineStr">
        <is>
          <t>29103-65R-ET-PE2201-01-01</t>
        </is>
      </c>
      <c r="G64" s="9" t="inlineStr">
        <is>
          <t>13.1</t>
        </is>
      </c>
      <c r="H64" s="9" t="inlineStr">
        <is>
          <t>29103-ET-PE2201-1-3.pdf</t>
        </is>
      </c>
      <c r="I64" s="4" t="str">
        <f>IF($H64&lt;&gt;"","YES","NO")</f>
        <v>YES</v>
      </c>
      <c r="J64" s="4" t="str">
        <f>IF(N($T64)&gt;0,"YES","NO")</f>
        <v>NO</v>
      </c>
      <c r="K64" s="4" t="str">
        <f>IF(OR($A64="EHT Trace"),IF(AND($U64&lt;&gt;"",$V64&lt;&gt;""),"YES","NO"),"N/A")</f>
        <v>NO</v>
      </c>
      <c r="L64" s="4" t="str">
        <f>IF(OR($A64="EHT Trace"),IF(AND($X64&lt;&gt;"",$Y64&lt;&gt;""),"YES","NO"),"N/A")</f>
        <v>NO</v>
      </c>
      <c r="M64" s="4" t="str">
        <f>IF(OR($A64="EHT Trace"),IF(AND($AA64&lt;&gt;"",$AB64&lt;&gt;""),"YES","NO"),"N/A")</f>
        <v>NO</v>
      </c>
      <c r="N64" s="4" t="str">
        <f>IF(OR($A64="Power Cable"),IF(AND($AD64&lt;&gt;""),"YES","NO"),"N/A")</f>
        <v>N/A</v>
      </c>
      <c r="O64" s="4" t="str">
        <f>IF(OR($A64="Power Cable",$A64="RTD Cable",$A64="Fieldbus Cable"),IF(AND($AE64&lt;&gt;""),"YES","NO"),"N/A")</f>
        <v>N/A</v>
      </c>
      <c r="P64" s="4" t="str">
        <f>IF(OR($A64="RTD"),IF(AND($AH64&lt;&gt;""),"YES","NO"),"N/A")</f>
        <v>N/A</v>
      </c>
      <c r="Q64" s="4" t="str">
        <f>IF(OR($A64="RTD"),IF(AND($AI64&lt;&gt;""),"YES","NO"),"N/A")</f>
        <v>N/A</v>
      </c>
      <c r="R64" s="4" t="str">
        <f>IF(OR($AM64&lt;&gt;"",$Z64&lt;&gt;"",$AC64&lt;&gt;""),"YES","NO")</f>
        <v>NO</v>
      </c>
      <c r="S64" s="4" t="str">
        <f>IF(COUNTIF(I64:R64,"NO")=0,"YES","NO")</f>
        <v>NO</v>
      </c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inlineStr">
        <is>
          <t>E/32SQ3472/6.6M/319/59.4/1.2M/LS23A/X/N12/XMF</t>
        </is>
      </c>
      <c r="AK64" s="9" t="inlineStr">
        <is>
          <t>6.6 m m</t>
        </is>
      </c>
      <c r="AL64" s="9" t="inlineStr">
        <is>
          <t>Levy Ostrup</t>
        </is>
      </c>
      <c r="AM64" s="9" t="n"/>
      <c r="AN64" s="9" t="n"/>
    </row>
    <row r="65">
      <c r="A65" s="9" t="inlineStr">
        <is>
          <t>EHT Trace</t>
        </is>
      </c>
      <c r="B65" s="9" t="inlineStr">
        <is>
          <t>29103-ET-PE2201-1-4</t>
        </is>
      </c>
      <c r="C65" s="9" t="inlineStr">
        <is>
          <t>29103-ET-PE2201-1</t>
        </is>
      </c>
      <c r="D65" s="9" t="inlineStr">
        <is>
          <t>HTC-08 / CB-08</t>
        </is>
      </c>
      <c r="E65" s="9" t="inlineStr">
        <is>
          <t>29103-PE-2201</t>
        </is>
      </c>
      <c r="F65" s="9" t="inlineStr">
        <is>
          <t>29103-65R-ET-PE2201-01-01</t>
        </is>
      </c>
      <c r="G65" s="9" t="inlineStr">
        <is>
          <t>13.1</t>
        </is>
      </c>
      <c r="H65" s="9" t="inlineStr">
        <is>
          <t>29103-ET-PE2201-1-4.pdf</t>
        </is>
      </c>
      <c r="I65" s="4" t="str">
        <f>IF($H65&lt;&gt;"","YES","NO")</f>
        <v>YES</v>
      </c>
      <c r="J65" s="4" t="str">
        <f>IF(N($T65)&gt;0,"YES","NO")</f>
        <v>NO</v>
      </c>
      <c r="K65" s="4" t="str">
        <f>IF(OR($A65="EHT Trace"),IF(AND($U65&lt;&gt;"",$V65&lt;&gt;""),"YES","NO"),"N/A")</f>
        <v>NO</v>
      </c>
      <c r="L65" s="4" t="str">
        <f>IF(OR($A65="EHT Trace"),IF(AND($X65&lt;&gt;"",$Y65&lt;&gt;""),"YES","NO"),"N/A")</f>
        <v>NO</v>
      </c>
      <c r="M65" s="4" t="str">
        <f>IF(OR($A65="EHT Trace"),IF(AND($AA65&lt;&gt;"",$AB65&lt;&gt;""),"YES","NO"),"N/A")</f>
        <v>NO</v>
      </c>
      <c r="N65" s="4" t="str">
        <f>IF(OR($A65="Power Cable"),IF(AND($AD65&lt;&gt;""),"YES","NO"),"N/A")</f>
        <v>N/A</v>
      </c>
      <c r="O65" s="4" t="str">
        <f>IF(OR($A65="Power Cable",$A65="RTD Cable",$A65="Fieldbus Cable"),IF(AND($AE65&lt;&gt;""),"YES","NO"),"N/A")</f>
        <v>N/A</v>
      </c>
      <c r="P65" s="4" t="str">
        <f>IF(OR($A65="RTD"),IF(AND($AH65&lt;&gt;""),"YES","NO"),"N/A")</f>
        <v>N/A</v>
      </c>
      <c r="Q65" s="4" t="str">
        <f>IF(OR($A65="RTD"),IF(AND($AI65&lt;&gt;""),"YES","NO"),"N/A")</f>
        <v>N/A</v>
      </c>
      <c r="R65" s="4" t="str">
        <f>IF(OR($AM65&lt;&gt;"",$Z65&lt;&gt;"",$AC65&lt;&gt;""),"YES","NO")</f>
        <v>NO</v>
      </c>
      <c r="S65" s="4" t="str">
        <f>IF(COUNTIF(I65:R65,"NO")=0,"YES","NO")</f>
        <v>NO</v>
      </c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inlineStr">
        <is>
          <t>D/32SQ3472/13.4M/647/121/1.2M/LS23A/X/N12/XMN</t>
        </is>
      </c>
      <c r="AK65" s="9" t="inlineStr">
        <is>
          <t>13.4 m m</t>
        </is>
      </c>
      <c r="AL65" s="9" t="inlineStr">
        <is>
          <t>Levy Ostrup</t>
        </is>
      </c>
      <c r="AM65" s="9" t="n"/>
      <c r="AN65" s="9" t="n"/>
    </row>
    <row r="66">
      <c r="A66" s="9" t="inlineStr">
        <is>
          <t>EHT Trace</t>
        </is>
      </c>
      <c r="B66" s="9" t="inlineStr">
        <is>
          <t>29103-ET-PE2201-2-1</t>
        </is>
      </c>
      <c r="C66" s="9" t="inlineStr">
        <is>
          <t>29103-ET-PE2201-2</t>
        </is>
      </c>
      <c r="D66" s="9" t="inlineStr">
        <is>
          <t>HTC-12 / CB-12</t>
        </is>
      </c>
      <c r="E66" s="9" t="inlineStr">
        <is>
          <t>29103-PE-2201</t>
        </is>
      </c>
      <c r="F66" s="9" t="inlineStr">
        <is>
          <t>29103-65R-ET-PE2201-02-01</t>
        </is>
      </c>
      <c r="G66" s="9" t="inlineStr">
        <is>
          <t>13.1</t>
        </is>
      </c>
      <c r="H66" s="9" t="inlineStr">
        <is>
          <t>29103-ET-PE2201-2-1.pdf</t>
        </is>
      </c>
      <c r="I66" s="4" t="str">
        <f>IF($H66&lt;&gt;"","YES","NO")</f>
        <v>YES</v>
      </c>
      <c r="J66" s="4" t="str">
        <f>IF(N($T66)&gt;0,"YES","NO")</f>
        <v>NO</v>
      </c>
      <c r="K66" s="4" t="str">
        <f>IF(OR($A66="EHT Trace"),IF(AND($U66&lt;&gt;"",$V66&lt;&gt;""),"YES","NO"),"N/A")</f>
        <v>NO</v>
      </c>
      <c r="L66" s="4" t="str">
        <f>IF(OR($A66="EHT Trace"),IF(AND($X66&lt;&gt;"",$Y66&lt;&gt;""),"YES","NO"),"N/A")</f>
        <v>NO</v>
      </c>
      <c r="M66" s="4" t="str">
        <f>IF(OR($A66="EHT Trace"),IF(AND($AA66&lt;&gt;"",$AB66&lt;&gt;""),"YES","NO"),"N/A")</f>
        <v>NO</v>
      </c>
      <c r="N66" s="4" t="str">
        <f>IF(OR($A66="Power Cable"),IF(AND($AD66&lt;&gt;""),"YES","NO"),"N/A")</f>
        <v>N/A</v>
      </c>
      <c r="O66" s="4" t="str">
        <f>IF(OR($A66="Power Cable",$A66="RTD Cable",$A66="Fieldbus Cable"),IF(AND($AE66&lt;&gt;""),"YES","NO"),"N/A")</f>
        <v>N/A</v>
      </c>
      <c r="P66" s="4" t="str">
        <f>IF(OR($A66="RTD"),IF(AND($AH66&lt;&gt;""),"YES","NO"),"N/A")</f>
        <v>N/A</v>
      </c>
      <c r="Q66" s="4" t="str">
        <f>IF(OR($A66="RTD"),IF(AND($AI66&lt;&gt;""),"YES","NO"),"N/A")</f>
        <v>N/A</v>
      </c>
      <c r="R66" s="4" t="str">
        <f>IF(OR($AM66&lt;&gt;"",$Z66&lt;&gt;"",$AC66&lt;&gt;""),"YES","NO")</f>
        <v>NO</v>
      </c>
      <c r="S66" s="4" t="str">
        <f>IF(COUNTIF(I66:R66,"NO")=0,"YES","NO")</f>
        <v>NO</v>
      </c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inlineStr">
        <is>
          <t>D/32SQ3200/52.1M/2079/277/1.2M/LS23A/X/N12</t>
        </is>
      </c>
      <c r="AK66" s="9" t="inlineStr">
        <is>
          <t>52.1 m m</t>
        </is>
      </c>
      <c r="AL66" s="9" t="inlineStr">
        <is>
          <t>Levy Ostrup</t>
        </is>
      </c>
      <c r="AM66" s="9" t="n"/>
      <c r="AN66" s="9" t="n"/>
    </row>
    <row r="67">
      <c r="A67" s="9" t="inlineStr">
        <is>
          <t>EHT Trace</t>
        </is>
      </c>
      <c r="B67" s="9" t="inlineStr">
        <is>
          <t>29103-ET-PE2201-2-2</t>
        </is>
      </c>
      <c r="C67" s="9" t="inlineStr">
        <is>
          <t>29103-ET-PE2201-2</t>
        </is>
      </c>
      <c r="D67" s="9" t="inlineStr">
        <is>
          <t>HTC-12 / CB-12</t>
        </is>
      </c>
      <c r="E67" s="9" t="inlineStr">
        <is>
          <t>29103-PE-2201</t>
        </is>
      </c>
      <c r="F67" s="9" t="inlineStr">
        <is>
          <t>29103-65R-ET-PE2201-02-01</t>
        </is>
      </c>
      <c r="G67" s="9" t="inlineStr">
        <is>
          <t>13.1</t>
        </is>
      </c>
      <c r="H67" s="9" t="inlineStr">
        <is>
          <t>29103-ET-PE2201-2-2.pdf</t>
        </is>
      </c>
      <c r="I67" s="4" t="str">
        <f>IF($H67&lt;&gt;"","YES","NO")</f>
        <v>YES</v>
      </c>
      <c r="J67" s="4" t="str">
        <f>IF(N($T67)&gt;0,"YES","NO")</f>
        <v>NO</v>
      </c>
      <c r="K67" s="4" t="str">
        <f>IF(OR($A67="EHT Trace"),IF(AND($U67&lt;&gt;"",$V67&lt;&gt;""),"YES","NO"),"N/A")</f>
        <v>NO</v>
      </c>
      <c r="L67" s="4" t="str">
        <f>IF(OR($A67="EHT Trace"),IF(AND($X67&lt;&gt;"",$Y67&lt;&gt;""),"YES","NO"),"N/A")</f>
        <v>NO</v>
      </c>
      <c r="M67" s="4" t="str">
        <f>IF(OR($A67="EHT Trace"),IF(AND($AA67&lt;&gt;"",$AB67&lt;&gt;""),"YES","NO"),"N/A")</f>
        <v>NO</v>
      </c>
      <c r="N67" s="4" t="str">
        <f>IF(OR($A67="Power Cable"),IF(AND($AD67&lt;&gt;""),"YES","NO"),"N/A")</f>
        <v>N/A</v>
      </c>
      <c r="O67" s="4" t="str">
        <f>IF(OR($A67="Power Cable",$A67="RTD Cable",$A67="Fieldbus Cable"),IF(AND($AE67&lt;&gt;""),"YES","NO"),"N/A")</f>
        <v>N/A</v>
      </c>
      <c r="P67" s="4" t="str">
        <f>IF(OR($A67="RTD"),IF(AND($AH67&lt;&gt;""),"YES","NO"),"N/A")</f>
        <v>N/A</v>
      </c>
      <c r="Q67" s="4" t="str">
        <f>IF(OR($A67="RTD"),IF(AND($AI67&lt;&gt;""),"YES","NO"),"N/A")</f>
        <v>N/A</v>
      </c>
      <c r="R67" s="4" t="str">
        <f>IF(OR($AM67&lt;&gt;"",$Z67&lt;&gt;"",$AC67&lt;&gt;""),"YES","NO")</f>
        <v>NO</v>
      </c>
      <c r="S67" s="4" t="str">
        <f>IF(COUNTIF(I67:R67,"NO")=0,"YES","NO")</f>
        <v>NO</v>
      </c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inlineStr">
        <is>
          <t>D/32SB2114/29.2M/701/277/1.2M/LS23A/X/N12</t>
        </is>
      </c>
      <c r="AK67" s="9" t="inlineStr">
        <is>
          <t>29.2 m m</t>
        </is>
      </c>
      <c r="AL67" s="9" t="inlineStr">
        <is>
          <t>Levy Ostrup</t>
        </is>
      </c>
      <c r="AM67" s="9" t="n"/>
      <c r="AN67" s="9" t="n"/>
    </row>
    <row r="68">
      <c r="A68" s="9" t="inlineStr">
        <is>
          <t>EHT Trace</t>
        </is>
      </c>
      <c r="B68" s="9" t="inlineStr">
        <is>
          <t>29103-ET-PE2202-1-1</t>
        </is>
      </c>
      <c r="C68" s="9" t="inlineStr">
        <is>
          <t>29103-ET-PE2202-1</t>
        </is>
      </c>
      <c r="D68" s="9" t="inlineStr">
        <is>
          <t>HTC-15 / CB-15</t>
        </is>
      </c>
      <c r="E68" s="9" t="inlineStr">
        <is>
          <t>29103-PE-2202</t>
        </is>
      </c>
      <c r="F68" s="9" t="inlineStr">
        <is>
          <t>29103-65R-ET-PE2202-01-01</t>
        </is>
      </c>
      <c r="G68" s="9" t="inlineStr">
        <is>
          <t>13.1</t>
        </is>
      </c>
      <c r="H68" s="9" t="inlineStr">
        <is>
          <t>29103-ET-PE2202-1-1.pdf</t>
        </is>
      </c>
      <c r="I68" s="4" t="str">
        <f>IF($H68&lt;&gt;"","YES","NO")</f>
        <v>YES</v>
      </c>
      <c r="J68" s="4" t="str">
        <f>IF(N($T68)&gt;0,"YES","NO")</f>
        <v>NO</v>
      </c>
      <c r="K68" s="4" t="str">
        <f>IF(OR($A68="EHT Trace"),IF(AND($U68&lt;&gt;"",$V68&lt;&gt;""),"YES","NO"),"N/A")</f>
        <v>NO</v>
      </c>
      <c r="L68" s="4" t="str">
        <f>IF(OR($A68="EHT Trace"),IF(AND($X68&lt;&gt;"",$Y68&lt;&gt;""),"YES","NO"),"N/A")</f>
        <v>NO</v>
      </c>
      <c r="M68" s="4" t="str">
        <f>IF(OR($A68="EHT Trace"),IF(AND($AA68&lt;&gt;"",$AB68&lt;&gt;""),"YES","NO"),"N/A")</f>
        <v>NO</v>
      </c>
      <c r="N68" s="4" t="str">
        <f>IF(OR($A68="Power Cable"),IF(AND($AD68&lt;&gt;""),"YES","NO"),"N/A")</f>
        <v>N/A</v>
      </c>
      <c r="O68" s="4" t="str">
        <f>IF(OR($A68="Power Cable",$A68="RTD Cable",$A68="Fieldbus Cable"),IF(AND($AE68&lt;&gt;""),"YES","NO"),"N/A")</f>
        <v>N/A</v>
      </c>
      <c r="P68" s="4" t="str">
        <f>IF(OR($A68="RTD"),IF(AND($AH68&lt;&gt;""),"YES","NO"),"N/A")</f>
        <v>N/A</v>
      </c>
      <c r="Q68" s="4" t="str">
        <f>IF(OR($A68="RTD"),IF(AND($AI68&lt;&gt;""),"YES","NO"),"N/A")</f>
        <v>N/A</v>
      </c>
      <c r="R68" s="4" t="str">
        <f>IF(OR($AM68&lt;&gt;"",$Z68&lt;&gt;"",$AC68&lt;&gt;""),"YES","NO")</f>
        <v>NO</v>
      </c>
      <c r="S68" s="4" t="str">
        <f>IF(COUNTIF(I68:R68,"NO")=0,"YES","NO")</f>
        <v>NO</v>
      </c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inlineStr">
        <is>
          <t>D/32SQ3374/35.4M/1635/277/1.2M/LS23A/X/N12</t>
        </is>
      </c>
      <c r="AK68" s="9" t="inlineStr">
        <is>
          <t>35.4 m m</t>
        </is>
      </c>
      <c r="AL68" s="9" t="inlineStr">
        <is>
          <t>Levy Ostrup</t>
        </is>
      </c>
      <c r="AM68" s="9" t="n"/>
      <c r="AN68" s="9" t="n"/>
    </row>
    <row r="69">
      <c r="A69" s="9" t="inlineStr">
        <is>
          <t>EHT Trace</t>
        </is>
      </c>
      <c r="B69" s="9" t="inlineStr">
        <is>
          <t>29103-ET-PE2301-1-1</t>
        </is>
      </c>
      <c r="C69" s="9" t="inlineStr">
        <is>
          <t>29103-ET-PE2301-1</t>
        </is>
      </c>
      <c r="D69" s="9" t="inlineStr">
        <is>
          <t>HTC-10 / CB-10</t>
        </is>
      </c>
      <c r="E69" s="9" t="inlineStr">
        <is>
          <t>29103-PE-2301</t>
        </is>
      </c>
      <c r="F69" s="9" t="inlineStr">
        <is>
          <t>29103-65R-ET-PE2301-01-01</t>
        </is>
      </c>
      <c r="G69" s="9" t="inlineStr">
        <is>
          <t>13.1</t>
        </is>
      </c>
      <c r="H69" s="9" t="inlineStr">
        <is>
          <t>29103-ET-PE2301-1-1.pdf</t>
        </is>
      </c>
      <c r="I69" s="4" t="str">
        <f>IF($H69&lt;&gt;"","YES","NO")</f>
        <v>YES</v>
      </c>
      <c r="J69" s="4" t="str">
        <f>IF(N($T69)&gt;0,"YES","NO")</f>
        <v>NO</v>
      </c>
      <c r="K69" s="4" t="str">
        <f>IF(OR($A69="EHT Trace"),IF(AND($U69&lt;&gt;"",$V69&lt;&gt;""),"YES","NO"),"N/A")</f>
        <v>NO</v>
      </c>
      <c r="L69" s="4" t="str">
        <f>IF(OR($A69="EHT Trace"),IF(AND($X69&lt;&gt;"",$Y69&lt;&gt;""),"YES","NO"),"N/A")</f>
        <v>NO</v>
      </c>
      <c r="M69" s="4" t="str">
        <f>IF(OR($A69="EHT Trace"),IF(AND($AA69&lt;&gt;"",$AB69&lt;&gt;""),"YES","NO"),"N/A")</f>
        <v>NO</v>
      </c>
      <c r="N69" s="4" t="str">
        <f>IF(OR($A69="Power Cable"),IF(AND($AD69&lt;&gt;""),"YES","NO"),"N/A")</f>
        <v>N/A</v>
      </c>
      <c r="O69" s="4" t="str">
        <f>IF(OR($A69="Power Cable",$A69="RTD Cable",$A69="Fieldbus Cable"),IF(AND($AE69&lt;&gt;""),"YES","NO"),"N/A")</f>
        <v>N/A</v>
      </c>
      <c r="P69" s="4" t="str">
        <f>IF(OR($A69="RTD"),IF(AND($AH69&lt;&gt;""),"YES","NO"),"N/A")</f>
        <v>N/A</v>
      </c>
      <c r="Q69" s="4" t="str">
        <f>IF(OR($A69="RTD"),IF(AND($AI69&lt;&gt;""),"YES","NO"),"N/A")</f>
        <v>N/A</v>
      </c>
      <c r="R69" s="4" t="str">
        <f>IF(OR($AM69&lt;&gt;"",$Z69&lt;&gt;"",$AC69&lt;&gt;""),"YES","NO")</f>
        <v>NO</v>
      </c>
      <c r="S69" s="4" t="str">
        <f>IF(COUNTIF(I69:R69,"NO")=0,"YES","NO")</f>
        <v>NO</v>
      </c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inlineStr">
        <is>
          <t>D/32SF1110/7.8M/269/277/1.2M/LS23A/X/N12</t>
        </is>
      </c>
      <c r="AK69" s="9" t="inlineStr">
        <is>
          <t>7.8 m m</t>
        </is>
      </c>
      <c r="AL69" s="9" t="inlineStr">
        <is>
          <t>Levy Ostrup</t>
        </is>
      </c>
      <c r="AM69" s="9" t="n"/>
      <c r="AN69" s="9" t="n"/>
    </row>
    <row r="70">
      <c r="A70" s="9" t="inlineStr">
        <is>
          <t>EHT Trace</t>
        </is>
      </c>
      <c r="B70" s="9" t="inlineStr">
        <is>
          <t>29103-ET-PE2301-1-2</t>
        </is>
      </c>
      <c r="C70" s="9" t="inlineStr">
        <is>
          <t>29103-ET-PE2301-1</t>
        </is>
      </c>
      <c r="D70" s="9" t="inlineStr">
        <is>
          <t>HTC-10 / CB-10</t>
        </is>
      </c>
      <c r="E70" s="9" t="inlineStr">
        <is>
          <t>29103-PE-2301</t>
        </is>
      </c>
      <c r="F70" s="9" t="inlineStr">
        <is>
          <t>29103-65R-ET-PE2301-01-01</t>
        </is>
      </c>
      <c r="G70" s="9" t="inlineStr">
        <is>
          <t>13.1</t>
        </is>
      </c>
      <c r="H70" s="9" t="inlineStr">
        <is>
          <t>29103-ET-PE2301-1-2.pdf</t>
        </is>
      </c>
      <c r="I70" s="4" t="str">
        <f>IF($H70&lt;&gt;"","YES","NO")</f>
        <v>YES</v>
      </c>
      <c r="J70" s="4" t="str">
        <f>IF(N($T70)&gt;0,"YES","NO")</f>
        <v>NO</v>
      </c>
      <c r="K70" s="4" t="str">
        <f>IF(OR($A70="EHT Trace"),IF(AND($U70&lt;&gt;"",$V70&lt;&gt;""),"YES","NO"),"N/A")</f>
        <v>NO</v>
      </c>
      <c r="L70" s="4" t="str">
        <f>IF(OR($A70="EHT Trace"),IF(AND($X70&lt;&gt;"",$Y70&lt;&gt;""),"YES","NO"),"N/A")</f>
        <v>NO</v>
      </c>
      <c r="M70" s="4" t="str">
        <f>IF(OR($A70="EHT Trace"),IF(AND($AA70&lt;&gt;"",$AB70&lt;&gt;""),"YES","NO"),"N/A")</f>
        <v>NO</v>
      </c>
      <c r="N70" s="4" t="str">
        <f>IF(OR($A70="Power Cable"),IF(AND($AD70&lt;&gt;""),"YES","NO"),"N/A")</f>
        <v>N/A</v>
      </c>
      <c r="O70" s="4" t="str">
        <f>IF(OR($A70="Power Cable",$A70="RTD Cable",$A70="Fieldbus Cable"),IF(AND($AE70&lt;&gt;""),"YES","NO"),"N/A")</f>
        <v>N/A</v>
      </c>
      <c r="P70" s="4" t="str">
        <f>IF(OR($A70="RTD"),IF(AND($AH70&lt;&gt;""),"YES","NO"),"N/A")</f>
        <v>N/A</v>
      </c>
      <c r="Q70" s="4" t="str">
        <f>IF(OR($A70="RTD"),IF(AND($AI70&lt;&gt;""),"YES","NO"),"N/A")</f>
        <v>N/A</v>
      </c>
      <c r="R70" s="4" t="str">
        <f>IF(OR($AM70&lt;&gt;"",$Z70&lt;&gt;"",$AC70&lt;&gt;""),"YES","NO")</f>
        <v>NO</v>
      </c>
      <c r="S70" s="4" t="str">
        <f>IF(COUNTIF(I70:R70,"NO")=0,"YES","NO")</f>
        <v>NO</v>
      </c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inlineStr">
        <is>
          <t>E/32SQ3472/9.5M/505/89.8/1.2M/LS23A/X/N12/XNF</t>
        </is>
      </c>
      <c r="AK70" s="9" t="inlineStr">
        <is>
          <t>9.5 m m</t>
        </is>
      </c>
      <c r="AL70" s="9" t="inlineStr">
        <is>
          <t>Levy Ostrup</t>
        </is>
      </c>
      <c r="AM70" s="9" t="n"/>
      <c r="AN70" s="9" t="n"/>
    </row>
    <row r="71">
      <c r="A71" s="9" t="inlineStr">
        <is>
          <t>EHT Trace</t>
        </is>
      </c>
      <c r="B71" s="9" t="inlineStr">
        <is>
          <t>29103-ET-PE2301-1-3</t>
        </is>
      </c>
      <c r="C71" s="9" t="inlineStr">
        <is>
          <t>29103-ET-PE2301-1</t>
        </is>
      </c>
      <c r="D71" s="9" t="inlineStr">
        <is>
          <t>HTC-10 / CB-10</t>
        </is>
      </c>
      <c r="E71" s="9" t="inlineStr">
        <is>
          <t>29103-PE-2301</t>
        </is>
      </c>
      <c r="F71" s="9" t="inlineStr">
        <is>
          <t>29103-65R-ET-PE2301-01-01</t>
        </is>
      </c>
      <c r="G71" s="9" t="inlineStr">
        <is>
          <t>13.1</t>
        </is>
      </c>
      <c r="H71" s="9" t="inlineStr">
        <is>
          <t>29103-ET-PE2301-1-3.pdf</t>
        </is>
      </c>
      <c r="I71" s="4" t="str">
        <f>IF($H71&lt;&gt;"","YES","NO")</f>
        <v>YES</v>
      </c>
      <c r="J71" s="4" t="str">
        <f>IF(N($T71)&gt;0,"YES","NO")</f>
        <v>NO</v>
      </c>
      <c r="K71" s="4" t="str">
        <f>IF(OR($A71="EHT Trace"),IF(AND($U71&lt;&gt;"",$V71&lt;&gt;""),"YES","NO"),"N/A")</f>
        <v>NO</v>
      </c>
      <c r="L71" s="4" t="str">
        <f>IF(OR($A71="EHT Trace"),IF(AND($X71&lt;&gt;"",$Y71&lt;&gt;""),"YES","NO"),"N/A")</f>
        <v>NO</v>
      </c>
      <c r="M71" s="4" t="str">
        <f>IF(OR($A71="EHT Trace"),IF(AND($AA71&lt;&gt;"",$AB71&lt;&gt;""),"YES","NO"),"N/A")</f>
        <v>NO</v>
      </c>
      <c r="N71" s="4" t="str">
        <f>IF(OR($A71="Power Cable"),IF(AND($AD71&lt;&gt;""),"YES","NO"),"N/A")</f>
        <v>N/A</v>
      </c>
      <c r="O71" s="4" t="str">
        <f>IF(OR($A71="Power Cable",$A71="RTD Cable",$A71="Fieldbus Cable"),IF(AND($AE71&lt;&gt;""),"YES","NO"),"N/A")</f>
        <v>N/A</v>
      </c>
      <c r="P71" s="4" t="str">
        <f>IF(OR($A71="RTD"),IF(AND($AH71&lt;&gt;""),"YES","NO"),"N/A")</f>
        <v>N/A</v>
      </c>
      <c r="Q71" s="4" t="str">
        <f>IF(OR($A71="RTD"),IF(AND($AI71&lt;&gt;""),"YES","NO"),"N/A")</f>
        <v>N/A</v>
      </c>
      <c r="R71" s="4" t="str">
        <f>IF(OR($AM71&lt;&gt;"",$Z71&lt;&gt;"",$AC71&lt;&gt;""),"YES","NO")</f>
        <v>NO</v>
      </c>
      <c r="S71" s="4" t="str">
        <f>IF(COUNTIF(I71:R71,"NO")=0,"YES","NO")</f>
        <v>NO</v>
      </c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inlineStr">
        <is>
          <t>E/32SQ3472/6.6M/351/62.4/1.2M/LS23A/X/N12/XMF</t>
        </is>
      </c>
      <c r="AK71" s="9" t="inlineStr">
        <is>
          <t>6.6 m m</t>
        </is>
      </c>
      <c r="AL71" s="9" t="inlineStr">
        <is>
          <t>Levy Ostrup</t>
        </is>
      </c>
      <c r="AM71" s="9" t="n"/>
      <c r="AN71" s="9" t="n"/>
    </row>
    <row r="72">
      <c r="A72" s="9" t="inlineStr">
        <is>
          <t>EHT Trace</t>
        </is>
      </c>
      <c r="B72" s="9" t="inlineStr">
        <is>
          <t>29103-ET-PE2301-1-4</t>
        </is>
      </c>
      <c r="C72" s="9" t="inlineStr">
        <is>
          <t>29103-ET-PE2301-1</t>
        </is>
      </c>
      <c r="D72" s="9" t="inlineStr">
        <is>
          <t>HTC-10 / CB-10</t>
        </is>
      </c>
      <c r="E72" s="9" t="inlineStr">
        <is>
          <t>29103-PE-2301</t>
        </is>
      </c>
      <c r="F72" s="9" t="inlineStr">
        <is>
          <t>29103-65R-ET-PE2301-01-01</t>
        </is>
      </c>
      <c r="G72" s="9" t="inlineStr">
        <is>
          <t>13.1</t>
        </is>
      </c>
      <c r="H72" s="9" t="inlineStr">
        <is>
          <t>29103-ET-PE2301-1-4.pdf</t>
        </is>
      </c>
      <c r="I72" s="4" t="str">
        <f>IF($H72&lt;&gt;"","YES","NO")</f>
        <v>YES</v>
      </c>
      <c r="J72" s="4" t="str">
        <f>IF(N($T72)&gt;0,"YES","NO")</f>
        <v>NO</v>
      </c>
      <c r="K72" s="4" t="str">
        <f>IF(OR($A72="EHT Trace"),IF(AND($U72&lt;&gt;"",$V72&lt;&gt;""),"YES","NO"),"N/A")</f>
        <v>NO</v>
      </c>
      <c r="L72" s="4" t="str">
        <f>IF(OR($A72="EHT Trace"),IF(AND($X72&lt;&gt;"",$Y72&lt;&gt;""),"YES","NO"),"N/A")</f>
        <v>NO</v>
      </c>
      <c r="M72" s="4" t="str">
        <f>IF(OR($A72="EHT Trace"),IF(AND($AA72&lt;&gt;"",$AB72&lt;&gt;""),"YES","NO"),"N/A")</f>
        <v>NO</v>
      </c>
      <c r="N72" s="4" t="str">
        <f>IF(OR($A72="Power Cable"),IF(AND($AD72&lt;&gt;""),"YES","NO"),"N/A")</f>
        <v>N/A</v>
      </c>
      <c r="O72" s="4" t="str">
        <f>IF(OR($A72="Power Cable",$A72="RTD Cable",$A72="Fieldbus Cable"),IF(AND($AE72&lt;&gt;""),"YES","NO"),"N/A")</f>
        <v>N/A</v>
      </c>
      <c r="P72" s="4" t="str">
        <f>IF(OR($A72="RTD"),IF(AND($AH72&lt;&gt;""),"YES","NO"),"N/A")</f>
        <v>N/A</v>
      </c>
      <c r="Q72" s="4" t="str">
        <f>IF(OR($A72="RTD"),IF(AND($AI72&lt;&gt;""),"YES","NO"),"N/A")</f>
        <v>N/A</v>
      </c>
      <c r="R72" s="4" t="str">
        <f>IF(OR($AM72&lt;&gt;"",$Z72&lt;&gt;"",$AC72&lt;&gt;""),"YES","NO")</f>
        <v>NO</v>
      </c>
      <c r="S72" s="4" t="str">
        <f>IF(COUNTIF(I72:R72,"NO")=0,"YES","NO")</f>
        <v>NO</v>
      </c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inlineStr">
        <is>
          <t>D/32SQ3472/13.2M/702/125/1.2M/LS23A/X/N12/XMN</t>
        </is>
      </c>
      <c r="AK72" s="9" t="inlineStr">
        <is>
          <t>13.2 m m</t>
        </is>
      </c>
      <c r="AL72" s="9" t="inlineStr">
        <is>
          <t>Levy Ostrup</t>
        </is>
      </c>
      <c r="AM72" s="9" t="n"/>
      <c r="AN72" s="9" t="n"/>
    </row>
    <row r="73">
      <c r="A73" s="9" t="inlineStr">
        <is>
          <t>EHT Trace</t>
        </is>
      </c>
      <c r="B73" s="9" t="inlineStr">
        <is>
          <t>29103-ET-PE2301-2-1</t>
        </is>
      </c>
      <c r="C73" s="9" t="inlineStr">
        <is>
          <t>29103-ET-PE2301-2</t>
        </is>
      </c>
      <c r="D73" s="9" t="inlineStr">
        <is>
          <t>HTC-07 / CB-07</t>
        </is>
      </c>
      <c r="E73" s="9" t="inlineStr">
        <is>
          <t>29103-PE-2301</t>
        </is>
      </c>
      <c r="F73" s="9" t="inlineStr">
        <is>
          <t>29103-65R-ET-PE2301-02-01</t>
        </is>
      </c>
      <c r="G73" s="9" t="inlineStr">
        <is>
          <t>13.1</t>
        </is>
      </c>
      <c r="H73" s="9" t="inlineStr">
        <is>
          <t>29103-ET-PE2301-2-1.pdf</t>
        </is>
      </c>
      <c r="I73" s="4" t="str">
        <f>IF($H73&lt;&gt;"","YES","NO")</f>
        <v>YES</v>
      </c>
      <c r="J73" s="4" t="str">
        <f>IF(N($T73)&gt;0,"YES","NO")</f>
        <v>NO</v>
      </c>
      <c r="K73" s="4" t="str">
        <f>IF(OR($A73="EHT Trace"),IF(AND($U73&lt;&gt;"",$V73&lt;&gt;""),"YES","NO"),"N/A")</f>
        <v>NO</v>
      </c>
      <c r="L73" s="4" t="str">
        <f>IF(OR($A73="EHT Trace"),IF(AND($X73&lt;&gt;"",$Y73&lt;&gt;""),"YES","NO"),"N/A")</f>
        <v>NO</v>
      </c>
      <c r="M73" s="4" t="str">
        <f>IF(OR($A73="EHT Trace"),IF(AND($AA73&lt;&gt;"",$AB73&lt;&gt;""),"YES","NO"),"N/A")</f>
        <v>NO</v>
      </c>
      <c r="N73" s="4" t="str">
        <f>IF(OR($A73="Power Cable"),IF(AND($AD73&lt;&gt;""),"YES","NO"),"N/A")</f>
        <v>N/A</v>
      </c>
      <c r="O73" s="4" t="str">
        <f>IF(OR($A73="Power Cable",$A73="RTD Cable",$A73="Fieldbus Cable"),IF(AND($AE73&lt;&gt;""),"YES","NO"),"N/A")</f>
        <v>N/A</v>
      </c>
      <c r="P73" s="4" t="str">
        <f>IF(OR($A73="RTD"),IF(AND($AH73&lt;&gt;""),"YES","NO"),"N/A")</f>
        <v>N/A</v>
      </c>
      <c r="Q73" s="4" t="str">
        <f>IF(OR($A73="RTD"),IF(AND($AI73&lt;&gt;""),"YES","NO"),"N/A")</f>
        <v>N/A</v>
      </c>
      <c r="R73" s="4" t="str">
        <f>IF(OR($AM73&lt;&gt;"",$Z73&lt;&gt;"",$AC73&lt;&gt;""),"YES","NO")</f>
        <v>NO</v>
      </c>
      <c r="S73" s="4" t="str">
        <f>IF(COUNTIF(I73:R73,"NO")=0,"YES","NO")</f>
        <v>NO</v>
      </c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inlineStr">
        <is>
          <t>D/32SQ3200/52.5M/2063/277/1.2M/LS23A/X/N12</t>
        </is>
      </c>
      <c r="AK73" s="9" t="inlineStr">
        <is>
          <t>52.5 m m</t>
        </is>
      </c>
      <c r="AL73" s="9" t="inlineStr">
        <is>
          <t>Levy Ostrup</t>
        </is>
      </c>
      <c r="AM73" s="9" t="n"/>
      <c r="AN73" s="9" t="n"/>
    </row>
    <row r="74">
      <c r="A74" s="9" t="inlineStr">
        <is>
          <t>EHT Trace</t>
        </is>
      </c>
      <c r="B74" s="9" t="inlineStr">
        <is>
          <t>29103-ET-PE2301-2-2</t>
        </is>
      </c>
      <c r="C74" s="9" t="inlineStr">
        <is>
          <t>29103-ET-PE2301-2</t>
        </is>
      </c>
      <c r="D74" s="9" t="inlineStr">
        <is>
          <t>HTC-07 / CB-07</t>
        </is>
      </c>
      <c r="E74" s="9" t="inlineStr">
        <is>
          <t>29103-PE-2301</t>
        </is>
      </c>
      <c r="F74" s="9" t="inlineStr">
        <is>
          <t>29103-65R-ET-PE2301-02-01</t>
        </is>
      </c>
      <c r="G74" s="9" t="inlineStr">
        <is>
          <t>13.1</t>
        </is>
      </c>
      <c r="H74" s="9" t="inlineStr">
        <is>
          <t>29103-ET-PE2301-2-2.pdf</t>
        </is>
      </c>
      <c r="I74" s="4" t="str">
        <f>IF($H74&lt;&gt;"","YES","NO")</f>
        <v>YES</v>
      </c>
      <c r="J74" s="4" t="str">
        <f>IF(N($T74)&gt;0,"YES","NO")</f>
        <v>NO</v>
      </c>
      <c r="K74" s="4" t="str">
        <f>IF(OR($A74="EHT Trace"),IF(AND($U74&lt;&gt;"",$V74&lt;&gt;""),"YES","NO"),"N/A")</f>
        <v>NO</v>
      </c>
      <c r="L74" s="4" t="str">
        <f>IF(OR($A74="EHT Trace"),IF(AND($X74&lt;&gt;"",$Y74&lt;&gt;""),"YES","NO"),"N/A")</f>
        <v>NO</v>
      </c>
      <c r="M74" s="4" t="str">
        <f>IF(OR($A74="EHT Trace"),IF(AND($AA74&lt;&gt;"",$AB74&lt;&gt;""),"YES","NO"),"N/A")</f>
        <v>NO</v>
      </c>
      <c r="N74" s="4" t="str">
        <f>IF(OR($A74="Power Cable"),IF(AND($AD74&lt;&gt;""),"YES","NO"),"N/A")</f>
        <v>N/A</v>
      </c>
      <c r="O74" s="4" t="str">
        <f>IF(OR($A74="Power Cable",$A74="RTD Cable",$A74="Fieldbus Cable"),IF(AND($AE74&lt;&gt;""),"YES","NO"),"N/A")</f>
        <v>N/A</v>
      </c>
      <c r="P74" s="4" t="str">
        <f>IF(OR($A74="RTD"),IF(AND($AH74&lt;&gt;""),"YES","NO"),"N/A")</f>
        <v>N/A</v>
      </c>
      <c r="Q74" s="4" t="str">
        <f>IF(OR($A74="RTD"),IF(AND($AI74&lt;&gt;""),"YES","NO"),"N/A")</f>
        <v>N/A</v>
      </c>
      <c r="R74" s="4" t="str">
        <f>IF(OR($AM74&lt;&gt;"",$Z74&lt;&gt;"",$AC74&lt;&gt;""),"YES","NO")</f>
        <v>NO</v>
      </c>
      <c r="S74" s="4" t="str">
        <f>IF(COUNTIF(I74:R74,"NO")=0,"YES","NO")</f>
        <v>NO</v>
      </c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inlineStr">
        <is>
          <t>D/32SB2114/29.4M/694/277/1.2M/LS23A/X/N12</t>
        </is>
      </c>
      <c r="AK74" s="9" t="inlineStr">
        <is>
          <t>29.4 m m</t>
        </is>
      </c>
      <c r="AL74" s="9" t="inlineStr">
        <is>
          <t>Levy Ostrup</t>
        </is>
      </c>
      <c r="AM74" s="9" t="n"/>
      <c r="AN74" s="9" t="n"/>
    </row>
    <row r="75">
      <c r="A75" s="9" t="inlineStr">
        <is>
          <t>EHT Trace</t>
        </is>
      </c>
      <c r="B75" s="9" t="inlineStr">
        <is>
          <t>29103-ET-PE2302-1-1</t>
        </is>
      </c>
      <c r="C75" s="9" t="inlineStr">
        <is>
          <t>29103-ET-PE2302-1</t>
        </is>
      </c>
      <c r="D75" s="9" t="inlineStr">
        <is>
          <t>HTC-06 / CB-06</t>
        </is>
      </c>
      <c r="E75" s="9" t="inlineStr">
        <is>
          <t>29103-PE-2303, 29103-PE-2302</t>
        </is>
      </c>
      <c r="F75" s="9" t="inlineStr">
        <is>
          <t>29103-65R-ET-PE2302-01-01</t>
        </is>
      </c>
      <c r="G75" s="9" t="inlineStr">
        <is>
          <t>13.1</t>
        </is>
      </c>
      <c r="H75" s="9" t="inlineStr">
        <is>
          <t>29103-ET-PE2302-1-1.pdf</t>
        </is>
      </c>
      <c r="I75" s="4" t="str">
        <f>IF($H75&lt;&gt;"","YES","NO")</f>
        <v>YES</v>
      </c>
      <c r="J75" s="4" t="str">
        <f>IF(N($T75)&gt;0,"YES","NO")</f>
        <v>NO</v>
      </c>
      <c r="K75" s="4" t="str">
        <f>IF(OR($A75="EHT Trace"),IF(AND($U75&lt;&gt;"",$V75&lt;&gt;""),"YES","NO"),"N/A")</f>
        <v>NO</v>
      </c>
      <c r="L75" s="4" t="str">
        <f>IF(OR($A75="EHT Trace"),IF(AND($X75&lt;&gt;"",$Y75&lt;&gt;""),"YES","NO"),"N/A")</f>
        <v>NO</v>
      </c>
      <c r="M75" s="4" t="str">
        <f>IF(OR($A75="EHT Trace"),IF(AND($AA75&lt;&gt;"",$AB75&lt;&gt;""),"YES","NO"),"N/A")</f>
        <v>NO</v>
      </c>
      <c r="N75" s="4" t="str">
        <f>IF(OR($A75="Power Cable"),IF(AND($AD75&lt;&gt;""),"YES","NO"),"N/A")</f>
        <v>N/A</v>
      </c>
      <c r="O75" s="4" t="str">
        <f>IF(OR($A75="Power Cable",$A75="RTD Cable",$A75="Fieldbus Cable"),IF(AND($AE75&lt;&gt;""),"YES","NO"),"N/A")</f>
        <v>N/A</v>
      </c>
      <c r="P75" s="4" t="str">
        <f>IF(OR($A75="RTD"),IF(AND($AH75&lt;&gt;""),"YES","NO"),"N/A")</f>
        <v>N/A</v>
      </c>
      <c r="Q75" s="4" t="str">
        <f>IF(OR($A75="RTD"),IF(AND($AI75&lt;&gt;""),"YES","NO"),"N/A")</f>
        <v>N/A</v>
      </c>
      <c r="R75" s="4" t="str">
        <f>IF(OR($AM75&lt;&gt;"",$Z75&lt;&gt;"",$AC75&lt;&gt;""),"YES","NO")</f>
        <v>NO</v>
      </c>
      <c r="S75" s="4" t="str">
        <f>IF(COUNTIF(I75:R75,"NO")=0,"YES","NO")</f>
        <v>NO</v>
      </c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inlineStr">
        <is>
          <t>D/32SQ3374/34.9M/1658/277/1.2M/LS23A/X/N12</t>
        </is>
      </c>
      <c r="AK75" s="9" t="inlineStr">
        <is>
          <t>34.9 m m</t>
        </is>
      </c>
      <c r="AL75" s="9" t="inlineStr">
        <is>
          <t>Levy Ostrup</t>
        </is>
      </c>
      <c r="AM75" s="9" t="n"/>
      <c r="AN75" s="9" t="n"/>
    </row>
    <row r="76">
      <c r="A76" s="9" t="inlineStr">
        <is>
          <t>EHT Trace</t>
        </is>
      </c>
      <c r="B76" s="9" t="inlineStr">
        <is>
          <t>29103-ET-PE2401-2-1</t>
        </is>
      </c>
      <c r="C76" s="9" t="inlineStr">
        <is>
          <t>29103-ET-PE2401-2</t>
        </is>
      </c>
      <c r="D76" s="9" t="inlineStr">
        <is>
          <t>HTC-33 / CB-33</t>
        </is>
      </c>
      <c r="E76" s="9" t="inlineStr">
        <is>
          <t>29103-PE-2401</t>
        </is>
      </c>
      <c r="F76" s="9" t="inlineStr">
        <is>
          <t>29103-65R-ET-PE2401-02-01</t>
        </is>
      </c>
      <c r="G76" s="9" t="inlineStr">
        <is>
          <t>13.1</t>
        </is>
      </c>
      <c r="H76" s="9" t="inlineStr">
        <is>
          <t>29103-ET-PE2401-2-1.pdf</t>
        </is>
      </c>
      <c r="I76" s="4" t="str">
        <f>IF($H76&lt;&gt;"","YES","NO")</f>
        <v>YES</v>
      </c>
      <c r="J76" s="4" t="str">
        <f>IF(N($T76)&gt;0,"YES","NO")</f>
        <v>NO</v>
      </c>
      <c r="K76" s="4" t="str">
        <f>IF(OR($A76="EHT Trace"),IF(AND($U76&lt;&gt;"",$V76&lt;&gt;""),"YES","NO"),"N/A")</f>
        <v>NO</v>
      </c>
      <c r="L76" s="4" t="str">
        <f>IF(OR($A76="EHT Trace"),IF(AND($X76&lt;&gt;"",$Y76&lt;&gt;""),"YES","NO"),"N/A")</f>
        <v>NO</v>
      </c>
      <c r="M76" s="4" t="str">
        <f>IF(OR($A76="EHT Trace"),IF(AND($AA76&lt;&gt;"",$AB76&lt;&gt;""),"YES","NO"),"N/A")</f>
        <v>NO</v>
      </c>
      <c r="N76" s="4" t="str">
        <f>IF(OR($A76="Power Cable"),IF(AND($AD76&lt;&gt;""),"YES","NO"),"N/A")</f>
        <v>N/A</v>
      </c>
      <c r="O76" s="4" t="str">
        <f>IF(OR($A76="Power Cable",$A76="RTD Cable",$A76="Fieldbus Cable"),IF(AND($AE76&lt;&gt;""),"YES","NO"),"N/A")</f>
        <v>N/A</v>
      </c>
      <c r="P76" s="4" t="str">
        <f>IF(OR($A76="RTD"),IF(AND($AH76&lt;&gt;""),"YES","NO"),"N/A")</f>
        <v>N/A</v>
      </c>
      <c r="Q76" s="4" t="str">
        <f>IF(OR($A76="RTD"),IF(AND($AI76&lt;&gt;""),"YES","NO"),"N/A")</f>
        <v>N/A</v>
      </c>
      <c r="R76" s="4" t="str">
        <f>IF(OR($AM76&lt;&gt;"",$Z76&lt;&gt;"",$AC76&lt;&gt;""),"YES","NO")</f>
        <v>NO</v>
      </c>
      <c r="S76" s="4" t="str">
        <f>IF(COUNTIF(I76:R76,"NO")=0,"YES","NO")</f>
        <v>NO</v>
      </c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inlineStr">
        <is>
          <t>D/32SQ3200/52.1M/2079/277/1.2M/LS23A/X/N12</t>
        </is>
      </c>
      <c r="AK76" s="9" t="inlineStr">
        <is>
          <t>52.1 m m</t>
        </is>
      </c>
      <c r="AL76" s="9" t="inlineStr">
        <is>
          <t>Levy Ostrup</t>
        </is>
      </c>
      <c r="AM76" s="9" t="n"/>
      <c r="AN76" s="9" t="n"/>
    </row>
    <row r="77">
      <c r="A77" s="9" t="inlineStr">
        <is>
          <t>EHT Trace</t>
        </is>
      </c>
      <c r="B77" s="9" t="inlineStr">
        <is>
          <t>29103-ET-PE2401-2-2</t>
        </is>
      </c>
      <c r="C77" s="9" t="inlineStr">
        <is>
          <t>29103-ET-PE2401-2</t>
        </is>
      </c>
      <c r="D77" s="9" t="inlineStr">
        <is>
          <t>HTC-33 / CB-33</t>
        </is>
      </c>
      <c r="E77" s="9" t="inlineStr">
        <is>
          <t>29103-PE-2401</t>
        </is>
      </c>
      <c r="F77" s="9" t="inlineStr">
        <is>
          <t>29103-65R-ET-PE2401-02-01</t>
        </is>
      </c>
      <c r="G77" s="9" t="inlineStr">
        <is>
          <t>13.1</t>
        </is>
      </c>
      <c r="H77" s="9" t="inlineStr">
        <is>
          <t>29103-ET-PE2401-2-2.pdf</t>
        </is>
      </c>
      <c r="I77" s="4" t="str">
        <f>IF($H77&lt;&gt;"","YES","NO")</f>
        <v>YES</v>
      </c>
      <c r="J77" s="4" t="str">
        <f>IF(N($T77)&gt;0,"YES","NO")</f>
        <v>NO</v>
      </c>
      <c r="K77" s="4" t="str">
        <f>IF(OR($A77="EHT Trace"),IF(AND($U77&lt;&gt;"",$V77&lt;&gt;""),"YES","NO"),"N/A")</f>
        <v>NO</v>
      </c>
      <c r="L77" s="4" t="str">
        <f>IF(OR($A77="EHT Trace"),IF(AND($X77&lt;&gt;"",$Y77&lt;&gt;""),"YES","NO"),"N/A")</f>
        <v>NO</v>
      </c>
      <c r="M77" s="4" t="str">
        <f>IF(OR($A77="EHT Trace"),IF(AND($AA77&lt;&gt;"",$AB77&lt;&gt;""),"YES","NO"),"N/A")</f>
        <v>NO</v>
      </c>
      <c r="N77" s="4" t="str">
        <f>IF(OR($A77="Power Cable"),IF(AND($AD77&lt;&gt;""),"YES","NO"),"N/A")</f>
        <v>N/A</v>
      </c>
      <c r="O77" s="4" t="str">
        <f>IF(OR($A77="Power Cable",$A77="RTD Cable",$A77="Fieldbus Cable"),IF(AND($AE77&lt;&gt;""),"YES","NO"),"N/A")</f>
        <v>N/A</v>
      </c>
      <c r="P77" s="4" t="str">
        <f>IF(OR($A77="RTD"),IF(AND($AH77&lt;&gt;""),"YES","NO"),"N/A")</f>
        <v>N/A</v>
      </c>
      <c r="Q77" s="4" t="str">
        <f>IF(OR($A77="RTD"),IF(AND($AI77&lt;&gt;""),"YES","NO"),"N/A")</f>
        <v>N/A</v>
      </c>
      <c r="R77" s="4" t="str">
        <f>IF(OR($AM77&lt;&gt;"",$Z77&lt;&gt;"",$AC77&lt;&gt;""),"YES","NO")</f>
        <v>NO</v>
      </c>
      <c r="S77" s="4" t="str">
        <f>IF(COUNTIF(I77:R77,"NO")=0,"YES","NO")</f>
        <v>NO</v>
      </c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inlineStr">
        <is>
          <t>D/32SB2114/29.2M/701/277/1.2M/LS23A/X/N12</t>
        </is>
      </c>
      <c r="AK77" s="9" t="inlineStr">
        <is>
          <t>29.2 m m</t>
        </is>
      </c>
      <c r="AL77" s="9" t="inlineStr">
        <is>
          <t>Levy Ostrup</t>
        </is>
      </c>
      <c r="AM77" s="9" t="n"/>
      <c r="AN77" s="9" t="n"/>
    </row>
    <row r="78">
      <c r="A78" s="9" t="inlineStr">
        <is>
          <t>EHT Trace</t>
        </is>
      </c>
      <c r="B78" s="9" t="inlineStr">
        <is>
          <t>29103-ET-PE2402-1-1</t>
        </is>
      </c>
      <c r="C78" s="9" t="inlineStr">
        <is>
          <t>29103-ET-PE2402-1</t>
        </is>
      </c>
      <c r="D78" s="9" t="inlineStr">
        <is>
          <t>HTC-35 / CB-35</t>
        </is>
      </c>
      <c r="E78" s="9" t="inlineStr">
        <is>
          <t>29103-PE-2403, 29103-PE-2402</t>
        </is>
      </c>
      <c r="F78" s="9" t="inlineStr">
        <is>
          <t>29103-65R-ET-PE2402-01-01</t>
        </is>
      </c>
      <c r="G78" s="9" t="inlineStr">
        <is>
          <t>13.1</t>
        </is>
      </c>
      <c r="H78" s="9" t="inlineStr">
        <is>
          <t>29103-ET-PE2402-1-1.pdf</t>
        </is>
      </c>
      <c r="I78" s="4" t="str">
        <f>IF($H78&lt;&gt;"","YES","NO")</f>
        <v>YES</v>
      </c>
      <c r="J78" s="4" t="str">
        <f>IF(N($T78)&gt;0,"YES","NO")</f>
        <v>NO</v>
      </c>
      <c r="K78" s="4" t="str">
        <f>IF(OR($A78="EHT Trace"),IF(AND($U78&lt;&gt;"",$V78&lt;&gt;""),"YES","NO"),"N/A")</f>
        <v>NO</v>
      </c>
      <c r="L78" s="4" t="str">
        <f>IF(OR($A78="EHT Trace"),IF(AND($X78&lt;&gt;"",$Y78&lt;&gt;""),"YES","NO"),"N/A")</f>
        <v>NO</v>
      </c>
      <c r="M78" s="4" t="str">
        <f>IF(OR($A78="EHT Trace"),IF(AND($AA78&lt;&gt;"",$AB78&lt;&gt;""),"YES","NO"),"N/A")</f>
        <v>NO</v>
      </c>
      <c r="N78" s="4" t="str">
        <f>IF(OR($A78="Power Cable"),IF(AND($AD78&lt;&gt;""),"YES","NO"),"N/A")</f>
        <v>N/A</v>
      </c>
      <c r="O78" s="4" t="str">
        <f>IF(OR($A78="Power Cable",$A78="RTD Cable",$A78="Fieldbus Cable"),IF(AND($AE78&lt;&gt;""),"YES","NO"),"N/A")</f>
        <v>N/A</v>
      </c>
      <c r="P78" s="4" t="str">
        <f>IF(OR($A78="RTD"),IF(AND($AH78&lt;&gt;""),"YES","NO"),"N/A")</f>
        <v>N/A</v>
      </c>
      <c r="Q78" s="4" t="str">
        <f>IF(OR($A78="RTD"),IF(AND($AI78&lt;&gt;""),"YES","NO"),"N/A")</f>
        <v>N/A</v>
      </c>
      <c r="R78" s="4" t="str">
        <f>IF(OR($AM78&lt;&gt;"",$Z78&lt;&gt;"",$AC78&lt;&gt;""),"YES","NO")</f>
        <v>NO</v>
      </c>
      <c r="S78" s="4" t="str">
        <f>IF(COUNTIF(I78:R78,"NO")=0,"YES","NO")</f>
        <v>NO</v>
      </c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inlineStr">
        <is>
          <t>D/32SQ3374/35.4M/1635/277/1.2M/LS23A/X/N12</t>
        </is>
      </c>
      <c r="AK78" s="9" t="inlineStr">
        <is>
          <t>35.4 m m</t>
        </is>
      </c>
      <c r="AL78" s="9" t="inlineStr">
        <is>
          <t>Levy Ostrup</t>
        </is>
      </c>
      <c r="AM78" s="9" t="n"/>
      <c r="AN78" s="9" t="n"/>
    </row>
    <row r="79">
      <c r="A79" s="9" t="inlineStr">
        <is>
          <t>EHT Trace</t>
        </is>
      </c>
      <c r="B79" s="9" t="inlineStr">
        <is>
          <t>29103-ET-PE2803-2-1</t>
        </is>
      </c>
      <c r="C79" s="9" t="inlineStr">
        <is>
          <t>29103-ET-PE2803-2</t>
        </is>
      </c>
      <c r="D79" s="9" t="inlineStr">
        <is>
          <t>HTC-29 / CB-29</t>
        </is>
      </c>
      <c r="E79" s="9" t="inlineStr">
        <is>
          <t>29103-PE-2803</t>
        </is>
      </c>
      <c r="F79" s="9" t="inlineStr">
        <is>
          <t>29103-65R-ET-PE2803-02-01</t>
        </is>
      </c>
      <c r="G79" s="9" t="inlineStr">
        <is>
          <t>13.1</t>
        </is>
      </c>
      <c r="H79" s="9" t="inlineStr">
        <is>
          <t>29103-ET-PE2803-2-1.pdf</t>
        </is>
      </c>
      <c r="I79" s="4" t="str">
        <f>IF($H79&lt;&gt;"","YES","NO")</f>
        <v>YES</v>
      </c>
      <c r="J79" s="4" t="str">
        <f>IF(N($T79)&gt;0,"YES","NO")</f>
        <v>NO</v>
      </c>
      <c r="K79" s="4" t="str">
        <f>IF(OR($A79="EHT Trace"),IF(AND($U79&lt;&gt;"",$V79&lt;&gt;""),"YES","NO"),"N/A")</f>
        <v>NO</v>
      </c>
      <c r="L79" s="4" t="str">
        <f>IF(OR($A79="EHT Trace"),IF(AND($X79&lt;&gt;"",$Y79&lt;&gt;""),"YES","NO"),"N/A")</f>
        <v>NO</v>
      </c>
      <c r="M79" s="4" t="str">
        <f>IF(OR($A79="EHT Trace"),IF(AND($AA79&lt;&gt;"",$AB79&lt;&gt;""),"YES","NO"),"N/A")</f>
        <v>NO</v>
      </c>
      <c r="N79" s="4" t="str">
        <f>IF(OR($A79="Power Cable"),IF(AND($AD79&lt;&gt;""),"YES","NO"),"N/A")</f>
        <v>N/A</v>
      </c>
      <c r="O79" s="4" t="str">
        <f>IF(OR($A79="Power Cable",$A79="RTD Cable",$A79="Fieldbus Cable"),IF(AND($AE79&lt;&gt;""),"YES","NO"),"N/A")</f>
        <v>N/A</v>
      </c>
      <c r="P79" s="4" t="str">
        <f>IF(OR($A79="RTD"),IF(AND($AH79&lt;&gt;""),"YES","NO"),"N/A")</f>
        <v>N/A</v>
      </c>
      <c r="Q79" s="4" t="str">
        <f>IF(OR($A79="RTD"),IF(AND($AI79&lt;&gt;""),"YES","NO"),"N/A")</f>
        <v>N/A</v>
      </c>
      <c r="R79" s="4" t="str">
        <f>IF(OR($AM79&lt;&gt;"",$Z79&lt;&gt;"",$AC79&lt;&gt;""),"YES","NO")</f>
        <v>NO</v>
      </c>
      <c r="S79" s="4" t="str">
        <f>IF(COUNTIF(I79:R79,"NO")=0,"YES","NO")</f>
        <v>NO</v>
      </c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inlineStr">
        <is>
          <t>E/32SQ3374/11.3M/542/90.2/1.2M/LS23A/X/N12/XNF</t>
        </is>
      </c>
      <c r="AK79" s="9" t="inlineStr">
        <is>
          <t>11.3 m m</t>
        </is>
      </c>
      <c r="AL79" s="9" t="inlineStr">
        <is>
          <t>Levy Ostrup</t>
        </is>
      </c>
      <c r="AM79" s="9" t="n"/>
      <c r="AN79" s="9" t="n"/>
    </row>
    <row r="80">
      <c r="A80" s="9" t="inlineStr">
        <is>
          <t>EHT Trace</t>
        </is>
      </c>
      <c r="B80" s="9" t="inlineStr">
        <is>
          <t>29103-ET-PE2803-2-2</t>
        </is>
      </c>
      <c r="C80" s="9" t="inlineStr">
        <is>
          <t>29103-ET-PE2803-2</t>
        </is>
      </c>
      <c r="D80" s="9" t="inlineStr">
        <is>
          <t>HTC-29 / CB-29</t>
        </is>
      </c>
      <c r="E80" s="9" t="inlineStr">
        <is>
          <t>29103-PE-2803</t>
        </is>
      </c>
      <c r="F80" s="9" t="inlineStr">
        <is>
          <t>29103-65R-ET-PE2803-02-01</t>
        </is>
      </c>
      <c r="G80" s="9" t="inlineStr">
        <is>
          <t>13.1</t>
        </is>
      </c>
      <c r="H80" s="9" t="inlineStr">
        <is>
          <t>29103-ET-PE2803-2-2.pdf</t>
        </is>
      </c>
      <c r="I80" s="4" t="str">
        <f>IF($H80&lt;&gt;"","YES","NO")</f>
        <v>YES</v>
      </c>
      <c r="J80" s="4" t="str">
        <f>IF(N($T80)&gt;0,"YES","NO")</f>
        <v>NO</v>
      </c>
      <c r="K80" s="4" t="str">
        <f>IF(OR($A80="EHT Trace"),IF(AND($U80&lt;&gt;"",$V80&lt;&gt;""),"YES","NO"),"N/A")</f>
        <v>NO</v>
      </c>
      <c r="L80" s="4" t="str">
        <f>IF(OR($A80="EHT Trace"),IF(AND($X80&lt;&gt;"",$Y80&lt;&gt;""),"YES","NO"),"N/A")</f>
        <v>NO</v>
      </c>
      <c r="M80" s="4" t="str">
        <f>IF(OR($A80="EHT Trace"),IF(AND($AA80&lt;&gt;"",$AB80&lt;&gt;""),"YES","NO"),"N/A")</f>
        <v>NO</v>
      </c>
      <c r="N80" s="4" t="str">
        <f>IF(OR($A80="Power Cable"),IF(AND($AD80&lt;&gt;""),"YES","NO"),"N/A")</f>
        <v>N/A</v>
      </c>
      <c r="O80" s="4" t="str">
        <f>IF(OR($A80="Power Cable",$A80="RTD Cable",$A80="Fieldbus Cable"),IF(AND($AE80&lt;&gt;""),"YES","NO"),"N/A")</f>
        <v>N/A</v>
      </c>
      <c r="P80" s="4" t="str">
        <f>IF(OR($A80="RTD"),IF(AND($AH80&lt;&gt;""),"YES","NO"),"N/A")</f>
        <v>N/A</v>
      </c>
      <c r="Q80" s="4" t="str">
        <f>IF(OR($A80="RTD"),IF(AND($AI80&lt;&gt;""),"YES","NO"),"N/A")</f>
        <v>N/A</v>
      </c>
      <c r="R80" s="4" t="str">
        <f>IF(OR($AM80&lt;&gt;"",$Z80&lt;&gt;"",$AC80&lt;&gt;""),"YES","NO")</f>
        <v>NO</v>
      </c>
      <c r="S80" s="4" t="str">
        <f>IF(COUNTIF(I80:R80,"NO")=0,"YES","NO")</f>
        <v>NO</v>
      </c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inlineStr">
        <is>
          <t>D/32SQ3374/23.4M/1123/187/1.2M/LS23A/X/N12/XMN</t>
        </is>
      </c>
      <c r="AK80" s="9" t="inlineStr">
        <is>
          <t>23.4 m m</t>
        </is>
      </c>
      <c r="AL80" s="9" t="inlineStr">
        <is>
          <t>Levy Ostrup</t>
        </is>
      </c>
      <c r="AM80" s="9" t="n"/>
      <c r="AN80" s="9" t="n"/>
    </row>
    <row r="81">
      <c r="A81" s="9" t="inlineStr">
        <is>
          <t>EHT Trace</t>
        </is>
      </c>
      <c r="B81" s="9" t="inlineStr">
        <is>
          <t>29103-ET-PG2101-1-1</t>
        </is>
      </c>
      <c r="C81" s="9" t="inlineStr">
        <is>
          <t>29103-ET-PG2101-1</t>
        </is>
      </c>
      <c r="D81" s="9" t="inlineStr">
        <is>
          <t>HTC-21 / CB-21</t>
        </is>
      </c>
      <c r="E81" s="9" t="inlineStr">
        <is>
          <t>29103-PG-2101, 29103-PE-2102, 29103-P-2100</t>
        </is>
      </c>
      <c r="F81" s="9" t="inlineStr">
        <is>
          <t>29103-65R-ET-PG2101-01-01</t>
        </is>
      </c>
      <c r="G81" s="9" t="inlineStr">
        <is>
          <t>13.1</t>
        </is>
      </c>
      <c r="H81" s="9" t="inlineStr">
        <is>
          <t>29103-ET-PG2101-1-1.pdf</t>
        </is>
      </c>
      <c r="I81" s="4" t="str">
        <f>IF($H81&lt;&gt;"","YES","NO")</f>
        <v>YES</v>
      </c>
      <c r="J81" s="4" t="str">
        <f>IF(N($T81)&gt;0,"YES","NO")</f>
        <v>NO</v>
      </c>
      <c r="K81" s="4" t="str">
        <f>IF(OR($A81="EHT Trace"),IF(AND($U81&lt;&gt;"",$V81&lt;&gt;""),"YES","NO"),"N/A")</f>
        <v>NO</v>
      </c>
      <c r="L81" s="4" t="str">
        <f>IF(OR($A81="EHT Trace"),IF(AND($X81&lt;&gt;"",$Y81&lt;&gt;""),"YES","NO"),"N/A")</f>
        <v>NO</v>
      </c>
      <c r="M81" s="4" t="str">
        <f>IF(OR($A81="EHT Trace"),IF(AND($AA81&lt;&gt;"",$AB81&lt;&gt;""),"YES","NO"),"N/A")</f>
        <v>NO</v>
      </c>
      <c r="N81" s="4" t="str">
        <f>IF(OR($A81="Power Cable"),IF(AND($AD81&lt;&gt;""),"YES","NO"),"N/A")</f>
        <v>N/A</v>
      </c>
      <c r="O81" s="4" t="str">
        <f>IF(OR($A81="Power Cable",$A81="RTD Cable",$A81="Fieldbus Cable"),IF(AND($AE81&lt;&gt;""),"YES","NO"),"N/A")</f>
        <v>N/A</v>
      </c>
      <c r="P81" s="4" t="str">
        <f>IF(OR($A81="RTD"),IF(AND($AH81&lt;&gt;""),"YES","NO"),"N/A")</f>
        <v>N/A</v>
      </c>
      <c r="Q81" s="4" t="str">
        <f>IF(OR($A81="RTD"),IF(AND($AI81&lt;&gt;""),"YES","NO"),"N/A")</f>
        <v>N/A</v>
      </c>
      <c r="R81" s="4" t="str">
        <f>IF(OR($AM81&lt;&gt;"",$Z81&lt;&gt;"",$AC81&lt;&gt;""),"YES","NO")</f>
        <v>NO</v>
      </c>
      <c r="S81" s="4" t="str">
        <f>IF(COUNTIF(I81:R81,"NO")=0,"YES","NO")</f>
        <v>NO</v>
      </c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inlineStr">
        <is>
          <t>D/32SP4734/90M/3006/277/1.2M/LS23A/X/N12</t>
        </is>
      </c>
      <c r="AK81" s="9" t="inlineStr">
        <is>
          <t>90 m m</t>
        </is>
      </c>
      <c r="AL81" s="9" t="inlineStr">
        <is>
          <t>Levy Ostrup</t>
        </is>
      </c>
      <c r="AM81" s="9" t="n"/>
      <c r="AN81" s="9" t="n"/>
    </row>
    <row r="82">
      <c r="A82" s="9" t="inlineStr">
        <is>
          <t>EHT Trace</t>
        </is>
      </c>
      <c r="B82" s="9" t="inlineStr">
        <is>
          <t>29103-ET-PG2101-2-1</t>
        </is>
      </c>
      <c r="C82" s="9" t="inlineStr">
        <is>
          <t>29103-ET-PG2101-2</t>
        </is>
      </c>
      <c r="D82" s="9" t="inlineStr">
        <is>
          <t>HTC-22 / CB-22</t>
        </is>
      </c>
      <c r="E82" s="9" t="inlineStr">
        <is>
          <t>29103-PG-2101</t>
        </is>
      </c>
      <c r="F82" s="9" t="inlineStr">
        <is>
          <t>29103-65R-ET-PG2101-02-01</t>
        </is>
      </c>
      <c r="G82" s="9" t="inlineStr">
        <is>
          <t>13.1</t>
        </is>
      </c>
      <c r="H82" s="9" t="inlineStr">
        <is>
          <t>29103-ET-PG2101-2-1.pdf</t>
        </is>
      </c>
      <c r="I82" s="4" t="str">
        <f>IF($H82&lt;&gt;"","YES","NO")</f>
        <v>YES</v>
      </c>
      <c r="J82" s="4" t="str">
        <f>IF(N($T82)&gt;0,"YES","NO")</f>
        <v>NO</v>
      </c>
      <c r="K82" s="4" t="str">
        <f>IF(OR($A82="EHT Trace"),IF(AND($U82&lt;&gt;"",$V82&lt;&gt;""),"YES","NO"),"N/A")</f>
        <v>YES</v>
      </c>
      <c r="L82" s="4" t="str">
        <f>IF(OR($A82="EHT Trace"),IF(AND($X82&lt;&gt;"",$Y82&lt;&gt;""),"YES","NO"),"N/A")</f>
        <v>NO</v>
      </c>
      <c r="M82" s="4" t="str">
        <f>IF(OR($A82="EHT Trace"),IF(AND($AA82&lt;&gt;"",$AB82&lt;&gt;""),"YES","NO"),"N/A")</f>
        <v>NO</v>
      </c>
      <c r="N82" s="4" t="str">
        <f>IF(OR($A82="Power Cable"),IF(AND($AD82&lt;&gt;""),"YES","NO"),"N/A")</f>
        <v>N/A</v>
      </c>
      <c r="O82" s="4" t="str">
        <f>IF(OR($A82="Power Cable",$A82="RTD Cable",$A82="Fieldbus Cable"),IF(AND($AE82&lt;&gt;""),"YES","NO"),"N/A")</f>
        <v>N/A</v>
      </c>
      <c r="P82" s="4" t="str">
        <f>IF(OR($A82="RTD"),IF(AND($AH82&lt;&gt;""),"YES","NO"),"N/A")</f>
        <v>N/A</v>
      </c>
      <c r="Q82" s="4" t="str">
        <f>IF(OR($A82="RTD"),IF(AND($AI82&lt;&gt;""),"YES","NO"),"N/A")</f>
        <v>N/A</v>
      </c>
      <c r="R82" s="4" t="str">
        <f>IF(OR($AM82&lt;&gt;"",$Z82&lt;&gt;"",$AC82&lt;&gt;""),"YES","NO")</f>
        <v>NO</v>
      </c>
      <c r="S82" s="4" t="str">
        <f>IF(COUNTIF(I82:R82,"NO")=0,"YES","NO")</f>
        <v>NO</v>
      </c>
      <c r="T82" s="9" t="n"/>
      <c r="U82" s="9" t="inlineStr">
        <is>
          <t>&gt;550 MΩ</t>
        </is>
      </c>
      <c r="V82" s="9" t="inlineStr">
        <is>
          <t>21.7 Ω</t>
        </is>
      </c>
      <c r="W82" s="9" t="inlineStr">
        <is>
          <t>2026-05-18</t>
        </is>
      </c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inlineStr">
        <is>
          <t>E/32SB3700/9.2M/409/93.3/1.2M/LS23A/X/N12/XNF</t>
        </is>
      </c>
      <c r="AK82" s="9" t="inlineStr">
        <is>
          <t>9.2 m m</t>
        </is>
      </c>
      <c r="AL82" s="9" t="inlineStr">
        <is>
          <t>Levy Ostrup</t>
        </is>
      </c>
      <c r="AM82" s="9" t="n"/>
      <c r="AN82" s="9" t="n"/>
    </row>
    <row r="83">
      <c r="A83" s="9" t="inlineStr">
        <is>
          <t>EHT Trace</t>
        </is>
      </c>
      <c r="B83" s="9" t="inlineStr">
        <is>
          <t>29103-ET-PG2101-2-2</t>
        </is>
      </c>
      <c r="C83" s="9" t="inlineStr">
        <is>
          <t>29103-ET-PG2101-2</t>
        </is>
      </c>
      <c r="D83" s="9" t="inlineStr">
        <is>
          <t>HTC-22 / CB-22</t>
        </is>
      </c>
      <c r="E83" s="9" t="inlineStr">
        <is>
          <t>29103-PG-2101</t>
        </is>
      </c>
      <c r="F83" s="9" t="inlineStr">
        <is>
          <t>29103-65R-ET-PG2101-02-01</t>
        </is>
      </c>
      <c r="G83" s="9" t="inlineStr">
        <is>
          <t>13.1</t>
        </is>
      </c>
      <c r="H83" s="9" t="inlineStr">
        <is>
          <t>29103-ET-PG2101-2-2.pdf</t>
        </is>
      </c>
      <c r="I83" s="4" t="str">
        <f>IF($H83&lt;&gt;"","YES","NO")</f>
        <v>YES</v>
      </c>
      <c r="J83" s="4" t="str">
        <f>IF(N($T83)&gt;0,"YES","NO")</f>
        <v>NO</v>
      </c>
      <c r="K83" s="4" t="str">
        <f>IF(OR($A83="EHT Trace"),IF(AND($U83&lt;&gt;"",$V83&lt;&gt;""),"YES","NO"),"N/A")</f>
        <v>YES</v>
      </c>
      <c r="L83" s="4" t="str">
        <f>IF(OR($A83="EHT Trace"),IF(AND($X83&lt;&gt;"",$Y83&lt;&gt;""),"YES","NO"),"N/A")</f>
        <v>NO</v>
      </c>
      <c r="M83" s="4" t="str">
        <f>IF(OR($A83="EHT Trace"),IF(AND($AA83&lt;&gt;"",$AB83&lt;&gt;""),"YES","NO"),"N/A")</f>
        <v>NO</v>
      </c>
      <c r="N83" s="4" t="str">
        <f>IF(OR($A83="Power Cable"),IF(AND($AD83&lt;&gt;""),"YES","NO"),"N/A")</f>
        <v>N/A</v>
      </c>
      <c r="O83" s="4" t="str">
        <f>IF(OR($A83="Power Cable",$A83="RTD Cable",$A83="Fieldbus Cable"),IF(AND($AE83&lt;&gt;""),"YES","NO"),"N/A")</f>
        <v>N/A</v>
      </c>
      <c r="P83" s="4" t="str">
        <f>IF(OR($A83="RTD"),IF(AND($AH83&lt;&gt;""),"YES","NO"),"N/A")</f>
        <v>N/A</v>
      </c>
      <c r="Q83" s="4" t="str">
        <f>IF(OR($A83="RTD"),IF(AND($AI83&lt;&gt;""),"YES","NO"),"N/A")</f>
        <v>N/A</v>
      </c>
      <c r="R83" s="4" t="str">
        <f>IF(OR($AM83&lt;&gt;"",$Z83&lt;&gt;"",$AC83&lt;&gt;""),"YES","NO")</f>
        <v>NO</v>
      </c>
      <c r="S83" s="4" t="str">
        <f>IF(COUNTIF(I83:R83,"NO")=0,"YES","NO")</f>
        <v>NO</v>
      </c>
      <c r="T83" s="9" t="n"/>
      <c r="U83" s="9" t="inlineStr">
        <is>
          <t>&gt;550 MΩ</t>
        </is>
      </c>
      <c r="V83" s="9" t="inlineStr">
        <is>
          <t>15 Ω</t>
        </is>
      </c>
      <c r="W83" s="9" t="inlineStr">
        <is>
          <t>2026-05-18</t>
        </is>
      </c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inlineStr">
        <is>
          <t>E/32SB3700/6.3M/280/63.9/1.2M/LS23A/X/N12/XMF</t>
        </is>
      </c>
      <c r="AK83" s="9" t="inlineStr">
        <is>
          <t>6.3 m m</t>
        </is>
      </c>
      <c r="AL83" s="9" t="inlineStr">
        <is>
          <t>Levy Ostrup</t>
        </is>
      </c>
      <c r="AM83" s="9" t="n"/>
      <c r="AN83" s="9" t="n"/>
    </row>
    <row r="84">
      <c r="A84" s="9" t="inlineStr">
        <is>
          <t>EHT Trace</t>
        </is>
      </c>
      <c r="B84" s="9" t="inlineStr">
        <is>
          <t>29103-ET-PG2101-2-3</t>
        </is>
      </c>
      <c r="C84" s="9" t="inlineStr">
        <is>
          <t>29103-ET-PG2101-2</t>
        </is>
      </c>
      <c r="D84" s="9" t="inlineStr">
        <is>
          <t>HTC-22 / CB-22</t>
        </is>
      </c>
      <c r="E84" s="9" t="inlineStr">
        <is>
          <t>29103-PG-2101</t>
        </is>
      </c>
      <c r="F84" s="9" t="inlineStr">
        <is>
          <t>29103-65R-ET-PG2101-02-01</t>
        </is>
      </c>
      <c r="G84" s="9" t="inlineStr">
        <is>
          <t>13.1</t>
        </is>
      </c>
      <c r="H84" s="9" t="inlineStr">
        <is>
          <t>29103-ET-PG2101-2-3.pdf</t>
        </is>
      </c>
      <c r="I84" s="4" t="str">
        <f>IF($H84&lt;&gt;"","YES","NO")</f>
        <v>YES</v>
      </c>
      <c r="J84" s="4" t="str">
        <f>IF(N($T84)&gt;0,"YES","NO")</f>
        <v>NO</v>
      </c>
      <c r="K84" s="4" t="str">
        <f>IF(OR($A84="EHT Trace"),IF(AND($U84&lt;&gt;"",$V84&lt;&gt;""),"YES","NO"),"N/A")</f>
        <v>YES</v>
      </c>
      <c r="L84" s="4" t="str">
        <f>IF(OR($A84="EHT Trace"),IF(AND($X84&lt;&gt;"",$Y84&lt;&gt;""),"YES","NO"),"N/A")</f>
        <v>NO</v>
      </c>
      <c r="M84" s="4" t="str">
        <f>IF(OR($A84="EHT Trace"),IF(AND($AA84&lt;&gt;"",$AB84&lt;&gt;""),"YES","NO"),"N/A")</f>
        <v>NO</v>
      </c>
      <c r="N84" s="4" t="str">
        <f>IF(OR($A84="Power Cable"),IF(AND($AD84&lt;&gt;""),"YES","NO"),"N/A")</f>
        <v>N/A</v>
      </c>
      <c r="O84" s="4" t="str">
        <f>IF(OR($A84="Power Cable",$A84="RTD Cable",$A84="Fieldbus Cable"),IF(AND($AE84&lt;&gt;""),"YES","NO"),"N/A")</f>
        <v>N/A</v>
      </c>
      <c r="P84" s="4" t="str">
        <f>IF(OR($A84="RTD"),IF(AND($AH84&lt;&gt;""),"YES","NO"),"N/A")</f>
        <v>N/A</v>
      </c>
      <c r="Q84" s="4" t="str">
        <f>IF(OR($A84="RTD"),IF(AND($AI84&lt;&gt;""),"YES","NO"),"N/A")</f>
        <v>N/A</v>
      </c>
      <c r="R84" s="4" t="str">
        <f>IF(OR($AM84&lt;&gt;"",$Z84&lt;&gt;"",$AC84&lt;&gt;""),"YES","NO")</f>
        <v>NO</v>
      </c>
      <c r="S84" s="4" t="str">
        <f>IF(COUNTIF(I84:R84,"NO")=0,"YES","NO")</f>
        <v>NO</v>
      </c>
      <c r="T84" s="9" t="n"/>
      <c r="U84" s="9" t="inlineStr">
        <is>
          <t>&gt;550 MΩ</t>
        </is>
      </c>
      <c r="V84" s="9" t="inlineStr">
        <is>
          <t>28.2 Ω</t>
        </is>
      </c>
      <c r="W84" s="9" t="inlineStr">
        <is>
          <t>2026-05-18</t>
        </is>
      </c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inlineStr">
        <is>
          <t>D/32SB3700/11.8M/525/120/1.2M/LS23A/X/N12/XMN</t>
        </is>
      </c>
      <c r="AK84" s="9" t="inlineStr">
        <is>
          <t>11.8 m m</t>
        </is>
      </c>
      <c r="AL84" s="9" t="inlineStr">
        <is>
          <t>Levy Ostrup</t>
        </is>
      </c>
      <c r="AM84" s="9" t="n"/>
      <c r="AN84" s="9" t="n"/>
    </row>
    <row r="85">
      <c r="A85" s="9" t="inlineStr">
        <is>
          <t>EHT Trace</t>
        </is>
      </c>
      <c r="B85" s="9" t="inlineStr">
        <is>
          <t>29103-ET-PG2201-1-1</t>
        </is>
      </c>
      <c r="C85" s="9" t="inlineStr">
        <is>
          <t>29103-ET-PG2201-1</t>
        </is>
      </c>
      <c r="D85" s="9" t="inlineStr">
        <is>
          <t>HTC-14 / CB-14</t>
        </is>
      </c>
      <c r="E85" s="9" t="inlineStr">
        <is>
          <t>29103-PG-2201, 29103-PE-2202, 29103-P-2200</t>
        </is>
      </c>
      <c r="F85" s="9" t="inlineStr">
        <is>
          <t>29103-65R-ET-PG2201-01-01</t>
        </is>
      </c>
      <c r="G85" s="9" t="inlineStr">
        <is>
          <t>13.1</t>
        </is>
      </c>
      <c r="H85" s="9" t="inlineStr">
        <is>
          <t>29103-ET-PG2201-1-1.pdf</t>
        </is>
      </c>
      <c r="I85" s="4" t="str">
        <f>IF($H85&lt;&gt;"","YES","NO")</f>
        <v>YES</v>
      </c>
      <c r="J85" s="4" t="str">
        <f>IF(N($T85)&gt;0,"YES","NO")</f>
        <v>NO</v>
      </c>
      <c r="K85" s="4" t="str">
        <f>IF(OR($A85="EHT Trace"),IF(AND($U85&lt;&gt;"",$V85&lt;&gt;""),"YES","NO"),"N/A")</f>
        <v>NO</v>
      </c>
      <c r="L85" s="4" t="str">
        <f>IF(OR($A85="EHT Trace"),IF(AND($X85&lt;&gt;"",$Y85&lt;&gt;""),"YES","NO"),"N/A")</f>
        <v>NO</v>
      </c>
      <c r="M85" s="4" t="str">
        <f>IF(OR($A85="EHT Trace"),IF(AND($AA85&lt;&gt;"",$AB85&lt;&gt;""),"YES","NO"),"N/A")</f>
        <v>NO</v>
      </c>
      <c r="N85" s="4" t="str">
        <f>IF(OR($A85="Power Cable"),IF(AND($AD85&lt;&gt;""),"YES","NO"),"N/A")</f>
        <v>N/A</v>
      </c>
      <c r="O85" s="4" t="str">
        <f>IF(OR($A85="Power Cable",$A85="RTD Cable",$A85="Fieldbus Cable"),IF(AND($AE85&lt;&gt;""),"YES","NO"),"N/A")</f>
        <v>N/A</v>
      </c>
      <c r="P85" s="4" t="str">
        <f>IF(OR($A85="RTD"),IF(AND($AH85&lt;&gt;""),"YES","NO"),"N/A")</f>
        <v>N/A</v>
      </c>
      <c r="Q85" s="4" t="str">
        <f>IF(OR($A85="RTD"),IF(AND($AI85&lt;&gt;""),"YES","NO"),"N/A")</f>
        <v>N/A</v>
      </c>
      <c r="R85" s="4" t="str">
        <f>IF(OR($AM85&lt;&gt;"",$Z85&lt;&gt;"",$AC85&lt;&gt;""),"YES","NO")</f>
        <v>NO</v>
      </c>
      <c r="S85" s="4" t="str">
        <f>IF(COUNTIF(I85:R85,"NO")=0,"YES","NO")</f>
        <v>NO</v>
      </c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inlineStr">
        <is>
          <t>D/32SP4734/93.1M/2914/277/1.2M/LS23A/X/N12</t>
        </is>
      </c>
      <c r="AK85" s="9" t="inlineStr">
        <is>
          <t>93.1 m m</t>
        </is>
      </c>
      <c r="AL85" s="9" t="inlineStr">
        <is>
          <t>Levy Ostrup</t>
        </is>
      </c>
      <c r="AM85" s="9" t="n"/>
      <c r="AN85" s="9" t="n"/>
    </row>
    <row r="86">
      <c r="A86" s="9" t="inlineStr">
        <is>
          <t>EHT Trace</t>
        </is>
      </c>
      <c r="B86" s="9" t="inlineStr">
        <is>
          <t>29103-ET-PG2201-2-1</t>
        </is>
      </c>
      <c r="C86" s="9" t="inlineStr">
        <is>
          <t>29103-ET-PG2201-2</t>
        </is>
      </c>
      <c r="D86" s="9" t="inlineStr">
        <is>
          <t>HTC-17 / CB-17</t>
        </is>
      </c>
      <c r="E86" s="9" t="inlineStr">
        <is>
          <t>29103-PG-2201</t>
        </is>
      </c>
      <c r="F86" s="9" t="inlineStr">
        <is>
          <t>29103-65R-ET-PG2201-02-01</t>
        </is>
      </c>
      <c r="G86" s="9" t="inlineStr">
        <is>
          <t>13.1</t>
        </is>
      </c>
      <c r="H86" s="9" t="inlineStr">
        <is>
          <t>29103-ET-PG2201-2-1.pdf</t>
        </is>
      </c>
      <c r="I86" s="4" t="str">
        <f>IF($H86&lt;&gt;"","YES","NO")</f>
        <v>YES</v>
      </c>
      <c r="J86" s="4" t="str">
        <f>IF(N($T86)&gt;0,"YES","NO")</f>
        <v>NO</v>
      </c>
      <c r="K86" s="4" t="str">
        <f>IF(OR($A86="EHT Trace"),IF(AND($U86&lt;&gt;"",$V86&lt;&gt;""),"YES","NO"),"N/A")</f>
        <v>YES</v>
      </c>
      <c r="L86" s="4" t="str">
        <f>IF(OR($A86="EHT Trace"),IF(AND($X86&lt;&gt;"",$Y86&lt;&gt;""),"YES","NO"),"N/A")</f>
        <v>NO</v>
      </c>
      <c r="M86" s="4" t="str">
        <f>IF(OR($A86="EHT Trace"),IF(AND($AA86&lt;&gt;"",$AB86&lt;&gt;""),"YES","NO"),"N/A")</f>
        <v>NO</v>
      </c>
      <c r="N86" s="4" t="str">
        <f>IF(OR($A86="Power Cable"),IF(AND($AD86&lt;&gt;""),"YES","NO"),"N/A")</f>
        <v>N/A</v>
      </c>
      <c r="O86" s="4" t="str">
        <f>IF(OR($A86="Power Cable",$A86="RTD Cable",$A86="Fieldbus Cable"),IF(AND($AE86&lt;&gt;""),"YES","NO"),"N/A")</f>
        <v>N/A</v>
      </c>
      <c r="P86" s="4" t="str">
        <f>IF(OR($A86="RTD"),IF(AND($AH86&lt;&gt;""),"YES","NO"),"N/A")</f>
        <v>N/A</v>
      </c>
      <c r="Q86" s="4" t="str">
        <f>IF(OR($A86="RTD"),IF(AND($AI86&lt;&gt;""),"YES","NO"),"N/A")</f>
        <v>N/A</v>
      </c>
      <c r="R86" s="4" t="str">
        <f>IF(OR($AM86&lt;&gt;"",$Z86&lt;&gt;"",$AC86&lt;&gt;""),"YES","NO")</f>
        <v>NO</v>
      </c>
      <c r="S86" s="4" t="str">
        <f>IF(COUNTIF(I86:R86,"NO")=0,"YES","NO")</f>
        <v>NO</v>
      </c>
      <c r="T86" s="9" t="n"/>
      <c r="U86" s="9" t="inlineStr">
        <is>
          <t>&gt;550 MΩ</t>
        </is>
      </c>
      <c r="V86" s="9" t="inlineStr">
        <is>
          <t>20.4 Ω</t>
        </is>
      </c>
      <c r="W86" s="9" t="inlineStr">
        <is>
          <t>2026-05-18</t>
        </is>
      </c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inlineStr">
        <is>
          <t>E/32SB3700/8.6M/401/89.2/1.2M/LS23A/X/N12/XNF</t>
        </is>
      </c>
      <c r="AK86" s="9" t="inlineStr">
        <is>
          <t>8.6 m m</t>
        </is>
      </c>
      <c r="AL86" s="9" t="inlineStr">
        <is>
          <t>Levy Ostrup</t>
        </is>
      </c>
      <c r="AM86" s="9" t="n"/>
      <c r="AN86" s="9" t="n"/>
    </row>
    <row r="87">
      <c r="A87" s="9" t="inlineStr">
        <is>
          <t>EHT Trace</t>
        </is>
      </c>
      <c r="B87" s="9" t="inlineStr">
        <is>
          <t>29103-ET-PG2201-2-2</t>
        </is>
      </c>
      <c r="C87" s="9" t="inlineStr">
        <is>
          <t>29103-ET-PG2201-2</t>
        </is>
      </c>
      <c r="D87" s="9" t="inlineStr">
        <is>
          <t>HTC-17 / CB-17</t>
        </is>
      </c>
      <c r="E87" s="9" t="inlineStr">
        <is>
          <t>29103-PG-2201</t>
        </is>
      </c>
      <c r="F87" s="9" t="inlineStr">
        <is>
          <t>29103-65R-ET-PG2201-02-01</t>
        </is>
      </c>
      <c r="G87" s="9" t="inlineStr">
        <is>
          <t>13.1</t>
        </is>
      </c>
      <c r="H87" s="9" t="inlineStr">
        <is>
          <t>29103-ET-PG2201-2-2.pdf</t>
        </is>
      </c>
      <c r="I87" s="4" t="str">
        <f>IF($H87&lt;&gt;"","YES","NO")</f>
        <v>YES</v>
      </c>
      <c r="J87" s="4" t="str">
        <f>IF(N($T87)&gt;0,"YES","NO")</f>
        <v>NO</v>
      </c>
      <c r="K87" s="4" t="str">
        <f>IF(OR($A87="EHT Trace"),IF(AND($U87&lt;&gt;"",$V87&lt;&gt;""),"YES","NO"),"N/A")</f>
        <v>YES</v>
      </c>
      <c r="L87" s="4" t="str">
        <f>IF(OR($A87="EHT Trace"),IF(AND($X87&lt;&gt;"",$Y87&lt;&gt;""),"YES","NO"),"N/A")</f>
        <v>NO</v>
      </c>
      <c r="M87" s="4" t="str">
        <f>IF(OR($A87="EHT Trace"),IF(AND($AA87&lt;&gt;"",$AB87&lt;&gt;""),"YES","NO"),"N/A")</f>
        <v>NO</v>
      </c>
      <c r="N87" s="4" t="str">
        <f>IF(OR($A87="Power Cable"),IF(AND($AD87&lt;&gt;""),"YES","NO"),"N/A")</f>
        <v>N/A</v>
      </c>
      <c r="O87" s="4" t="str">
        <f>IF(OR($A87="Power Cable",$A87="RTD Cable",$A87="Fieldbus Cable"),IF(AND($AE87&lt;&gt;""),"YES","NO"),"N/A")</f>
        <v>N/A</v>
      </c>
      <c r="P87" s="4" t="str">
        <f>IF(OR($A87="RTD"),IF(AND($AH87&lt;&gt;""),"YES","NO"),"N/A")</f>
        <v>N/A</v>
      </c>
      <c r="Q87" s="4" t="str">
        <f>IF(OR($A87="RTD"),IF(AND($AI87&lt;&gt;""),"YES","NO"),"N/A")</f>
        <v>N/A</v>
      </c>
      <c r="R87" s="4" t="str">
        <f>IF(OR($AM87&lt;&gt;"",$Z87&lt;&gt;"",$AC87&lt;&gt;""),"YES","NO")</f>
        <v>NO</v>
      </c>
      <c r="S87" s="4" t="str">
        <f>IF(COUNTIF(I87:R87,"NO")=0,"YES","NO")</f>
        <v>NO</v>
      </c>
      <c r="T87" s="9" t="n"/>
      <c r="U87" s="9" t="inlineStr">
        <is>
          <t>&gt;550 MΩ</t>
        </is>
      </c>
      <c r="V87" s="9" t="inlineStr">
        <is>
          <t>15 Ω</t>
        </is>
      </c>
      <c r="W87" s="9" t="inlineStr">
        <is>
          <t>2026-05-18</t>
        </is>
      </c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inlineStr">
        <is>
          <t>E/32SB3700/6.3M/294/65.4/1.2M/LS23A/X/N12/XMF</t>
        </is>
      </c>
      <c r="AK87" s="9" t="inlineStr">
        <is>
          <t>6.3 m m</t>
        </is>
      </c>
      <c r="AL87" s="9" t="inlineStr">
        <is>
          <t>Levy Ostrup</t>
        </is>
      </c>
      <c r="AM87" s="9" t="n"/>
      <c r="AN87" s="9" t="n"/>
    </row>
    <row r="88">
      <c r="A88" s="9" t="inlineStr">
        <is>
          <t>EHT Trace</t>
        </is>
      </c>
      <c r="B88" s="9" t="inlineStr">
        <is>
          <t>29103-ET-PG2201-2-3</t>
        </is>
      </c>
      <c r="C88" s="9" t="inlineStr">
        <is>
          <t>29103-ET-PG2201-2</t>
        </is>
      </c>
      <c r="D88" s="9" t="inlineStr">
        <is>
          <t>HTC-17 / CB-17</t>
        </is>
      </c>
      <c r="E88" s="9" t="inlineStr">
        <is>
          <t>29103-PG-2201</t>
        </is>
      </c>
      <c r="F88" s="9" t="inlineStr">
        <is>
          <t>29103-65R-ET-PG2201-02-01</t>
        </is>
      </c>
      <c r="G88" s="9" t="inlineStr">
        <is>
          <t>13.1</t>
        </is>
      </c>
      <c r="H88" s="9" t="inlineStr">
        <is>
          <t>29103-ET-PG2201-2-3.pdf</t>
        </is>
      </c>
      <c r="I88" s="4" t="str">
        <f>IF($H88&lt;&gt;"","YES","NO")</f>
        <v>YES</v>
      </c>
      <c r="J88" s="4" t="str">
        <f>IF(N($T88)&gt;0,"YES","NO")</f>
        <v>NO</v>
      </c>
      <c r="K88" s="4" t="str">
        <f>IF(OR($A88="EHT Trace"),IF(AND($U88&lt;&gt;"",$V88&lt;&gt;""),"YES","NO"),"N/A")</f>
        <v>YES</v>
      </c>
      <c r="L88" s="4" t="str">
        <f>IF(OR($A88="EHT Trace"),IF(AND($X88&lt;&gt;"",$Y88&lt;&gt;""),"YES","NO"),"N/A")</f>
        <v>NO</v>
      </c>
      <c r="M88" s="4" t="str">
        <f>IF(OR($A88="EHT Trace"),IF(AND($AA88&lt;&gt;"",$AB88&lt;&gt;""),"YES","NO"),"N/A")</f>
        <v>NO</v>
      </c>
      <c r="N88" s="4" t="str">
        <f>IF(OR($A88="Power Cable"),IF(AND($AD88&lt;&gt;""),"YES","NO"),"N/A")</f>
        <v>N/A</v>
      </c>
      <c r="O88" s="4" t="str">
        <f>IF(OR($A88="Power Cable",$A88="RTD Cable",$A88="Fieldbus Cable"),IF(AND($AE88&lt;&gt;""),"YES","NO"),"N/A")</f>
        <v>N/A</v>
      </c>
      <c r="P88" s="4" t="str">
        <f>IF(OR($A88="RTD"),IF(AND($AH88&lt;&gt;""),"YES","NO"),"N/A")</f>
        <v>N/A</v>
      </c>
      <c r="Q88" s="4" t="str">
        <f>IF(OR($A88="RTD"),IF(AND($AI88&lt;&gt;""),"YES","NO"),"N/A")</f>
        <v>N/A</v>
      </c>
      <c r="R88" s="4" t="str">
        <f>IF(OR($AM88&lt;&gt;"",$Z88&lt;&gt;"",$AC88&lt;&gt;""),"YES","NO")</f>
        <v>NO</v>
      </c>
      <c r="S88" s="4" t="str">
        <f>IF(COUNTIF(I88:R88,"NO")=0,"YES","NO")</f>
        <v>NO</v>
      </c>
      <c r="T88" s="9" t="n"/>
      <c r="U88" s="9" t="inlineStr">
        <is>
          <t>&gt;550 MΩ</t>
        </is>
      </c>
      <c r="V88" s="9" t="inlineStr">
        <is>
          <t>28.2 Ω</t>
        </is>
      </c>
      <c r="W88" s="9" t="inlineStr">
        <is>
          <t>2026-05-18</t>
        </is>
      </c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inlineStr">
        <is>
          <t>D/32SB3700/11.8M/550/122/1.2M/LS23A/X/N12/XMN</t>
        </is>
      </c>
      <c r="AK88" s="9" t="inlineStr">
        <is>
          <t>11.8 m m</t>
        </is>
      </c>
      <c r="AL88" s="9" t="inlineStr">
        <is>
          <t>Levy Ostrup</t>
        </is>
      </c>
      <c r="AM88" s="9" t="n"/>
      <c r="AN88" s="9" t="n"/>
    </row>
    <row r="89">
      <c r="A89" s="9" t="inlineStr">
        <is>
          <t>EHT Trace</t>
        </is>
      </c>
      <c r="B89" s="9" t="inlineStr">
        <is>
          <t>29103-ET-PG2301-1-1</t>
        </is>
      </c>
      <c r="C89" s="9" t="inlineStr">
        <is>
          <t>29103-ET-PG2301-1</t>
        </is>
      </c>
      <c r="D89" s="9" t="inlineStr">
        <is>
          <t>HTC-11 / CB-11</t>
        </is>
      </c>
      <c r="E89" s="9" t="inlineStr">
        <is>
          <t>29103-PG-2301, 29103-PE-2302, 29103-P-2300</t>
        </is>
      </c>
      <c r="F89" s="9" t="inlineStr">
        <is>
          <t>29103-65R-ET-PG2301-01-01</t>
        </is>
      </c>
      <c r="G89" s="9" t="inlineStr">
        <is>
          <t>13.1</t>
        </is>
      </c>
      <c r="H89" s="9" t="inlineStr">
        <is>
          <t>29103-ET-PG2301-1-1.pdf</t>
        </is>
      </c>
      <c r="I89" s="4" t="str">
        <f>IF($H89&lt;&gt;"","YES","NO")</f>
        <v>YES</v>
      </c>
      <c r="J89" s="4" t="str">
        <f>IF(N($T89)&gt;0,"YES","NO")</f>
        <v>NO</v>
      </c>
      <c r="K89" s="4" t="str">
        <f>IF(OR($A89="EHT Trace"),IF(AND($U89&lt;&gt;"",$V89&lt;&gt;""),"YES","NO"),"N/A")</f>
        <v>NO</v>
      </c>
      <c r="L89" s="4" t="str">
        <f>IF(OR($A89="EHT Trace"),IF(AND($X89&lt;&gt;"",$Y89&lt;&gt;""),"YES","NO"),"N/A")</f>
        <v>NO</v>
      </c>
      <c r="M89" s="4" t="str">
        <f>IF(OR($A89="EHT Trace"),IF(AND($AA89&lt;&gt;"",$AB89&lt;&gt;""),"YES","NO"),"N/A")</f>
        <v>NO</v>
      </c>
      <c r="N89" s="4" t="str">
        <f>IF(OR($A89="Power Cable"),IF(AND($AD89&lt;&gt;""),"YES","NO"),"N/A")</f>
        <v>N/A</v>
      </c>
      <c r="O89" s="4" t="str">
        <f>IF(OR($A89="Power Cable",$A89="RTD Cable",$A89="Fieldbus Cable"),IF(AND($AE89&lt;&gt;""),"YES","NO"),"N/A")</f>
        <v>N/A</v>
      </c>
      <c r="P89" s="4" t="str">
        <f>IF(OR($A89="RTD"),IF(AND($AH89&lt;&gt;""),"YES","NO"),"N/A")</f>
        <v>N/A</v>
      </c>
      <c r="Q89" s="4" t="str">
        <f>IF(OR($A89="RTD"),IF(AND($AI89&lt;&gt;""),"YES","NO"),"N/A")</f>
        <v>N/A</v>
      </c>
      <c r="R89" s="4" t="str">
        <f>IF(OR($AM89&lt;&gt;"",$Z89&lt;&gt;"",$AC89&lt;&gt;""),"YES","NO")</f>
        <v>NO</v>
      </c>
      <c r="S89" s="4" t="str">
        <f>IF(COUNTIF(I89:R89,"NO")=0,"YES","NO")</f>
        <v>NO</v>
      </c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inlineStr">
        <is>
          <t>D/32SP4734/90M/3006/277/1.2M/LS23A/X/N12</t>
        </is>
      </c>
      <c r="AK89" s="9" t="inlineStr">
        <is>
          <t>90 m m</t>
        </is>
      </c>
      <c r="AL89" s="9" t="inlineStr">
        <is>
          <t>Levy Ostrup</t>
        </is>
      </c>
      <c r="AM89" s="9" t="n"/>
      <c r="AN89" s="9" t="n"/>
    </row>
    <row r="90">
      <c r="A90" s="9" t="inlineStr">
        <is>
          <t>EHT Trace</t>
        </is>
      </c>
      <c r="B90" s="9" t="inlineStr">
        <is>
          <t>29103-ET-PG2301-2-1</t>
        </is>
      </c>
      <c r="C90" s="9" t="inlineStr">
        <is>
          <t>29103-ET-PG2301-2</t>
        </is>
      </c>
      <c r="D90" s="9" t="inlineStr">
        <is>
          <t>HTC-13 / CB-13</t>
        </is>
      </c>
      <c r="E90" s="9" t="inlineStr">
        <is>
          <t>29103-PG-2301</t>
        </is>
      </c>
      <c r="F90" s="9" t="inlineStr">
        <is>
          <t>29103-65R-ET-PG2301-02-01</t>
        </is>
      </c>
      <c r="G90" s="9" t="inlineStr">
        <is>
          <t>13.1</t>
        </is>
      </c>
      <c r="H90" s="9" t="inlineStr">
        <is>
          <t>29103-ET-PG2301-2-1.pdf</t>
        </is>
      </c>
      <c r="I90" s="4" t="str">
        <f>IF($H90&lt;&gt;"","YES","NO")</f>
        <v>YES</v>
      </c>
      <c r="J90" s="4" t="str">
        <f>IF(N($T90)&gt;0,"YES","NO")</f>
        <v>NO</v>
      </c>
      <c r="K90" s="4" t="str">
        <f>IF(OR($A90="EHT Trace"),IF(AND($U90&lt;&gt;"",$V90&lt;&gt;""),"YES","NO"),"N/A")</f>
        <v>YES</v>
      </c>
      <c r="L90" s="4" t="str">
        <f>IF(OR($A90="EHT Trace"),IF(AND($X90&lt;&gt;"",$Y90&lt;&gt;""),"YES","NO"),"N/A")</f>
        <v>NO</v>
      </c>
      <c r="M90" s="4" t="str">
        <f>IF(OR($A90="EHT Trace"),IF(AND($AA90&lt;&gt;"",$AB90&lt;&gt;""),"YES","NO"),"N/A")</f>
        <v>NO</v>
      </c>
      <c r="N90" s="4" t="str">
        <f>IF(OR($A90="Power Cable"),IF(AND($AD90&lt;&gt;""),"YES","NO"),"N/A")</f>
        <v>N/A</v>
      </c>
      <c r="O90" s="4" t="str">
        <f>IF(OR($A90="Power Cable",$A90="RTD Cable",$A90="Fieldbus Cable"),IF(AND($AE90&lt;&gt;""),"YES","NO"),"N/A")</f>
        <v>N/A</v>
      </c>
      <c r="P90" s="4" t="str">
        <f>IF(OR($A90="RTD"),IF(AND($AH90&lt;&gt;""),"YES","NO"),"N/A")</f>
        <v>N/A</v>
      </c>
      <c r="Q90" s="4" t="str">
        <f>IF(OR($A90="RTD"),IF(AND($AI90&lt;&gt;""),"YES","NO"),"N/A")</f>
        <v>N/A</v>
      </c>
      <c r="R90" s="4" t="str">
        <f>IF(OR($AM90&lt;&gt;"",$Z90&lt;&gt;"",$AC90&lt;&gt;""),"YES","NO")</f>
        <v>NO</v>
      </c>
      <c r="S90" s="4" t="str">
        <f>IF(COUNTIF(I90:R90,"NO")=0,"YES","NO")</f>
        <v>NO</v>
      </c>
      <c r="T90" s="9" t="n"/>
      <c r="U90" s="9" t="inlineStr">
        <is>
          <t>&gt;550 MΩ</t>
        </is>
      </c>
      <c r="V90" s="9" t="inlineStr">
        <is>
          <t>21.7 Ω</t>
        </is>
      </c>
      <c r="W90" s="9" t="inlineStr">
        <is>
          <t>2026-05-18</t>
        </is>
      </c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inlineStr">
        <is>
          <t>E/32SB3700/9.2M/409/93.3/1.2M/LS23A/X/N12/XNF</t>
        </is>
      </c>
      <c r="AK90" s="9" t="inlineStr">
        <is>
          <t>9.2 m m</t>
        </is>
      </c>
      <c r="AL90" s="9" t="inlineStr">
        <is>
          <t>Levy Ostrup</t>
        </is>
      </c>
      <c r="AM90" s="9" t="n"/>
      <c r="AN90" s="9" t="n"/>
    </row>
    <row r="91">
      <c r="A91" s="9" t="inlineStr">
        <is>
          <t>EHT Trace</t>
        </is>
      </c>
      <c r="B91" s="9" t="inlineStr">
        <is>
          <t>29103-ET-PG2301-2-2</t>
        </is>
      </c>
      <c r="C91" s="9" t="inlineStr">
        <is>
          <t>29103-ET-PG2301-2</t>
        </is>
      </c>
      <c r="D91" s="9" t="inlineStr">
        <is>
          <t>HTC-13 / CB-13</t>
        </is>
      </c>
      <c r="E91" s="9" t="inlineStr">
        <is>
          <t>29103-PG-2301</t>
        </is>
      </c>
      <c r="F91" s="9" t="inlineStr">
        <is>
          <t>29103-65R-ET-PG2301-02-01</t>
        </is>
      </c>
      <c r="G91" s="9" t="inlineStr">
        <is>
          <t>13.1</t>
        </is>
      </c>
      <c r="H91" s="9" t="inlineStr">
        <is>
          <t>29103-ET-PG2301-2-2.pdf</t>
        </is>
      </c>
      <c r="I91" s="4" t="str">
        <f>IF($H91&lt;&gt;"","YES","NO")</f>
        <v>YES</v>
      </c>
      <c r="J91" s="4" t="str">
        <f>IF(N($T91)&gt;0,"YES","NO")</f>
        <v>NO</v>
      </c>
      <c r="K91" s="4" t="str">
        <f>IF(OR($A91="EHT Trace"),IF(AND($U91&lt;&gt;"",$V91&lt;&gt;""),"YES","NO"),"N/A")</f>
        <v>YES</v>
      </c>
      <c r="L91" s="4" t="str">
        <f>IF(OR($A91="EHT Trace"),IF(AND($X91&lt;&gt;"",$Y91&lt;&gt;""),"YES","NO"),"N/A")</f>
        <v>NO</v>
      </c>
      <c r="M91" s="4" t="str">
        <f>IF(OR($A91="EHT Trace"),IF(AND($AA91&lt;&gt;"",$AB91&lt;&gt;""),"YES","NO"),"N/A")</f>
        <v>NO</v>
      </c>
      <c r="N91" s="4" t="str">
        <f>IF(OR($A91="Power Cable"),IF(AND($AD91&lt;&gt;""),"YES","NO"),"N/A")</f>
        <v>N/A</v>
      </c>
      <c r="O91" s="4" t="str">
        <f>IF(OR($A91="Power Cable",$A91="RTD Cable",$A91="Fieldbus Cable"),IF(AND($AE91&lt;&gt;""),"YES","NO"),"N/A")</f>
        <v>N/A</v>
      </c>
      <c r="P91" s="4" t="str">
        <f>IF(OR($A91="RTD"),IF(AND($AH91&lt;&gt;""),"YES","NO"),"N/A")</f>
        <v>N/A</v>
      </c>
      <c r="Q91" s="4" t="str">
        <f>IF(OR($A91="RTD"),IF(AND($AI91&lt;&gt;""),"YES","NO"),"N/A")</f>
        <v>N/A</v>
      </c>
      <c r="R91" s="4" t="str">
        <f>IF(OR($AM91&lt;&gt;"",$Z91&lt;&gt;"",$AC91&lt;&gt;""),"YES","NO")</f>
        <v>NO</v>
      </c>
      <c r="S91" s="4" t="str">
        <f>IF(COUNTIF(I91:R91,"NO")=0,"YES","NO")</f>
        <v>NO</v>
      </c>
      <c r="T91" s="9" t="n"/>
      <c r="U91" s="9" t="inlineStr">
        <is>
          <t>&gt;550 MΩ</t>
        </is>
      </c>
      <c r="V91" s="9" t="inlineStr">
        <is>
          <t>15 Ω</t>
        </is>
      </c>
      <c r="W91" s="9" t="inlineStr">
        <is>
          <t>2026-05-18</t>
        </is>
      </c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inlineStr">
        <is>
          <t>E/32SB3700/6.3M/280/63.9/1.2M/LS23A/X/N12/XMF</t>
        </is>
      </c>
      <c r="AK91" s="9" t="inlineStr">
        <is>
          <t>6.3 m m</t>
        </is>
      </c>
      <c r="AL91" s="9" t="inlineStr">
        <is>
          <t>Levy Ostrup</t>
        </is>
      </c>
      <c r="AM91" s="9" t="n"/>
      <c r="AN91" s="9" t="n"/>
    </row>
    <row r="92">
      <c r="A92" s="9" t="inlineStr">
        <is>
          <t>EHT Trace</t>
        </is>
      </c>
      <c r="B92" s="9" t="inlineStr">
        <is>
          <t>29103-ET-PG2301-2-3</t>
        </is>
      </c>
      <c r="C92" s="9" t="inlineStr">
        <is>
          <t>29103-ET-PG2301-2</t>
        </is>
      </c>
      <c r="D92" s="9" t="inlineStr">
        <is>
          <t>HTC-13 / CB-13</t>
        </is>
      </c>
      <c r="E92" s="9" t="inlineStr">
        <is>
          <t>29103-PG-2301</t>
        </is>
      </c>
      <c r="F92" s="9" t="inlineStr">
        <is>
          <t>29103-65R-ET-PG2301-02-01</t>
        </is>
      </c>
      <c r="G92" s="9" t="inlineStr">
        <is>
          <t>13.1</t>
        </is>
      </c>
      <c r="H92" s="9" t="inlineStr">
        <is>
          <t>29103-ET-PG2301-2-3.pdf</t>
        </is>
      </c>
      <c r="I92" s="4" t="str">
        <f>IF($H92&lt;&gt;"","YES","NO")</f>
        <v>YES</v>
      </c>
      <c r="J92" s="4" t="str">
        <f>IF(N($T92)&gt;0,"YES","NO")</f>
        <v>NO</v>
      </c>
      <c r="K92" s="4" t="str">
        <f>IF(OR($A92="EHT Trace"),IF(AND($U92&lt;&gt;"",$V92&lt;&gt;""),"YES","NO"),"N/A")</f>
        <v>YES</v>
      </c>
      <c r="L92" s="4" t="str">
        <f>IF(OR($A92="EHT Trace"),IF(AND($X92&lt;&gt;"",$Y92&lt;&gt;""),"YES","NO"),"N/A")</f>
        <v>NO</v>
      </c>
      <c r="M92" s="4" t="str">
        <f>IF(OR($A92="EHT Trace"),IF(AND($AA92&lt;&gt;"",$AB92&lt;&gt;""),"YES","NO"),"N/A")</f>
        <v>NO</v>
      </c>
      <c r="N92" s="4" t="str">
        <f>IF(OR($A92="Power Cable"),IF(AND($AD92&lt;&gt;""),"YES","NO"),"N/A")</f>
        <v>N/A</v>
      </c>
      <c r="O92" s="4" t="str">
        <f>IF(OR($A92="Power Cable",$A92="RTD Cable",$A92="Fieldbus Cable"),IF(AND($AE92&lt;&gt;""),"YES","NO"),"N/A")</f>
        <v>N/A</v>
      </c>
      <c r="P92" s="4" t="str">
        <f>IF(OR($A92="RTD"),IF(AND($AH92&lt;&gt;""),"YES","NO"),"N/A")</f>
        <v>N/A</v>
      </c>
      <c r="Q92" s="4" t="str">
        <f>IF(OR($A92="RTD"),IF(AND($AI92&lt;&gt;""),"YES","NO"),"N/A")</f>
        <v>N/A</v>
      </c>
      <c r="R92" s="4" t="str">
        <f>IF(OR($AM92&lt;&gt;"",$Z92&lt;&gt;"",$AC92&lt;&gt;""),"YES","NO")</f>
        <v>NO</v>
      </c>
      <c r="S92" s="4" t="str">
        <f>IF(COUNTIF(I92:R92,"NO")=0,"YES","NO")</f>
        <v>NO</v>
      </c>
      <c r="T92" s="9" t="n"/>
      <c r="U92" s="9" t="inlineStr">
        <is>
          <t>&gt;550 MΩ</t>
        </is>
      </c>
      <c r="V92" s="9" t="inlineStr">
        <is>
          <t>28.1 Ω</t>
        </is>
      </c>
      <c r="W92" s="9" t="inlineStr">
        <is>
          <t>2026-05-18</t>
        </is>
      </c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inlineStr">
        <is>
          <t>D/32SB3700/11.8M/525/120/1.2M/LS23A/X/N12/XMN</t>
        </is>
      </c>
      <c r="AK92" s="9" t="inlineStr">
        <is>
          <t>11.8 m m</t>
        </is>
      </c>
      <c r="AL92" s="9" t="inlineStr">
        <is>
          <t>Levy Ostrup</t>
        </is>
      </c>
      <c r="AM92" s="9" t="n"/>
      <c r="AN92" s="9" t="n"/>
    </row>
    <row r="93">
      <c r="A93" s="9" t="inlineStr">
        <is>
          <t>EHT Trace</t>
        </is>
      </c>
      <c r="B93" s="9" t="inlineStr">
        <is>
          <t>29103-ET-PG2401-2-1</t>
        </is>
      </c>
      <c r="C93" s="9" t="inlineStr">
        <is>
          <t>29103-ET-PG2401-2</t>
        </is>
      </c>
      <c r="D93" s="9" t="inlineStr">
        <is>
          <t>HTC-36 / CB-36</t>
        </is>
      </c>
      <c r="E93" s="9" t="inlineStr">
        <is>
          <t>29103-PG-2401</t>
        </is>
      </c>
      <c r="F93" s="9" t="inlineStr">
        <is>
          <t>29103-65R-ET-PG2401-02-01</t>
        </is>
      </c>
      <c r="G93" s="9" t="inlineStr">
        <is>
          <t>13.1</t>
        </is>
      </c>
      <c r="H93" s="9" t="inlineStr">
        <is>
          <t>29103-ET-PG2401-2-1.pdf</t>
        </is>
      </c>
      <c r="I93" s="4" t="str">
        <f>IF($H93&lt;&gt;"","YES","NO")</f>
        <v>YES</v>
      </c>
      <c r="J93" s="4" t="str">
        <f>IF(N($T93)&gt;0,"YES","NO")</f>
        <v>NO</v>
      </c>
      <c r="K93" s="4" t="str">
        <f>IF(OR($A93="EHT Trace"),IF(AND($U93&lt;&gt;"",$V93&lt;&gt;""),"YES","NO"),"N/A")</f>
        <v>YES</v>
      </c>
      <c r="L93" s="4" t="str">
        <f>IF(OR($A93="EHT Trace"),IF(AND($X93&lt;&gt;"",$Y93&lt;&gt;""),"YES","NO"),"N/A")</f>
        <v>NO</v>
      </c>
      <c r="M93" s="4" t="str">
        <f>IF(OR($A93="EHT Trace"),IF(AND($AA93&lt;&gt;"",$AB93&lt;&gt;""),"YES","NO"),"N/A")</f>
        <v>NO</v>
      </c>
      <c r="N93" s="4" t="str">
        <f>IF(OR($A93="Power Cable"),IF(AND($AD93&lt;&gt;""),"YES","NO"),"N/A")</f>
        <v>N/A</v>
      </c>
      <c r="O93" s="4" t="str">
        <f>IF(OR($A93="Power Cable",$A93="RTD Cable",$A93="Fieldbus Cable"),IF(AND($AE93&lt;&gt;""),"YES","NO"),"N/A")</f>
        <v>N/A</v>
      </c>
      <c r="P93" s="4" t="str">
        <f>IF(OR($A93="RTD"),IF(AND($AH93&lt;&gt;""),"YES","NO"),"N/A")</f>
        <v>N/A</v>
      </c>
      <c r="Q93" s="4" t="str">
        <f>IF(OR($A93="RTD"),IF(AND($AI93&lt;&gt;""),"YES","NO"),"N/A")</f>
        <v>N/A</v>
      </c>
      <c r="R93" s="4" t="str">
        <f>IF(OR($AM93&lt;&gt;"",$Z93&lt;&gt;"",$AC93&lt;&gt;""),"YES","NO")</f>
        <v>NO</v>
      </c>
      <c r="S93" s="4" t="str">
        <f>IF(COUNTIF(I93:R93,"NO")=0,"YES","NO")</f>
        <v>NO</v>
      </c>
      <c r="T93" s="9" t="n"/>
      <c r="U93" s="9" t="inlineStr">
        <is>
          <t>&gt;550 MΩ</t>
        </is>
      </c>
      <c r="V93" s="9" t="inlineStr">
        <is>
          <t>20.5 Ω</t>
        </is>
      </c>
      <c r="W93" s="9" t="inlineStr">
        <is>
          <t>2026-05-18</t>
        </is>
      </c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inlineStr">
        <is>
          <t>E/32SB3700/8.6M/401/89.2/1.2M/LS23A/X/N12/XNF</t>
        </is>
      </c>
      <c r="AK93" s="9" t="inlineStr">
        <is>
          <t>8.6 m m</t>
        </is>
      </c>
      <c r="AL93" s="9" t="inlineStr">
        <is>
          <t>Levy Ostrup</t>
        </is>
      </c>
      <c r="AM93" s="9" t="n"/>
      <c r="AN93" s="9" t="n"/>
    </row>
    <row r="94">
      <c r="A94" s="9" t="inlineStr">
        <is>
          <t>EHT Trace</t>
        </is>
      </c>
      <c r="B94" s="9" t="inlineStr">
        <is>
          <t>29103-ET-PG2401-2-2</t>
        </is>
      </c>
      <c r="C94" s="9" t="inlineStr">
        <is>
          <t>29103-ET-PG2401-2</t>
        </is>
      </c>
      <c r="D94" s="9" t="inlineStr">
        <is>
          <t>HTC-36 / CB-36</t>
        </is>
      </c>
      <c r="E94" s="9" t="inlineStr">
        <is>
          <t>29103-PG-2401</t>
        </is>
      </c>
      <c r="F94" s="9" t="inlineStr">
        <is>
          <t>29103-65R-ET-PG2401-02-01</t>
        </is>
      </c>
      <c r="G94" s="9" t="inlineStr">
        <is>
          <t>13.1</t>
        </is>
      </c>
      <c r="H94" s="9" t="inlineStr">
        <is>
          <t>29103-ET-PG2401-2-2.pdf</t>
        </is>
      </c>
      <c r="I94" s="4" t="str">
        <f>IF($H94&lt;&gt;"","YES","NO")</f>
        <v>YES</v>
      </c>
      <c r="J94" s="4" t="str">
        <f>IF(N($T94)&gt;0,"YES","NO")</f>
        <v>NO</v>
      </c>
      <c r="K94" s="4" t="str">
        <f>IF(OR($A94="EHT Trace"),IF(AND($U94&lt;&gt;"",$V94&lt;&gt;""),"YES","NO"),"N/A")</f>
        <v>YES</v>
      </c>
      <c r="L94" s="4" t="str">
        <f>IF(OR($A94="EHT Trace"),IF(AND($X94&lt;&gt;"",$Y94&lt;&gt;""),"YES","NO"),"N/A")</f>
        <v>NO</v>
      </c>
      <c r="M94" s="4" t="str">
        <f>IF(OR($A94="EHT Trace"),IF(AND($AA94&lt;&gt;"",$AB94&lt;&gt;""),"YES","NO"),"N/A")</f>
        <v>NO</v>
      </c>
      <c r="N94" s="4" t="str">
        <f>IF(OR($A94="Power Cable"),IF(AND($AD94&lt;&gt;""),"YES","NO"),"N/A")</f>
        <v>N/A</v>
      </c>
      <c r="O94" s="4" t="str">
        <f>IF(OR($A94="Power Cable",$A94="RTD Cable",$A94="Fieldbus Cable"),IF(AND($AE94&lt;&gt;""),"YES","NO"),"N/A")</f>
        <v>N/A</v>
      </c>
      <c r="P94" s="4" t="str">
        <f>IF(OR($A94="RTD"),IF(AND($AH94&lt;&gt;""),"YES","NO"),"N/A")</f>
        <v>N/A</v>
      </c>
      <c r="Q94" s="4" t="str">
        <f>IF(OR($A94="RTD"),IF(AND($AI94&lt;&gt;""),"YES","NO"),"N/A")</f>
        <v>N/A</v>
      </c>
      <c r="R94" s="4" t="str">
        <f>IF(OR($AM94&lt;&gt;"",$Z94&lt;&gt;"",$AC94&lt;&gt;""),"YES","NO")</f>
        <v>NO</v>
      </c>
      <c r="S94" s="4" t="str">
        <f>IF(COUNTIF(I94:R94,"NO")=0,"YES","NO")</f>
        <v>NO</v>
      </c>
      <c r="T94" s="9" t="n"/>
      <c r="U94" s="9" t="inlineStr">
        <is>
          <t>&gt;550 MΩ</t>
        </is>
      </c>
      <c r="V94" s="9" t="inlineStr">
        <is>
          <t>15 Ω</t>
        </is>
      </c>
      <c r="W94" s="9" t="inlineStr">
        <is>
          <t>2026-05-18</t>
        </is>
      </c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inlineStr">
        <is>
          <t>E/32SB3700/6.3M/294/65.4/1.2M/LS23A/X/N12/XMF</t>
        </is>
      </c>
      <c r="AK94" s="9" t="inlineStr">
        <is>
          <t>6.3 m m</t>
        </is>
      </c>
      <c r="AL94" s="9" t="inlineStr">
        <is>
          <t>Levy Ostrup</t>
        </is>
      </c>
      <c r="AM94" s="9" t="n"/>
      <c r="AN94" s="9" t="n"/>
    </row>
    <row r="95">
      <c r="A95" s="9" t="inlineStr">
        <is>
          <t>EHT Trace</t>
        </is>
      </c>
      <c r="B95" s="9" t="inlineStr">
        <is>
          <t>29103-ET-PG2401-2-3</t>
        </is>
      </c>
      <c r="C95" s="9" t="inlineStr">
        <is>
          <t>29103-ET-PG2401-2</t>
        </is>
      </c>
      <c r="D95" s="9" t="inlineStr">
        <is>
          <t>HTC-36 / CB-36</t>
        </is>
      </c>
      <c r="E95" s="9" t="inlineStr">
        <is>
          <t>29103-PG-2401</t>
        </is>
      </c>
      <c r="F95" s="9" t="inlineStr">
        <is>
          <t>29103-65R-ET-PG2401-02-01</t>
        </is>
      </c>
      <c r="G95" s="9" t="inlineStr">
        <is>
          <t>13.1</t>
        </is>
      </c>
      <c r="H95" s="9" t="inlineStr">
        <is>
          <t>29103-ET-PG2401-2-3.pdf</t>
        </is>
      </c>
      <c r="I95" s="4" t="str">
        <f>IF($H95&lt;&gt;"","YES","NO")</f>
        <v>YES</v>
      </c>
      <c r="J95" s="4" t="str">
        <f>IF(N($T95)&gt;0,"YES","NO")</f>
        <v>NO</v>
      </c>
      <c r="K95" s="4" t="str">
        <f>IF(OR($A95="EHT Trace"),IF(AND($U95&lt;&gt;"",$V95&lt;&gt;""),"YES","NO"),"N/A")</f>
        <v>YES</v>
      </c>
      <c r="L95" s="4" t="str">
        <f>IF(OR($A95="EHT Trace"),IF(AND($X95&lt;&gt;"",$Y95&lt;&gt;""),"YES","NO"),"N/A")</f>
        <v>NO</v>
      </c>
      <c r="M95" s="4" t="str">
        <f>IF(OR($A95="EHT Trace"),IF(AND($AA95&lt;&gt;"",$AB95&lt;&gt;""),"YES","NO"),"N/A")</f>
        <v>NO</v>
      </c>
      <c r="N95" s="4" t="str">
        <f>IF(OR($A95="Power Cable"),IF(AND($AD95&lt;&gt;""),"YES","NO"),"N/A")</f>
        <v>N/A</v>
      </c>
      <c r="O95" s="4" t="str">
        <f>IF(OR($A95="Power Cable",$A95="RTD Cable",$A95="Fieldbus Cable"),IF(AND($AE95&lt;&gt;""),"YES","NO"),"N/A")</f>
        <v>N/A</v>
      </c>
      <c r="P95" s="4" t="str">
        <f>IF(OR($A95="RTD"),IF(AND($AH95&lt;&gt;""),"YES","NO"),"N/A")</f>
        <v>N/A</v>
      </c>
      <c r="Q95" s="4" t="str">
        <f>IF(OR($A95="RTD"),IF(AND($AI95&lt;&gt;""),"YES","NO"),"N/A")</f>
        <v>N/A</v>
      </c>
      <c r="R95" s="4" t="str">
        <f>IF(OR($AM95&lt;&gt;"",$Z95&lt;&gt;"",$AC95&lt;&gt;""),"YES","NO")</f>
        <v>NO</v>
      </c>
      <c r="S95" s="4" t="str">
        <f>IF(COUNTIF(I95:R95,"NO")=0,"YES","NO")</f>
        <v>NO</v>
      </c>
      <c r="T95" s="9" t="n"/>
      <c r="U95" s="9" t="inlineStr">
        <is>
          <t>&gt;550 MΩ</t>
        </is>
      </c>
      <c r="V95" s="9" t="inlineStr">
        <is>
          <t>28.1 Ω</t>
        </is>
      </c>
      <c r="W95" s="9" t="inlineStr">
        <is>
          <t>2026-05-18</t>
        </is>
      </c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inlineStr">
        <is>
          <t>D/32SB3700/11.8M/550/122/1.2M/LS23A/X/N12/XMN</t>
        </is>
      </c>
      <c r="AK95" s="9" t="inlineStr">
        <is>
          <t>11.8 m m</t>
        </is>
      </c>
      <c r="AL95" s="9" t="inlineStr">
        <is>
          <t>Levy Ostrup</t>
        </is>
      </c>
      <c r="AM95" s="9" t="n"/>
      <c r="AN95" s="9" t="n"/>
    </row>
    <row r="96">
      <c r="A96" s="9" t="inlineStr">
        <is>
          <t>EHT Trace</t>
        </is>
      </c>
      <c r="B96" s="9" t="inlineStr">
        <is>
          <t>29103-ET-ST2103-1-1</t>
        </is>
      </c>
      <c r="C96" s="9" t="inlineStr">
        <is>
          <t>29103-ET-ST2103-1</t>
        </is>
      </c>
      <c r="D96" s="9" t="inlineStr">
        <is>
          <t>29103-AMB-008</t>
        </is>
      </c>
      <c r="E96" s="9" t="inlineStr">
        <is>
          <t>29103-ST-2104, 29103-ST-2103</t>
        </is>
      </c>
      <c r="F96" s="9" t="inlineStr">
        <is>
          <t>29103-65R-ET-ST2103-01-01</t>
        </is>
      </c>
      <c r="G96" s="9" t="inlineStr">
        <is>
          <t>13.1</t>
        </is>
      </c>
      <c r="H96" s="9" t="inlineStr">
        <is>
          <t>29103-ET-ST2103-1-1.pdf</t>
        </is>
      </c>
      <c r="I96" s="4" t="str">
        <f>IF($H96&lt;&gt;"","YES","NO")</f>
        <v>YES</v>
      </c>
      <c r="J96" s="4" t="str">
        <f>IF(N($T96)&gt;0,"YES","NO")</f>
        <v>NO</v>
      </c>
      <c r="K96" s="4" t="str">
        <f>IF(OR($A96="EHT Trace"),IF(AND($U96&lt;&gt;"",$V96&lt;&gt;""),"YES","NO"),"N/A")</f>
        <v>NO</v>
      </c>
      <c r="L96" s="4" t="str">
        <f>IF(OR($A96="EHT Trace"),IF(AND($X96&lt;&gt;"",$Y96&lt;&gt;""),"YES","NO"),"N/A")</f>
        <v>NO</v>
      </c>
      <c r="M96" s="4" t="str">
        <f>IF(OR($A96="EHT Trace"),IF(AND($AA96&lt;&gt;"",$AB96&lt;&gt;""),"YES","NO"),"N/A")</f>
        <v>NO</v>
      </c>
      <c r="N96" s="4" t="str">
        <f>IF(OR($A96="Power Cable"),IF(AND($AD96&lt;&gt;""),"YES","NO"),"N/A")</f>
        <v>N/A</v>
      </c>
      <c r="O96" s="4" t="str">
        <f>IF(OR($A96="Power Cable",$A96="RTD Cable",$A96="Fieldbus Cable"),IF(AND($AE96&lt;&gt;""),"YES","NO"),"N/A")</f>
        <v>N/A</v>
      </c>
      <c r="P96" s="4" t="str">
        <f>IF(OR($A96="RTD"),IF(AND($AH96&lt;&gt;""),"YES","NO"),"N/A")</f>
        <v>N/A</v>
      </c>
      <c r="Q96" s="4" t="str">
        <f>IF(OR($A96="RTD"),IF(AND($AI96&lt;&gt;""),"YES","NO"),"N/A")</f>
        <v>N/A</v>
      </c>
      <c r="R96" s="4" t="str">
        <f>IF(OR($AM96&lt;&gt;"",$Z96&lt;&gt;"",$AC96&lt;&gt;""),"YES","NO")</f>
        <v>NO</v>
      </c>
      <c r="S96" s="4" t="str">
        <f>IF(COUNTIF(I96:R96,"NO")=0,"YES","NO")</f>
        <v>NO</v>
      </c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inlineStr">
        <is>
          <t>E/32SB2114/17.5M/282/136/1.2M/LS23A/X/N12/XNF</t>
        </is>
      </c>
      <c r="AK96" s="9" t="inlineStr">
        <is>
          <t>17.5 m m</t>
        </is>
      </c>
      <c r="AL96" s="9" t="inlineStr">
        <is>
          <t>Levy Ostrup</t>
        </is>
      </c>
      <c r="AM96" s="9" t="n"/>
      <c r="AN96" s="9" t="n"/>
    </row>
    <row r="97">
      <c r="A97" s="9" t="inlineStr">
        <is>
          <t>EHT Trace</t>
        </is>
      </c>
      <c r="B97" s="9" t="inlineStr">
        <is>
          <t>29103-ET-ST2103-1-2</t>
        </is>
      </c>
      <c r="C97" s="9" t="inlineStr">
        <is>
          <t>29103-ET-ST2103-1</t>
        </is>
      </c>
      <c r="D97" s="9" t="inlineStr">
        <is>
          <t>29103-AMB-008</t>
        </is>
      </c>
      <c r="E97" s="9" t="inlineStr">
        <is>
          <t>29103-ST-2104</t>
        </is>
      </c>
      <c r="F97" s="9" t="inlineStr">
        <is>
          <t>29103-65R-ET-ST2103-01-01</t>
        </is>
      </c>
      <c r="G97" s="9" t="inlineStr">
        <is>
          <t>13.1</t>
        </is>
      </c>
      <c r="H97" s="9" t="inlineStr">
        <is>
          <t>29103-ET-ST2103-1-2.pdf</t>
        </is>
      </c>
      <c r="I97" s="4" t="str">
        <f>IF($H97&lt;&gt;"","YES","NO")</f>
        <v>YES</v>
      </c>
      <c r="J97" s="4" t="str">
        <f>IF(N($T97)&gt;0,"YES","NO")</f>
        <v>NO</v>
      </c>
      <c r="K97" s="4" t="str">
        <f>IF(OR($A97="EHT Trace"),IF(AND($U97&lt;&gt;"",$V97&lt;&gt;""),"YES","NO"),"N/A")</f>
        <v>NO</v>
      </c>
      <c r="L97" s="4" t="str">
        <f>IF(OR($A97="EHT Trace"),IF(AND($X97&lt;&gt;"",$Y97&lt;&gt;""),"YES","NO"),"N/A")</f>
        <v>NO</v>
      </c>
      <c r="M97" s="4" t="str">
        <f>IF(OR($A97="EHT Trace"),IF(AND($AA97&lt;&gt;"",$AB97&lt;&gt;""),"YES","NO"),"N/A")</f>
        <v>NO</v>
      </c>
      <c r="N97" s="4" t="str">
        <f>IF(OR($A97="Power Cable"),IF(AND($AD97&lt;&gt;""),"YES","NO"),"N/A")</f>
        <v>N/A</v>
      </c>
      <c r="O97" s="4" t="str">
        <f>IF(OR($A97="Power Cable",$A97="RTD Cable",$A97="Fieldbus Cable"),IF(AND($AE97&lt;&gt;""),"YES","NO"),"N/A")</f>
        <v>N/A</v>
      </c>
      <c r="P97" s="4" t="str">
        <f>IF(OR($A97="RTD"),IF(AND($AH97&lt;&gt;""),"YES","NO"),"N/A")</f>
        <v>N/A</v>
      </c>
      <c r="Q97" s="4" t="str">
        <f>IF(OR($A97="RTD"),IF(AND($AI97&lt;&gt;""),"YES","NO"),"N/A")</f>
        <v>N/A</v>
      </c>
      <c r="R97" s="4" t="str">
        <f>IF(OR($AM97&lt;&gt;"",$Z97&lt;&gt;"",$AC97&lt;&gt;""),"YES","NO")</f>
        <v>NO</v>
      </c>
      <c r="S97" s="4" t="str">
        <f>IF(COUNTIF(I97:R97,"NO")=0,"YES","NO")</f>
        <v>NO</v>
      </c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inlineStr">
        <is>
          <t>D/32SB2114/18.2M/293/141/1.2M/LS23A/X/N12/XMN</t>
        </is>
      </c>
      <c r="AK97" s="9" t="inlineStr">
        <is>
          <t>18.2 m m</t>
        </is>
      </c>
      <c r="AL97" s="9" t="inlineStr">
        <is>
          <t>Levy Ostrup</t>
        </is>
      </c>
      <c r="AM97" s="9" t="n"/>
      <c r="AN97" s="9" t="n"/>
    </row>
    <row r="98">
      <c r="A98" s="9" t="inlineStr">
        <is>
          <t>EHT Trace</t>
        </is>
      </c>
      <c r="B98" s="9" t="inlineStr">
        <is>
          <t>29103-ET-ST2103-1-3</t>
        </is>
      </c>
      <c r="C98" s="9" t="inlineStr">
        <is>
          <t>29103-ET-ST2103-1</t>
        </is>
      </c>
      <c r="D98" s="9" t="inlineStr">
        <is>
          <t>29103-AMB-008</t>
        </is>
      </c>
      <c r="E98" s="9" t="inlineStr">
        <is>
          <t>29103-ST-2103</t>
        </is>
      </c>
      <c r="F98" s="9" t="inlineStr">
        <is>
          <t>29103-65R-ET-ST2103-01-01</t>
        </is>
      </c>
      <c r="G98" s="9" t="inlineStr">
        <is>
          <t>13.1</t>
        </is>
      </c>
      <c r="H98" s="9" t="inlineStr">
        <is>
          <t>29103-ET-ST2103-1-3.pdf</t>
        </is>
      </c>
      <c r="I98" s="4" t="str">
        <f>IF($H98&lt;&gt;"","YES","NO")</f>
        <v>YES</v>
      </c>
      <c r="J98" s="4" t="str">
        <f>IF(N($T98)&gt;0,"YES","NO")</f>
        <v>NO</v>
      </c>
      <c r="K98" s="4" t="str">
        <f>IF(OR($A98="EHT Trace"),IF(AND($U98&lt;&gt;"",$V98&lt;&gt;""),"YES","NO"),"N/A")</f>
        <v>YES</v>
      </c>
      <c r="L98" s="4" t="str">
        <f>IF(OR($A98="EHT Trace"),IF(AND($X98&lt;&gt;"",$Y98&lt;&gt;""),"YES","NO"),"N/A")</f>
        <v>NO</v>
      </c>
      <c r="M98" s="4" t="str">
        <f>IF(OR($A98="EHT Trace"),IF(AND($AA98&lt;&gt;"",$AB98&lt;&gt;""),"YES","NO"),"N/A")</f>
        <v>NO</v>
      </c>
      <c r="N98" s="4" t="str">
        <f>IF(OR($A98="Power Cable"),IF(AND($AD98&lt;&gt;""),"YES","NO"),"N/A")</f>
        <v>N/A</v>
      </c>
      <c r="O98" s="4" t="str">
        <f>IF(OR($A98="Power Cable",$A98="RTD Cable",$A98="Fieldbus Cable"),IF(AND($AE98&lt;&gt;""),"YES","NO"),"N/A")</f>
        <v>N/A</v>
      </c>
      <c r="P98" s="4" t="str">
        <f>IF(OR($A98="RTD"),IF(AND($AH98&lt;&gt;""),"YES","NO"),"N/A")</f>
        <v>N/A</v>
      </c>
      <c r="Q98" s="4" t="str">
        <f>IF(OR($A98="RTD"),IF(AND($AI98&lt;&gt;""),"YES","NO"),"N/A")</f>
        <v>N/A</v>
      </c>
      <c r="R98" s="4" t="str">
        <f>IF(OR($AM98&lt;&gt;"",$Z98&lt;&gt;"",$AC98&lt;&gt;""),"YES","NO")</f>
        <v>NO</v>
      </c>
      <c r="S98" s="4" t="str">
        <f>IF(COUNTIF(I98:R98,"NO")=0,"YES","NO")</f>
        <v>NO</v>
      </c>
      <c r="T98" s="9" t="n"/>
      <c r="U98" s="9" t="inlineStr">
        <is>
          <t>&gt;550 MΩ</t>
        </is>
      </c>
      <c r="V98" s="9" t="inlineStr">
        <is>
          <t>55.4 Ω</t>
        </is>
      </c>
      <c r="W98" s="9" t="inlineStr">
        <is>
          <t>2026-05-18</t>
        </is>
      </c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inlineStr">
        <is>
          <t>E/32SA2170/9.5M/162/93/1.2M/LS23A/X/N12/XNF</t>
        </is>
      </c>
      <c r="AK98" s="9" t="inlineStr">
        <is>
          <t>9.5 m m</t>
        </is>
      </c>
      <c r="AL98" s="9" t="inlineStr">
        <is>
          <t>Levy Ostrup</t>
        </is>
      </c>
      <c r="AM98" s="9" t="n"/>
      <c r="AN98" s="9" t="n"/>
    </row>
    <row r="99">
      <c r="A99" s="9" t="inlineStr">
        <is>
          <t>EHT Trace</t>
        </is>
      </c>
      <c r="B99" s="9" t="inlineStr">
        <is>
          <t>29103-ET-ST2103-1-4</t>
        </is>
      </c>
      <c r="C99" s="9" t="inlineStr">
        <is>
          <t>29103-ET-ST2103-1</t>
        </is>
      </c>
      <c r="D99" s="9" t="inlineStr">
        <is>
          <t>29103-AMB-008</t>
        </is>
      </c>
      <c r="E99" s="9" t="inlineStr">
        <is>
          <t>29103-ST-2103</t>
        </is>
      </c>
      <c r="F99" s="9" t="inlineStr">
        <is>
          <t>29103-65R-ET-ST2103-01-01</t>
        </is>
      </c>
      <c r="G99" s="9" t="inlineStr">
        <is>
          <t>13.1</t>
        </is>
      </c>
      <c r="H99" s="9" t="inlineStr">
        <is>
          <t>29103-ET-ST2103-1-4.pdf</t>
        </is>
      </c>
      <c r="I99" s="4" t="str">
        <f>IF($H99&lt;&gt;"","YES","NO")</f>
        <v>YES</v>
      </c>
      <c r="J99" s="4" t="str">
        <f>IF(N($T99)&gt;0,"YES","NO")</f>
        <v>NO</v>
      </c>
      <c r="K99" s="4" t="str">
        <f>IF(OR($A99="EHT Trace"),IF(AND($U99&lt;&gt;"",$V99&lt;&gt;""),"YES","NO"),"N/A")</f>
        <v>YES</v>
      </c>
      <c r="L99" s="4" t="str">
        <f>IF(OR($A99="EHT Trace"),IF(AND($X99&lt;&gt;"",$Y99&lt;&gt;""),"YES","NO"),"N/A")</f>
        <v>NO</v>
      </c>
      <c r="M99" s="4" t="str">
        <f>IF(OR($A99="EHT Trace"),IF(AND($AA99&lt;&gt;"",$AB99&lt;&gt;""),"YES","NO"),"N/A")</f>
        <v>NO</v>
      </c>
      <c r="N99" s="4" t="str">
        <f>IF(OR($A99="Power Cable"),IF(AND($AD99&lt;&gt;""),"YES","NO"),"N/A")</f>
        <v>N/A</v>
      </c>
      <c r="O99" s="4" t="str">
        <f>IF(OR($A99="Power Cable",$A99="RTD Cable",$A99="Fieldbus Cable"),IF(AND($AE99&lt;&gt;""),"YES","NO"),"N/A")</f>
        <v>N/A</v>
      </c>
      <c r="P99" s="4" t="str">
        <f>IF(OR($A99="RTD"),IF(AND($AH99&lt;&gt;""),"YES","NO"),"N/A")</f>
        <v>N/A</v>
      </c>
      <c r="Q99" s="4" t="str">
        <f>IF(OR($A99="RTD"),IF(AND($AI99&lt;&gt;""),"YES","NO"),"N/A")</f>
        <v>N/A</v>
      </c>
      <c r="R99" s="4" t="str">
        <f>IF(OR($AM99&lt;&gt;"",$Z99&lt;&gt;"",$AC99&lt;&gt;""),"YES","NO")</f>
        <v>NO</v>
      </c>
      <c r="S99" s="4" t="str">
        <f>IF(COUNTIF(I99:R99,"NO")=0,"YES","NO")</f>
        <v>NO</v>
      </c>
      <c r="T99" s="9" t="n"/>
      <c r="U99" s="9" t="inlineStr">
        <is>
          <t>&gt;550 MΩ</t>
        </is>
      </c>
      <c r="V99" s="9" t="inlineStr">
        <is>
          <t>33.6 Ω</t>
        </is>
      </c>
      <c r="W99" s="9" t="inlineStr">
        <is>
          <t>2026-05-18</t>
        </is>
      </c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inlineStr">
        <is>
          <t>E/32SA2170/5.7M/97/55.8/1.2M/LS23A/X/N12/XMF</t>
        </is>
      </c>
      <c r="AK99" s="9" t="inlineStr">
        <is>
          <t>5.7 m m</t>
        </is>
      </c>
      <c r="AL99" s="9" t="inlineStr">
        <is>
          <t>Levy Ostrup</t>
        </is>
      </c>
      <c r="AM99" s="9" t="n"/>
      <c r="AN99" s="9" t="n"/>
    </row>
    <row r="100">
      <c r="A100" s="9" t="inlineStr">
        <is>
          <t>EHT Trace</t>
        </is>
      </c>
      <c r="B100" s="9" t="inlineStr">
        <is>
          <t>29103-ET-ST2103-1-5</t>
        </is>
      </c>
      <c r="C100" s="9" t="inlineStr">
        <is>
          <t>29103-ET-ST2103-1</t>
        </is>
      </c>
      <c r="D100" s="9" t="inlineStr">
        <is>
          <t>29103-AMB-008</t>
        </is>
      </c>
      <c r="E100" s="9" t="inlineStr">
        <is>
          <t>29103-ST-2103</t>
        </is>
      </c>
      <c r="F100" s="9" t="inlineStr">
        <is>
          <t>29103-65R-ET-ST2103-01-01</t>
        </is>
      </c>
      <c r="G100" s="9" t="inlineStr">
        <is>
          <t>13.1</t>
        </is>
      </c>
      <c r="H100" s="9" t="inlineStr">
        <is>
          <t>29103-ET-ST2103-1-5.pdf</t>
        </is>
      </c>
      <c r="I100" s="4" t="str">
        <f>IF($H100&lt;&gt;"","YES","NO")</f>
        <v>YES</v>
      </c>
      <c r="J100" s="4" t="str">
        <f>IF(N($T100)&gt;0,"YES","NO")</f>
        <v>NO</v>
      </c>
      <c r="K100" s="4" t="str">
        <f>IF(OR($A100="EHT Trace"),IF(AND($U100&lt;&gt;"",$V100&lt;&gt;""),"YES","NO"),"N/A")</f>
        <v>YES</v>
      </c>
      <c r="L100" s="4" t="str">
        <f>IF(OR($A100="EHT Trace"),IF(AND($X100&lt;&gt;"",$Y100&lt;&gt;""),"YES","NO"),"N/A")</f>
        <v>NO</v>
      </c>
      <c r="M100" s="4" t="str">
        <f>IF(OR($A100="EHT Trace"),IF(AND($AA100&lt;&gt;"",$AB100&lt;&gt;""),"YES","NO"),"N/A")</f>
        <v>NO</v>
      </c>
      <c r="N100" s="4" t="str">
        <f>IF(OR($A100="Power Cable"),IF(AND($AD100&lt;&gt;""),"YES","NO"),"N/A")</f>
        <v>N/A</v>
      </c>
      <c r="O100" s="4" t="str">
        <f>IF(OR($A100="Power Cable",$A100="RTD Cable",$A100="Fieldbus Cable"),IF(AND($AE100&lt;&gt;""),"YES","NO"),"N/A")</f>
        <v>N/A</v>
      </c>
      <c r="P100" s="4" t="str">
        <f>IF(OR($A100="RTD"),IF(AND($AH100&lt;&gt;""),"YES","NO"),"N/A")</f>
        <v>N/A</v>
      </c>
      <c r="Q100" s="4" t="str">
        <f>IF(OR($A100="RTD"),IF(AND($AI100&lt;&gt;""),"YES","NO"),"N/A")</f>
        <v>N/A</v>
      </c>
      <c r="R100" s="4" t="str">
        <f>IF(OR($AM100&lt;&gt;"",$Z100&lt;&gt;"",$AC100&lt;&gt;""),"YES","NO")</f>
        <v>NO</v>
      </c>
      <c r="S100" s="4" t="str">
        <f>IF(COUNTIF(I100:R100,"NO")=0,"YES","NO")</f>
        <v>NO</v>
      </c>
      <c r="T100" s="9" t="n"/>
      <c r="U100" s="9" t="inlineStr">
        <is>
          <t>&gt;550 MΩ</t>
        </is>
      </c>
      <c r="V100" s="9" t="inlineStr">
        <is>
          <t>76.2 Ω</t>
        </is>
      </c>
      <c r="W100" s="9" t="inlineStr">
        <is>
          <t>2026-05-18</t>
        </is>
      </c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inlineStr">
        <is>
          <t>D/32SA2170/13.1M/224/128/1.2M/LS23A/X/N12/XMN</t>
        </is>
      </c>
      <c r="AK100" s="9" t="inlineStr">
        <is>
          <t>13.1 m m</t>
        </is>
      </c>
      <c r="AL100" s="9" t="inlineStr">
        <is>
          <t>Levy Ostrup</t>
        </is>
      </c>
      <c r="AM100" s="9" t="n"/>
      <c r="AN100" s="9" t="n"/>
    </row>
    <row r="101">
      <c r="A101" s="9" t="inlineStr">
        <is>
          <t>EHT Trace</t>
        </is>
      </c>
      <c r="B101" s="9" t="inlineStr">
        <is>
          <t>29103-ET-ST2203-1-1</t>
        </is>
      </c>
      <c r="C101" s="9" t="inlineStr">
        <is>
          <t>29103-ET-ST2203-1</t>
        </is>
      </c>
      <c r="D101" s="9" t="inlineStr">
        <is>
          <t>29103-AMB-008</t>
        </is>
      </c>
      <c r="E101" s="9" t="inlineStr">
        <is>
          <t>29103-ST-2204, 29103-ST-2203</t>
        </is>
      </c>
      <c r="F101" s="9" t="inlineStr">
        <is>
          <t>29103-65R-ET-ST2203-01-01</t>
        </is>
      </c>
      <c r="G101" s="9" t="inlineStr">
        <is>
          <t>13.1</t>
        </is>
      </c>
      <c r="H101" s="9" t="inlineStr">
        <is>
          <t>29103-ET-ST2203-1-1.pdf</t>
        </is>
      </c>
      <c r="I101" s="4" t="str">
        <f>IF($H101&lt;&gt;"","YES","NO")</f>
        <v>YES</v>
      </c>
      <c r="J101" s="4" t="str">
        <f>IF(N($T101)&gt;0,"YES","NO")</f>
        <v>NO</v>
      </c>
      <c r="K101" s="4" t="str">
        <f>IF(OR($A101="EHT Trace"),IF(AND($U101&lt;&gt;"",$V101&lt;&gt;""),"YES","NO"),"N/A")</f>
        <v>NO</v>
      </c>
      <c r="L101" s="4" t="str">
        <f>IF(OR($A101="EHT Trace"),IF(AND($X101&lt;&gt;"",$Y101&lt;&gt;""),"YES","NO"),"N/A")</f>
        <v>NO</v>
      </c>
      <c r="M101" s="4" t="str">
        <f>IF(OR($A101="EHT Trace"),IF(AND($AA101&lt;&gt;"",$AB101&lt;&gt;""),"YES","NO"),"N/A")</f>
        <v>NO</v>
      </c>
      <c r="N101" s="4" t="str">
        <f>IF(OR($A101="Power Cable"),IF(AND($AD101&lt;&gt;""),"YES","NO"),"N/A")</f>
        <v>N/A</v>
      </c>
      <c r="O101" s="4" t="str">
        <f>IF(OR($A101="Power Cable",$A101="RTD Cable",$A101="Fieldbus Cable"),IF(AND($AE101&lt;&gt;""),"YES","NO"),"N/A")</f>
        <v>N/A</v>
      </c>
      <c r="P101" s="4" t="str">
        <f>IF(OR($A101="RTD"),IF(AND($AH101&lt;&gt;""),"YES","NO"),"N/A")</f>
        <v>N/A</v>
      </c>
      <c r="Q101" s="4" t="str">
        <f>IF(OR($A101="RTD"),IF(AND($AI101&lt;&gt;""),"YES","NO"),"N/A")</f>
        <v>N/A</v>
      </c>
      <c r="R101" s="4" t="str">
        <f>IF(OR($AM101&lt;&gt;"",$Z101&lt;&gt;"",$AC101&lt;&gt;""),"YES","NO")</f>
        <v>NO</v>
      </c>
      <c r="S101" s="4" t="str">
        <f>IF(COUNTIF(I101:R101,"NO")=0,"YES","NO")</f>
        <v>NO</v>
      </c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inlineStr">
        <is>
          <t>E/32SB2114/17.3M/282/135/1.2M/LS23A/X/N12/XNF</t>
        </is>
      </c>
      <c r="AK101" s="9" t="inlineStr">
        <is>
          <t>17.3 m m</t>
        </is>
      </c>
      <c r="AL101" s="9" t="inlineStr">
        <is>
          <t>Levy Ostrup</t>
        </is>
      </c>
      <c r="AM101" s="9" t="n"/>
      <c r="AN101" s="9" t="n"/>
    </row>
    <row r="102">
      <c r="A102" s="9" t="inlineStr">
        <is>
          <t>EHT Trace</t>
        </is>
      </c>
      <c r="B102" s="9" t="inlineStr">
        <is>
          <t>29103-ET-ST2203-1-2</t>
        </is>
      </c>
      <c r="C102" s="9" t="inlineStr">
        <is>
          <t>29103-ET-ST2203-1</t>
        </is>
      </c>
      <c r="D102" s="9" t="inlineStr">
        <is>
          <t>29103-AMB-008</t>
        </is>
      </c>
      <c r="E102" s="9" t="inlineStr">
        <is>
          <t>29103-ST-2204</t>
        </is>
      </c>
      <c r="F102" s="9" t="inlineStr">
        <is>
          <t>29103-65R-ET-ST2203-01-01</t>
        </is>
      </c>
      <c r="G102" s="9" t="inlineStr">
        <is>
          <t>13.1</t>
        </is>
      </c>
      <c r="H102" s="9" t="inlineStr">
        <is>
          <t>29103-ET-ST2203-1-2.pdf</t>
        </is>
      </c>
      <c r="I102" s="4" t="str">
        <f>IF($H102&lt;&gt;"","YES","NO")</f>
        <v>YES</v>
      </c>
      <c r="J102" s="4" t="str">
        <f>IF(N($T102)&gt;0,"YES","NO")</f>
        <v>NO</v>
      </c>
      <c r="K102" s="4" t="str">
        <f>IF(OR($A102="EHT Trace"),IF(AND($U102&lt;&gt;"",$V102&lt;&gt;""),"YES","NO"),"N/A")</f>
        <v>NO</v>
      </c>
      <c r="L102" s="4" t="str">
        <f>IF(OR($A102="EHT Trace"),IF(AND($X102&lt;&gt;"",$Y102&lt;&gt;""),"YES","NO"),"N/A")</f>
        <v>NO</v>
      </c>
      <c r="M102" s="4" t="str">
        <f>IF(OR($A102="EHT Trace"),IF(AND($AA102&lt;&gt;"",$AB102&lt;&gt;""),"YES","NO"),"N/A")</f>
        <v>NO</v>
      </c>
      <c r="N102" s="4" t="str">
        <f>IF(OR($A102="Power Cable"),IF(AND($AD102&lt;&gt;""),"YES","NO"),"N/A")</f>
        <v>N/A</v>
      </c>
      <c r="O102" s="4" t="str">
        <f>IF(OR($A102="Power Cable",$A102="RTD Cable",$A102="Fieldbus Cable"),IF(AND($AE102&lt;&gt;""),"YES","NO"),"N/A")</f>
        <v>N/A</v>
      </c>
      <c r="P102" s="4" t="str">
        <f>IF(OR($A102="RTD"),IF(AND($AH102&lt;&gt;""),"YES","NO"),"N/A")</f>
        <v>N/A</v>
      </c>
      <c r="Q102" s="4" t="str">
        <f>IF(OR($A102="RTD"),IF(AND($AI102&lt;&gt;""),"YES","NO"),"N/A")</f>
        <v>N/A</v>
      </c>
      <c r="R102" s="4" t="str">
        <f>IF(OR($AM102&lt;&gt;"",$Z102&lt;&gt;"",$AC102&lt;&gt;""),"YES","NO")</f>
        <v>NO</v>
      </c>
      <c r="S102" s="4" t="str">
        <f>IF(COUNTIF(I102:R102,"NO")=0,"YES","NO")</f>
        <v>NO</v>
      </c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inlineStr">
        <is>
          <t>D/32SB2114/18.2M/297/142/1.2M/LS23A/X/N12/XMN</t>
        </is>
      </c>
      <c r="AK102" s="9" t="inlineStr">
        <is>
          <t>18.2 m m</t>
        </is>
      </c>
      <c r="AL102" s="9" t="inlineStr">
        <is>
          <t>Levy Ostrup</t>
        </is>
      </c>
      <c r="AM102" s="9" t="n"/>
      <c r="AN102" s="9" t="n"/>
    </row>
    <row r="103">
      <c r="A103" s="9" t="inlineStr">
        <is>
          <t>EHT Trace</t>
        </is>
      </c>
      <c r="B103" s="9" t="inlineStr">
        <is>
          <t>29103-ET-ST2203-1-3</t>
        </is>
      </c>
      <c r="C103" s="9" t="inlineStr">
        <is>
          <t>29103-ET-ST2203-1</t>
        </is>
      </c>
      <c r="D103" s="9" t="inlineStr">
        <is>
          <t>29103-AMB-008</t>
        </is>
      </c>
      <c r="E103" s="9" t="inlineStr">
        <is>
          <t>29103-ST-2203</t>
        </is>
      </c>
      <c r="F103" s="9" t="inlineStr">
        <is>
          <t>29103-65R-ET-ST2203-01-01</t>
        </is>
      </c>
      <c r="G103" s="9" t="inlineStr">
        <is>
          <t>13.1</t>
        </is>
      </c>
      <c r="H103" s="9" t="inlineStr">
        <is>
          <t>29103-ET-ST2203-1-3.pdf</t>
        </is>
      </c>
      <c r="I103" s="4" t="str">
        <f>IF($H103&lt;&gt;"","YES","NO")</f>
        <v>YES</v>
      </c>
      <c r="J103" s="4" t="str">
        <f>IF(N($T103)&gt;0,"YES","NO")</f>
        <v>NO</v>
      </c>
      <c r="K103" s="4" t="str">
        <f>IF(OR($A103="EHT Trace"),IF(AND($U103&lt;&gt;"",$V103&lt;&gt;""),"YES","NO"),"N/A")</f>
        <v>YES</v>
      </c>
      <c r="L103" s="4" t="str">
        <f>IF(OR($A103="EHT Trace"),IF(AND($X103&lt;&gt;"",$Y103&lt;&gt;""),"YES","NO"),"N/A")</f>
        <v>NO</v>
      </c>
      <c r="M103" s="4" t="str">
        <f>IF(OR($A103="EHT Trace"),IF(AND($AA103&lt;&gt;"",$AB103&lt;&gt;""),"YES","NO"),"N/A")</f>
        <v>NO</v>
      </c>
      <c r="N103" s="4" t="str">
        <f>IF(OR($A103="Power Cable"),IF(AND($AD103&lt;&gt;""),"YES","NO"),"N/A")</f>
        <v>N/A</v>
      </c>
      <c r="O103" s="4" t="str">
        <f>IF(OR($A103="Power Cable",$A103="RTD Cable",$A103="Fieldbus Cable"),IF(AND($AE103&lt;&gt;""),"YES","NO"),"N/A")</f>
        <v>N/A</v>
      </c>
      <c r="P103" s="4" t="str">
        <f>IF(OR($A103="RTD"),IF(AND($AH103&lt;&gt;""),"YES","NO"),"N/A")</f>
        <v>N/A</v>
      </c>
      <c r="Q103" s="4" t="str">
        <f>IF(OR($A103="RTD"),IF(AND($AI103&lt;&gt;""),"YES","NO"),"N/A")</f>
        <v>N/A</v>
      </c>
      <c r="R103" s="4" t="str">
        <f>IF(OR($AM103&lt;&gt;"",$Z103&lt;&gt;"",$AC103&lt;&gt;""),"YES","NO")</f>
        <v>NO</v>
      </c>
      <c r="S103" s="4" t="str">
        <f>IF(COUNTIF(I103:R103,"NO")=0,"YES","NO")</f>
        <v>NO</v>
      </c>
      <c r="T103" s="9" t="n"/>
      <c r="U103" s="9" t="inlineStr">
        <is>
          <t>&gt;550 MΩ</t>
        </is>
      </c>
      <c r="V103" s="9" t="inlineStr">
        <is>
          <t>51.9 Ω</t>
        </is>
      </c>
      <c r="W103" s="9" t="inlineStr">
        <is>
          <t>2026-05-18</t>
        </is>
      </c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inlineStr">
        <is>
          <t>E/32SA2200/7.6M/127/79.7/1.2M/LS23A/X/N12/XNF</t>
        </is>
      </c>
      <c r="AK103" s="9" t="inlineStr">
        <is>
          <t>7.6 m m</t>
        </is>
      </c>
      <c r="AL103" s="9" t="inlineStr">
        <is>
          <t>Levy Ostrup</t>
        </is>
      </c>
      <c r="AM103" s="9" t="n"/>
      <c r="AN103" s="9" t="n"/>
    </row>
    <row r="104">
      <c r="A104" s="9" t="inlineStr">
        <is>
          <t>EHT Trace</t>
        </is>
      </c>
      <c r="B104" s="9" t="inlineStr">
        <is>
          <t>29103-ET-ST2203-1-4</t>
        </is>
      </c>
      <c r="C104" s="9" t="inlineStr">
        <is>
          <t>29103-ET-ST2203-1</t>
        </is>
      </c>
      <c r="D104" s="9" t="inlineStr">
        <is>
          <t>29103-AMB-008</t>
        </is>
      </c>
      <c r="E104" s="9" t="inlineStr">
        <is>
          <t>29103-ST-2203</t>
        </is>
      </c>
      <c r="F104" s="9" t="inlineStr">
        <is>
          <t>29103-65R-ET-ST2203-01-01</t>
        </is>
      </c>
      <c r="G104" s="9" t="inlineStr">
        <is>
          <t>13.1</t>
        </is>
      </c>
      <c r="H104" s="9" t="inlineStr">
        <is>
          <t>29103-ET-ST2203-1-4.pdf</t>
        </is>
      </c>
      <c r="I104" s="4" t="str">
        <f>IF($H104&lt;&gt;"","YES","NO")</f>
        <v>YES</v>
      </c>
      <c r="J104" s="4" t="str">
        <f>IF(N($T104)&gt;0,"YES","NO")</f>
        <v>NO</v>
      </c>
      <c r="K104" s="4" t="str">
        <f>IF(OR($A104="EHT Trace"),IF(AND($U104&lt;&gt;"",$V104&lt;&gt;""),"YES","NO"),"N/A")</f>
        <v>YES</v>
      </c>
      <c r="L104" s="4" t="str">
        <f>IF(OR($A104="EHT Trace"),IF(AND($X104&lt;&gt;"",$Y104&lt;&gt;""),"YES","NO"),"N/A")</f>
        <v>NO</v>
      </c>
      <c r="M104" s="4" t="str">
        <f>IF(OR($A104="EHT Trace"),IF(AND($AA104&lt;&gt;"",$AB104&lt;&gt;""),"YES","NO"),"N/A")</f>
        <v>NO</v>
      </c>
      <c r="N104" s="4" t="str">
        <f>IF(OR($A104="Power Cable"),IF(AND($AD104&lt;&gt;""),"YES","NO"),"N/A")</f>
        <v>N/A</v>
      </c>
      <c r="O104" s="4" t="str">
        <f>IF(OR($A104="Power Cable",$A104="RTD Cable",$A104="Fieldbus Cable"),IF(AND($AE104&lt;&gt;""),"YES","NO"),"N/A")</f>
        <v>N/A</v>
      </c>
      <c r="P104" s="4" t="str">
        <f>IF(OR($A104="RTD"),IF(AND($AH104&lt;&gt;""),"YES","NO"),"N/A")</f>
        <v>N/A</v>
      </c>
      <c r="Q104" s="4" t="str">
        <f>IF(OR($A104="RTD"),IF(AND($AI104&lt;&gt;""),"YES","NO"),"N/A")</f>
        <v>N/A</v>
      </c>
      <c r="R104" s="4" t="str">
        <f>IF(OR($AM104&lt;&gt;"",$Z104&lt;&gt;"",$AC104&lt;&gt;""),"YES","NO")</f>
        <v>NO</v>
      </c>
      <c r="S104" s="4" t="str">
        <f>IF(COUNTIF(I104:R104,"NO")=0,"YES","NO")</f>
        <v>NO</v>
      </c>
      <c r="T104" s="9" t="n"/>
      <c r="U104" s="9" t="inlineStr">
        <is>
          <t>&gt;550 MΩ</t>
        </is>
      </c>
      <c r="V104" s="9" t="inlineStr">
        <is>
          <t>38.9 Ω</t>
        </is>
      </c>
      <c r="W104" s="9" t="inlineStr">
        <is>
          <t>2026-05-18</t>
        </is>
      </c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inlineStr">
        <is>
          <t>E/32SA2200/5.7M/95/59.8/1.2M/LS23A/X/N12/XMF</t>
        </is>
      </c>
      <c r="AK104" s="9" t="inlineStr">
        <is>
          <t>5.7 m m</t>
        </is>
      </c>
      <c r="AL104" s="9" t="inlineStr">
        <is>
          <t>Levy Ostrup</t>
        </is>
      </c>
      <c r="AM104" s="9" t="n"/>
      <c r="AN104" s="9" t="n"/>
    </row>
    <row r="105">
      <c r="A105" s="9" t="inlineStr">
        <is>
          <t>EHT Trace</t>
        </is>
      </c>
      <c r="B105" s="9" t="inlineStr">
        <is>
          <t>29103-ET-ST2203-1-5</t>
        </is>
      </c>
      <c r="C105" s="9" t="inlineStr">
        <is>
          <t>29103-ET-ST2203-1</t>
        </is>
      </c>
      <c r="D105" s="9" t="inlineStr">
        <is>
          <t>29103-AMB-008</t>
        </is>
      </c>
      <c r="E105" s="9" t="inlineStr">
        <is>
          <t>29103-ST-2203</t>
        </is>
      </c>
      <c r="F105" s="9" t="inlineStr">
        <is>
          <t>29103-65R-ET-ST2203-01-01</t>
        </is>
      </c>
      <c r="G105" s="9" t="inlineStr">
        <is>
          <t>13.1</t>
        </is>
      </c>
      <c r="H105" s="9" t="inlineStr">
        <is>
          <t>29103-ET-ST2203-1-5.pdf</t>
        </is>
      </c>
      <c r="I105" s="4" t="str">
        <f>IF($H105&lt;&gt;"","YES","NO")</f>
        <v>YES</v>
      </c>
      <c r="J105" s="4" t="str">
        <f>IF(N($T105)&gt;0,"YES","NO")</f>
        <v>NO</v>
      </c>
      <c r="K105" s="4" t="str">
        <f>IF(OR($A105="EHT Trace"),IF(AND($U105&lt;&gt;"",$V105&lt;&gt;""),"YES","NO"),"N/A")</f>
        <v>YES</v>
      </c>
      <c r="L105" s="4" t="str">
        <f>IF(OR($A105="EHT Trace"),IF(AND($X105&lt;&gt;"",$Y105&lt;&gt;""),"YES","NO"),"N/A")</f>
        <v>NO</v>
      </c>
      <c r="M105" s="4" t="str">
        <f>IF(OR($A105="EHT Trace"),IF(AND($AA105&lt;&gt;"",$AB105&lt;&gt;""),"YES","NO"),"N/A")</f>
        <v>NO</v>
      </c>
      <c r="N105" s="4" t="str">
        <f>IF(OR($A105="Power Cable"),IF(AND($AD105&lt;&gt;""),"YES","NO"),"N/A")</f>
        <v>N/A</v>
      </c>
      <c r="O105" s="4" t="str">
        <f>IF(OR($A105="Power Cable",$A105="RTD Cable",$A105="Fieldbus Cable"),IF(AND($AE105&lt;&gt;""),"YES","NO"),"N/A")</f>
        <v>N/A</v>
      </c>
      <c r="P105" s="4" t="str">
        <f>IF(OR($A105="RTD"),IF(AND($AH105&lt;&gt;""),"YES","NO"),"N/A")</f>
        <v>N/A</v>
      </c>
      <c r="Q105" s="4" t="str">
        <f>IF(OR($A105="RTD"),IF(AND($AI105&lt;&gt;""),"YES","NO"),"N/A")</f>
        <v>N/A</v>
      </c>
      <c r="R105" s="4" t="str">
        <f>IF(OR($AM105&lt;&gt;"",$Z105&lt;&gt;"",$AC105&lt;&gt;""),"YES","NO")</f>
        <v>NO</v>
      </c>
      <c r="S105" s="4" t="str">
        <f>IF(COUNTIF(I105:R105,"NO")=0,"YES","NO")</f>
        <v>NO</v>
      </c>
      <c r="T105" s="9" t="n"/>
      <c r="U105" s="9" t="inlineStr">
        <is>
          <t>&gt;550 MΩ</t>
        </is>
      </c>
      <c r="V105" s="9" t="inlineStr">
        <is>
          <t>88.2 Ω</t>
        </is>
      </c>
      <c r="W105" s="9" t="inlineStr">
        <is>
          <t>2026-05-18</t>
        </is>
      </c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inlineStr">
        <is>
          <t>D/32SA2200/13.1M/219/137/1.2M/LS23A/X/N12/XMN</t>
        </is>
      </c>
      <c r="AK105" s="9" t="inlineStr">
        <is>
          <t>13.1 m m</t>
        </is>
      </c>
      <c r="AL105" s="9" t="inlineStr">
        <is>
          <t>Levy Ostrup</t>
        </is>
      </c>
      <c r="AM105" s="9" t="n"/>
      <c r="AN105" s="9" t="n"/>
    </row>
    <row r="106">
      <c r="A106" s="9" t="inlineStr">
        <is>
          <t>EHT Trace</t>
        </is>
      </c>
      <c r="B106" s="9" t="inlineStr">
        <is>
          <t>29103-ET-ST2303-1-1</t>
        </is>
      </c>
      <c r="C106" s="9" t="inlineStr">
        <is>
          <t>29103-ET-ST2303-1</t>
        </is>
      </c>
      <c r="D106" s="9" t="inlineStr">
        <is>
          <t>29103-AMB-008</t>
        </is>
      </c>
      <c r="E106" s="9" t="inlineStr">
        <is>
          <t>29103-ST-2304, 29103-ST-2303</t>
        </is>
      </c>
      <c r="F106" s="9" t="inlineStr">
        <is>
          <t>29103-65R-ET-ST2303-01-01</t>
        </is>
      </c>
      <c r="G106" s="9" t="inlineStr">
        <is>
          <t>13.1</t>
        </is>
      </c>
      <c r="H106" s="9" t="inlineStr">
        <is>
          <t>29103-ET-ST2303-1-1.pdf</t>
        </is>
      </c>
      <c r="I106" s="4" t="str">
        <f>IF($H106&lt;&gt;"","YES","NO")</f>
        <v>YES</v>
      </c>
      <c r="J106" s="4" t="str">
        <f>IF(N($T106)&gt;0,"YES","NO")</f>
        <v>NO</v>
      </c>
      <c r="K106" s="4" t="str">
        <f>IF(OR($A106="EHT Trace"),IF(AND($U106&lt;&gt;"",$V106&lt;&gt;""),"YES","NO"),"N/A")</f>
        <v>NO</v>
      </c>
      <c r="L106" s="4" t="str">
        <f>IF(OR($A106="EHT Trace"),IF(AND($X106&lt;&gt;"",$Y106&lt;&gt;""),"YES","NO"),"N/A")</f>
        <v>NO</v>
      </c>
      <c r="M106" s="4" t="str">
        <f>IF(OR($A106="EHT Trace"),IF(AND($AA106&lt;&gt;"",$AB106&lt;&gt;""),"YES","NO"),"N/A")</f>
        <v>NO</v>
      </c>
      <c r="N106" s="4" t="str">
        <f>IF(OR($A106="Power Cable"),IF(AND($AD106&lt;&gt;""),"YES","NO"),"N/A")</f>
        <v>N/A</v>
      </c>
      <c r="O106" s="4" t="str">
        <f>IF(OR($A106="Power Cable",$A106="RTD Cable",$A106="Fieldbus Cable"),IF(AND($AE106&lt;&gt;""),"YES","NO"),"N/A")</f>
        <v>N/A</v>
      </c>
      <c r="P106" s="4" t="str">
        <f>IF(OR($A106="RTD"),IF(AND($AH106&lt;&gt;""),"YES","NO"),"N/A")</f>
        <v>N/A</v>
      </c>
      <c r="Q106" s="4" t="str">
        <f>IF(OR($A106="RTD"),IF(AND($AI106&lt;&gt;""),"YES","NO"),"N/A")</f>
        <v>N/A</v>
      </c>
      <c r="R106" s="4" t="str">
        <f>IF(OR($AM106&lt;&gt;"",$Z106&lt;&gt;"",$AC106&lt;&gt;""),"YES","NO")</f>
        <v>NO</v>
      </c>
      <c r="S106" s="4" t="str">
        <f>IF(COUNTIF(I106:R106,"NO")=0,"YES","NO")</f>
        <v>NO</v>
      </c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inlineStr">
        <is>
          <t>E/32SB2114/17.5M/282/136/1.2M/LS23A/X/N12/XNF</t>
        </is>
      </c>
      <c r="AK106" s="9" t="inlineStr">
        <is>
          <t>17.5 m m</t>
        </is>
      </c>
      <c r="AL106" s="9" t="inlineStr">
        <is>
          <t>Levy Ostrup</t>
        </is>
      </c>
      <c r="AM106" s="9" t="n"/>
      <c r="AN106" s="9" t="n"/>
    </row>
    <row r="107">
      <c r="A107" s="9" t="inlineStr">
        <is>
          <t>EHT Trace</t>
        </is>
      </c>
      <c r="B107" s="9" t="inlineStr">
        <is>
          <t>29103-ET-ST2303-1-2</t>
        </is>
      </c>
      <c r="C107" s="9" t="inlineStr">
        <is>
          <t>29103-ET-ST2303-1</t>
        </is>
      </c>
      <c r="D107" s="9" t="inlineStr">
        <is>
          <t>29103-AMB-008</t>
        </is>
      </c>
      <c r="E107" s="9" t="inlineStr">
        <is>
          <t>29103-ST-2304</t>
        </is>
      </c>
      <c r="F107" s="9" t="inlineStr">
        <is>
          <t>29103-65R-ET-ST2303-01-01</t>
        </is>
      </c>
      <c r="G107" s="9" t="inlineStr">
        <is>
          <t>13.1</t>
        </is>
      </c>
      <c r="H107" s="9" t="inlineStr">
        <is>
          <t>29103-ET-ST2303-1-2.pdf</t>
        </is>
      </c>
      <c r="I107" s="4" t="str">
        <f>IF($H107&lt;&gt;"","YES","NO")</f>
        <v>YES</v>
      </c>
      <c r="J107" s="4" t="str">
        <f>IF(N($T107)&gt;0,"YES","NO")</f>
        <v>NO</v>
      </c>
      <c r="K107" s="4" t="str">
        <f>IF(OR($A107="EHT Trace"),IF(AND($U107&lt;&gt;"",$V107&lt;&gt;""),"YES","NO"),"N/A")</f>
        <v>NO</v>
      </c>
      <c r="L107" s="4" t="str">
        <f>IF(OR($A107="EHT Trace"),IF(AND($X107&lt;&gt;"",$Y107&lt;&gt;""),"YES","NO"),"N/A")</f>
        <v>NO</v>
      </c>
      <c r="M107" s="4" t="str">
        <f>IF(OR($A107="EHT Trace"),IF(AND($AA107&lt;&gt;"",$AB107&lt;&gt;""),"YES","NO"),"N/A")</f>
        <v>NO</v>
      </c>
      <c r="N107" s="4" t="str">
        <f>IF(OR($A107="Power Cable"),IF(AND($AD107&lt;&gt;""),"YES","NO"),"N/A")</f>
        <v>N/A</v>
      </c>
      <c r="O107" s="4" t="str">
        <f>IF(OR($A107="Power Cable",$A107="RTD Cable",$A107="Fieldbus Cable"),IF(AND($AE107&lt;&gt;""),"YES","NO"),"N/A")</f>
        <v>N/A</v>
      </c>
      <c r="P107" s="4" t="str">
        <f>IF(OR($A107="RTD"),IF(AND($AH107&lt;&gt;""),"YES","NO"),"N/A")</f>
        <v>N/A</v>
      </c>
      <c r="Q107" s="4" t="str">
        <f>IF(OR($A107="RTD"),IF(AND($AI107&lt;&gt;""),"YES","NO"),"N/A")</f>
        <v>N/A</v>
      </c>
      <c r="R107" s="4" t="str">
        <f>IF(OR($AM107&lt;&gt;"",$Z107&lt;&gt;"",$AC107&lt;&gt;""),"YES","NO")</f>
        <v>NO</v>
      </c>
      <c r="S107" s="4" t="str">
        <f>IF(COUNTIF(I107:R107,"NO")=0,"YES","NO")</f>
        <v>NO</v>
      </c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inlineStr">
        <is>
          <t>D/32SB2114/18.2M/293/141/1.2M/LS23A/X/N12/XMN</t>
        </is>
      </c>
      <c r="AK107" s="9" t="inlineStr">
        <is>
          <t>18.2 m m</t>
        </is>
      </c>
      <c r="AL107" s="9" t="inlineStr">
        <is>
          <t>Levy Ostrup</t>
        </is>
      </c>
      <c r="AM107" s="9" t="n"/>
      <c r="AN107" s="9" t="n"/>
    </row>
    <row r="108">
      <c r="A108" s="9" t="inlineStr">
        <is>
          <t>EHT Trace</t>
        </is>
      </c>
      <c r="B108" s="9" t="inlineStr">
        <is>
          <t>29103-ET-ST2303-1-3</t>
        </is>
      </c>
      <c r="C108" s="9" t="inlineStr">
        <is>
          <t>29103-ET-ST2303-1</t>
        </is>
      </c>
      <c r="D108" s="9" t="inlineStr">
        <is>
          <t>29103-AMB-008</t>
        </is>
      </c>
      <c r="E108" s="9" t="inlineStr">
        <is>
          <t>29103-ST-2303</t>
        </is>
      </c>
      <c r="F108" s="9" t="inlineStr">
        <is>
          <t>29103-65R-ET-ST2303-01-01</t>
        </is>
      </c>
      <c r="G108" s="9" t="inlineStr">
        <is>
          <t>13.1</t>
        </is>
      </c>
      <c r="H108" s="9" t="inlineStr">
        <is>
          <t>29103-ET-ST2303-1-3.pdf</t>
        </is>
      </c>
      <c r="I108" s="4" t="str">
        <f>IF($H108&lt;&gt;"","YES","NO")</f>
        <v>YES</v>
      </c>
      <c r="J108" s="4" t="str">
        <f>IF(N($T108)&gt;0,"YES","NO")</f>
        <v>NO</v>
      </c>
      <c r="K108" s="4" t="str">
        <f>IF(OR($A108="EHT Trace"),IF(AND($U108&lt;&gt;"",$V108&lt;&gt;""),"YES","NO"),"N/A")</f>
        <v>YES</v>
      </c>
      <c r="L108" s="4" t="str">
        <f>IF(OR($A108="EHT Trace"),IF(AND($X108&lt;&gt;"",$Y108&lt;&gt;""),"YES","NO"),"N/A")</f>
        <v>NO</v>
      </c>
      <c r="M108" s="4" t="str">
        <f>IF(OR($A108="EHT Trace"),IF(AND($AA108&lt;&gt;"",$AB108&lt;&gt;""),"YES","NO"),"N/A")</f>
        <v>NO</v>
      </c>
      <c r="N108" s="4" t="str">
        <f>IF(OR($A108="Power Cable"),IF(AND($AD108&lt;&gt;""),"YES","NO"),"N/A")</f>
        <v>N/A</v>
      </c>
      <c r="O108" s="4" t="str">
        <f>IF(OR($A108="Power Cable",$A108="RTD Cable",$A108="Fieldbus Cable"),IF(AND($AE108&lt;&gt;""),"YES","NO"),"N/A")</f>
        <v>N/A</v>
      </c>
      <c r="P108" s="4" t="str">
        <f>IF(OR($A108="RTD"),IF(AND($AH108&lt;&gt;""),"YES","NO"),"N/A")</f>
        <v>N/A</v>
      </c>
      <c r="Q108" s="4" t="str">
        <f>IF(OR($A108="RTD"),IF(AND($AI108&lt;&gt;""),"YES","NO"),"N/A")</f>
        <v>N/A</v>
      </c>
      <c r="R108" s="4" t="str">
        <f>IF(OR($AM108&lt;&gt;"",$Z108&lt;&gt;"",$AC108&lt;&gt;""),"YES","NO")</f>
        <v>NO</v>
      </c>
      <c r="S108" s="4" t="str">
        <f>IF(COUNTIF(I108:R108,"NO")=0,"YES","NO")</f>
        <v>NO</v>
      </c>
      <c r="T108" s="9" t="n"/>
      <c r="U108" s="9" t="inlineStr">
        <is>
          <t>&gt;550 MΩ</t>
        </is>
      </c>
      <c r="V108" s="9" t="inlineStr">
        <is>
          <t>55.1 Ω</t>
        </is>
      </c>
      <c r="W108" s="9" t="inlineStr">
        <is>
          <t>2026-05-18</t>
        </is>
      </c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inlineStr">
        <is>
          <t>E/32SA2170/9.5M/162/93/1.2M/LS23A/X/N12/XNF</t>
        </is>
      </c>
      <c r="AK108" s="9" t="inlineStr">
        <is>
          <t>9.5 m m</t>
        </is>
      </c>
      <c r="AL108" s="9" t="inlineStr">
        <is>
          <t>Levy Ostrup</t>
        </is>
      </c>
      <c r="AM108" s="9" t="n"/>
      <c r="AN108" s="9" t="n"/>
    </row>
    <row r="109">
      <c r="A109" s="9" t="inlineStr">
        <is>
          <t>EHT Trace</t>
        </is>
      </c>
      <c r="B109" s="9" t="inlineStr">
        <is>
          <t>29103-ET-ST2303-1-4</t>
        </is>
      </c>
      <c r="C109" s="9" t="inlineStr">
        <is>
          <t>29103-ET-ST2303-1</t>
        </is>
      </c>
      <c r="D109" s="9" t="inlineStr">
        <is>
          <t>29103-AMB-008</t>
        </is>
      </c>
      <c r="E109" s="9" t="inlineStr">
        <is>
          <t>29103-ST-2303</t>
        </is>
      </c>
      <c r="F109" s="9" t="inlineStr">
        <is>
          <t>29103-65R-ET-ST2303-01-01</t>
        </is>
      </c>
      <c r="G109" s="9" t="inlineStr">
        <is>
          <t>13.1</t>
        </is>
      </c>
      <c r="H109" s="9" t="inlineStr">
        <is>
          <t>29103-ET-ST2303-1-4.pdf</t>
        </is>
      </c>
      <c r="I109" s="4" t="str">
        <f>IF($H109&lt;&gt;"","YES","NO")</f>
        <v>YES</v>
      </c>
      <c r="J109" s="4" t="str">
        <f>IF(N($T109)&gt;0,"YES","NO")</f>
        <v>NO</v>
      </c>
      <c r="K109" s="4" t="str">
        <f>IF(OR($A109="EHT Trace"),IF(AND($U109&lt;&gt;"",$V109&lt;&gt;""),"YES","NO"),"N/A")</f>
        <v>YES</v>
      </c>
      <c r="L109" s="4" t="str">
        <f>IF(OR($A109="EHT Trace"),IF(AND($X109&lt;&gt;"",$Y109&lt;&gt;""),"YES","NO"),"N/A")</f>
        <v>NO</v>
      </c>
      <c r="M109" s="4" t="str">
        <f>IF(OR($A109="EHT Trace"),IF(AND($AA109&lt;&gt;"",$AB109&lt;&gt;""),"YES","NO"),"N/A")</f>
        <v>NO</v>
      </c>
      <c r="N109" s="4" t="str">
        <f>IF(OR($A109="Power Cable"),IF(AND($AD109&lt;&gt;""),"YES","NO"),"N/A")</f>
        <v>N/A</v>
      </c>
      <c r="O109" s="4" t="str">
        <f>IF(OR($A109="Power Cable",$A109="RTD Cable",$A109="Fieldbus Cable"),IF(AND($AE109&lt;&gt;""),"YES","NO"),"N/A")</f>
        <v>N/A</v>
      </c>
      <c r="P109" s="4" t="str">
        <f>IF(OR($A109="RTD"),IF(AND($AH109&lt;&gt;""),"YES","NO"),"N/A")</f>
        <v>N/A</v>
      </c>
      <c r="Q109" s="4" t="str">
        <f>IF(OR($A109="RTD"),IF(AND($AI109&lt;&gt;""),"YES","NO"),"N/A")</f>
        <v>N/A</v>
      </c>
      <c r="R109" s="4" t="str">
        <f>IF(OR($AM109&lt;&gt;"",$Z109&lt;&gt;"",$AC109&lt;&gt;""),"YES","NO")</f>
        <v>NO</v>
      </c>
      <c r="S109" s="4" t="str">
        <f>IF(COUNTIF(I109:R109,"NO")=0,"YES","NO")</f>
        <v>NO</v>
      </c>
      <c r="T109" s="9" t="n"/>
      <c r="U109" s="9" t="inlineStr">
        <is>
          <t>&gt;550 MΩ</t>
        </is>
      </c>
      <c r="V109" s="9" t="inlineStr">
        <is>
          <t>33.3 Ω</t>
        </is>
      </c>
      <c r="W109" s="9" t="inlineStr">
        <is>
          <t>2026-05-18</t>
        </is>
      </c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inlineStr">
        <is>
          <t>E/32SA2170/5.7M/97/55.8/1.2M/LS23A/X/N12/XMF</t>
        </is>
      </c>
      <c r="AK109" s="9" t="inlineStr">
        <is>
          <t>5.7 m m</t>
        </is>
      </c>
      <c r="AL109" s="9" t="inlineStr">
        <is>
          <t>Levy Ostrup</t>
        </is>
      </c>
      <c r="AM109" s="9" t="n"/>
      <c r="AN109" s="9" t="n"/>
    </row>
    <row r="110">
      <c r="A110" s="9" t="inlineStr">
        <is>
          <t>EHT Trace</t>
        </is>
      </c>
      <c r="B110" s="9" t="inlineStr">
        <is>
          <t>29103-ET-ST2303-1-5</t>
        </is>
      </c>
      <c r="C110" s="9" t="inlineStr">
        <is>
          <t>29103-ET-ST2303-1</t>
        </is>
      </c>
      <c r="D110" s="9" t="inlineStr">
        <is>
          <t>29103-AMB-008</t>
        </is>
      </c>
      <c r="E110" s="9" t="inlineStr">
        <is>
          <t>29103-ST-2303</t>
        </is>
      </c>
      <c r="F110" s="9" t="inlineStr">
        <is>
          <t>29103-65R-ET-ST2303-01-01</t>
        </is>
      </c>
      <c r="G110" s="9" t="inlineStr">
        <is>
          <t>13.1</t>
        </is>
      </c>
      <c r="H110" s="9" t="inlineStr">
        <is>
          <t>29103-ET-ST2303-1-5.pdf</t>
        </is>
      </c>
      <c r="I110" s="4" t="str">
        <f>IF($H110&lt;&gt;"","YES","NO")</f>
        <v>YES</v>
      </c>
      <c r="J110" s="4" t="str">
        <f>IF(N($T110)&gt;0,"YES","NO")</f>
        <v>NO</v>
      </c>
      <c r="K110" s="4" t="str">
        <f>IF(OR($A110="EHT Trace"),IF(AND($U110&lt;&gt;"",$V110&lt;&gt;""),"YES","NO"),"N/A")</f>
        <v>YES</v>
      </c>
      <c r="L110" s="4" t="str">
        <f>IF(OR($A110="EHT Trace"),IF(AND($X110&lt;&gt;"",$Y110&lt;&gt;""),"YES","NO"),"N/A")</f>
        <v>NO</v>
      </c>
      <c r="M110" s="4" t="str">
        <f>IF(OR($A110="EHT Trace"),IF(AND($AA110&lt;&gt;"",$AB110&lt;&gt;""),"YES","NO"),"N/A")</f>
        <v>NO</v>
      </c>
      <c r="N110" s="4" t="str">
        <f>IF(OR($A110="Power Cable"),IF(AND($AD110&lt;&gt;""),"YES","NO"),"N/A")</f>
        <v>N/A</v>
      </c>
      <c r="O110" s="4" t="str">
        <f>IF(OR($A110="Power Cable",$A110="RTD Cable",$A110="Fieldbus Cable"),IF(AND($AE110&lt;&gt;""),"YES","NO"),"N/A")</f>
        <v>N/A</v>
      </c>
      <c r="P110" s="4" t="str">
        <f>IF(OR($A110="RTD"),IF(AND($AH110&lt;&gt;""),"YES","NO"),"N/A")</f>
        <v>N/A</v>
      </c>
      <c r="Q110" s="4" t="str">
        <f>IF(OR($A110="RTD"),IF(AND($AI110&lt;&gt;""),"YES","NO"),"N/A")</f>
        <v>N/A</v>
      </c>
      <c r="R110" s="4" t="str">
        <f>IF(OR($AM110&lt;&gt;"",$Z110&lt;&gt;"",$AC110&lt;&gt;""),"YES","NO")</f>
        <v>NO</v>
      </c>
      <c r="S110" s="4" t="str">
        <f>IF(COUNTIF(I110:R110,"NO")=0,"YES","NO")</f>
        <v>NO</v>
      </c>
      <c r="T110" s="9" t="n"/>
      <c r="U110" s="9" t="inlineStr">
        <is>
          <t>&gt;550 MΩ</t>
        </is>
      </c>
      <c r="V110" s="9" t="inlineStr">
        <is>
          <t>76.1 Ω</t>
        </is>
      </c>
      <c r="W110" s="9" t="inlineStr">
        <is>
          <t>2026-05-18</t>
        </is>
      </c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inlineStr">
        <is>
          <t>D/32SA2170/13.1M/224/128/1.2M/LS23A/X/N12/XMN</t>
        </is>
      </c>
      <c r="AK110" s="9" t="inlineStr">
        <is>
          <t>13.1 m m</t>
        </is>
      </c>
      <c r="AL110" s="9" t="inlineStr">
        <is>
          <t>Levy Ostrup</t>
        </is>
      </c>
      <c r="AM110" s="9" t="n"/>
      <c r="AN110" s="9" t="n"/>
    </row>
    <row r="111">
      <c r="A111" s="9" t="inlineStr">
        <is>
          <t>EHT Trace</t>
        </is>
      </c>
      <c r="B111" s="9" t="inlineStr">
        <is>
          <t>29103-ET-ST2403-1-1</t>
        </is>
      </c>
      <c r="C111" s="9" t="inlineStr">
        <is>
          <t>29103-ET-ST2403-1</t>
        </is>
      </c>
      <c r="D111" s="9" t="inlineStr">
        <is>
          <t>29103-AMB-010</t>
        </is>
      </c>
      <c r="E111" s="9" t="inlineStr">
        <is>
          <t>29103-ST-2404, 29103-ST-2403</t>
        </is>
      </c>
      <c r="F111" s="9" t="inlineStr">
        <is>
          <t>29103-65R-ET-ST2403-01-01</t>
        </is>
      </c>
      <c r="G111" s="9" t="inlineStr">
        <is>
          <t>13.1</t>
        </is>
      </c>
      <c r="H111" s="9" t="inlineStr">
        <is>
          <t>29103-ET-ST2403-1-1.pdf</t>
        </is>
      </c>
      <c r="I111" s="4" t="str">
        <f>IF($H111&lt;&gt;"","YES","NO")</f>
        <v>YES</v>
      </c>
      <c r="J111" s="4" t="str">
        <f>IF(N($T111)&gt;0,"YES","NO")</f>
        <v>NO</v>
      </c>
      <c r="K111" s="4" t="str">
        <f>IF(OR($A111="EHT Trace"),IF(AND($U111&lt;&gt;"",$V111&lt;&gt;""),"YES","NO"),"N/A")</f>
        <v>NO</v>
      </c>
      <c r="L111" s="4" t="str">
        <f>IF(OR($A111="EHT Trace"),IF(AND($X111&lt;&gt;"",$Y111&lt;&gt;""),"YES","NO"),"N/A")</f>
        <v>NO</v>
      </c>
      <c r="M111" s="4" t="str">
        <f>IF(OR($A111="EHT Trace"),IF(AND($AA111&lt;&gt;"",$AB111&lt;&gt;""),"YES","NO"),"N/A")</f>
        <v>NO</v>
      </c>
      <c r="N111" s="4" t="str">
        <f>IF(OR($A111="Power Cable"),IF(AND($AD111&lt;&gt;""),"YES","NO"),"N/A")</f>
        <v>N/A</v>
      </c>
      <c r="O111" s="4" t="str">
        <f>IF(OR($A111="Power Cable",$A111="RTD Cable",$A111="Fieldbus Cable"),IF(AND($AE111&lt;&gt;""),"YES","NO"),"N/A")</f>
        <v>N/A</v>
      </c>
      <c r="P111" s="4" t="str">
        <f>IF(OR($A111="RTD"),IF(AND($AH111&lt;&gt;""),"YES","NO"),"N/A")</f>
        <v>N/A</v>
      </c>
      <c r="Q111" s="4" t="str">
        <f>IF(OR($A111="RTD"),IF(AND($AI111&lt;&gt;""),"YES","NO"),"N/A")</f>
        <v>N/A</v>
      </c>
      <c r="R111" s="4" t="str">
        <f>IF(OR($AM111&lt;&gt;"",$Z111&lt;&gt;"",$AC111&lt;&gt;""),"YES","NO")</f>
        <v>NO</v>
      </c>
      <c r="S111" s="4" t="str">
        <f>IF(COUNTIF(I111:R111,"NO")=0,"YES","NO")</f>
        <v>NO</v>
      </c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inlineStr">
        <is>
          <t>E/32SB2114/17.3M/282/135/1.2M/LS23A/X/N12/XNF</t>
        </is>
      </c>
      <c r="AK111" s="9" t="inlineStr">
        <is>
          <t>17.3 m m</t>
        </is>
      </c>
      <c r="AL111" s="9" t="inlineStr">
        <is>
          <t>Levy Ostrup</t>
        </is>
      </c>
      <c r="AM111" s="9" t="n"/>
      <c r="AN111" s="9" t="n"/>
    </row>
    <row r="112">
      <c r="A112" s="9" t="inlineStr">
        <is>
          <t>EHT Trace</t>
        </is>
      </c>
      <c r="B112" s="9" t="inlineStr">
        <is>
          <t>29103-ET-ST2403-1-2</t>
        </is>
      </c>
      <c r="C112" s="9" t="inlineStr">
        <is>
          <t>29103-ET-ST2403-1</t>
        </is>
      </c>
      <c r="D112" s="9" t="inlineStr">
        <is>
          <t>29103-AMB-010</t>
        </is>
      </c>
      <c r="E112" s="9" t="inlineStr">
        <is>
          <t>29103-ST-2404</t>
        </is>
      </c>
      <c r="F112" s="9" t="inlineStr">
        <is>
          <t>29103-65R-ET-ST2403-01-01</t>
        </is>
      </c>
      <c r="G112" s="9" t="inlineStr">
        <is>
          <t>13.1</t>
        </is>
      </c>
      <c r="H112" s="9" t="inlineStr">
        <is>
          <t>29103-ET-ST2403-1-2.pdf</t>
        </is>
      </c>
      <c r="I112" s="4" t="str">
        <f>IF($H112&lt;&gt;"","YES","NO")</f>
        <v>YES</v>
      </c>
      <c r="J112" s="4" t="str">
        <f>IF(N($T112)&gt;0,"YES","NO")</f>
        <v>NO</v>
      </c>
      <c r="K112" s="4" t="str">
        <f>IF(OR($A112="EHT Trace"),IF(AND($U112&lt;&gt;"",$V112&lt;&gt;""),"YES","NO"),"N/A")</f>
        <v>NO</v>
      </c>
      <c r="L112" s="4" t="str">
        <f>IF(OR($A112="EHT Trace"),IF(AND($X112&lt;&gt;"",$Y112&lt;&gt;""),"YES","NO"),"N/A")</f>
        <v>NO</v>
      </c>
      <c r="M112" s="4" t="str">
        <f>IF(OR($A112="EHT Trace"),IF(AND($AA112&lt;&gt;"",$AB112&lt;&gt;""),"YES","NO"),"N/A")</f>
        <v>NO</v>
      </c>
      <c r="N112" s="4" t="str">
        <f>IF(OR($A112="Power Cable"),IF(AND($AD112&lt;&gt;""),"YES","NO"),"N/A")</f>
        <v>N/A</v>
      </c>
      <c r="O112" s="4" t="str">
        <f>IF(OR($A112="Power Cable",$A112="RTD Cable",$A112="Fieldbus Cable"),IF(AND($AE112&lt;&gt;""),"YES","NO"),"N/A")</f>
        <v>N/A</v>
      </c>
      <c r="P112" s="4" t="str">
        <f>IF(OR($A112="RTD"),IF(AND($AH112&lt;&gt;""),"YES","NO"),"N/A")</f>
        <v>N/A</v>
      </c>
      <c r="Q112" s="4" t="str">
        <f>IF(OR($A112="RTD"),IF(AND($AI112&lt;&gt;""),"YES","NO"),"N/A")</f>
        <v>N/A</v>
      </c>
      <c r="R112" s="4" t="str">
        <f>IF(OR($AM112&lt;&gt;"",$Z112&lt;&gt;"",$AC112&lt;&gt;""),"YES","NO")</f>
        <v>NO</v>
      </c>
      <c r="S112" s="4" t="str">
        <f>IF(COUNTIF(I112:R112,"NO")=0,"YES","NO")</f>
        <v>NO</v>
      </c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inlineStr">
        <is>
          <t>D/32SB2114/18.2M/297/142/1.2M/LS23A/X/N12/XMN</t>
        </is>
      </c>
      <c r="AK112" s="9" t="inlineStr">
        <is>
          <t>18.2 m m</t>
        </is>
      </c>
      <c r="AL112" s="9" t="inlineStr">
        <is>
          <t>Levy Ostrup</t>
        </is>
      </c>
      <c r="AM112" s="9" t="n"/>
      <c r="AN112" s="9" t="n"/>
    </row>
    <row r="113">
      <c r="A113" s="9" t="inlineStr">
        <is>
          <t>EHT Trace</t>
        </is>
      </c>
      <c r="B113" s="9" t="inlineStr">
        <is>
          <t>29103-ET-ST2403-1-3</t>
        </is>
      </c>
      <c r="C113" s="9" t="inlineStr">
        <is>
          <t>29103-ET-ST2403-1</t>
        </is>
      </c>
      <c r="D113" s="9" t="inlineStr">
        <is>
          <t>29103-AMB-010</t>
        </is>
      </c>
      <c r="E113" s="9" t="inlineStr">
        <is>
          <t>29103-ST-2403</t>
        </is>
      </c>
      <c r="F113" s="9" t="inlineStr">
        <is>
          <t>29103-65R-ET-ST2403-01-01</t>
        </is>
      </c>
      <c r="G113" s="9" t="inlineStr">
        <is>
          <t>13.1</t>
        </is>
      </c>
      <c r="H113" s="9" t="inlineStr">
        <is>
          <t>29103-ET-ST2403-1-3.pdf</t>
        </is>
      </c>
      <c r="I113" s="4" t="str">
        <f>IF($H113&lt;&gt;"","YES","NO")</f>
        <v>YES</v>
      </c>
      <c r="J113" s="4" t="str">
        <f>IF(N($T113)&gt;0,"YES","NO")</f>
        <v>NO</v>
      </c>
      <c r="K113" s="4" t="str">
        <f>IF(OR($A113="EHT Trace"),IF(AND($U113&lt;&gt;"",$V113&lt;&gt;""),"YES","NO"),"N/A")</f>
        <v>YES</v>
      </c>
      <c r="L113" s="4" t="str">
        <f>IF(OR($A113="EHT Trace"),IF(AND($X113&lt;&gt;"",$Y113&lt;&gt;""),"YES","NO"),"N/A")</f>
        <v>NO</v>
      </c>
      <c r="M113" s="4" t="str">
        <f>IF(OR($A113="EHT Trace"),IF(AND($AA113&lt;&gt;"",$AB113&lt;&gt;""),"YES","NO"),"N/A")</f>
        <v>NO</v>
      </c>
      <c r="N113" s="4" t="str">
        <f>IF(OR($A113="Power Cable"),IF(AND($AD113&lt;&gt;""),"YES","NO"),"N/A")</f>
        <v>N/A</v>
      </c>
      <c r="O113" s="4" t="str">
        <f>IF(OR($A113="Power Cable",$A113="RTD Cable",$A113="Fieldbus Cable"),IF(AND($AE113&lt;&gt;""),"YES","NO"),"N/A")</f>
        <v>N/A</v>
      </c>
      <c r="P113" s="4" t="str">
        <f>IF(OR($A113="RTD"),IF(AND($AH113&lt;&gt;""),"YES","NO"),"N/A")</f>
        <v>N/A</v>
      </c>
      <c r="Q113" s="4" t="str">
        <f>IF(OR($A113="RTD"),IF(AND($AI113&lt;&gt;""),"YES","NO"),"N/A")</f>
        <v>N/A</v>
      </c>
      <c r="R113" s="4" t="str">
        <f>IF(OR($AM113&lt;&gt;"",$Z113&lt;&gt;"",$AC113&lt;&gt;""),"YES","NO")</f>
        <v>NO</v>
      </c>
      <c r="S113" s="4" t="str">
        <f>IF(COUNTIF(I113:R113,"NO")=0,"YES","NO")</f>
        <v>NO</v>
      </c>
      <c r="T113" s="9" t="n"/>
      <c r="U113" s="9" t="inlineStr">
        <is>
          <t>&gt;550 MΩ</t>
        </is>
      </c>
      <c r="V113" s="9" t="inlineStr">
        <is>
          <t>52.1 Ω</t>
        </is>
      </c>
      <c r="W113" s="9" t="inlineStr">
        <is>
          <t>2026-05-18</t>
        </is>
      </c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inlineStr">
        <is>
          <t>E/32SA2200/7.6M/127/79.7/1.2M/LS23A/X/N12/XNF</t>
        </is>
      </c>
      <c r="AK113" s="9" t="inlineStr">
        <is>
          <t>7.6 m m</t>
        </is>
      </c>
      <c r="AL113" s="9" t="inlineStr">
        <is>
          <t>Levy Ostrup</t>
        </is>
      </c>
      <c r="AM113" s="9" t="n"/>
      <c r="AN113" s="9" t="n"/>
    </row>
    <row r="114">
      <c r="A114" s="9" t="inlineStr">
        <is>
          <t>EHT Trace</t>
        </is>
      </c>
      <c r="B114" s="9" t="inlineStr">
        <is>
          <t>29103-ET-ST2403-1-4</t>
        </is>
      </c>
      <c r="C114" s="9" t="inlineStr">
        <is>
          <t>29103-ET-ST2403-1</t>
        </is>
      </c>
      <c r="D114" s="9" t="inlineStr">
        <is>
          <t>29103-AMB-010</t>
        </is>
      </c>
      <c r="E114" s="9" t="inlineStr">
        <is>
          <t>29103-ST-2403</t>
        </is>
      </c>
      <c r="F114" s="9" t="inlineStr">
        <is>
          <t>29103-65R-ET-ST2403-01-01</t>
        </is>
      </c>
      <c r="G114" s="9" t="inlineStr">
        <is>
          <t>13.1</t>
        </is>
      </c>
      <c r="H114" s="9" t="inlineStr">
        <is>
          <t>29103-ET-ST2403-1-4.pdf</t>
        </is>
      </c>
      <c r="I114" s="4" t="str">
        <f>IF($H114&lt;&gt;"","YES","NO")</f>
        <v>YES</v>
      </c>
      <c r="J114" s="4" t="str">
        <f>IF(N($T114)&gt;0,"YES","NO")</f>
        <v>NO</v>
      </c>
      <c r="K114" s="4" t="str">
        <f>IF(OR($A114="EHT Trace"),IF(AND($U114&lt;&gt;"",$V114&lt;&gt;""),"YES","NO"),"N/A")</f>
        <v>YES</v>
      </c>
      <c r="L114" s="4" t="str">
        <f>IF(OR($A114="EHT Trace"),IF(AND($X114&lt;&gt;"",$Y114&lt;&gt;""),"YES","NO"),"N/A")</f>
        <v>NO</v>
      </c>
      <c r="M114" s="4" t="str">
        <f>IF(OR($A114="EHT Trace"),IF(AND($AA114&lt;&gt;"",$AB114&lt;&gt;""),"YES","NO"),"N/A")</f>
        <v>NO</v>
      </c>
      <c r="N114" s="4" t="str">
        <f>IF(OR($A114="Power Cable"),IF(AND($AD114&lt;&gt;""),"YES","NO"),"N/A")</f>
        <v>N/A</v>
      </c>
      <c r="O114" s="4" t="str">
        <f>IF(OR($A114="Power Cable",$A114="RTD Cable",$A114="Fieldbus Cable"),IF(AND($AE114&lt;&gt;""),"YES","NO"),"N/A")</f>
        <v>N/A</v>
      </c>
      <c r="P114" s="4" t="str">
        <f>IF(OR($A114="RTD"),IF(AND($AH114&lt;&gt;""),"YES","NO"),"N/A")</f>
        <v>N/A</v>
      </c>
      <c r="Q114" s="4" t="str">
        <f>IF(OR($A114="RTD"),IF(AND($AI114&lt;&gt;""),"YES","NO"),"N/A")</f>
        <v>N/A</v>
      </c>
      <c r="R114" s="4" t="str">
        <f>IF(OR($AM114&lt;&gt;"",$Z114&lt;&gt;"",$AC114&lt;&gt;""),"YES","NO")</f>
        <v>NO</v>
      </c>
      <c r="S114" s="4" t="str">
        <f>IF(COUNTIF(I114:R114,"NO")=0,"YES","NO")</f>
        <v>NO</v>
      </c>
      <c r="T114" s="9" t="n"/>
      <c r="U114" s="9" t="inlineStr">
        <is>
          <t>&gt;550 MΩ</t>
        </is>
      </c>
      <c r="V114" s="9" t="inlineStr">
        <is>
          <t>38.6 Ω</t>
        </is>
      </c>
      <c r="W114" s="9" t="inlineStr">
        <is>
          <t>2026-05-18</t>
        </is>
      </c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inlineStr">
        <is>
          <t>E/32SA2200/5.7M/95/59.8/1.2M/LS23A/X/N12/XMF</t>
        </is>
      </c>
      <c r="AK114" s="9" t="inlineStr">
        <is>
          <t>5.7 m m</t>
        </is>
      </c>
      <c r="AL114" s="9" t="inlineStr">
        <is>
          <t>Levy Ostrup</t>
        </is>
      </c>
      <c r="AM114" s="9" t="n"/>
      <c r="AN114" s="9" t="n"/>
    </row>
    <row r="115">
      <c r="A115" s="9" t="inlineStr">
        <is>
          <t>EHT Trace</t>
        </is>
      </c>
      <c r="B115" s="9" t="inlineStr">
        <is>
          <t>29103-ET-ST2403-1-5</t>
        </is>
      </c>
      <c r="C115" s="9" t="inlineStr">
        <is>
          <t>29103-ET-ST2403-1</t>
        </is>
      </c>
      <c r="D115" s="9" t="inlineStr">
        <is>
          <t>29103-AMB-010</t>
        </is>
      </c>
      <c r="E115" s="9" t="inlineStr">
        <is>
          <t>29103-ST-2403</t>
        </is>
      </c>
      <c r="F115" s="9" t="inlineStr">
        <is>
          <t>29103-65R-ET-ST2403-01-01</t>
        </is>
      </c>
      <c r="G115" s="9" t="inlineStr">
        <is>
          <t>13.1</t>
        </is>
      </c>
      <c r="H115" s="9" t="inlineStr">
        <is>
          <t>29103-ET-ST2403-1-5.pdf</t>
        </is>
      </c>
      <c r="I115" s="4" t="str">
        <f>IF($H115&lt;&gt;"","YES","NO")</f>
        <v>YES</v>
      </c>
      <c r="J115" s="4" t="str">
        <f>IF(N($T115)&gt;0,"YES","NO")</f>
        <v>NO</v>
      </c>
      <c r="K115" s="4" t="str">
        <f>IF(OR($A115="EHT Trace"),IF(AND($U115&lt;&gt;"",$V115&lt;&gt;""),"YES","NO"),"N/A")</f>
        <v>YES</v>
      </c>
      <c r="L115" s="4" t="str">
        <f>IF(OR($A115="EHT Trace"),IF(AND($X115&lt;&gt;"",$Y115&lt;&gt;""),"YES","NO"),"N/A")</f>
        <v>NO</v>
      </c>
      <c r="M115" s="4" t="str">
        <f>IF(OR($A115="EHT Trace"),IF(AND($AA115&lt;&gt;"",$AB115&lt;&gt;""),"YES","NO"),"N/A")</f>
        <v>NO</v>
      </c>
      <c r="N115" s="4" t="str">
        <f>IF(OR($A115="Power Cable"),IF(AND($AD115&lt;&gt;""),"YES","NO"),"N/A")</f>
        <v>N/A</v>
      </c>
      <c r="O115" s="4" t="str">
        <f>IF(OR($A115="Power Cable",$A115="RTD Cable",$A115="Fieldbus Cable"),IF(AND($AE115&lt;&gt;""),"YES","NO"),"N/A")</f>
        <v>N/A</v>
      </c>
      <c r="P115" s="4" t="str">
        <f>IF(OR($A115="RTD"),IF(AND($AH115&lt;&gt;""),"YES","NO"),"N/A")</f>
        <v>N/A</v>
      </c>
      <c r="Q115" s="4" t="str">
        <f>IF(OR($A115="RTD"),IF(AND($AI115&lt;&gt;""),"YES","NO"),"N/A")</f>
        <v>N/A</v>
      </c>
      <c r="R115" s="4" t="str">
        <f>IF(OR($AM115&lt;&gt;"",$Z115&lt;&gt;"",$AC115&lt;&gt;""),"YES","NO")</f>
        <v>NO</v>
      </c>
      <c r="S115" s="4" t="str">
        <f>IF(COUNTIF(I115:R115,"NO")=0,"YES","NO")</f>
        <v>NO</v>
      </c>
      <c r="T115" s="9" t="n"/>
      <c r="U115" s="9" t="inlineStr">
        <is>
          <t>&gt;550 MΩ</t>
        </is>
      </c>
      <c r="V115" s="9" t="inlineStr">
        <is>
          <t>88.2 Ω</t>
        </is>
      </c>
      <c r="W115" s="9" t="inlineStr">
        <is>
          <t>2026-05-18</t>
        </is>
      </c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inlineStr">
        <is>
          <t>D/32SA2200/13.1M/219/137/1.2M/LS23A/X/N12/XMN</t>
        </is>
      </c>
      <c r="AK115" s="9" t="inlineStr">
        <is>
          <t>13.1 m m</t>
        </is>
      </c>
      <c r="AL115" s="9" t="inlineStr">
        <is>
          <t>Levy Ostrup</t>
        </is>
      </c>
      <c r="AM115" s="9" t="n"/>
      <c r="AN115" s="9" t="n"/>
    </row>
    <row r="116">
      <c r="A116" s="9" t="inlineStr">
        <is>
          <t>EHT Trace</t>
        </is>
      </c>
      <c r="B116" s="9" t="inlineStr">
        <is>
          <t>29103-ET-ST2503-1-1</t>
        </is>
      </c>
      <c r="C116" s="9" t="inlineStr">
        <is>
          <t>29103-ET-ST2503-1</t>
        </is>
      </c>
      <c r="D116" s="9" t="inlineStr">
        <is>
          <t>29103-AMB-010</t>
        </is>
      </c>
      <c r="E116" s="9" t="inlineStr">
        <is>
          <t>29103-ST-2504, 29103-ST-2503</t>
        </is>
      </c>
      <c r="F116" s="9" t="inlineStr">
        <is>
          <t>29103-65R-ET-ST2503-01-01</t>
        </is>
      </c>
      <c r="G116" s="9" t="inlineStr">
        <is>
          <t>13.1</t>
        </is>
      </c>
      <c r="H116" s="9" t="inlineStr">
        <is>
          <t>29103-ET-ST2503-1-1.pdf</t>
        </is>
      </c>
      <c r="I116" s="4" t="str">
        <f>IF($H116&lt;&gt;"","YES","NO")</f>
        <v>YES</v>
      </c>
      <c r="J116" s="4" t="str">
        <f>IF(N($T116)&gt;0,"YES","NO")</f>
        <v>NO</v>
      </c>
      <c r="K116" s="4" t="str">
        <f>IF(OR($A116="EHT Trace"),IF(AND($U116&lt;&gt;"",$V116&lt;&gt;""),"YES","NO"),"N/A")</f>
        <v>NO</v>
      </c>
      <c r="L116" s="4" t="str">
        <f>IF(OR($A116="EHT Trace"),IF(AND($X116&lt;&gt;"",$Y116&lt;&gt;""),"YES","NO"),"N/A")</f>
        <v>NO</v>
      </c>
      <c r="M116" s="4" t="str">
        <f>IF(OR($A116="EHT Trace"),IF(AND($AA116&lt;&gt;"",$AB116&lt;&gt;""),"YES","NO"),"N/A")</f>
        <v>NO</v>
      </c>
      <c r="N116" s="4" t="str">
        <f>IF(OR($A116="Power Cable"),IF(AND($AD116&lt;&gt;""),"YES","NO"),"N/A")</f>
        <v>N/A</v>
      </c>
      <c r="O116" s="4" t="str">
        <f>IF(OR($A116="Power Cable",$A116="RTD Cable",$A116="Fieldbus Cable"),IF(AND($AE116&lt;&gt;""),"YES","NO"),"N/A")</f>
        <v>N/A</v>
      </c>
      <c r="P116" s="4" t="str">
        <f>IF(OR($A116="RTD"),IF(AND($AH116&lt;&gt;""),"YES","NO"),"N/A")</f>
        <v>N/A</v>
      </c>
      <c r="Q116" s="4" t="str">
        <f>IF(OR($A116="RTD"),IF(AND($AI116&lt;&gt;""),"YES","NO"),"N/A")</f>
        <v>N/A</v>
      </c>
      <c r="R116" s="4" t="str">
        <f>IF(OR($AM116&lt;&gt;"",$Z116&lt;&gt;"",$AC116&lt;&gt;""),"YES","NO")</f>
        <v>NO</v>
      </c>
      <c r="S116" s="4" t="str">
        <f>IF(COUNTIF(I116:R116,"NO")=0,"YES","NO")</f>
        <v>NO</v>
      </c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inlineStr">
        <is>
          <t>E/32SB2114/17.5M/282/136/1.2M/LS23A/X/N12/XNF</t>
        </is>
      </c>
      <c r="AK116" s="9" t="inlineStr">
        <is>
          <t>17.5 m m</t>
        </is>
      </c>
      <c r="AL116" s="9" t="inlineStr">
        <is>
          <t>Levy Ostrup</t>
        </is>
      </c>
      <c r="AM116" s="9" t="n"/>
      <c r="AN116" s="9" t="n"/>
    </row>
    <row r="117">
      <c r="A117" s="9" t="inlineStr">
        <is>
          <t>EHT Trace</t>
        </is>
      </c>
      <c r="B117" s="9" t="inlineStr">
        <is>
          <t>29103-ET-ST2503-1-2</t>
        </is>
      </c>
      <c r="C117" s="9" t="inlineStr">
        <is>
          <t>29103-ET-ST2503-1</t>
        </is>
      </c>
      <c r="D117" s="9" t="inlineStr">
        <is>
          <t>29103-AMB-010</t>
        </is>
      </c>
      <c r="E117" s="9" t="inlineStr">
        <is>
          <t>29103-ST-2504</t>
        </is>
      </c>
      <c r="F117" s="9" t="inlineStr">
        <is>
          <t>29103-65R-ET-ST2503-01-01</t>
        </is>
      </c>
      <c r="G117" s="9" t="inlineStr">
        <is>
          <t>13.1</t>
        </is>
      </c>
      <c r="H117" s="9" t="inlineStr">
        <is>
          <t>29103-ET-ST2503-1-2.pdf</t>
        </is>
      </c>
      <c r="I117" s="4" t="str">
        <f>IF($H117&lt;&gt;"","YES","NO")</f>
        <v>YES</v>
      </c>
      <c r="J117" s="4" t="str">
        <f>IF(N($T117)&gt;0,"YES","NO")</f>
        <v>NO</v>
      </c>
      <c r="K117" s="4" t="str">
        <f>IF(OR($A117="EHT Trace"),IF(AND($U117&lt;&gt;"",$V117&lt;&gt;""),"YES","NO"),"N/A")</f>
        <v>NO</v>
      </c>
      <c r="L117" s="4" t="str">
        <f>IF(OR($A117="EHT Trace"),IF(AND($X117&lt;&gt;"",$Y117&lt;&gt;""),"YES","NO"),"N/A")</f>
        <v>NO</v>
      </c>
      <c r="M117" s="4" t="str">
        <f>IF(OR($A117="EHT Trace"),IF(AND($AA117&lt;&gt;"",$AB117&lt;&gt;""),"YES","NO"),"N/A")</f>
        <v>NO</v>
      </c>
      <c r="N117" s="4" t="str">
        <f>IF(OR($A117="Power Cable"),IF(AND($AD117&lt;&gt;""),"YES","NO"),"N/A")</f>
        <v>N/A</v>
      </c>
      <c r="O117" s="4" t="str">
        <f>IF(OR($A117="Power Cable",$A117="RTD Cable",$A117="Fieldbus Cable"),IF(AND($AE117&lt;&gt;""),"YES","NO"),"N/A")</f>
        <v>N/A</v>
      </c>
      <c r="P117" s="4" t="str">
        <f>IF(OR($A117="RTD"),IF(AND($AH117&lt;&gt;""),"YES","NO"),"N/A")</f>
        <v>N/A</v>
      </c>
      <c r="Q117" s="4" t="str">
        <f>IF(OR($A117="RTD"),IF(AND($AI117&lt;&gt;""),"YES","NO"),"N/A")</f>
        <v>N/A</v>
      </c>
      <c r="R117" s="4" t="str">
        <f>IF(OR($AM117&lt;&gt;"",$Z117&lt;&gt;"",$AC117&lt;&gt;""),"YES","NO")</f>
        <v>NO</v>
      </c>
      <c r="S117" s="4" t="str">
        <f>IF(COUNTIF(I117:R117,"NO")=0,"YES","NO")</f>
        <v>NO</v>
      </c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inlineStr">
        <is>
          <t>D/32SB2114/18.2M/293/141/1.2M/LS23A/X/N12/XMN</t>
        </is>
      </c>
      <c r="AK117" s="9" t="inlineStr">
        <is>
          <t>18.2 m m</t>
        </is>
      </c>
      <c r="AL117" s="9" t="inlineStr">
        <is>
          <t>Levy Ostrup</t>
        </is>
      </c>
      <c r="AM117" s="9" t="n"/>
      <c r="AN117" s="9" t="n"/>
    </row>
    <row r="118">
      <c r="A118" s="9" t="inlineStr">
        <is>
          <t>EHT Trace</t>
        </is>
      </c>
      <c r="B118" s="9" t="inlineStr">
        <is>
          <t>29103-ET-ST2503-1-3</t>
        </is>
      </c>
      <c r="C118" s="9" t="inlineStr">
        <is>
          <t>29103-ET-ST2503-1</t>
        </is>
      </c>
      <c r="D118" s="9" t="inlineStr">
        <is>
          <t>29103-AMB-010</t>
        </is>
      </c>
      <c r="E118" s="9" t="inlineStr">
        <is>
          <t>29103-ST-2503</t>
        </is>
      </c>
      <c r="F118" s="9" t="inlineStr">
        <is>
          <t>29103-65R-ET-ST2503-01-01</t>
        </is>
      </c>
      <c r="G118" s="9" t="inlineStr">
        <is>
          <t>13.1</t>
        </is>
      </c>
      <c r="H118" s="9" t="inlineStr">
        <is>
          <t>29103-ET-ST2503-1-3.pdf</t>
        </is>
      </c>
      <c r="I118" s="4" t="str">
        <f>IF($H118&lt;&gt;"","YES","NO")</f>
        <v>YES</v>
      </c>
      <c r="J118" s="4" t="str">
        <f>IF(N($T118)&gt;0,"YES","NO")</f>
        <v>NO</v>
      </c>
      <c r="K118" s="4" t="str">
        <f>IF(OR($A118="EHT Trace"),IF(AND($U118&lt;&gt;"",$V118&lt;&gt;""),"YES","NO"),"N/A")</f>
        <v>YES</v>
      </c>
      <c r="L118" s="4" t="str">
        <f>IF(OR($A118="EHT Trace"),IF(AND($X118&lt;&gt;"",$Y118&lt;&gt;""),"YES","NO"),"N/A")</f>
        <v>NO</v>
      </c>
      <c r="M118" s="4" t="str">
        <f>IF(OR($A118="EHT Trace"),IF(AND($AA118&lt;&gt;"",$AB118&lt;&gt;""),"YES","NO"),"N/A")</f>
        <v>NO</v>
      </c>
      <c r="N118" s="4" t="str">
        <f>IF(OR($A118="Power Cable"),IF(AND($AD118&lt;&gt;""),"YES","NO"),"N/A")</f>
        <v>N/A</v>
      </c>
      <c r="O118" s="4" t="str">
        <f>IF(OR($A118="Power Cable",$A118="RTD Cable",$A118="Fieldbus Cable"),IF(AND($AE118&lt;&gt;""),"YES","NO"),"N/A")</f>
        <v>N/A</v>
      </c>
      <c r="P118" s="4" t="str">
        <f>IF(OR($A118="RTD"),IF(AND($AH118&lt;&gt;""),"YES","NO"),"N/A")</f>
        <v>N/A</v>
      </c>
      <c r="Q118" s="4" t="str">
        <f>IF(OR($A118="RTD"),IF(AND($AI118&lt;&gt;""),"YES","NO"),"N/A")</f>
        <v>N/A</v>
      </c>
      <c r="R118" s="4" t="str">
        <f>IF(OR($AM118&lt;&gt;"",$Z118&lt;&gt;"",$AC118&lt;&gt;""),"YES","NO")</f>
        <v>NO</v>
      </c>
      <c r="S118" s="4" t="str">
        <f>IF(COUNTIF(I118:R118,"NO")=0,"YES","NO")</f>
        <v>NO</v>
      </c>
      <c r="T118" s="9" t="n"/>
      <c r="U118" s="9" t="inlineStr">
        <is>
          <t>&gt;550 MΩ</t>
        </is>
      </c>
      <c r="V118" s="9" t="inlineStr">
        <is>
          <t>55.3 Ω</t>
        </is>
      </c>
      <c r="W118" s="9" t="inlineStr">
        <is>
          <t>2026-05-18</t>
        </is>
      </c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inlineStr">
        <is>
          <t>E/32SA2170/9.5M/162/93/1.2M/LS23A/X/N12/XNF</t>
        </is>
      </c>
      <c r="AK118" s="9" t="inlineStr">
        <is>
          <t>9.5 m m</t>
        </is>
      </c>
      <c r="AL118" s="9" t="inlineStr">
        <is>
          <t>Levy Ostrup</t>
        </is>
      </c>
      <c r="AM118" s="9" t="n"/>
      <c r="AN118" s="9" t="n"/>
    </row>
    <row r="119">
      <c r="A119" s="9" t="inlineStr">
        <is>
          <t>EHT Trace</t>
        </is>
      </c>
      <c r="B119" s="9" t="inlineStr">
        <is>
          <t>29103-ET-ST2503-1-4</t>
        </is>
      </c>
      <c r="C119" s="9" t="inlineStr">
        <is>
          <t>29103-ET-ST2503-1</t>
        </is>
      </c>
      <c r="D119" s="9" t="inlineStr">
        <is>
          <t>29103-AMB-010</t>
        </is>
      </c>
      <c r="E119" s="9" t="inlineStr">
        <is>
          <t>29103-ST-2503</t>
        </is>
      </c>
      <c r="F119" s="9" t="inlineStr">
        <is>
          <t>29103-65R-ET-ST2503-01-01</t>
        </is>
      </c>
      <c r="G119" s="9" t="inlineStr">
        <is>
          <t>13.1</t>
        </is>
      </c>
      <c r="H119" s="9" t="inlineStr">
        <is>
          <t>29103-ET-ST2503-1-4.pdf</t>
        </is>
      </c>
      <c r="I119" s="4" t="str">
        <f>IF($H119&lt;&gt;"","YES","NO")</f>
        <v>YES</v>
      </c>
      <c r="J119" s="4" t="str">
        <f>IF(N($T119)&gt;0,"YES","NO")</f>
        <v>NO</v>
      </c>
      <c r="K119" s="4" t="str">
        <f>IF(OR($A119="EHT Trace"),IF(AND($U119&lt;&gt;"",$V119&lt;&gt;""),"YES","NO"),"N/A")</f>
        <v>YES</v>
      </c>
      <c r="L119" s="4" t="str">
        <f>IF(OR($A119="EHT Trace"),IF(AND($X119&lt;&gt;"",$Y119&lt;&gt;""),"YES","NO"),"N/A")</f>
        <v>NO</v>
      </c>
      <c r="M119" s="4" t="str">
        <f>IF(OR($A119="EHT Trace"),IF(AND($AA119&lt;&gt;"",$AB119&lt;&gt;""),"YES","NO"),"N/A")</f>
        <v>NO</v>
      </c>
      <c r="N119" s="4" t="str">
        <f>IF(OR($A119="Power Cable"),IF(AND($AD119&lt;&gt;""),"YES","NO"),"N/A")</f>
        <v>N/A</v>
      </c>
      <c r="O119" s="4" t="str">
        <f>IF(OR($A119="Power Cable",$A119="RTD Cable",$A119="Fieldbus Cable"),IF(AND($AE119&lt;&gt;""),"YES","NO"),"N/A")</f>
        <v>N/A</v>
      </c>
      <c r="P119" s="4" t="str">
        <f>IF(OR($A119="RTD"),IF(AND($AH119&lt;&gt;""),"YES","NO"),"N/A")</f>
        <v>N/A</v>
      </c>
      <c r="Q119" s="4" t="str">
        <f>IF(OR($A119="RTD"),IF(AND($AI119&lt;&gt;""),"YES","NO"),"N/A")</f>
        <v>N/A</v>
      </c>
      <c r="R119" s="4" t="str">
        <f>IF(OR($AM119&lt;&gt;"",$Z119&lt;&gt;"",$AC119&lt;&gt;""),"YES","NO")</f>
        <v>NO</v>
      </c>
      <c r="S119" s="4" t="str">
        <f>IF(COUNTIF(I119:R119,"NO")=0,"YES","NO")</f>
        <v>NO</v>
      </c>
      <c r="T119" s="9" t="n"/>
      <c r="U119" s="9" t="inlineStr">
        <is>
          <t>&gt;550 MΩ</t>
        </is>
      </c>
      <c r="V119" s="9" t="inlineStr">
        <is>
          <t>33.2 Ω</t>
        </is>
      </c>
      <c r="W119" s="9" t="inlineStr">
        <is>
          <t>2026-05-18</t>
        </is>
      </c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inlineStr">
        <is>
          <t>E/32SA2170/5.7M/97/55.8/1.2M/LS23A/X/N12/XMF</t>
        </is>
      </c>
      <c r="AK119" s="9" t="inlineStr">
        <is>
          <t>5.7 m m</t>
        </is>
      </c>
      <c r="AL119" s="9" t="inlineStr">
        <is>
          <t>Levy Ostrup</t>
        </is>
      </c>
      <c r="AM119" s="9" t="n"/>
      <c r="AN119" s="9" t="n"/>
    </row>
    <row r="120">
      <c r="A120" s="9" t="inlineStr">
        <is>
          <t>EHT Trace</t>
        </is>
      </c>
      <c r="B120" s="9" t="inlineStr">
        <is>
          <t>29103-ET-ST2503-1-5</t>
        </is>
      </c>
      <c r="C120" s="9" t="inlineStr">
        <is>
          <t>29103-ET-ST2503-1</t>
        </is>
      </c>
      <c r="D120" s="9" t="inlineStr">
        <is>
          <t>29103-AMB-010</t>
        </is>
      </c>
      <c r="E120" s="9" t="inlineStr">
        <is>
          <t>29103-ST-2503</t>
        </is>
      </c>
      <c r="F120" s="9" t="inlineStr">
        <is>
          <t>29103-65R-ET-ST2503-01-01</t>
        </is>
      </c>
      <c r="G120" s="9" t="inlineStr">
        <is>
          <t>13.1</t>
        </is>
      </c>
      <c r="H120" s="9" t="inlineStr">
        <is>
          <t>29103-ET-ST2503-1-5.pdf</t>
        </is>
      </c>
      <c r="I120" s="4" t="str">
        <f>IF($H120&lt;&gt;"","YES","NO")</f>
        <v>YES</v>
      </c>
      <c r="J120" s="4" t="str">
        <f>IF(N($T120)&gt;0,"YES","NO")</f>
        <v>NO</v>
      </c>
      <c r="K120" s="4" t="str">
        <f>IF(OR($A120="EHT Trace"),IF(AND($U120&lt;&gt;"",$V120&lt;&gt;""),"YES","NO"),"N/A")</f>
        <v>YES</v>
      </c>
      <c r="L120" s="4" t="str">
        <f>IF(OR($A120="EHT Trace"),IF(AND($X120&lt;&gt;"",$Y120&lt;&gt;""),"YES","NO"),"N/A")</f>
        <v>NO</v>
      </c>
      <c r="M120" s="4" t="str">
        <f>IF(OR($A120="EHT Trace"),IF(AND($AA120&lt;&gt;"",$AB120&lt;&gt;""),"YES","NO"),"N/A")</f>
        <v>NO</v>
      </c>
      <c r="N120" s="4" t="str">
        <f>IF(OR($A120="Power Cable"),IF(AND($AD120&lt;&gt;""),"YES","NO"),"N/A")</f>
        <v>N/A</v>
      </c>
      <c r="O120" s="4" t="str">
        <f>IF(OR($A120="Power Cable",$A120="RTD Cable",$A120="Fieldbus Cable"),IF(AND($AE120&lt;&gt;""),"YES","NO"),"N/A")</f>
        <v>N/A</v>
      </c>
      <c r="P120" s="4" t="str">
        <f>IF(OR($A120="RTD"),IF(AND($AH120&lt;&gt;""),"YES","NO"),"N/A")</f>
        <v>N/A</v>
      </c>
      <c r="Q120" s="4" t="str">
        <f>IF(OR($A120="RTD"),IF(AND($AI120&lt;&gt;""),"YES","NO"),"N/A")</f>
        <v>N/A</v>
      </c>
      <c r="R120" s="4" t="str">
        <f>IF(OR($AM120&lt;&gt;"",$Z120&lt;&gt;"",$AC120&lt;&gt;""),"YES","NO")</f>
        <v>NO</v>
      </c>
      <c r="S120" s="4" t="str">
        <f>IF(COUNTIF(I120:R120,"NO")=0,"YES","NO")</f>
        <v>NO</v>
      </c>
      <c r="T120" s="9" t="n"/>
      <c r="U120" s="9" t="inlineStr">
        <is>
          <t>&gt;550 MΩ</t>
        </is>
      </c>
      <c r="V120" s="9" t="inlineStr">
        <is>
          <t>76.1 Ω</t>
        </is>
      </c>
      <c r="W120" s="9" t="inlineStr">
        <is>
          <t>2026-05-18</t>
        </is>
      </c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inlineStr">
        <is>
          <t>D/32SA2170/13.1M/224/128/1.2M/LS23A/X/N12/XMN</t>
        </is>
      </c>
      <c r="AK120" s="9" t="inlineStr">
        <is>
          <t>13.1 m m</t>
        </is>
      </c>
      <c r="AL120" s="9" t="inlineStr">
        <is>
          <t>Levy Ostrup</t>
        </is>
      </c>
      <c r="AM120" s="9" t="n"/>
      <c r="AN120" s="9" t="n"/>
    </row>
    <row r="121">
      <c r="A121" s="9" t="inlineStr">
        <is>
          <t>Power Cable</t>
        </is>
      </c>
      <c r="B121" s="9" t="inlineStr">
        <is>
          <t>29103-AMB-007</t>
        </is>
      </c>
      <c r="C121" s="9" t="inlineStr"/>
      <c r="D121" s="9" t="inlineStr">
        <is>
          <t>29103-HTP-004 HTC-01</t>
        </is>
      </c>
      <c r="E121" s="9" t="inlineStr">
        <is>
          <t>29103-HTP-004</t>
        </is>
      </c>
      <c r="F121" s="9" t="inlineStr"/>
      <c r="G121" s="9" t="inlineStr">
        <is>
          <t>113</t>
        </is>
      </c>
      <c r="H121" s="9" t="inlineStr">
        <is>
          <t>29103-AMB-007.pdf</t>
        </is>
      </c>
      <c r="I121" s="4" t="str">
        <f>IF($H121&lt;&gt;"","YES","NO")</f>
        <v>YES</v>
      </c>
      <c r="J121" s="4" t="str">
        <f>IF(N($T121)&gt;0,"YES","NO")</f>
        <v>NO</v>
      </c>
      <c r="K121" s="4" t="str">
        <f>IF(OR($A121="EHT Trace"),IF(AND($U121&lt;&gt;"",$V121&lt;&gt;""),"YES","NO"),"N/A")</f>
        <v>N/A</v>
      </c>
      <c r="L121" s="4" t="str">
        <f>IF(OR($A121="EHT Trace"),IF(AND($X121&lt;&gt;"",$Y121&lt;&gt;""),"YES","NO"),"N/A")</f>
        <v>N/A</v>
      </c>
      <c r="M121" s="4" t="str">
        <f>IF(OR($A121="EHT Trace"),IF(AND($AA121&lt;&gt;"",$AB121&lt;&gt;""),"YES","NO"),"N/A")</f>
        <v>N/A</v>
      </c>
      <c r="N121" s="4" t="str">
        <f>IF(OR($A121="Power Cable"),IF(AND($AD121&lt;&gt;""),"YES","NO"),"N/A")</f>
        <v>NO</v>
      </c>
      <c r="O121" s="4" t="str">
        <f>IF(OR($A121="Power Cable",$A121="RTD Cable",$A121="Fieldbus Cable"),IF(AND($AE121&lt;&gt;""),"YES","NO"),"N/A")</f>
        <v>NO</v>
      </c>
      <c r="P121" s="4" t="str">
        <f>IF(OR($A121="RTD"),IF(AND($AH121&lt;&gt;""),"YES","NO"),"N/A")</f>
        <v>N/A</v>
      </c>
      <c r="Q121" s="4" t="str">
        <f>IF(OR($A121="RTD"),IF(AND($AI121&lt;&gt;""),"YES","NO"),"N/A")</f>
        <v>N/A</v>
      </c>
      <c r="R121" s="4" t="str">
        <f>IF(OR($AM121&lt;&gt;"",$Z121&lt;&gt;"",$AC121&lt;&gt;""),"YES","NO")</f>
        <v>NO</v>
      </c>
      <c r="S121" s="4" t="str">
        <f>IF(COUNTIF(I121:R121,"NO")=0,"YES","NO")</f>
        <v>NO</v>
      </c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inlineStr">
        <is>
          <t>Teck</t>
        </is>
      </c>
      <c r="AK121" s="9" t="inlineStr">
        <is>
          <t>8AWG</t>
        </is>
      </c>
      <c r="AL121" s="9" t="inlineStr">
        <is>
          <t>Levy Ostrup</t>
        </is>
      </c>
      <c r="AM121" s="9" t="n"/>
      <c r="AN121" s="9" t="n"/>
    </row>
    <row r="122">
      <c r="A122" s="9" t="inlineStr">
        <is>
          <t>Power Cable</t>
        </is>
      </c>
      <c r="B122" s="9" t="inlineStr">
        <is>
          <t>29103-AMB-008</t>
        </is>
      </c>
      <c r="C122" s="9" t="inlineStr"/>
      <c r="D122" s="9" t="inlineStr">
        <is>
          <t>29103-HTP-004 HTC-03</t>
        </is>
      </c>
      <c r="E122" s="9" t="inlineStr">
        <is>
          <t>29103-HTP-004</t>
        </is>
      </c>
      <c r="F122" s="9" t="inlineStr"/>
      <c r="G122" s="9" t="inlineStr">
        <is>
          <t>113</t>
        </is>
      </c>
      <c r="H122" s="9" t="inlineStr">
        <is>
          <t>29103-AMB-008.pdf</t>
        </is>
      </c>
      <c r="I122" s="4" t="str">
        <f>IF($H122&lt;&gt;"","YES","NO")</f>
        <v>YES</v>
      </c>
      <c r="J122" s="4" t="str">
        <f>IF(N($T122)&gt;0,"YES","NO")</f>
        <v>NO</v>
      </c>
      <c r="K122" s="4" t="str">
        <f>IF(OR($A122="EHT Trace"),IF(AND($U122&lt;&gt;"",$V122&lt;&gt;""),"YES","NO"),"N/A")</f>
        <v>N/A</v>
      </c>
      <c r="L122" s="4" t="str">
        <f>IF(OR($A122="EHT Trace"),IF(AND($X122&lt;&gt;"",$Y122&lt;&gt;""),"YES","NO"),"N/A")</f>
        <v>N/A</v>
      </c>
      <c r="M122" s="4" t="str">
        <f>IF(OR($A122="EHT Trace"),IF(AND($AA122&lt;&gt;"",$AB122&lt;&gt;""),"YES","NO"),"N/A")</f>
        <v>N/A</v>
      </c>
      <c r="N122" s="4" t="str">
        <f>IF(OR($A122="Power Cable"),IF(AND($AD122&lt;&gt;""),"YES","NO"),"N/A")</f>
        <v>NO</v>
      </c>
      <c r="O122" s="4" t="str">
        <f>IF(OR($A122="Power Cable",$A122="RTD Cable",$A122="Fieldbus Cable"),IF(AND($AE122&lt;&gt;""),"YES","NO"),"N/A")</f>
        <v>NO</v>
      </c>
      <c r="P122" s="4" t="str">
        <f>IF(OR($A122="RTD"),IF(AND($AH122&lt;&gt;""),"YES","NO"),"N/A")</f>
        <v>N/A</v>
      </c>
      <c r="Q122" s="4" t="str">
        <f>IF(OR($A122="RTD"),IF(AND($AI122&lt;&gt;""),"YES","NO"),"N/A")</f>
        <v>N/A</v>
      </c>
      <c r="R122" s="4" t="str">
        <f>IF(OR($AM122&lt;&gt;"",$Z122&lt;&gt;"",$AC122&lt;&gt;""),"YES","NO")</f>
        <v>NO</v>
      </c>
      <c r="S122" s="4" t="str">
        <f>IF(COUNTIF(I122:R122,"NO")=0,"YES","NO")</f>
        <v>NO</v>
      </c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inlineStr">
        <is>
          <t>Teck</t>
        </is>
      </c>
      <c r="AK122" s="9" t="inlineStr">
        <is>
          <t>8AWG</t>
        </is>
      </c>
      <c r="AL122" s="9" t="inlineStr">
        <is>
          <t>Levy Ostrup</t>
        </is>
      </c>
      <c r="AM122" s="9" t="n"/>
      <c r="AN122" s="9" t="n"/>
    </row>
    <row r="123">
      <c r="A123" s="9" t="inlineStr">
        <is>
          <t>Power Cable</t>
        </is>
      </c>
      <c r="B123" s="9" t="inlineStr">
        <is>
          <t>29103-AMB-010</t>
        </is>
      </c>
      <c r="C123" s="9" t="inlineStr"/>
      <c r="D123" s="9" t="inlineStr">
        <is>
          <t>29103-HTP-004 HTC-28</t>
        </is>
      </c>
      <c r="E123" s="9" t="inlineStr">
        <is>
          <t>29103-HTP-004</t>
        </is>
      </c>
      <c r="F123" s="9" t="inlineStr"/>
      <c r="G123" s="9" t="inlineStr">
        <is>
          <t>113</t>
        </is>
      </c>
      <c r="H123" s="9" t="inlineStr">
        <is>
          <t>29103-AMB-010.pdf</t>
        </is>
      </c>
      <c r="I123" s="4" t="str">
        <f>IF($H123&lt;&gt;"","YES","NO")</f>
        <v>YES</v>
      </c>
      <c r="J123" s="4" t="str">
        <f>IF(N($T123)&gt;0,"YES","NO")</f>
        <v>NO</v>
      </c>
      <c r="K123" s="4" t="str">
        <f>IF(OR($A123="EHT Trace"),IF(AND($U123&lt;&gt;"",$V123&lt;&gt;""),"YES","NO"),"N/A")</f>
        <v>N/A</v>
      </c>
      <c r="L123" s="4" t="str">
        <f>IF(OR($A123="EHT Trace"),IF(AND($X123&lt;&gt;"",$Y123&lt;&gt;""),"YES","NO"),"N/A")</f>
        <v>N/A</v>
      </c>
      <c r="M123" s="4" t="str">
        <f>IF(OR($A123="EHT Trace"),IF(AND($AA123&lt;&gt;"",$AB123&lt;&gt;""),"YES","NO"),"N/A")</f>
        <v>N/A</v>
      </c>
      <c r="N123" s="4" t="str">
        <f>IF(OR($A123="Power Cable"),IF(AND($AD123&lt;&gt;""),"YES","NO"),"N/A")</f>
        <v>NO</v>
      </c>
      <c r="O123" s="4" t="str">
        <f>IF(OR($A123="Power Cable",$A123="RTD Cable",$A123="Fieldbus Cable"),IF(AND($AE123&lt;&gt;""),"YES","NO"),"N/A")</f>
        <v>NO</v>
      </c>
      <c r="P123" s="4" t="str">
        <f>IF(OR($A123="RTD"),IF(AND($AH123&lt;&gt;""),"YES","NO"),"N/A")</f>
        <v>N/A</v>
      </c>
      <c r="Q123" s="4" t="str">
        <f>IF(OR($A123="RTD"),IF(AND($AI123&lt;&gt;""),"YES","NO"),"N/A")</f>
        <v>N/A</v>
      </c>
      <c r="R123" s="4" t="str">
        <f>IF(OR($AM123&lt;&gt;"",$Z123&lt;&gt;"",$AC123&lt;&gt;""),"YES","NO")</f>
        <v>NO</v>
      </c>
      <c r="S123" s="4" t="str">
        <f>IF(COUNTIF(I123:R123,"NO")=0,"YES","NO")</f>
        <v>NO</v>
      </c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inlineStr">
        <is>
          <t>Teck</t>
        </is>
      </c>
      <c r="AK123" s="9" t="inlineStr">
        <is>
          <t>8AWG</t>
        </is>
      </c>
      <c r="AL123" s="9" t="inlineStr">
        <is>
          <t>Levy Ostrup</t>
        </is>
      </c>
      <c r="AM123" s="9" t="n"/>
      <c r="AN123" s="9" t="n"/>
    </row>
    <row r="124">
      <c r="A124" s="9" t="inlineStr">
        <is>
          <t>Power Cable</t>
        </is>
      </c>
      <c r="B124" s="9" t="inlineStr">
        <is>
          <t>29103-ET-FG2101-1-PWK-1</t>
        </is>
      </c>
      <c r="C124" s="9" t="inlineStr">
        <is>
          <t>29103-ET-FG2101-1</t>
        </is>
      </c>
      <c r="D124" s="9" t="inlineStr">
        <is>
          <t>29103-HTP-004 HTC-34</t>
        </is>
      </c>
      <c r="E124" s="9" t="inlineStr">
        <is>
          <t>29103-HTP-004</t>
        </is>
      </c>
      <c r="F124" s="9" t="inlineStr"/>
      <c r="G124" s="9" t="inlineStr">
        <is>
          <t>113</t>
        </is>
      </c>
      <c r="H124" s="9" t="inlineStr">
        <is>
          <t>29103-ET-FG2101-1-PWK-1.pdf</t>
        </is>
      </c>
      <c r="I124" s="4" t="str">
        <f>IF($H124&lt;&gt;"","YES","NO")</f>
        <v>YES</v>
      </c>
      <c r="J124" s="4" t="str">
        <f>IF(N($T124)&gt;0,"YES","NO")</f>
        <v>NO</v>
      </c>
      <c r="K124" s="4" t="str">
        <f>IF(OR($A124="EHT Trace"),IF(AND($U124&lt;&gt;"",$V124&lt;&gt;""),"YES","NO"),"N/A")</f>
        <v>N/A</v>
      </c>
      <c r="L124" s="4" t="str">
        <f>IF(OR($A124="EHT Trace"),IF(AND($X124&lt;&gt;"",$Y124&lt;&gt;""),"YES","NO"),"N/A")</f>
        <v>N/A</v>
      </c>
      <c r="M124" s="4" t="str">
        <f>IF(OR($A124="EHT Trace"),IF(AND($AA124&lt;&gt;"",$AB124&lt;&gt;""),"YES","NO"),"N/A")</f>
        <v>N/A</v>
      </c>
      <c r="N124" s="4" t="str">
        <f>IF(OR($A124="Power Cable"),IF(AND($AD124&lt;&gt;""),"YES","NO"),"N/A")</f>
        <v>NO</v>
      </c>
      <c r="O124" s="4" t="str">
        <f>IF(OR($A124="Power Cable",$A124="RTD Cable",$A124="Fieldbus Cable"),IF(AND($AE124&lt;&gt;""),"YES","NO"),"N/A")</f>
        <v>NO</v>
      </c>
      <c r="P124" s="4" t="str">
        <f>IF(OR($A124="RTD"),IF(AND($AH124&lt;&gt;""),"YES","NO"),"N/A")</f>
        <v>N/A</v>
      </c>
      <c r="Q124" s="4" t="str">
        <f>IF(OR($A124="RTD"),IF(AND($AI124&lt;&gt;""),"YES","NO"),"N/A")</f>
        <v>N/A</v>
      </c>
      <c r="R124" s="4" t="str">
        <f>IF(OR($AM124&lt;&gt;"",$Z124&lt;&gt;"",$AC124&lt;&gt;""),"YES","NO")</f>
        <v>NO</v>
      </c>
      <c r="S124" s="4" t="str">
        <f>IF(COUNTIF(I124:R124,"NO")=0,"YES","NO")</f>
        <v>NO</v>
      </c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inlineStr">
        <is>
          <t>Teck</t>
        </is>
      </c>
      <c r="AK124" s="9" t="inlineStr">
        <is>
          <t>10AWG</t>
        </is>
      </c>
      <c r="AL124" s="9" t="inlineStr">
        <is>
          <t>Levy Ostrup</t>
        </is>
      </c>
      <c r="AM124" s="9" t="n"/>
      <c r="AN124" s="9" t="n"/>
    </row>
    <row r="125">
      <c r="A125" s="9" t="inlineStr">
        <is>
          <t>Power Cable</t>
        </is>
      </c>
      <c r="B125" s="9" t="inlineStr">
        <is>
          <t>29103-ET-FG2103-1-PWK-1</t>
        </is>
      </c>
      <c r="C125" s="9" t="inlineStr">
        <is>
          <t>29103-ET-FG2103-1</t>
        </is>
      </c>
      <c r="D125" s="9" t="inlineStr">
        <is>
          <t>29103-HTP-004 HTC-30</t>
        </is>
      </c>
      <c r="E125" s="9" t="inlineStr">
        <is>
          <t>29103-HTP-004</t>
        </is>
      </c>
      <c r="F125" s="9" t="inlineStr"/>
      <c r="G125" s="9" t="inlineStr">
        <is>
          <t>113</t>
        </is>
      </c>
      <c r="H125" s="9" t="inlineStr">
        <is>
          <t>29103-ET-FG2103-1-PWK-1.pdf</t>
        </is>
      </c>
      <c r="I125" s="4" t="str">
        <f>IF($H125&lt;&gt;"","YES","NO")</f>
        <v>YES</v>
      </c>
      <c r="J125" s="4" t="str">
        <f>IF(N($T125)&gt;0,"YES","NO")</f>
        <v>NO</v>
      </c>
      <c r="K125" s="4" t="str">
        <f>IF(OR($A125="EHT Trace"),IF(AND($U125&lt;&gt;"",$V125&lt;&gt;""),"YES","NO"),"N/A")</f>
        <v>N/A</v>
      </c>
      <c r="L125" s="4" t="str">
        <f>IF(OR($A125="EHT Trace"),IF(AND($X125&lt;&gt;"",$Y125&lt;&gt;""),"YES","NO"),"N/A")</f>
        <v>N/A</v>
      </c>
      <c r="M125" s="4" t="str">
        <f>IF(OR($A125="EHT Trace"),IF(AND($AA125&lt;&gt;"",$AB125&lt;&gt;""),"YES","NO"),"N/A")</f>
        <v>N/A</v>
      </c>
      <c r="N125" s="4" t="str">
        <f>IF(OR($A125="Power Cable"),IF(AND($AD125&lt;&gt;""),"YES","NO"),"N/A")</f>
        <v>NO</v>
      </c>
      <c r="O125" s="4" t="str">
        <f>IF(OR($A125="Power Cable",$A125="RTD Cable",$A125="Fieldbus Cable"),IF(AND($AE125&lt;&gt;""),"YES","NO"),"N/A")</f>
        <v>NO</v>
      </c>
      <c r="P125" s="4" t="str">
        <f>IF(OR($A125="RTD"),IF(AND($AH125&lt;&gt;""),"YES","NO"),"N/A")</f>
        <v>N/A</v>
      </c>
      <c r="Q125" s="4" t="str">
        <f>IF(OR($A125="RTD"),IF(AND($AI125&lt;&gt;""),"YES","NO"),"N/A")</f>
        <v>N/A</v>
      </c>
      <c r="R125" s="4" t="str">
        <f>IF(OR($AM125&lt;&gt;"",$Z125&lt;&gt;"",$AC125&lt;&gt;""),"YES","NO")</f>
        <v>NO</v>
      </c>
      <c r="S125" s="4" t="str">
        <f>IF(COUNTIF(I125:R125,"NO")=0,"YES","NO")</f>
        <v>NO</v>
      </c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inlineStr">
        <is>
          <t>Teck</t>
        </is>
      </c>
      <c r="AK125" s="9" t="inlineStr">
        <is>
          <t>10AWG</t>
        </is>
      </c>
      <c r="AL125" s="9" t="inlineStr">
        <is>
          <t>Levy Ostrup</t>
        </is>
      </c>
      <c r="AM125" s="9" t="n"/>
      <c r="AN125" s="9" t="n"/>
    </row>
    <row r="126">
      <c r="A126" s="9" t="inlineStr">
        <is>
          <t>Power Cable</t>
        </is>
      </c>
      <c r="B126" s="9" t="inlineStr">
        <is>
          <t>29103-ET-FG2201-1-PWK-1</t>
        </is>
      </c>
      <c r="C126" s="9" t="inlineStr">
        <is>
          <t>29103-ET-FG2201-1</t>
        </is>
      </c>
      <c r="D126" s="9" t="inlineStr">
        <is>
          <t>29103-AMB-007</t>
        </is>
      </c>
      <c r="E126" s="9" t="inlineStr">
        <is>
          <t>29103-HTP-004</t>
        </is>
      </c>
      <c r="F126" s="9" t="inlineStr"/>
      <c r="G126" s="9" t="inlineStr">
        <is>
          <t>113</t>
        </is>
      </c>
      <c r="H126" s="9" t="inlineStr">
        <is>
          <t>29103-ET-FG2201-1-PWK-1.pdf</t>
        </is>
      </c>
      <c r="I126" s="4" t="str">
        <f>IF($H126&lt;&gt;"","YES","NO")</f>
        <v>YES</v>
      </c>
      <c r="J126" s="4" t="str">
        <f>IF(N($T126)&gt;0,"YES","NO")</f>
        <v>NO</v>
      </c>
      <c r="K126" s="4" t="str">
        <f>IF(OR($A126="EHT Trace"),IF(AND($U126&lt;&gt;"",$V126&lt;&gt;""),"YES","NO"),"N/A")</f>
        <v>N/A</v>
      </c>
      <c r="L126" s="4" t="str">
        <f>IF(OR($A126="EHT Trace"),IF(AND($X126&lt;&gt;"",$Y126&lt;&gt;""),"YES","NO"),"N/A")</f>
        <v>N/A</v>
      </c>
      <c r="M126" s="4" t="str">
        <f>IF(OR($A126="EHT Trace"),IF(AND($AA126&lt;&gt;"",$AB126&lt;&gt;""),"YES","NO"),"N/A")</f>
        <v>N/A</v>
      </c>
      <c r="N126" s="4" t="str">
        <f>IF(OR($A126="Power Cable"),IF(AND($AD126&lt;&gt;""),"YES","NO"),"N/A")</f>
        <v>NO</v>
      </c>
      <c r="O126" s="4" t="str">
        <f>IF(OR($A126="Power Cable",$A126="RTD Cable",$A126="Fieldbus Cable"),IF(AND($AE126&lt;&gt;""),"YES","NO"),"N/A")</f>
        <v>NO</v>
      </c>
      <c r="P126" s="4" t="str">
        <f>IF(OR($A126="RTD"),IF(AND($AH126&lt;&gt;""),"YES","NO"),"N/A")</f>
        <v>N/A</v>
      </c>
      <c r="Q126" s="4" t="str">
        <f>IF(OR($A126="RTD"),IF(AND($AI126&lt;&gt;""),"YES","NO"),"N/A")</f>
        <v>N/A</v>
      </c>
      <c r="R126" s="4" t="str">
        <f>IF(OR($AM126&lt;&gt;"",$Z126&lt;&gt;"",$AC126&lt;&gt;""),"YES","NO")</f>
        <v>NO</v>
      </c>
      <c r="S126" s="4" t="str">
        <f>IF(COUNTIF(I126:R126,"NO")=0,"YES","NO")</f>
        <v>NO</v>
      </c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inlineStr">
        <is>
          <t>Teck</t>
        </is>
      </c>
      <c r="AK126" s="9" t="inlineStr">
        <is>
          <t>10AWG</t>
        </is>
      </c>
      <c r="AL126" s="9" t="inlineStr">
        <is>
          <t>Levy Ostrup</t>
        </is>
      </c>
      <c r="AM126" s="9" t="n"/>
      <c r="AN126" s="9" t="n"/>
    </row>
    <row r="127">
      <c r="A127" s="9" t="inlineStr">
        <is>
          <t>Power Cable</t>
        </is>
      </c>
      <c r="B127" s="9" t="inlineStr">
        <is>
          <t>29103-ET-FG2203-1-PWK-1</t>
        </is>
      </c>
      <c r="C127" s="9" t="inlineStr">
        <is>
          <t>29103-ET-FG2203-1</t>
        </is>
      </c>
      <c r="D127" s="9" t="inlineStr">
        <is>
          <t>29103-AMB-007</t>
        </is>
      </c>
      <c r="E127" s="9" t="inlineStr">
        <is>
          <t>29103-HTP-004</t>
        </is>
      </c>
      <c r="F127" s="9" t="inlineStr"/>
      <c r="G127" s="9" t="inlineStr">
        <is>
          <t>113</t>
        </is>
      </c>
      <c r="H127" s="9" t="inlineStr">
        <is>
          <t>29103-ET-FG2203-1-PWK-1.pdf</t>
        </is>
      </c>
      <c r="I127" s="4" t="str">
        <f>IF($H127&lt;&gt;"","YES","NO")</f>
        <v>YES</v>
      </c>
      <c r="J127" s="4" t="str">
        <f>IF(N($T127)&gt;0,"YES","NO")</f>
        <v>NO</v>
      </c>
      <c r="K127" s="4" t="str">
        <f>IF(OR($A127="EHT Trace"),IF(AND($U127&lt;&gt;"",$V127&lt;&gt;""),"YES","NO"),"N/A")</f>
        <v>N/A</v>
      </c>
      <c r="L127" s="4" t="str">
        <f>IF(OR($A127="EHT Trace"),IF(AND($X127&lt;&gt;"",$Y127&lt;&gt;""),"YES","NO"),"N/A")</f>
        <v>N/A</v>
      </c>
      <c r="M127" s="4" t="str">
        <f>IF(OR($A127="EHT Trace"),IF(AND($AA127&lt;&gt;"",$AB127&lt;&gt;""),"YES","NO"),"N/A")</f>
        <v>N/A</v>
      </c>
      <c r="N127" s="4" t="str">
        <f>IF(OR($A127="Power Cable"),IF(AND($AD127&lt;&gt;""),"YES","NO"),"N/A")</f>
        <v>NO</v>
      </c>
      <c r="O127" s="4" t="str">
        <f>IF(OR($A127="Power Cable",$A127="RTD Cable",$A127="Fieldbus Cable"),IF(AND($AE127&lt;&gt;""),"YES","NO"),"N/A")</f>
        <v>NO</v>
      </c>
      <c r="P127" s="4" t="str">
        <f>IF(OR($A127="RTD"),IF(AND($AH127&lt;&gt;""),"YES","NO"),"N/A")</f>
        <v>N/A</v>
      </c>
      <c r="Q127" s="4" t="str">
        <f>IF(OR($A127="RTD"),IF(AND($AI127&lt;&gt;""),"YES","NO"),"N/A")</f>
        <v>N/A</v>
      </c>
      <c r="R127" s="4" t="str">
        <f>IF(OR($AM127&lt;&gt;"",$Z127&lt;&gt;"",$AC127&lt;&gt;""),"YES","NO")</f>
        <v>NO</v>
      </c>
      <c r="S127" s="4" t="str">
        <f>IF(COUNTIF(I127:R127,"NO")=0,"YES","NO")</f>
        <v>NO</v>
      </c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inlineStr">
        <is>
          <t>Teck</t>
        </is>
      </c>
      <c r="AK127" s="9" t="inlineStr">
        <is>
          <t>10AWG</t>
        </is>
      </c>
      <c r="AL127" s="9" t="inlineStr">
        <is>
          <t>Levy Ostrup</t>
        </is>
      </c>
      <c r="AM127" s="9" t="n"/>
      <c r="AN127" s="9" t="n"/>
    </row>
    <row r="128">
      <c r="A128" s="9" t="inlineStr">
        <is>
          <t>Power Cable</t>
        </is>
      </c>
      <c r="B128" s="9" t="inlineStr">
        <is>
          <t>29103-ET-FG2205-1-PWK-1</t>
        </is>
      </c>
      <c r="C128" s="9" t="inlineStr">
        <is>
          <t>29103-ET-FG2205-1</t>
        </is>
      </c>
      <c r="D128" s="9" t="inlineStr">
        <is>
          <t>29103-AMB-008</t>
        </is>
      </c>
      <c r="E128" s="9" t="inlineStr">
        <is>
          <t>29103-HTP-004</t>
        </is>
      </c>
      <c r="F128" s="9" t="inlineStr"/>
      <c r="G128" s="9" t="inlineStr">
        <is>
          <t>113</t>
        </is>
      </c>
      <c r="H128" s="9" t="inlineStr">
        <is>
          <t>29103-ET-FG2205-1-PWK-1.pdf</t>
        </is>
      </c>
      <c r="I128" s="4" t="str">
        <f>IF($H128&lt;&gt;"","YES","NO")</f>
        <v>YES</v>
      </c>
      <c r="J128" s="4" t="str">
        <f>IF(N($T128)&gt;0,"YES","NO")</f>
        <v>NO</v>
      </c>
      <c r="K128" s="4" t="str">
        <f>IF(OR($A128="EHT Trace"),IF(AND($U128&lt;&gt;"",$V128&lt;&gt;""),"YES","NO"),"N/A")</f>
        <v>N/A</v>
      </c>
      <c r="L128" s="4" t="str">
        <f>IF(OR($A128="EHT Trace"),IF(AND($X128&lt;&gt;"",$Y128&lt;&gt;""),"YES","NO"),"N/A")</f>
        <v>N/A</v>
      </c>
      <c r="M128" s="4" t="str">
        <f>IF(OR($A128="EHT Trace"),IF(AND($AA128&lt;&gt;"",$AB128&lt;&gt;""),"YES","NO"),"N/A")</f>
        <v>N/A</v>
      </c>
      <c r="N128" s="4" t="str">
        <f>IF(OR($A128="Power Cable"),IF(AND($AD128&lt;&gt;""),"YES","NO"),"N/A")</f>
        <v>NO</v>
      </c>
      <c r="O128" s="4" t="str">
        <f>IF(OR($A128="Power Cable",$A128="RTD Cable",$A128="Fieldbus Cable"),IF(AND($AE128&lt;&gt;""),"YES","NO"),"N/A")</f>
        <v>NO</v>
      </c>
      <c r="P128" s="4" t="str">
        <f>IF(OR($A128="RTD"),IF(AND($AH128&lt;&gt;""),"YES","NO"),"N/A")</f>
        <v>N/A</v>
      </c>
      <c r="Q128" s="4" t="str">
        <f>IF(OR($A128="RTD"),IF(AND($AI128&lt;&gt;""),"YES","NO"),"N/A")</f>
        <v>N/A</v>
      </c>
      <c r="R128" s="4" t="str">
        <f>IF(OR($AM128&lt;&gt;"",$Z128&lt;&gt;"",$AC128&lt;&gt;""),"YES","NO")</f>
        <v>NO</v>
      </c>
      <c r="S128" s="4" t="str">
        <f>IF(COUNTIF(I128:R128,"NO")=0,"YES","NO")</f>
        <v>NO</v>
      </c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inlineStr">
        <is>
          <t>Teck</t>
        </is>
      </c>
      <c r="AK128" s="9" t="inlineStr">
        <is>
          <t>10AWG</t>
        </is>
      </c>
      <c r="AL128" s="9" t="inlineStr">
        <is>
          <t>Levy Ostrup</t>
        </is>
      </c>
      <c r="AM128" s="9" t="n"/>
      <c r="AN128" s="9" t="n"/>
    </row>
    <row r="129">
      <c r="A129" s="9" t="inlineStr">
        <is>
          <t>Power Cable</t>
        </is>
      </c>
      <c r="B129" s="9" t="inlineStr">
        <is>
          <t>29103-ET-FG2301-1-PWK-1</t>
        </is>
      </c>
      <c r="C129" s="9" t="inlineStr">
        <is>
          <t>29103-ET-FG2301-1</t>
        </is>
      </c>
      <c r="D129" s="9" t="inlineStr">
        <is>
          <t>29103-AMB-007</t>
        </is>
      </c>
      <c r="E129" s="9" t="inlineStr">
        <is>
          <t>29103-HTP-004</t>
        </is>
      </c>
      <c r="F129" s="9" t="inlineStr"/>
      <c r="G129" s="9" t="inlineStr">
        <is>
          <t>113</t>
        </is>
      </c>
      <c r="H129" s="9" t="inlineStr">
        <is>
          <t>29103-ET-FG2301-1-PWK-1.pdf</t>
        </is>
      </c>
      <c r="I129" s="4" t="str">
        <f>IF($H129&lt;&gt;"","YES","NO")</f>
        <v>YES</v>
      </c>
      <c r="J129" s="4" t="str">
        <f>IF(N($T129)&gt;0,"YES","NO")</f>
        <v>NO</v>
      </c>
      <c r="K129" s="4" t="str">
        <f>IF(OR($A129="EHT Trace"),IF(AND($U129&lt;&gt;"",$V129&lt;&gt;""),"YES","NO"),"N/A")</f>
        <v>N/A</v>
      </c>
      <c r="L129" s="4" t="str">
        <f>IF(OR($A129="EHT Trace"),IF(AND($X129&lt;&gt;"",$Y129&lt;&gt;""),"YES","NO"),"N/A")</f>
        <v>N/A</v>
      </c>
      <c r="M129" s="4" t="str">
        <f>IF(OR($A129="EHT Trace"),IF(AND($AA129&lt;&gt;"",$AB129&lt;&gt;""),"YES","NO"),"N/A")</f>
        <v>N/A</v>
      </c>
      <c r="N129" s="4" t="str">
        <f>IF(OR($A129="Power Cable"),IF(AND($AD129&lt;&gt;""),"YES","NO"),"N/A")</f>
        <v>NO</v>
      </c>
      <c r="O129" s="4" t="str">
        <f>IF(OR($A129="Power Cable",$A129="RTD Cable",$A129="Fieldbus Cable"),IF(AND($AE129&lt;&gt;""),"YES","NO"),"N/A")</f>
        <v>NO</v>
      </c>
      <c r="P129" s="4" t="str">
        <f>IF(OR($A129="RTD"),IF(AND($AH129&lt;&gt;""),"YES","NO"),"N/A")</f>
        <v>N/A</v>
      </c>
      <c r="Q129" s="4" t="str">
        <f>IF(OR($A129="RTD"),IF(AND($AI129&lt;&gt;""),"YES","NO"),"N/A")</f>
        <v>N/A</v>
      </c>
      <c r="R129" s="4" t="str">
        <f>IF(OR($AM129&lt;&gt;"",$Z129&lt;&gt;"",$AC129&lt;&gt;""),"YES","NO")</f>
        <v>NO</v>
      </c>
      <c r="S129" s="4" t="str">
        <f>IF(COUNTIF(I129:R129,"NO")=0,"YES","NO")</f>
        <v>NO</v>
      </c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inlineStr">
        <is>
          <t>Teck</t>
        </is>
      </c>
      <c r="AK129" s="9" t="inlineStr">
        <is>
          <t>10AWG</t>
        </is>
      </c>
      <c r="AL129" s="9" t="inlineStr">
        <is>
          <t>Levy Ostrup</t>
        </is>
      </c>
      <c r="AM129" s="9" t="n"/>
      <c r="AN129" s="9" t="n"/>
    </row>
    <row r="130">
      <c r="A130" s="9" t="inlineStr">
        <is>
          <t>Power Cable</t>
        </is>
      </c>
      <c r="B130" s="9" t="inlineStr">
        <is>
          <t>29103-ET-FG2303-1-PWK-1</t>
        </is>
      </c>
      <c r="C130" s="9" t="inlineStr">
        <is>
          <t>29103-ET-FG2303-1</t>
        </is>
      </c>
      <c r="D130" s="9" t="inlineStr">
        <is>
          <t>29103-AMB-007</t>
        </is>
      </c>
      <c r="E130" s="9" t="inlineStr">
        <is>
          <t>29103-HTP-004</t>
        </is>
      </c>
      <c r="F130" s="9" t="inlineStr"/>
      <c r="G130" s="9" t="inlineStr">
        <is>
          <t>113</t>
        </is>
      </c>
      <c r="H130" s="9" t="inlineStr">
        <is>
          <t>29103-ET-FG2303-1-PWK-1.pdf</t>
        </is>
      </c>
      <c r="I130" s="4" t="str">
        <f>IF($H130&lt;&gt;"","YES","NO")</f>
        <v>YES</v>
      </c>
      <c r="J130" s="4" t="str">
        <f>IF(N($T130)&gt;0,"YES","NO")</f>
        <v>NO</v>
      </c>
      <c r="K130" s="4" t="str">
        <f>IF(OR($A130="EHT Trace"),IF(AND($U130&lt;&gt;"",$V130&lt;&gt;""),"YES","NO"),"N/A")</f>
        <v>N/A</v>
      </c>
      <c r="L130" s="4" t="str">
        <f>IF(OR($A130="EHT Trace"),IF(AND($X130&lt;&gt;"",$Y130&lt;&gt;""),"YES","NO"),"N/A")</f>
        <v>N/A</v>
      </c>
      <c r="M130" s="4" t="str">
        <f>IF(OR($A130="EHT Trace"),IF(AND($AA130&lt;&gt;"",$AB130&lt;&gt;""),"YES","NO"),"N/A")</f>
        <v>N/A</v>
      </c>
      <c r="N130" s="4" t="str">
        <f>IF(OR($A130="Power Cable"),IF(AND($AD130&lt;&gt;""),"YES","NO"),"N/A")</f>
        <v>NO</v>
      </c>
      <c r="O130" s="4" t="str">
        <f>IF(OR($A130="Power Cable",$A130="RTD Cable",$A130="Fieldbus Cable"),IF(AND($AE130&lt;&gt;""),"YES","NO"),"N/A")</f>
        <v>NO</v>
      </c>
      <c r="P130" s="4" t="str">
        <f>IF(OR($A130="RTD"),IF(AND($AH130&lt;&gt;""),"YES","NO"),"N/A")</f>
        <v>N/A</v>
      </c>
      <c r="Q130" s="4" t="str">
        <f>IF(OR($A130="RTD"),IF(AND($AI130&lt;&gt;""),"YES","NO"),"N/A")</f>
        <v>N/A</v>
      </c>
      <c r="R130" s="4" t="str">
        <f>IF(OR($AM130&lt;&gt;"",$Z130&lt;&gt;"",$AC130&lt;&gt;""),"YES","NO")</f>
        <v>NO</v>
      </c>
      <c r="S130" s="4" t="str">
        <f>IF(COUNTIF(I130:R130,"NO")=0,"YES","NO")</f>
        <v>NO</v>
      </c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inlineStr">
        <is>
          <t>Teck</t>
        </is>
      </c>
      <c r="AK130" s="9" t="inlineStr">
        <is>
          <t>10AWG</t>
        </is>
      </c>
      <c r="AL130" s="9" t="inlineStr">
        <is>
          <t>Levy Ostrup</t>
        </is>
      </c>
      <c r="AM130" s="9" t="n"/>
      <c r="AN130" s="9" t="n"/>
    </row>
    <row r="131">
      <c r="A131" s="9" t="inlineStr">
        <is>
          <t>Power Cable</t>
        </is>
      </c>
      <c r="B131" s="9" t="inlineStr">
        <is>
          <t>29103-ET-FG2405-1-PWK-1</t>
        </is>
      </c>
      <c r="C131" s="9" t="inlineStr">
        <is>
          <t>29103-ET-FG2405-1</t>
        </is>
      </c>
      <c r="D131" s="9" t="inlineStr">
        <is>
          <t>29103-AMB-010</t>
        </is>
      </c>
      <c r="E131" s="9" t="inlineStr">
        <is>
          <t>29103-HTP-004</t>
        </is>
      </c>
      <c r="F131" s="9" t="inlineStr"/>
      <c r="G131" s="9" t="inlineStr">
        <is>
          <t>113</t>
        </is>
      </c>
      <c r="H131" s="9" t="inlineStr">
        <is>
          <t>29103-ET-FG2405-1-PWK-1.pdf</t>
        </is>
      </c>
      <c r="I131" s="4" t="str">
        <f>IF($H131&lt;&gt;"","YES","NO")</f>
        <v>YES</v>
      </c>
      <c r="J131" s="4" t="str">
        <f>IF(N($T131)&gt;0,"YES","NO")</f>
        <v>NO</v>
      </c>
      <c r="K131" s="4" t="str">
        <f>IF(OR($A131="EHT Trace"),IF(AND($U131&lt;&gt;"",$V131&lt;&gt;""),"YES","NO"),"N/A")</f>
        <v>N/A</v>
      </c>
      <c r="L131" s="4" t="str">
        <f>IF(OR($A131="EHT Trace"),IF(AND($X131&lt;&gt;"",$Y131&lt;&gt;""),"YES","NO"),"N/A")</f>
        <v>N/A</v>
      </c>
      <c r="M131" s="4" t="str">
        <f>IF(OR($A131="EHT Trace"),IF(AND($AA131&lt;&gt;"",$AB131&lt;&gt;""),"YES","NO"),"N/A")</f>
        <v>N/A</v>
      </c>
      <c r="N131" s="4" t="str">
        <f>IF(OR($A131="Power Cable"),IF(AND($AD131&lt;&gt;""),"YES","NO"),"N/A")</f>
        <v>NO</v>
      </c>
      <c r="O131" s="4" t="str">
        <f>IF(OR($A131="Power Cable",$A131="RTD Cable",$A131="Fieldbus Cable"),IF(AND($AE131&lt;&gt;""),"YES","NO"),"N/A")</f>
        <v>NO</v>
      </c>
      <c r="P131" s="4" t="str">
        <f>IF(OR($A131="RTD"),IF(AND($AH131&lt;&gt;""),"YES","NO"),"N/A")</f>
        <v>N/A</v>
      </c>
      <c r="Q131" s="4" t="str">
        <f>IF(OR($A131="RTD"),IF(AND($AI131&lt;&gt;""),"YES","NO"),"N/A")</f>
        <v>N/A</v>
      </c>
      <c r="R131" s="4" t="str">
        <f>IF(OR($AM131&lt;&gt;"",$Z131&lt;&gt;"",$AC131&lt;&gt;""),"YES","NO")</f>
        <v>NO</v>
      </c>
      <c r="S131" s="4" t="str">
        <f>IF(COUNTIF(I131:R131,"NO")=0,"YES","NO")</f>
        <v>NO</v>
      </c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inlineStr">
        <is>
          <t>Teck</t>
        </is>
      </c>
      <c r="AK131" s="9" t="inlineStr">
        <is>
          <t>10AWG</t>
        </is>
      </c>
      <c r="AL131" s="9" t="inlineStr">
        <is>
          <t>Levy Ostrup</t>
        </is>
      </c>
      <c r="AM131" s="9" t="n"/>
      <c r="AN131" s="9" t="n"/>
    </row>
    <row r="132">
      <c r="A132" s="9" t="inlineStr">
        <is>
          <t>Power Cable</t>
        </is>
      </c>
      <c r="B132" s="9" t="inlineStr">
        <is>
          <t>29103-ET-P2101-1-PWK-1</t>
        </is>
      </c>
      <c r="C132" s="9" t="inlineStr">
        <is>
          <t>29103-ET-P2101-1</t>
        </is>
      </c>
      <c r="D132" s="9" t="inlineStr">
        <is>
          <t>29103-HTP-004 HTC-19</t>
        </is>
      </c>
      <c r="E132" s="9" t="inlineStr">
        <is>
          <t>29103-HTP-004</t>
        </is>
      </c>
      <c r="F132" s="9" t="inlineStr"/>
      <c r="G132" s="9" t="inlineStr">
        <is>
          <t>113</t>
        </is>
      </c>
      <c r="H132" s="9" t="inlineStr">
        <is>
          <t>29103-ET-P2101-1-PWK-1.pdf</t>
        </is>
      </c>
      <c r="I132" s="4" t="str">
        <f>IF($H132&lt;&gt;"","YES","NO")</f>
        <v>YES</v>
      </c>
      <c r="J132" s="4" t="str">
        <f>IF(N($T132)&gt;0,"YES","NO")</f>
        <v>NO</v>
      </c>
      <c r="K132" s="4" t="str">
        <f>IF(OR($A132="EHT Trace"),IF(AND($U132&lt;&gt;"",$V132&lt;&gt;""),"YES","NO"),"N/A")</f>
        <v>N/A</v>
      </c>
      <c r="L132" s="4" t="str">
        <f>IF(OR($A132="EHT Trace"),IF(AND($X132&lt;&gt;"",$Y132&lt;&gt;""),"YES","NO"),"N/A")</f>
        <v>N/A</v>
      </c>
      <c r="M132" s="4" t="str">
        <f>IF(OR($A132="EHT Trace"),IF(AND($AA132&lt;&gt;"",$AB132&lt;&gt;""),"YES","NO"),"N/A")</f>
        <v>N/A</v>
      </c>
      <c r="N132" s="4" t="str">
        <f>IF(OR($A132="Power Cable"),IF(AND($AD132&lt;&gt;""),"YES","NO"),"N/A")</f>
        <v>NO</v>
      </c>
      <c r="O132" s="4" t="str">
        <f>IF(OR($A132="Power Cable",$A132="RTD Cable",$A132="Fieldbus Cable"),IF(AND($AE132&lt;&gt;""),"YES","NO"),"N/A")</f>
        <v>NO</v>
      </c>
      <c r="P132" s="4" t="str">
        <f>IF(OR($A132="RTD"),IF(AND($AH132&lt;&gt;""),"YES","NO"),"N/A")</f>
        <v>N/A</v>
      </c>
      <c r="Q132" s="4" t="str">
        <f>IF(OR($A132="RTD"),IF(AND($AI132&lt;&gt;""),"YES","NO"),"N/A")</f>
        <v>N/A</v>
      </c>
      <c r="R132" s="4" t="str">
        <f>IF(OR($AM132&lt;&gt;"",$Z132&lt;&gt;"",$AC132&lt;&gt;""),"YES","NO")</f>
        <v>NO</v>
      </c>
      <c r="S132" s="4" t="str">
        <f>IF(COUNTIF(I132:R132,"NO")=0,"YES","NO")</f>
        <v>NO</v>
      </c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inlineStr">
        <is>
          <t>Teck</t>
        </is>
      </c>
      <c r="AK132" s="9" t="inlineStr">
        <is>
          <t>10AWG</t>
        </is>
      </c>
      <c r="AL132" s="9" t="inlineStr">
        <is>
          <t>Levy Ostrup</t>
        </is>
      </c>
      <c r="AM132" s="9" t="n"/>
      <c r="AN132" s="9" t="n"/>
    </row>
    <row r="133">
      <c r="A133" s="9" t="inlineStr">
        <is>
          <t>Power Cable</t>
        </is>
      </c>
      <c r="B133" s="9" t="inlineStr">
        <is>
          <t>29103-ET-P2104-1-PWK-1</t>
        </is>
      </c>
      <c r="C133" s="9" t="inlineStr">
        <is>
          <t>29103-ET-P2104-1</t>
        </is>
      </c>
      <c r="D133" s="9" t="inlineStr">
        <is>
          <t>29103-HTP-004 HTC-18</t>
        </is>
      </c>
      <c r="E133" s="9" t="inlineStr">
        <is>
          <t>29103-HTP-004</t>
        </is>
      </c>
      <c r="F133" s="9" t="inlineStr"/>
      <c r="G133" s="9" t="inlineStr">
        <is>
          <t>113</t>
        </is>
      </c>
      <c r="H133" s="9" t="inlineStr">
        <is>
          <t>29103-ET-P2104-1-PWK-1.pdf</t>
        </is>
      </c>
      <c r="I133" s="4" t="str">
        <f>IF($H133&lt;&gt;"","YES","NO")</f>
        <v>YES</v>
      </c>
      <c r="J133" s="4" t="str">
        <f>IF(N($T133)&gt;0,"YES","NO")</f>
        <v>NO</v>
      </c>
      <c r="K133" s="4" t="str">
        <f>IF(OR($A133="EHT Trace"),IF(AND($U133&lt;&gt;"",$V133&lt;&gt;""),"YES","NO"),"N/A")</f>
        <v>N/A</v>
      </c>
      <c r="L133" s="4" t="str">
        <f>IF(OR($A133="EHT Trace"),IF(AND($X133&lt;&gt;"",$Y133&lt;&gt;""),"YES","NO"),"N/A")</f>
        <v>N/A</v>
      </c>
      <c r="M133" s="4" t="str">
        <f>IF(OR($A133="EHT Trace"),IF(AND($AA133&lt;&gt;"",$AB133&lt;&gt;""),"YES","NO"),"N/A")</f>
        <v>N/A</v>
      </c>
      <c r="N133" s="4" t="str">
        <f>IF(OR($A133="Power Cable"),IF(AND($AD133&lt;&gt;""),"YES","NO"),"N/A")</f>
        <v>NO</v>
      </c>
      <c r="O133" s="4" t="str">
        <f>IF(OR($A133="Power Cable",$A133="RTD Cable",$A133="Fieldbus Cable"),IF(AND($AE133&lt;&gt;""),"YES","NO"),"N/A")</f>
        <v>NO</v>
      </c>
      <c r="P133" s="4" t="str">
        <f>IF(OR($A133="RTD"),IF(AND($AH133&lt;&gt;""),"YES","NO"),"N/A")</f>
        <v>N/A</v>
      </c>
      <c r="Q133" s="4" t="str">
        <f>IF(OR($A133="RTD"),IF(AND($AI133&lt;&gt;""),"YES","NO"),"N/A")</f>
        <v>N/A</v>
      </c>
      <c r="R133" s="4" t="str">
        <f>IF(OR($AM133&lt;&gt;"",$Z133&lt;&gt;"",$AC133&lt;&gt;""),"YES","NO")</f>
        <v>NO</v>
      </c>
      <c r="S133" s="4" t="str">
        <f>IF(COUNTIF(I133:R133,"NO")=0,"YES","NO")</f>
        <v>NO</v>
      </c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inlineStr">
        <is>
          <t>Teck</t>
        </is>
      </c>
      <c r="AK133" s="9" t="inlineStr">
        <is>
          <t>10AWG</t>
        </is>
      </c>
      <c r="AL133" s="9" t="inlineStr">
        <is>
          <t>Levy Ostrup</t>
        </is>
      </c>
      <c r="AM133" s="9" t="n"/>
      <c r="AN133" s="9" t="n"/>
    </row>
    <row r="134">
      <c r="A134" s="9" t="inlineStr">
        <is>
          <t>Power Cable</t>
        </is>
      </c>
      <c r="B134" s="9" t="inlineStr">
        <is>
          <t>29103-ET-P2104-2-PWK-1</t>
        </is>
      </c>
      <c r="C134" s="9" t="inlineStr">
        <is>
          <t>29103-ET-P2104-2</t>
        </is>
      </c>
      <c r="D134" s="9" t="inlineStr">
        <is>
          <t>29103-HTP-004 HTC-25</t>
        </is>
      </c>
      <c r="E134" s="9" t="inlineStr">
        <is>
          <t>29103-HTP-004</t>
        </is>
      </c>
      <c r="F134" s="9" t="inlineStr"/>
      <c r="G134" s="9" t="inlineStr">
        <is>
          <t>113</t>
        </is>
      </c>
      <c r="H134" s="9" t="inlineStr">
        <is>
          <t>29103-ET-P2104-2-PWK-1.pdf</t>
        </is>
      </c>
      <c r="I134" s="4" t="str">
        <f>IF($H134&lt;&gt;"","YES","NO")</f>
        <v>YES</v>
      </c>
      <c r="J134" s="4" t="str">
        <f>IF(N($T134)&gt;0,"YES","NO")</f>
        <v>NO</v>
      </c>
      <c r="K134" s="4" t="str">
        <f>IF(OR($A134="EHT Trace"),IF(AND($U134&lt;&gt;"",$V134&lt;&gt;""),"YES","NO"),"N/A")</f>
        <v>N/A</v>
      </c>
      <c r="L134" s="4" t="str">
        <f>IF(OR($A134="EHT Trace"),IF(AND($X134&lt;&gt;"",$Y134&lt;&gt;""),"YES","NO"),"N/A")</f>
        <v>N/A</v>
      </c>
      <c r="M134" s="4" t="str">
        <f>IF(OR($A134="EHT Trace"),IF(AND($AA134&lt;&gt;"",$AB134&lt;&gt;""),"YES","NO"),"N/A")</f>
        <v>N/A</v>
      </c>
      <c r="N134" s="4" t="str">
        <f>IF(OR($A134="Power Cable"),IF(AND($AD134&lt;&gt;""),"YES","NO"),"N/A")</f>
        <v>NO</v>
      </c>
      <c r="O134" s="4" t="str">
        <f>IF(OR($A134="Power Cable",$A134="RTD Cable",$A134="Fieldbus Cable"),IF(AND($AE134&lt;&gt;""),"YES","NO"),"N/A")</f>
        <v>NO</v>
      </c>
      <c r="P134" s="4" t="str">
        <f>IF(OR($A134="RTD"),IF(AND($AH134&lt;&gt;""),"YES","NO"),"N/A")</f>
        <v>N/A</v>
      </c>
      <c r="Q134" s="4" t="str">
        <f>IF(OR($A134="RTD"),IF(AND($AI134&lt;&gt;""),"YES","NO"),"N/A")</f>
        <v>N/A</v>
      </c>
      <c r="R134" s="4" t="str">
        <f>IF(OR($AM134&lt;&gt;"",$Z134&lt;&gt;"",$AC134&lt;&gt;""),"YES","NO")</f>
        <v>NO</v>
      </c>
      <c r="S134" s="4" t="str">
        <f>IF(COUNTIF(I134:R134,"NO")=0,"YES","NO")</f>
        <v>NO</v>
      </c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inlineStr">
        <is>
          <t>Teck</t>
        </is>
      </c>
      <c r="AK134" s="9" t="inlineStr">
        <is>
          <t>10AWG</t>
        </is>
      </c>
      <c r="AL134" s="9" t="inlineStr">
        <is>
          <t>Levy Ostrup</t>
        </is>
      </c>
      <c r="AM134" s="9" t="n"/>
      <c r="AN134" s="9" t="n"/>
    </row>
    <row r="135">
      <c r="A135" s="9" t="inlineStr">
        <is>
          <t>Power Cable</t>
        </is>
      </c>
      <c r="B135" s="9" t="inlineStr">
        <is>
          <t>29103-ET-P2201-1-PWK-1</t>
        </is>
      </c>
      <c r="C135" s="9" t="inlineStr">
        <is>
          <t>29103-ET-P2201-1</t>
        </is>
      </c>
      <c r="D135" s="9" t="inlineStr">
        <is>
          <t>29103-HTP-004 HTC-05</t>
        </is>
      </c>
      <c r="E135" s="9" t="inlineStr">
        <is>
          <t>29103-HTP-004</t>
        </is>
      </c>
      <c r="F135" s="9" t="inlineStr"/>
      <c r="G135" s="9" t="inlineStr">
        <is>
          <t>113</t>
        </is>
      </c>
      <c r="H135" s="9" t="inlineStr">
        <is>
          <t>29103-ET-P2201-1-PWK-1.pdf</t>
        </is>
      </c>
      <c r="I135" s="4" t="str">
        <f>IF($H135&lt;&gt;"","YES","NO")</f>
        <v>YES</v>
      </c>
      <c r="J135" s="4" t="str">
        <f>IF(N($T135)&gt;0,"YES","NO")</f>
        <v>NO</v>
      </c>
      <c r="K135" s="4" t="str">
        <f>IF(OR($A135="EHT Trace"),IF(AND($U135&lt;&gt;"",$V135&lt;&gt;""),"YES","NO"),"N/A")</f>
        <v>N/A</v>
      </c>
      <c r="L135" s="4" t="str">
        <f>IF(OR($A135="EHT Trace"),IF(AND($X135&lt;&gt;"",$Y135&lt;&gt;""),"YES","NO"),"N/A")</f>
        <v>N/A</v>
      </c>
      <c r="M135" s="4" t="str">
        <f>IF(OR($A135="EHT Trace"),IF(AND($AA135&lt;&gt;"",$AB135&lt;&gt;""),"YES","NO"),"N/A")</f>
        <v>N/A</v>
      </c>
      <c r="N135" s="4" t="str">
        <f>IF(OR($A135="Power Cable"),IF(AND($AD135&lt;&gt;""),"YES","NO"),"N/A")</f>
        <v>NO</v>
      </c>
      <c r="O135" s="4" t="str">
        <f>IF(OR($A135="Power Cable",$A135="RTD Cable",$A135="Fieldbus Cable"),IF(AND($AE135&lt;&gt;""),"YES","NO"),"N/A")</f>
        <v>NO</v>
      </c>
      <c r="P135" s="4" t="str">
        <f>IF(OR($A135="RTD"),IF(AND($AH135&lt;&gt;""),"YES","NO"),"N/A")</f>
        <v>N/A</v>
      </c>
      <c r="Q135" s="4" t="str">
        <f>IF(OR($A135="RTD"),IF(AND($AI135&lt;&gt;""),"YES","NO"),"N/A")</f>
        <v>N/A</v>
      </c>
      <c r="R135" s="4" t="str">
        <f>IF(OR($AM135&lt;&gt;"",$Z135&lt;&gt;"",$AC135&lt;&gt;""),"YES","NO")</f>
        <v>NO</v>
      </c>
      <c r="S135" s="4" t="str">
        <f>IF(COUNTIF(I135:R135,"NO")=0,"YES","NO")</f>
        <v>NO</v>
      </c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inlineStr">
        <is>
          <t>Teck</t>
        </is>
      </c>
      <c r="AK135" s="9" t="inlineStr">
        <is>
          <t>10AWG</t>
        </is>
      </c>
      <c r="AL135" s="9" t="inlineStr">
        <is>
          <t>Levy Ostrup</t>
        </is>
      </c>
      <c r="AM135" s="9" t="n"/>
      <c r="AN135" s="9" t="n"/>
    </row>
    <row r="136">
      <c r="A136" s="9" t="inlineStr">
        <is>
          <t>Power Cable</t>
        </is>
      </c>
      <c r="B136" s="9" t="inlineStr">
        <is>
          <t>29103-ET-P2204-1-PWK-1</t>
        </is>
      </c>
      <c r="C136" s="9" t="inlineStr">
        <is>
          <t>29103-ET-P2204-1</t>
        </is>
      </c>
      <c r="D136" s="9" t="inlineStr">
        <is>
          <t>29103-HTP-004 HTC-09</t>
        </is>
      </c>
      <c r="E136" s="9" t="inlineStr">
        <is>
          <t>29103-HTP-004</t>
        </is>
      </c>
      <c r="F136" s="9" t="inlineStr"/>
      <c r="G136" s="9" t="inlineStr">
        <is>
          <t>113</t>
        </is>
      </c>
      <c r="H136" s="9" t="inlineStr">
        <is>
          <t>29103-ET-P2204-1-PWK-1.pdf</t>
        </is>
      </c>
      <c r="I136" s="4" t="str">
        <f>IF($H136&lt;&gt;"","YES","NO")</f>
        <v>YES</v>
      </c>
      <c r="J136" s="4" t="str">
        <f>IF(N($T136)&gt;0,"YES","NO")</f>
        <v>NO</v>
      </c>
      <c r="K136" s="4" t="str">
        <f>IF(OR($A136="EHT Trace"),IF(AND($U136&lt;&gt;"",$V136&lt;&gt;""),"YES","NO"),"N/A")</f>
        <v>N/A</v>
      </c>
      <c r="L136" s="4" t="str">
        <f>IF(OR($A136="EHT Trace"),IF(AND($X136&lt;&gt;"",$Y136&lt;&gt;""),"YES","NO"),"N/A")</f>
        <v>N/A</v>
      </c>
      <c r="M136" s="4" t="str">
        <f>IF(OR($A136="EHT Trace"),IF(AND($AA136&lt;&gt;"",$AB136&lt;&gt;""),"YES","NO"),"N/A")</f>
        <v>N/A</v>
      </c>
      <c r="N136" s="4" t="str">
        <f>IF(OR($A136="Power Cable"),IF(AND($AD136&lt;&gt;""),"YES","NO"),"N/A")</f>
        <v>NO</v>
      </c>
      <c r="O136" s="4" t="str">
        <f>IF(OR($A136="Power Cable",$A136="RTD Cable",$A136="Fieldbus Cable"),IF(AND($AE136&lt;&gt;""),"YES","NO"),"N/A")</f>
        <v>NO</v>
      </c>
      <c r="P136" s="4" t="str">
        <f>IF(OR($A136="RTD"),IF(AND($AH136&lt;&gt;""),"YES","NO"),"N/A")</f>
        <v>N/A</v>
      </c>
      <c r="Q136" s="4" t="str">
        <f>IF(OR($A136="RTD"),IF(AND($AI136&lt;&gt;""),"YES","NO"),"N/A")</f>
        <v>N/A</v>
      </c>
      <c r="R136" s="4" t="str">
        <f>IF(OR($AM136&lt;&gt;"",$Z136&lt;&gt;"",$AC136&lt;&gt;""),"YES","NO")</f>
        <v>NO</v>
      </c>
      <c r="S136" s="4" t="str">
        <f>IF(COUNTIF(I136:R136,"NO")=0,"YES","NO")</f>
        <v>NO</v>
      </c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inlineStr">
        <is>
          <t>Teck</t>
        </is>
      </c>
      <c r="AK136" s="9" t="inlineStr">
        <is>
          <t>10AWG</t>
        </is>
      </c>
      <c r="AL136" s="9" t="inlineStr">
        <is>
          <t>Levy Ostrup</t>
        </is>
      </c>
      <c r="AM136" s="9" t="n"/>
      <c r="AN136" s="9" t="n"/>
    </row>
    <row r="137">
      <c r="A137" s="9" t="inlineStr">
        <is>
          <t>Power Cable</t>
        </is>
      </c>
      <c r="B137" s="9" t="inlineStr">
        <is>
          <t>29103-ET-P2204-2-PWK-1</t>
        </is>
      </c>
      <c r="C137" s="9" t="inlineStr">
        <is>
          <t>29103-ET-P2204-2</t>
        </is>
      </c>
      <c r="D137" s="9" t="inlineStr">
        <is>
          <t>29103-HTP-004 HTC-26</t>
        </is>
      </c>
      <c r="E137" s="9" t="inlineStr">
        <is>
          <t>29103-HTP-004</t>
        </is>
      </c>
      <c r="F137" s="9" t="inlineStr"/>
      <c r="G137" s="9" t="inlineStr">
        <is>
          <t>113</t>
        </is>
      </c>
      <c r="H137" s="9" t="inlineStr">
        <is>
          <t>29103-ET-P2204-2-PWK-1.pdf</t>
        </is>
      </c>
      <c r="I137" s="4" t="str">
        <f>IF($H137&lt;&gt;"","YES","NO")</f>
        <v>YES</v>
      </c>
      <c r="J137" s="4" t="str">
        <f>IF(N($T137)&gt;0,"YES","NO")</f>
        <v>NO</v>
      </c>
      <c r="K137" s="4" t="str">
        <f>IF(OR($A137="EHT Trace"),IF(AND($U137&lt;&gt;"",$V137&lt;&gt;""),"YES","NO"),"N/A")</f>
        <v>N/A</v>
      </c>
      <c r="L137" s="4" t="str">
        <f>IF(OR($A137="EHT Trace"),IF(AND($X137&lt;&gt;"",$Y137&lt;&gt;""),"YES","NO"),"N/A")</f>
        <v>N/A</v>
      </c>
      <c r="M137" s="4" t="str">
        <f>IF(OR($A137="EHT Trace"),IF(AND($AA137&lt;&gt;"",$AB137&lt;&gt;""),"YES","NO"),"N/A")</f>
        <v>N/A</v>
      </c>
      <c r="N137" s="4" t="str">
        <f>IF(OR($A137="Power Cable"),IF(AND($AD137&lt;&gt;""),"YES","NO"),"N/A")</f>
        <v>NO</v>
      </c>
      <c r="O137" s="4" t="str">
        <f>IF(OR($A137="Power Cable",$A137="RTD Cable",$A137="Fieldbus Cable"),IF(AND($AE137&lt;&gt;""),"YES","NO"),"N/A")</f>
        <v>NO</v>
      </c>
      <c r="P137" s="4" t="str">
        <f>IF(OR($A137="RTD"),IF(AND($AH137&lt;&gt;""),"YES","NO"),"N/A")</f>
        <v>N/A</v>
      </c>
      <c r="Q137" s="4" t="str">
        <f>IF(OR($A137="RTD"),IF(AND($AI137&lt;&gt;""),"YES","NO"),"N/A")</f>
        <v>N/A</v>
      </c>
      <c r="R137" s="4" t="str">
        <f>IF(OR($AM137&lt;&gt;"",$Z137&lt;&gt;"",$AC137&lt;&gt;""),"YES","NO")</f>
        <v>NO</v>
      </c>
      <c r="S137" s="4" t="str">
        <f>IF(COUNTIF(I137:R137,"NO")=0,"YES","NO")</f>
        <v>NO</v>
      </c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inlineStr">
        <is>
          <t>Teck</t>
        </is>
      </c>
      <c r="AK137" s="9" t="inlineStr">
        <is>
          <t>10AWG</t>
        </is>
      </c>
      <c r="AL137" s="9" t="inlineStr">
        <is>
          <t>Levy Ostrup</t>
        </is>
      </c>
      <c r="AM137" s="9" t="n"/>
      <c r="AN137" s="9" t="n"/>
    </row>
    <row r="138">
      <c r="A138" s="9" t="inlineStr">
        <is>
          <t>Power Cable</t>
        </is>
      </c>
      <c r="B138" s="9" t="inlineStr">
        <is>
          <t>29103-ET-P2301-1-PWK-1</t>
        </is>
      </c>
      <c r="C138" s="9" t="inlineStr">
        <is>
          <t>29103-ET-P2301-1</t>
        </is>
      </c>
      <c r="D138" s="9" t="inlineStr">
        <is>
          <t>29103-HTP-004 HTC-04</t>
        </is>
      </c>
      <c r="E138" s="9" t="inlineStr">
        <is>
          <t>29103-HTP-004</t>
        </is>
      </c>
      <c r="F138" s="9" t="inlineStr"/>
      <c r="G138" s="9" t="inlineStr">
        <is>
          <t>113</t>
        </is>
      </c>
      <c r="H138" s="9" t="inlineStr">
        <is>
          <t>29103-ET-P2301-1-PWK-1.pdf</t>
        </is>
      </c>
      <c r="I138" s="4" t="str">
        <f>IF($H138&lt;&gt;"","YES","NO")</f>
        <v>YES</v>
      </c>
      <c r="J138" s="4" t="str">
        <f>IF(N($T138)&gt;0,"YES","NO")</f>
        <v>NO</v>
      </c>
      <c r="K138" s="4" t="str">
        <f>IF(OR($A138="EHT Trace"),IF(AND($U138&lt;&gt;"",$V138&lt;&gt;""),"YES","NO"),"N/A")</f>
        <v>N/A</v>
      </c>
      <c r="L138" s="4" t="str">
        <f>IF(OR($A138="EHT Trace"),IF(AND($X138&lt;&gt;"",$Y138&lt;&gt;""),"YES","NO"),"N/A")</f>
        <v>N/A</v>
      </c>
      <c r="M138" s="4" t="str">
        <f>IF(OR($A138="EHT Trace"),IF(AND($AA138&lt;&gt;"",$AB138&lt;&gt;""),"YES","NO"),"N/A")</f>
        <v>N/A</v>
      </c>
      <c r="N138" s="4" t="str">
        <f>IF(OR($A138="Power Cable"),IF(AND($AD138&lt;&gt;""),"YES","NO"),"N/A")</f>
        <v>NO</v>
      </c>
      <c r="O138" s="4" t="str">
        <f>IF(OR($A138="Power Cable",$A138="RTD Cable",$A138="Fieldbus Cable"),IF(AND($AE138&lt;&gt;""),"YES","NO"),"N/A")</f>
        <v>NO</v>
      </c>
      <c r="P138" s="4" t="str">
        <f>IF(OR($A138="RTD"),IF(AND($AH138&lt;&gt;""),"YES","NO"),"N/A")</f>
        <v>N/A</v>
      </c>
      <c r="Q138" s="4" t="str">
        <f>IF(OR($A138="RTD"),IF(AND($AI138&lt;&gt;""),"YES","NO"),"N/A")</f>
        <v>N/A</v>
      </c>
      <c r="R138" s="4" t="str">
        <f>IF(OR($AM138&lt;&gt;"",$Z138&lt;&gt;"",$AC138&lt;&gt;""),"YES","NO")</f>
        <v>NO</v>
      </c>
      <c r="S138" s="4" t="str">
        <f>IF(COUNTIF(I138:R138,"NO")=0,"YES","NO")</f>
        <v>NO</v>
      </c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inlineStr">
        <is>
          <t>Teck</t>
        </is>
      </c>
      <c r="AK138" s="9" t="inlineStr">
        <is>
          <t>10AWG</t>
        </is>
      </c>
      <c r="AL138" s="9" t="inlineStr">
        <is>
          <t>Levy Ostrup</t>
        </is>
      </c>
      <c r="AM138" s="9" t="n"/>
      <c r="AN138" s="9" t="n"/>
    </row>
    <row r="139">
      <c r="A139" s="9" t="inlineStr">
        <is>
          <t>Power Cable</t>
        </is>
      </c>
      <c r="B139" s="9" t="inlineStr">
        <is>
          <t>29103-ET-P2304-1-PWK-1</t>
        </is>
      </c>
      <c r="C139" s="9" t="inlineStr">
        <is>
          <t>29103-ET-P2304-1</t>
        </is>
      </c>
      <c r="D139" s="9" t="inlineStr">
        <is>
          <t>29103-HTP-004 HTC-02</t>
        </is>
      </c>
      <c r="E139" s="9" t="inlineStr">
        <is>
          <t>29103-HTP-004</t>
        </is>
      </c>
      <c r="F139" s="9" t="inlineStr"/>
      <c r="G139" s="9" t="inlineStr">
        <is>
          <t>113</t>
        </is>
      </c>
      <c r="H139" s="9" t="inlineStr">
        <is>
          <t>29103-ET-P2304-1-PWK-1.pdf</t>
        </is>
      </c>
      <c r="I139" s="4" t="str">
        <f>IF($H139&lt;&gt;"","YES","NO")</f>
        <v>YES</v>
      </c>
      <c r="J139" s="4" t="str">
        <f>IF(N($T139)&gt;0,"YES","NO")</f>
        <v>NO</v>
      </c>
      <c r="K139" s="4" t="str">
        <f>IF(OR($A139="EHT Trace"),IF(AND($U139&lt;&gt;"",$V139&lt;&gt;""),"YES","NO"),"N/A")</f>
        <v>N/A</v>
      </c>
      <c r="L139" s="4" t="str">
        <f>IF(OR($A139="EHT Trace"),IF(AND($X139&lt;&gt;"",$Y139&lt;&gt;""),"YES","NO"),"N/A")</f>
        <v>N/A</v>
      </c>
      <c r="M139" s="4" t="str">
        <f>IF(OR($A139="EHT Trace"),IF(AND($AA139&lt;&gt;"",$AB139&lt;&gt;""),"YES","NO"),"N/A")</f>
        <v>N/A</v>
      </c>
      <c r="N139" s="4" t="str">
        <f>IF(OR($A139="Power Cable"),IF(AND($AD139&lt;&gt;""),"YES","NO"),"N/A")</f>
        <v>NO</v>
      </c>
      <c r="O139" s="4" t="str">
        <f>IF(OR($A139="Power Cable",$A139="RTD Cable",$A139="Fieldbus Cable"),IF(AND($AE139&lt;&gt;""),"YES","NO"),"N/A")</f>
        <v>NO</v>
      </c>
      <c r="P139" s="4" t="str">
        <f>IF(OR($A139="RTD"),IF(AND($AH139&lt;&gt;""),"YES","NO"),"N/A")</f>
        <v>N/A</v>
      </c>
      <c r="Q139" s="4" t="str">
        <f>IF(OR($A139="RTD"),IF(AND($AI139&lt;&gt;""),"YES","NO"),"N/A")</f>
        <v>N/A</v>
      </c>
      <c r="R139" s="4" t="str">
        <f>IF(OR($AM139&lt;&gt;"",$Z139&lt;&gt;"",$AC139&lt;&gt;""),"YES","NO")</f>
        <v>NO</v>
      </c>
      <c r="S139" s="4" t="str">
        <f>IF(COUNTIF(I139:R139,"NO")=0,"YES","NO")</f>
        <v>NO</v>
      </c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inlineStr">
        <is>
          <t>Teck</t>
        </is>
      </c>
      <c r="AK139" s="9" t="inlineStr">
        <is>
          <t>10AWG</t>
        </is>
      </c>
      <c r="AL139" s="9" t="inlineStr">
        <is>
          <t>Levy Ostrup</t>
        </is>
      </c>
      <c r="AM139" s="9" t="n"/>
      <c r="AN139" s="9" t="n"/>
    </row>
    <row r="140">
      <c r="A140" s="9" t="inlineStr">
        <is>
          <t>Power Cable</t>
        </is>
      </c>
      <c r="B140" s="9" t="inlineStr">
        <is>
          <t>29103-ET-P2304-2-PWK-1</t>
        </is>
      </c>
      <c r="C140" s="9" t="inlineStr">
        <is>
          <t>29103-ET-P2304-2</t>
        </is>
      </c>
      <c r="D140" s="9" t="inlineStr">
        <is>
          <t>29103-HTP-004 HTC-27</t>
        </is>
      </c>
      <c r="E140" s="9" t="inlineStr">
        <is>
          <t>29103-HTP-004</t>
        </is>
      </c>
      <c r="F140" s="9" t="inlineStr"/>
      <c r="G140" s="9" t="inlineStr">
        <is>
          <t>113</t>
        </is>
      </c>
      <c r="H140" s="9" t="inlineStr">
        <is>
          <t>29103-ET-P2304-2-PWK-1.pdf</t>
        </is>
      </c>
      <c r="I140" s="4" t="str">
        <f>IF($H140&lt;&gt;"","YES","NO")</f>
        <v>YES</v>
      </c>
      <c r="J140" s="4" t="str">
        <f>IF(N($T140)&gt;0,"YES","NO")</f>
        <v>NO</v>
      </c>
      <c r="K140" s="4" t="str">
        <f>IF(OR($A140="EHT Trace"),IF(AND($U140&lt;&gt;"",$V140&lt;&gt;""),"YES","NO"),"N/A")</f>
        <v>N/A</v>
      </c>
      <c r="L140" s="4" t="str">
        <f>IF(OR($A140="EHT Trace"),IF(AND($X140&lt;&gt;"",$Y140&lt;&gt;""),"YES","NO"),"N/A")</f>
        <v>N/A</v>
      </c>
      <c r="M140" s="4" t="str">
        <f>IF(OR($A140="EHT Trace"),IF(AND($AA140&lt;&gt;"",$AB140&lt;&gt;""),"YES","NO"),"N/A")</f>
        <v>N/A</v>
      </c>
      <c r="N140" s="4" t="str">
        <f>IF(OR($A140="Power Cable"),IF(AND($AD140&lt;&gt;""),"YES","NO"),"N/A")</f>
        <v>NO</v>
      </c>
      <c r="O140" s="4" t="str">
        <f>IF(OR($A140="Power Cable",$A140="RTD Cable",$A140="Fieldbus Cable"),IF(AND($AE140&lt;&gt;""),"YES","NO"),"N/A")</f>
        <v>NO</v>
      </c>
      <c r="P140" s="4" t="str">
        <f>IF(OR($A140="RTD"),IF(AND($AH140&lt;&gt;""),"YES","NO"),"N/A")</f>
        <v>N/A</v>
      </c>
      <c r="Q140" s="4" t="str">
        <f>IF(OR($A140="RTD"),IF(AND($AI140&lt;&gt;""),"YES","NO"),"N/A")</f>
        <v>N/A</v>
      </c>
      <c r="R140" s="4" t="str">
        <f>IF(OR($AM140&lt;&gt;"",$Z140&lt;&gt;"",$AC140&lt;&gt;""),"YES","NO")</f>
        <v>NO</v>
      </c>
      <c r="S140" s="4" t="str">
        <f>IF(COUNTIF(I140:R140,"NO")=0,"YES","NO")</f>
        <v>NO</v>
      </c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inlineStr">
        <is>
          <t>Teck</t>
        </is>
      </c>
      <c r="AK140" s="9" t="inlineStr">
        <is>
          <t>10AWG</t>
        </is>
      </c>
      <c r="AL140" s="9" t="inlineStr">
        <is>
          <t>Levy Ostrup</t>
        </is>
      </c>
      <c r="AM140" s="9" t="n"/>
      <c r="AN140" s="9" t="n"/>
    </row>
    <row r="141">
      <c r="A141" s="9" t="inlineStr">
        <is>
          <t>Power Cable</t>
        </is>
      </c>
      <c r="B141" s="9" t="inlineStr">
        <is>
          <t>29103-ET-P2404-1-PWK-1</t>
        </is>
      </c>
      <c r="C141" s="9" t="inlineStr">
        <is>
          <t>29103-ET-P2404-1</t>
        </is>
      </c>
      <c r="D141" s="9" t="inlineStr">
        <is>
          <t>29103-HTP-004 HTC-32</t>
        </is>
      </c>
      <c r="E141" s="9" t="inlineStr">
        <is>
          <t>29103-HTP-004</t>
        </is>
      </c>
      <c r="F141" s="9" t="inlineStr"/>
      <c r="G141" s="9" t="inlineStr">
        <is>
          <t>113</t>
        </is>
      </c>
      <c r="H141" s="9" t="inlineStr">
        <is>
          <t>29103-ET-P2404-1-PWK-1.pdf</t>
        </is>
      </c>
      <c r="I141" s="4" t="str">
        <f>IF($H141&lt;&gt;"","YES","NO")</f>
        <v>YES</v>
      </c>
      <c r="J141" s="4" t="str">
        <f>IF(N($T141)&gt;0,"YES","NO")</f>
        <v>NO</v>
      </c>
      <c r="K141" s="4" t="str">
        <f>IF(OR($A141="EHT Trace"),IF(AND($U141&lt;&gt;"",$V141&lt;&gt;""),"YES","NO"),"N/A")</f>
        <v>N/A</v>
      </c>
      <c r="L141" s="4" t="str">
        <f>IF(OR($A141="EHT Trace"),IF(AND($X141&lt;&gt;"",$Y141&lt;&gt;""),"YES","NO"),"N/A")</f>
        <v>N/A</v>
      </c>
      <c r="M141" s="4" t="str">
        <f>IF(OR($A141="EHT Trace"),IF(AND($AA141&lt;&gt;"",$AB141&lt;&gt;""),"YES","NO"),"N/A")</f>
        <v>N/A</v>
      </c>
      <c r="N141" s="4" t="str">
        <f>IF(OR($A141="Power Cable"),IF(AND($AD141&lt;&gt;""),"YES","NO"),"N/A")</f>
        <v>NO</v>
      </c>
      <c r="O141" s="4" t="str">
        <f>IF(OR($A141="Power Cable",$A141="RTD Cable",$A141="Fieldbus Cable"),IF(AND($AE141&lt;&gt;""),"YES","NO"),"N/A")</f>
        <v>NO</v>
      </c>
      <c r="P141" s="4" t="str">
        <f>IF(OR($A141="RTD"),IF(AND($AH141&lt;&gt;""),"YES","NO"),"N/A")</f>
        <v>N/A</v>
      </c>
      <c r="Q141" s="4" t="str">
        <f>IF(OR($A141="RTD"),IF(AND($AI141&lt;&gt;""),"YES","NO"),"N/A")</f>
        <v>N/A</v>
      </c>
      <c r="R141" s="4" t="str">
        <f>IF(OR($AM141&lt;&gt;"",$Z141&lt;&gt;"",$AC141&lt;&gt;""),"YES","NO")</f>
        <v>NO</v>
      </c>
      <c r="S141" s="4" t="str">
        <f>IF(COUNTIF(I141:R141,"NO")=0,"YES","NO")</f>
        <v>NO</v>
      </c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inlineStr">
        <is>
          <t>Teck</t>
        </is>
      </c>
      <c r="AK141" s="9" t="inlineStr">
        <is>
          <t>10AWG</t>
        </is>
      </c>
      <c r="AL141" s="9" t="inlineStr">
        <is>
          <t>Levy Ostrup</t>
        </is>
      </c>
      <c r="AM141" s="9" t="n"/>
      <c r="AN141" s="9" t="n"/>
    </row>
    <row r="142">
      <c r="A142" s="9" t="inlineStr">
        <is>
          <t>Power Cable</t>
        </is>
      </c>
      <c r="B142" s="9" t="inlineStr">
        <is>
          <t>29103-ET-P2404-2-PWK-1</t>
        </is>
      </c>
      <c r="C142" s="9" t="inlineStr">
        <is>
          <t>29103-ET-P2404-2</t>
        </is>
      </c>
      <c r="D142" s="9" t="inlineStr">
        <is>
          <t>29103-HTP-004 HTC-41</t>
        </is>
      </c>
      <c r="E142" s="9" t="inlineStr">
        <is>
          <t>29103-HTP-004</t>
        </is>
      </c>
      <c r="F142" s="9" t="inlineStr"/>
      <c r="G142" s="9" t="inlineStr">
        <is>
          <t>113</t>
        </is>
      </c>
      <c r="H142" s="9" t="inlineStr">
        <is>
          <t>29103-ET-P2404-2-PWK-1.pdf</t>
        </is>
      </c>
      <c r="I142" s="4" t="str">
        <f>IF($H142&lt;&gt;"","YES","NO")</f>
        <v>YES</v>
      </c>
      <c r="J142" s="4" t="str">
        <f>IF(N($T142)&gt;0,"YES","NO")</f>
        <v>NO</v>
      </c>
      <c r="K142" s="4" t="str">
        <f>IF(OR($A142="EHT Trace"),IF(AND($U142&lt;&gt;"",$V142&lt;&gt;""),"YES","NO"),"N/A")</f>
        <v>N/A</v>
      </c>
      <c r="L142" s="4" t="str">
        <f>IF(OR($A142="EHT Trace"),IF(AND($X142&lt;&gt;"",$Y142&lt;&gt;""),"YES","NO"),"N/A")</f>
        <v>N/A</v>
      </c>
      <c r="M142" s="4" t="str">
        <f>IF(OR($A142="EHT Trace"),IF(AND($AA142&lt;&gt;"",$AB142&lt;&gt;""),"YES","NO"),"N/A")</f>
        <v>N/A</v>
      </c>
      <c r="N142" s="4" t="str">
        <f>IF(OR($A142="Power Cable"),IF(AND($AD142&lt;&gt;""),"YES","NO"),"N/A")</f>
        <v>NO</v>
      </c>
      <c r="O142" s="4" t="str">
        <f>IF(OR($A142="Power Cable",$A142="RTD Cable",$A142="Fieldbus Cable"),IF(AND($AE142&lt;&gt;""),"YES","NO"),"N/A")</f>
        <v>NO</v>
      </c>
      <c r="P142" s="4" t="str">
        <f>IF(OR($A142="RTD"),IF(AND($AH142&lt;&gt;""),"YES","NO"),"N/A")</f>
        <v>N/A</v>
      </c>
      <c r="Q142" s="4" t="str">
        <f>IF(OR($A142="RTD"),IF(AND($AI142&lt;&gt;""),"YES","NO"),"N/A")</f>
        <v>N/A</v>
      </c>
      <c r="R142" s="4" t="str">
        <f>IF(OR($AM142&lt;&gt;"",$Z142&lt;&gt;"",$AC142&lt;&gt;""),"YES","NO")</f>
        <v>NO</v>
      </c>
      <c r="S142" s="4" t="str">
        <f>IF(COUNTIF(I142:R142,"NO")=0,"YES","NO")</f>
        <v>NO</v>
      </c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inlineStr">
        <is>
          <t>Teck</t>
        </is>
      </c>
      <c r="AK142" s="9" t="inlineStr">
        <is>
          <t>10AWG</t>
        </is>
      </c>
      <c r="AL142" s="9" t="inlineStr">
        <is>
          <t>Levy Ostrup</t>
        </is>
      </c>
      <c r="AM142" s="9" t="n"/>
      <c r="AN142" s="9" t="n"/>
    </row>
    <row r="143">
      <c r="A143" s="9" t="inlineStr">
        <is>
          <t>Power Cable</t>
        </is>
      </c>
      <c r="B143" s="9" t="inlineStr">
        <is>
          <t>29103-ET-P2800-2-PWK-1</t>
        </is>
      </c>
      <c r="C143" s="9" t="inlineStr">
        <is>
          <t>29103-ET-P2800-2</t>
        </is>
      </c>
      <c r="D143" s="9" t="inlineStr">
        <is>
          <t>29103-HTP-004 HTC-31</t>
        </is>
      </c>
      <c r="E143" s="9" t="inlineStr">
        <is>
          <t>29103-HTP-004</t>
        </is>
      </c>
      <c r="F143" s="9" t="inlineStr"/>
      <c r="G143" s="9" t="inlineStr">
        <is>
          <t>113</t>
        </is>
      </c>
      <c r="H143" s="9" t="inlineStr">
        <is>
          <t>29103-ET-P2800-2-PWK-1.pdf</t>
        </is>
      </c>
      <c r="I143" s="4" t="str">
        <f>IF($H143&lt;&gt;"","YES","NO")</f>
        <v>YES</v>
      </c>
      <c r="J143" s="4" t="str">
        <f>IF(N($T143)&gt;0,"YES","NO")</f>
        <v>NO</v>
      </c>
      <c r="K143" s="4" t="str">
        <f>IF(OR($A143="EHT Trace"),IF(AND($U143&lt;&gt;"",$V143&lt;&gt;""),"YES","NO"),"N/A")</f>
        <v>N/A</v>
      </c>
      <c r="L143" s="4" t="str">
        <f>IF(OR($A143="EHT Trace"),IF(AND($X143&lt;&gt;"",$Y143&lt;&gt;""),"YES","NO"),"N/A")</f>
        <v>N/A</v>
      </c>
      <c r="M143" s="4" t="str">
        <f>IF(OR($A143="EHT Trace"),IF(AND($AA143&lt;&gt;"",$AB143&lt;&gt;""),"YES","NO"),"N/A")</f>
        <v>N/A</v>
      </c>
      <c r="N143" s="4" t="str">
        <f>IF(OR($A143="Power Cable"),IF(AND($AD143&lt;&gt;""),"YES","NO"),"N/A")</f>
        <v>NO</v>
      </c>
      <c r="O143" s="4" t="str">
        <f>IF(OR($A143="Power Cable",$A143="RTD Cable",$A143="Fieldbus Cable"),IF(AND($AE143&lt;&gt;""),"YES","NO"),"N/A")</f>
        <v>NO</v>
      </c>
      <c r="P143" s="4" t="str">
        <f>IF(OR($A143="RTD"),IF(AND($AH143&lt;&gt;""),"YES","NO"),"N/A")</f>
        <v>N/A</v>
      </c>
      <c r="Q143" s="4" t="str">
        <f>IF(OR($A143="RTD"),IF(AND($AI143&lt;&gt;""),"YES","NO"),"N/A")</f>
        <v>N/A</v>
      </c>
      <c r="R143" s="4" t="str">
        <f>IF(OR($AM143&lt;&gt;"",$Z143&lt;&gt;"",$AC143&lt;&gt;""),"YES","NO")</f>
        <v>NO</v>
      </c>
      <c r="S143" s="4" t="str">
        <f>IF(COUNTIF(I143:R143,"NO")=0,"YES","NO")</f>
        <v>NO</v>
      </c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inlineStr">
        <is>
          <t>Teck</t>
        </is>
      </c>
      <c r="AK143" s="9" t="inlineStr">
        <is>
          <t>10AWG</t>
        </is>
      </c>
      <c r="AL143" s="9" t="inlineStr">
        <is>
          <t>Levy Ostrup</t>
        </is>
      </c>
      <c r="AM143" s="9" t="n"/>
      <c r="AN143" s="9" t="n"/>
    </row>
    <row r="144">
      <c r="A144" s="9" t="inlineStr">
        <is>
          <t>Power Cable</t>
        </is>
      </c>
      <c r="B144" s="9" t="inlineStr">
        <is>
          <t>29103-ET-P2800-3-PWK-1</t>
        </is>
      </c>
      <c r="C144" s="9" t="inlineStr">
        <is>
          <t>29103-ET-P2800-3</t>
        </is>
      </c>
      <c r="D144" s="9" t="inlineStr">
        <is>
          <t>29103-HTP-004 HTC-24</t>
        </is>
      </c>
      <c r="E144" s="9" t="inlineStr">
        <is>
          <t>29103-HTP-004</t>
        </is>
      </c>
      <c r="F144" s="9" t="inlineStr"/>
      <c r="G144" s="9" t="inlineStr">
        <is>
          <t>113</t>
        </is>
      </c>
      <c r="H144" s="9" t="inlineStr">
        <is>
          <t>29103-ET-P2800-3-PWK-1.pdf</t>
        </is>
      </c>
      <c r="I144" s="4" t="str">
        <f>IF($H144&lt;&gt;"","YES","NO")</f>
        <v>YES</v>
      </c>
      <c r="J144" s="4" t="str">
        <f>IF(N($T144)&gt;0,"YES","NO")</f>
        <v>NO</v>
      </c>
      <c r="K144" s="4" t="str">
        <f>IF(OR($A144="EHT Trace"),IF(AND($U144&lt;&gt;"",$V144&lt;&gt;""),"YES","NO"),"N/A")</f>
        <v>N/A</v>
      </c>
      <c r="L144" s="4" t="str">
        <f>IF(OR($A144="EHT Trace"),IF(AND($X144&lt;&gt;"",$Y144&lt;&gt;""),"YES","NO"),"N/A")</f>
        <v>N/A</v>
      </c>
      <c r="M144" s="4" t="str">
        <f>IF(OR($A144="EHT Trace"),IF(AND($AA144&lt;&gt;"",$AB144&lt;&gt;""),"YES","NO"),"N/A")</f>
        <v>N/A</v>
      </c>
      <c r="N144" s="4" t="str">
        <f>IF(OR($A144="Power Cable"),IF(AND($AD144&lt;&gt;""),"YES","NO"),"N/A")</f>
        <v>NO</v>
      </c>
      <c r="O144" s="4" t="str">
        <f>IF(OR($A144="Power Cable",$A144="RTD Cable",$A144="Fieldbus Cable"),IF(AND($AE144&lt;&gt;""),"YES","NO"),"N/A")</f>
        <v>NO</v>
      </c>
      <c r="P144" s="4" t="str">
        <f>IF(OR($A144="RTD"),IF(AND($AH144&lt;&gt;""),"YES","NO"),"N/A")</f>
        <v>N/A</v>
      </c>
      <c r="Q144" s="4" t="str">
        <f>IF(OR($A144="RTD"),IF(AND($AI144&lt;&gt;""),"YES","NO"),"N/A")</f>
        <v>N/A</v>
      </c>
      <c r="R144" s="4" t="str">
        <f>IF(OR($AM144&lt;&gt;"",$Z144&lt;&gt;"",$AC144&lt;&gt;""),"YES","NO")</f>
        <v>NO</v>
      </c>
      <c r="S144" s="4" t="str">
        <f>IF(COUNTIF(I144:R144,"NO")=0,"YES","NO")</f>
        <v>NO</v>
      </c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inlineStr">
        <is>
          <t>Teck</t>
        </is>
      </c>
      <c r="AK144" s="9" t="inlineStr">
        <is>
          <t>10AWG</t>
        </is>
      </c>
      <c r="AL144" s="9" t="inlineStr">
        <is>
          <t>Levy Ostrup</t>
        </is>
      </c>
      <c r="AM144" s="9" t="n"/>
      <c r="AN144" s="9" t="n"/>
    </row>
    <row r="145">
      <c r="A145" s="9" t="inlineStr">
        <is>
          <t>Power Cable</t>
        </is>
      </c>
      <c r="B145" s="9" t="inlineStr">
        <is>
          <t>29103-ET-PE2101-1-PWK-1</t>
        </is>
      </c>
      <c r="C145" s="9" t="inlineStr">
        <is>
          <t>29103-ET-PE2101-1</t>
        </is>
      </c>
      <c r="D145" s="9" t="inlineStr">
        <is>
          <t>29103-HTP-004 HTC-23</t>
        </is>
      </c>
      <c r="E145" s="9" t="inlineStr">
        <is>
          <t>29103-HTP-004</t>
        </is>
      </c>
      <c r="F145" s="9" t="inlineStr"/>
      <c r="G145" s="9" t="inlineStr">
        <is>
          <t>113</t>
        </is>
      </c>
      <c r="H145" s="9" t="inlineStr">
        <is>
          <t>29103-ET-PE2101-1-PWK-1.pdf</t>
        </is>
      </c>
      <c r="I145" s="4" t="str">
        <f>IF($H145&lt;&gt;"","YES","NO")</f>
        <v>YES</v>
      </c>
      <c r="J145" s="4" t="str">
        <f>IF(N($T145)&gt;0,"YES","NO")</f>
        <v>NO</v>
      </c>
      <c r="K145" s="4" t="str">
        <f>IF(OR($A145="EHT Trace"),IF(AND($U145&lt;&gt;"",$V145&lt;&gt;""),"YES","NO"),"N/A")</f>
        <v>N/A</v>
      </c>
      <c r="L145" s="4" t="str">
        <f>IF(OR($A145="EHT Trace"),IF(AND($X145&lt;&gt;"",$Y145&lt;&gt;""),"YES","NO"),"N/A")</f>
        <v>N/A</v>
      </c>
      <c r="M145" s="4" t="str">
        <f>IF(OR($A145="EHT Trace"),IF(AND($AA145&lt;&gt;"",$AB145&lt;&gt;""),"YES","NO"),"N/A")</f>
        <v>N/A</v>
      </c>
      <c r="N145" s="4" t="str">
        <f>IF(OR($A145="Power Cable"),IF(AND($AD145&lt;&gt;""),"YES","NO"),"N/A")</f>
        <v>NO</v>
      </c>
      <c r="O145" s="4" t="str">
        <f>IF(OR($A145="Power Cable",$A145="RTD Cable",$A145="Fieldbus Cable"),IF(AND($AE145&lt;&gt;""),"YES","NO"),"N/A")</f>
        <v>NO</v>
      </c>
      <c r="P145" s="4" t="str">
        <f>IF(OR($A145="RTD"),IF(AND($AH145&lt;&gt;""),"YES","NO"),"N/A")</f>
        <v>N/A</v>
      </c>
      <c r="Q145" s="4" t="str">
        <f>IF(OR($A145="RTD"),IF(AND($AI145&lt;&gt;""),"YES","NO"),"N/A")</f>
        <v>N/A</v>
      </c>
      <c r="R145" s="4" t="str">
        <f>IF(OR($AM145&lt;&gt;"",$Z145&lt;&gt;"",$AC145&lt;&gt;""),"YES","NO")</f>
        <v>NO</v>
      </c>
      <c r="S145" s="4" t="str">
        <f>IF(COUNTIF(I145:R145,"NO")=0,"YES","NO")</f>
        <v>NO</v>
      </c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inlineStr">
        <is>
          <t>Teck</t>
        </is>
      </c>
      <c r="AK145" s="9" t="inlineStr">
        <is>
          <t>10AWG</t>
        </is>
      </c>
      <c r="AL145" s="9" t="inlineStr">
        <is>
          <t>Levy Ostrup</t>
        </is>
      </c>
      <c r="AM145" s="9" t="n"/>
      <c r="AN145" s="9" t="n"/>
    </row>
    <row r="146">
      <c r="A146" s="9" t="inlineStr">
        <is>
          <t>Power Cable</t>
        </is>
      </c>
      <c r="B146" s="9" t="inlineStr">
        <is>
          <t>29103-ET-PE2101-2-PWK-1</t>
        </is>
      </c>
      <c r="C146" s="9" t="inlineStr">
        <is>
          <t>29103-ET-PE2101-2</t>
        </is>
      </c>
      <c r="D146" s="9" t="inlineStr">
        <is>
          <t>29103-HTP-004 HTC-16</t>
        </is>
      </c>
      <c r="E146" s="9" t="inlineStr">
        <is>
          <t>29103-HTP-004</t>
        </is>
      </c>
      <c r="F146" s="9" t="inlineStr"/>
      <c r="G146" s="9" t="inlineStr">
        <is>
          <t>113</t>
        </is>
      </c>
      <c r="H146" s="9" t="inlineStr">
        <is>
          <t>29103-ET-PE2101-2-PWK-1.pdf</t>
        </is>
      </c>
      <c r="I146" s="4" t="str">
        <f>IF($H146&lt;&gt;"","YES","NO")</f>
        <v>YES</v>
      </c>
      <c r="J146" s="4" t="str">
        <f>IF(N($T146)&gt;0,"YES","NO")</f>
        <v>NO</v>
      </c>
      <c r="K146" s="4" t="str">
        <f>IF(OR($A146="EHT Trace"),IF(AND($U146&lt;&gt;"",$V146&lt;&gt;""),"YES","NO"),"N/A")</f>
        <v>N/A</v>
      </c>
      <c r="L146" s="4" t="str">
        <f>IF(OR($A146="EHT Trace"),IF(AND($X146&lt;&gt;"",$Y146&lt;&gt;""),"YES","NO"),"N/A")</f>
        <v>N/A</v>
      </c>
      <c r="M146" s="4" t="str">
        <f>IF(OR($A146="EHT Trace"),IF(AND($AA146&lt;&gt;"",$AB146&lt;&gt;""),"YES","NO"),"N/A")</f>
        <v>N/A</v>
      </c>
      <c r="N146" s="4" t="str">
        <f>IF(OR($A146="Power Cable"),IF(AND($AD146&lt;&gt;""),"YES","NO"),"N/A")</f>
        <v>NO</v>
      </c>
      <c r="O146" s="4" t="str">
        <f>IF(OR($A146="Power Cable",$A146="RTD Cable",$A146="Fieldbus Cable"),IF(AND($AE146&lt;&gt;""),"YES","NO"),"N/A")</f>
        <v>NO</v>
      </c>
      <c r="P146" s="4" t="str">
        <f>IF(OR($A146="RTD"),IF(AND($AH146&lt;&gt;""),"YES","NO"),"N/A")</f>
        <v>N/A</v>
      </c>
      <c r="Q146" s="4" t="str">
        <f>IF(OR($A146="RTD"),IF(AND($AI146&lt;&gt;""),"YES","NO"),"N/A")</f>
        <v>N/A</v>
      </c>
      <c r="R146" s="4" t="str">
        <f>IF(OR($AM146&lt;&gt;"",$Z146&lt;&gt;"",$AC146&lt;&gt;""),"YES","NO")</f>
        <v>NO</v>
      </c>
      <c r="S146" s="4" t="str">
        <f>IF(COUNTIF(I146:R146,"NO")=0,"YES","NO")</f>
        <v>NO</v>
      </c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inlineStr">
        <is>
          <t>Teck</t>
        </is>
      </c>
      <c r="AK146" s="9" t="inlineStr">
        <is>
          <t>10AWG</t>
        </is>
      </c>
      <c r="AL146" s="9" t="inlineStr">
        <is>
          <t>Levy Ostrup</t>
        </is>
      </c>
      <c r="AM146" s="9" t="n"/>
      <c r="AN146" s="9" t="n"/>
    </row>
    <row r="147">
      <c r="A147" s="9" t="inlineStr">
        <is>
          <t>Power Cable</t>
        </is>
      </c>
      <c r="B147" s="9" t="inlineStr">
        <is>
          <t>29103-ET-PE2102-1-PWK-1</t>
        </is>
      </c>
      <c r="C147" s="9" t="inlineStr">
        <is>
          <t>29103-ET-PE2102-1</t>
        </is>
      </c>
      <c r="D147" s="9" t="inlineStr">
        <is>
          <t>29103-HTP-004 HTC-20</t>
        </is>
      </c>
      <c r="E147" s="9" t="inlineStr">
        <is>
          <t>29103-HTP-004</t>
        </is>
      </c>
      <c r="F147" s="9" t="inlineStr"/>
      <c r="G147" s="9" t="inlineStr">
        <is>
          <t>113</t>
        </is>
      </c>
      <c r="H147" s="9" t="inlineStr">
        <is>
          <t>29103-ET-PE2102-1-PWK-1.pdf</t>
        </is>
      </c>
      <c r="I147" s="4" t="str">
        <f>IF($H147&lt;&gt;"","YES","NO")</f>
        <v>YES</v>
      </c>
      <c r="J147" s="4" t="str">
        <f>IF(N($T147)&gt;0,"YES","NO")</f>
        <v>NO</v>
      </c>
      <c r="K147" s="4" t="str">
        <f>IF(OR($A147="EHT Trace"),IF(AND($U147&lt;&gt;"",$V147&lt;&gt;""),"YES","NO"),"N/A")</f>
        <v>N/A</v>
      </c>
      <c r="L147" s="4" t="str">
        <f>IF(OR($A147="EHT Trace"),IF(AND($X147&lt;&gt;"",$Y147&lt;&gt;""),"YES","NO"),"N/A")</f>
        <v>N/A</v>
      </c>
      <c r="M147" s="4" t="str">
        <f>IF(OR($A147="EHT Trace"),IF(AND($AA147&lt;&gt;"",$AB147&lt;&gt;""),"YES","NO"),"N/A")</f>
        <v>N/A</v>
      </c>
      <c r="N147" s="4" t="str">
        <f>IF(OR($A147="Power Cable"),IF(AND($AD147&lt;&gt;""),"YES","NO"),"N/A")</f>
        <v>NO</v>
      </c>
      <c r="O147" s="4" t="str">
        <f>IF(OR($A147="Power Cable",$A147="RTD Cable",$A147="Fieldbus Cable"),IF(AND($AE147&lt;&gt;""),"YES","NO"),"N/A")</f>
        <v>NO</v>
      </c>
      <c r="P147" s="4" t="str">
        <f>IF(OR($A147="RTD"),IF(AND($AH147&lt;&gt;""),"YES","NO"),"N/A")</f>
        <v>N/A</v>
      </c>
      <c r="Q147" s="4" t="str">
        <f>IF(OR($A147="RTD"),IF(AND($AI147&lt;&gt;""),"YES","NO"),"N/A")</f>
        <v>N/A</v>
      </c>
      <c r="R147" s="4" t="str">
        <f>IF(OR($AM147&lt;&gt;"",$Z147&lt;&gt;"",$AC147&lt;&gt;""),"YES","NO")</f>
        <v>NO</v>
      </c>
      <c r="S147" s="4" t="str">
        <f>IF(COUNTIF(I147:R147,"NO")=0,"YES","NO")</f>
        <v>NO</v>
      </c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inlineStr">
        <is>
          <t>Teck</t>
        </is>
      </c>
      <c r="AK147" s="9" t="inlineStr">
        <is>
          <t>10AWG</t>
        </is>
      </c>
      <c r="AL147" s="9" t="inlineStr">
        <is>
          <t>Levy Ostrup</t>
        </is>
      </c>
      <c r="AM147" s="9" t="n"/>
      <c r="AN147" s="9" t="n"/>
    </row>
    <row r="148">
      <c r="A148" s="9" t="inlineStr">
        <is>
          <t>Power Cable</t>
        </is>
      </c>
      <c r="B148" s="9" t="inlineStr">
        <is>
          <t>29103-ET-PE2201-1-PWK-1</t>
        </is>
      </c>
      <c r="C148" s="9" t="inlineStr">
        <is>
          <t>29103-ET-PE2201-1</t>
        </is>
      </c>
      <c r="D148" s="9" t="inlineStr">
        <is>
          <t>29103-HTP-004 HTC-08</t>
        </is>
      </c>
      <c r="E148" s="9" t="inlineStr">
        <is>
          <t>29103-HTP-004</t>
        </is>
      </c>
      <c r="F148" s="9" t="inlineStr"/>
      <c r="G148" s="9" t="inlineStr">
        <is>
          <t>113</t>
        </is>
      </c>
      <c r="H148" s="9" t="inlineStr">
        <is>
          <t>29103-ET-PE2201-1-PWK-1.pdf</t>
        </is>
      </c>
      <c r="I148" s="4" t="str">
        <f>IF($H148&lt;&gt;"","YES","NO")</f>
        <v>YES</v>
      </c>
      <c r="J148" s="4" t="str">
        <f>IF(N($T148)&gt;0,"YES","NO")</f>
        <v>NO</v>
      </c>
      <c r="K148" s="4" t="str">
        <f>IF(OR($A148="EHT Trace"),IF(AND($U148&lt;&gt;"",$V148&lt;&gt;""),"YES","NO"),"N/A")</f>
        <v>N/A</v>
      </c>
      <c r="L148" s="4" t="str">
        <f>IF(OR($A148="EHT Trace"),IF(AND($X148&lt;&gt;"",$Y148&lt;&gt;""),"YES","NO"),"N/A")</f>
        <v>N/A</v>
      </c>
      <c r="M148" s="4" t="str">
        <f>IF(OR($A148="EHT Trace"),IF(AND($AA148&lt;&gt;"",$AB148&lt;&gt;""),"YES","NO"),"N/A")</f>
        <v>N/A</v>
      </c>
      <c r="N148" s="4" t="str">
        <f>IF(OR($A148="Power Cable"),IF(AND($AD148&lt;&gt;""),"YES","NO"),"N/A")</f>
        <v>NO</v>
      </c>
      <c r="O148" s="4" t="str">
        <f>IF(OR($A148="Power Cable",$A148="RTD Cable",$A148="Fieldbus Cable"),IF(AND($AE148&lt;&gt;""),"YES","NO"),"N/A")</f>
        <v>NO</v>
      </c>
      <c r="P148" s="4" t="str">
        <f>IF(OR($A148="RTD"),IF(AND($AH148&lt;&gt;""),"YES","NO"),"N/A")</f>
        <v>N/A</v>
      </c>
      <c r="Q148" s="4" t="str">
        <f>IF(OR($A148="RTD"),IF(AND($AI148&lt;&gt;""),"YES","NO"),"N/A")</f>
        <v>N/A</v>
      </c>
      <c r="R148" s="4" t="str">
        <f>IF(OR($AM148&lt;&gt;"",$Z148&lt;&gt;"",$AC148&lt;&gt;""),"YES","NO")</f>
        <v>NO</v>
      </c>
      <c r="S148" s="4" t="str">
        <f>IF(COUNTIF(I148:R148,"NO")=0,"YES","NO")</f>
        <v>NO</v>
      </c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inlineStr">
        <is>
          <t>Teck</t>
        </is>
      </c>
      <c r="AK148" s="9" t="inlineStr">
        <is>
          <t>10AWG</t>
        </is>
      </c>
      <c r="AL148" s="9" t="inlineStr">
        <is>
          <t>Levy Ostrup</t>
        </is>
      </c>
      <c r="AM148" s="9" t="n"/>
      <c r="AN148" s="9" t="n"/>
    </row>
    <row r="149">
      <c r="A149" s="9" t="inlineStr">
        <is>
          <t>Power Cable</t>
        </is>
      </c>
      <c r="B149" s="9" t="inlineStr">
        <is>
          <t>29103-ET-PE2201-2-PWK-1</t>
        </is>
      </c>
      <c r="C149" s="9" t="inlineStr">
        <is>
          <t>29103-ET-PE2201-2</t>
        </is>
      </c>
      <c r="D149" s="9" t="inlineStr">
        <is>
          <t>29103-HTP-004 HTC-12</t>
        </is>
      </c>
      <c r="E149" s="9" t="inlineStr">
        <is>
          <t>29103-HTP-004</t>
        </is>
      </c>
      <c r="F149" s="9" t="inlineStr"/>
      <c r="G149" s="9" t="inlineStr">
        <is>
          <t>113</t>
        </is>
      </c>
      <c r="H149" s="9" t="inlineStr">
        <is>
          <t>29103-ET-PE2201-2-PWK-1.pdf</t>
        </is>
      </c>
      <c r="I149" s="4" t="str">
        <f>IF($H149&lt;&gt;"","YES","NO")</f>
        <v>YES</v>
      </c>
      <c r="J149" s="4" t="str">
        <f>IF(N($T149)&gt;0,"YES","NO")</f>
        <v>NO</v>
      </c>
      <c r="K149" s="4" t="str">
        <f>IF(OR($A149="EHT Trace"),IF(AND($U149&lt;&gt;"",$V149&lt;&gt;""),"YES","NO"),"N/A")</f>
        <v>N/A</v>
      </c>
      <c r="L149" s="4" t="str">
        <f>IF(OR($A149="EHT Trace"),IF(AND($X149&lt;&gt;"",$Y149&lt;&gt;""),"YES","NO"),"N/A")</f>
        <v>N/A</v>
      </c>
      <c r="M149" s="4" t="str">
        <f>IF(OR($A149="EHT Trace"),IF(AND($AA149&lt;&gt;"",$AB149&lt;&gt;""),"YES","NO"),"N/A")</f>
        <v>N/A</v>
      </c>
      <c r="N149" s="4" t="str">
        <f>IF(OR($A149="Power Cable"),IF(AND($AD149&lt;&gt;""),"YES","NO"),"N/A")</f>
        <v>NO</v>
      </c>
      <c r="O149" s="4" t="str">
        <f>IF(OR($A149="Power Cable",$A149="RTD Cable",$A149="Fieldbus Cable"),IF(AND($AE149&lt;&gt;""),"YES","NO"),"N/A")</f>
        <v>NO</v>
      </c>
      <c r="P149" s="4" t="str">
        <f>IF(OR($A149="RTD"),IF(AND($AH149&lt;&gt;""),"YES","NO"),"N/A")</f>
        <v>N/A</v>
      </c>
      <c r="Q149" s="4" t="str">
        <f>IF(OR($A149="RTD"),IF(AND($AI149&lt;&gt;""),"YES","NO"),"N/A")</f>
        <v>N/A</v>
      </c>
      <c r="R149" s="4" t="str">
        <f>IF(OR($AM149&lt;&gt;"",$Z149&lt;&gt;"",$AC149&lt;&gt;""),"YES","NO")</f>
        <v>NO</v>
      </c>
      <c r="S149" s="4" t="str">
        <f>IF(COUNTIF(I149:R149,"NO")=0,"YES","NO")</f>
        <v>NO</v>
      </c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inlineStr">
        <is>
          <t>Teck</t>
        </is>
      </c>
      <c r="AK149" s="9" t="inlineStr">
        <is>
          <t>10AWG</t>
        </is>
      </c>
      <c r="AL149" s="9" t="inlineStr">
        <is>
          <t>Levy Ostrup</t>
        </is>
      </c>
      <c r="AM149" s="9" t="n"/>
      <c r="AN149" s="9" t="n"/>
    </row>
    <row r="150">
      <c r="A150" s="9" t="inlineStr">
        <is>
          <t>Power Cable</t>
        </is>
      </c>
      <c r="B150" s="9" t="inlineStr">
        <is>
          <t>29103-ET-PE2202-1-PWK-1</t>
        </is>
      </c>
      <c r="C150" s="9" t="inlineStr">
        <is>
          <t>29103-ET-PE2202-1</t>
        </is>
      </c>
      <c r="D150" s="9" t="inlineStr">
        <is>
          <t>29103-HTP-004 HTC-15</t>
        </is>
      </c>
      <c r="E150" s="9" t="inlineStr">
        <is>
          <t>29103-HTP-004</t>
        </is>
      </c>
      <c r="F150" s="9" t="inlineStr"/>
      <c r="G150" s="9" t="inlineStr">
        <is>
          <t>113</t>
        </is>
      </c>
      <c r="H150" s="9" t="inlineStr">
        <is>
          <t>29103-ET-PE2202-1-PWK-1.pdf</t>
        </is>
      </c>
      <c r="I150" s="4" t="str">
        <f>IF($H150&lt;&gt;"","YES","NO")</f>
        <v>YES</v>
      </c>
      <c r="J150" s="4" t="str">
        <f>IF(N($T150)&gt;0,"YES","NO")</f>
        <v>NO</v>
      </c>
      <c r="K150" s="4" t="str">
        <f>IF(OR($A150="EHT Trace"),IF(AND($U150&lt;&gt;"",$V150&lt;&gt;""),"YES","NO"),"N/A")</f>
        <v>N/A</v>
      </c>
      <c r="L150" s="4" t="str">
        <f>IF(OR($A150="EHT Trace"),IF(AND($X150&lt;&gt;"",$Y150&lt;&gt;""),"YES","NO"),"N/A")</f>
        <v>N/A</v>
      </c>
      <c r="M150" s="4" t="str">
        <f>IF(OR($A150="EHT Trace"),IF(AND($AA150&lt;&gt;"",$AB150&lt;&gt;""),"YES","NO"),"N/A")</f>
        <v>N/A</v>
      </c>
      <c r="N150" s="4" t="str">
        <f>IF(OR($A150="Power Cable"),IF(AND($AD150&lt;&gt;""),"YES","NO"),"N/A")</f>
        <v>NO</v>
      </c>
      <c r="O150" s="4" t="str">
        <f>IF(OR($A150="Power Cable",$A150="RTD Cable",$A150="Fieldbus Cable"),IF(AND($AE150&lt;&gt;""),"YES","NO"),"N/A")</f>
        <v>NO</v>
      </c>
      <c r="P150" s="4" t="str">
        <f>IF(OR($A150="RTD"),IF(AND($AH150&lt;&gt;""),"YES","NO"),"N/A")</f>
        <v>N/A</v>
      </c>
      <c r="Q150" s="4" t="str">
        <f>IF(OR($A150="RTD"),IF(AND($AI150&lt;&gt;""),"YES","NO"),"N/A")</f>
        <v>N/A</v>
      </c>
      <c r="R150" s="4" t="str">
        <f>IF(OR($AM150&lt;&gt;"",$Z150&lt;&gt;"",$AC150&lt;&gt;""),"YES","NO")</f>
        <v>NO</v>
      </c>
      <c r="S150" s="4" t="str">
        <f>IF(COUNTIF(I150:R150,"NO")=0,"YES","NO")</f>
        <v>NO</v>
      </c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inlineStr">
        <is>
          <t>Teck</t>
        </is>
      </c>
      <c r="AK150" s="9" t="inlineStr">
        <is>
          <t>10AWG</t>
        </is>
      </c>
      <c r="AL150" s="9" t="inlineStr">
        <is>
          <t>Levy Ostrup</t>
        </is>
      </c>
      <c r="AM150" s="9" t="n"/>
      <c r="AN150" s="9" t="n"/>
    </row>
    <row r="151">
      <c r="A151" s="9" t="inlineStr">
        <is>
          <t>Power Cable</t>
        </is>
      </c>
      <c r="B151" s="9" t="inlineStr">
        <is>
          <t>29103-ET-PE2301-1-PWK-1</t>
        </is>
      </c>
      <c r="C151" s="9" t="inlineStr">
        <is>
          <t>29103-ET-PE2301-1</t>
        </is>
      </c>
      <c r="D151" s="9" t="inlineStr">
        <is>
          <t>29103-HTP-004 HTC-10</t>
        </is>
      </c>
      <c r="E151" s="9" t="inlineStr">
        <is>
          <t>29103-HTP-004</t>
        </is>
      </c>
      <c r="F151" s="9" t="inlineStr"/>
      <c r="G151" s="9" t="inlineStr">
        <is>
          <t>113</t>
        </is>
      </c>
      <c r="H151" s="9" t="inlineStr">
        <is>
          <t>29103-ET-PE2301-1-PWK-1.pdf</t>
        </is>
      </c>
      <c r="I151" s="4" t="str">
        <f>IF($H151&lt;&gt;"","YES","NO")</f>
        <v>YES</v>
      </c>
      <c r="J151" s="4" t="str">
        <f>IF(N($T151)&gt;0,"YES","NO")</f>
        <v>NO</v>
      </c>
      <c r="K151" s="4" t="str">
        <f>IF(OR($A151="EHT Trace"),IF(AND($U151&lt;&gt;"",$V151&lt;&gt;""),"YES","NO"),"N/A")</f>
        <v>N/A</v>
      </c>
      <c r="L151" s="4" t="str">
        <f>IF(OR($A151="EHT Trace"),IF(AND($X151&lt;&gt;"",$Y151&lt;&gt;""),"YES","NO"),"N/A")</f>
        <v>N/A</v>
      </c>
      <c r="M151" s="4" t="str">
        <f>IF(OR($A151="EHT Trace"),IF(AND($AA151&lt;&gt;"",$AB151&lt;&gt;""),"YES","NO"),"N/A")</f>
        <v>N/A</v>
      </c>
      <c r="N151" s="4" t="str">
        <f>IF(OR($A151="Power Cable"),IF(AND($AD151&lt;&gt;""),"YES","NO"),"N/A")</f>
        <v>NO</v>
      </c>
      <c r="O151" s="4" t="str">
        <f>IF(OR($A151="Power Cable",$A151="RTD Cable",$A151="Fieldbus Cable"),IF(AND($AE151&lt;&gt;""),"YES","NO"),"N/A")</f>
        <v>NO</v>
      </c>
      <c r="P151" s="4" t="str">
        <f>IF(OR($A151="RTD"),IF(AND($AH151&lt;&gt;""),"YES","NO"),"N/A")</f>
        <v>N/A</v>
      </c>
      <c r="Q151" s="4" t="str">
        <f>IF(OR($A151="RTD"),IF(AND($AI151&lt;&gt;""),"YES","NO"),"N/A")</f>
        <v>N/A</v>
      </c>
      <c r="R151" s="4" t="str">
        <f>IF(OR($AM151&lt;&gt;"",$Z151&lt;&gt;"",$AC151&lt;&gt;""),"YES","NO")</f>
        <v>NO</v>
      </c>
      <c r="S151" s="4" t="str">
        <f>IF(COUNTIF(I151:R151,"NO")=0,"YES","NO")</f>
        <v>NO</v>
      </c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inlineStr">
        <is>
          <t>Teck</t>
        </is>
      </c>
      <c r="AK151" s="9" t="inlineStr">
        <is>
          <t>10AWG</t>
        </is>
      </c>
      <c r="AL151" s="9" t="inlineStr">
        <is>
          <t>Levy Ostrup</t>
        </is>
      </c>
      <c r="AM151" s="9" t="n"/>
      <c r="AN151" s="9" t="n"/>
    </row>
    <row r="152">
      <c r="A152" s="9" t="inlineStr">
        <is>
          <t>Power Cable</t>
        </is>
      </c>
      <c r="B152" s="9" t="inlineStr">
        <is>
          <t>29103-ET-PE2301-2-PWK-1</t>
        </is>
      </c>
      <c r="C152" s="9" t="inlineStr">
        <is>
          <t>29103-ET-PE2301-2</t>
        </is>
      </c>
      <c r="D152" s="9" t="inlineStr">
        <is>
          <t>29103-HTP-004 HTC-07</t>
        </is>
      </c>
      <c r="E152" s="9" t="inlineStr">
        <is>
          <t>29103-HTP-004</t>
        </is>
      </c>
      <c r="F152" s="9" t="inlineStr"/>
      <c r="G152" s="9" t="inlineStr">
        <is>
          <t>113</t>
        </is>
      </c>
      <c r="H152" s="9" t="inlineStr">
        <is>
          <t>29103-ET-PE2301-2-PWK-1.pdf</t>
        </is>
      </c>
      <c r="I152" s="4" t="str">
        <f>IF($H152&lt;&gt;"","YES","NO")</f>
        <v>YES</v>
      </c>
      <c r="J152" s="4" t="str">
        <f>IF(N($T152)&gt;0,"YES","NO")</f>
        <v>NO</v>
      </c>
      <c r="K152" s="4" t="str">
        <f>IF(OR($A152="EHT Trace"),IF(AND($U152&lt;&gt;"",$V152&lt;&gt;""),"YES","NO"),"N/A")</f>
        <v>N/A</v>
      </c>
      <c r="L152" s="4" t="str">
        <f>IF(OR($A152="EHT Trace"),IF(AND($X152&lt;&gt;"",$Y152&lt;&gt;""),"YES","NO"),"N/A")</f>
        <v>N/A</v>
      </c>
      <c r="M152" s="4" t="str">
        <f>IF(OR($A152="EHT Trace"),IF(AND($AA152&lt;&gt;"",$AB152&lt;&gt;""),"YES","NO"),"N/A")</f>
        <v>N/A</v>
      </c>
      <c r="N152" s="4" t="str">
        <f>IF(OR($A152="Power Cable"),IF(AND($AD152&lt;&gt;""),"YES","NO"),"N/A")</f>
        <v>NO</v>
      </c>
      <c r="O152" s="4" t="str">
        <f>IF(OR($A152="Power Cable",$A152="RTD Cable",$A152="Fieldbus Cable"),IF(AND($AE152&lt;&gt;""),"YES","NO"),"N/A")</f>
        <v>NO</v>
      </c>
      <c r="P152" s="4" t="str">
        <f>IF(OR($A152="RTD"),IF(AND($AH152&lt;&gt;""),"YES","NO"),"N/A")</f>
        <v>N/A</v>
      </c>
      <c r="Q152" s="4" t="str">
        <f>IF(OR($A152="RTD"),IF(AND($AI152&lt;&gt;""),"YES","NO"),"N/A")</f>
        <v>N/A</v>
      </c>
      <c r="R152" s="4" t="str">
        <f>IF(OR($AM152&lt;&gt;"",$Z152&lt;&gt;"",$AC152&lt;&gt;""),"YES","NO")</f>
        <v>NO</v>
      </c>
      <c r="S152" s="4" t="str">
        <f>IF(COUNTIF(I152:R152,"NO")=0,"YES","NO")</f>
        <v>NO</v>
      </c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inlineStr">
        <is>
          <t>Teck</t>
        </is>
      </c>
      <c r="AK152" s="9" t="inlineStr">
        <is>
          <t>10AWG</t>
        </is>
      </c>
      <c r="AL152" s="9" t="inlineStr">
        <is>
          <t>Levy Ostrup</t>
        </is>
      </c>
      <c r="AM152" s="9" t="n"/>
      <c r="AN152" s="9" t="n"/>
    </row>
    <row r="153">
      <c r="A153" s="9" t="inlineStr">
        <is>
          <t>Power Cable</t>
        </is>
      </c>
      <c r="B153" s="9" t="inlineStr">
        <is>
          <t>29103-ET-PE2302-1-PWK-1</t>
        </is>
      </c>
      <c r="C153" s="9" t="inlineStr">
        <is>
          <t>29103-ET-PE2302-1</t>
        </is>
      </c>
      <c r="D153" s="9" t="inlineStr">
        <is>
          <t>29103-HTP-004 HTC-06</t>
        </is>
      </c>
      <c r="E153" s="9" t="inlineStr">
        <is>
          <t>29103-HTP-004</t>
        </is>
      </c>
      <c r="F153" s="9" t="inlineStr"/>
      <c r="G153" s="9" t="inlineStr">
        <is>
          <t>113</t>
        </is>
      </c>
      <c r="H153" s="9" t="inlineStr">
        <is>
          <t>29103-ET-PE2302-1-PWK-1.pdf</t>
        </is>
      </c>
      <c r="I153" s="4" t="str">
        <f>IF($H153&lt;&gt;"","YES","NO")</f>
        <v>YES</v>
      </c>
      <c r="J153" s="4" t="str">
        <f>IF(N($T153)&gt;0,"YES","NO")</f>
        <v>NO</v>
      </c>
      <c r="K153" s="4" t="str">
        <f>IF(OR($A153="EHT Trace"),IF(AND($U153&lt;&gt;"",$V153&lt;&gt;""),"YES","NO"),"N/A")</f>
        <v>N/A</v>
      </c>
      <c r="L153" s="4" t="str">
        <f>IF(OR($A153="EHT Trace"),IF(AND($X153&lt;&gt;"",$Y153&lt;&gt;""),"YES","NO"),"N/A")</f>
        <v>N/A</v>
      </c>
      <c r="M153" s="4" t="str">
        <f>IF(OR($A153="EHT Trace"),IF(AND($AA153&lt;&gt;"",$AB153&lt;&gt;""),"YES","NO"),"N/A")</f>
        <v>N/A</v>
      </c>
      <c r="N153" s="4" t="str">
        <f>IF(OR($A153="Power Cable"),IF(AND($AD153&lt;&gt;""),"YES","NO"),"N/A")</f>
        <v>NO</v>
      </c>
      <c r="O153" s="4" t="str">
        <f>IF(OR($A153="Power Cable",$A153="RTD Cable",$A153="Fieldbus Cable"),IF(AND($AE153&lt;&gt;""),"YES","NO"),"N/A")</f>
        <v>NO</v>
      </c>
      <c r="P153" s="4" t="str">
        <f>IF(OR($A153="RTD"),IF(AND($AH153&lt;&gt;""),"YES","NO"),"N/A")</f>
        <v>N/A</v>
      </c>
      <c r="Q153" s="4" t="str">
        <f>IF(OR($A153="RTD"),IF(AND($AI153&lt;&gt;""),"YES","NO"),"N/A")</f>
        <v>N/A</v>
      </c>
      <c r="R153" s="4" t="str">
        <f>IF(OR($AM153&lt;&gt;"",$Z153&lt;&gt;"",$AC153&lt;&gt;""),"YES","NO")</f>
        <v>NO</v>
      </c>
      <c r="S153" s="4" t="str">
        <f>IF(COUNTIF(I153:R153,"NO")=0,"YES","NO")</f>
        <v>NO</v>
      </c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inlineStr">
        <is>
          <t>Teck</t>
        </is>
      </c>
      <c r="AK153" s="9" t="inlineStr">
        <is>
          <t>10AWG</t>
        </is>
      </c>
      <c r="AL153" s="9" t="inlineStr">
        <is>
          <t>Levy Ostrup</t>
        </is>
      </c>
      <c r="AM153" s="9" t="n"/>
      <c r="AN153" s="9" t="n"/>
    </row>
    <row r="154">
      <c r="A154" s="9" t="inlineStr">
        <is>
          <t>Power Cable</t>
        </is>
      </c>
      <c r="B154" s="9" t="inlineStr">
        <is>
          <t>29103-ET-PE2401-2-PWK-1</t>
        </is>
      </c>
      <c r="C154" s="9" t="inlineStr">
        <is>
          <t>29103-ET-PE2401-2</t>
        </is>
      </c>
      <c r="D154" s="9" t="inlineStr">
        <is>
          <t>29103-HTP-004 HTC-33</t>
        </is>
      </c>
      <c r="E154" s="9" t="inlineStr">
        <is>
          <t>29103-HTP-004</t>
        </is>
      </c>
      <c r="F154" s="9" t="inlineStr"/>
      <c r="G154" s="9" t="inlineStr">
        <is>
          <t>113</t>
        </is>
      </c>
      <c r="H154" s="9" t="inlineStr">
        <is>
          <t>29103-ET-PE2401-2-PWK-1.pdf</t>
        </is>
      </c>
      <c r="I154" s="4" t="str">
        <f>IF($H154&lt;&gt;"","YES","NO")</f>
        <v>YES</v>
      </c>
      <c r="J154" s="4" t="str">
        <f>IF(N($T154)&gt;0,"YES","NO")</f>
        <v>NO</v>
      </c>
      <c r="K154" s="4" t="str">
        <f>IF(OR($A154="EHT Trace"),IF(AND($U154&lt;&gt;"",$V154&lt;&gt;""),"YES","NO"),"N/A")</f>
        <v>N/A</v>
      </c>
      <c r="L154" s="4" t="str">
        <f>IF(OR($A154="EHT Trace"),IF(AND($X154&lt;&gt;"",$Y154&lt;&gt;""),"YES","NO"),"N/A")</f>
        <v>N/A</v>
      </c>
      <c r="M154" s="4" t="str">
        <f>IF(OR($A154="EHT Trace"),IF(AND($AA154&lt;&gt;"",$AB154&lt;&gt;""),"YES","NO"),"N/A")</f>
        <v>N/A</v>
      </c>
      <c r="N154" s="4" t="str">
        <f>IF(OR($A154="Power Cable"),IF(AND($AD154&lt;&gt;""),"YES","NO"),"N/A")</f>
        <v>NO</v>
      </c>
      <c r="O154" s="4" t="str">
        <f>IF(OR($A154="Power Cable",$A154="RTD Cable",$A154="Fieldbus Cable"),IF(AND($AE154&lt;&gt;""),"YES","NO"),"N/A")</f>
        <v>NO</v>
      </c>
      <c r="P154" s="4" t="str">
        <f>IF(OR($A154="RTD"),IF(AND($AH154&lt;&gt;""),"YES","NO"),"N/A")</f>
        <v>N/A</v>
      </c>
      <c r="Q154" s="4" t="str">
        <f>IF(OR($A154="RTD"),IF(AND($AI154&lt;&gt;""),"YES","NO"),"N/A")</f>
        <v>N/A</v>
      </c>
      <c r="R154" s="4" t="str">
        <f>IF(OR($AM154&lt;&gt;"",$Z154&lt;&gt;"",$AC154&lt;&gt;""),"YES","NO")</f>
        <v>NO</v>
      </c>
      <c r="S154" s="4" t="str">
        <f>IF(COUNTIF(I154:R154,"NO")=0,"YES","NO")</f>
        <v>NO</v>
      </c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inlineStr">
        <is>
          <t>Teck</t>
        </is>
      </c>
      <c r="AK154" s="9" t="inlineStr">
        <is>
          <t>10AWG</t>
        </is>
      </c>
      <c r="AL154" s="9" t="inlineStr">
        <is>
          <t>Levy Ostrup</t>
        </is>
      </c>
      <c r="AM154" s="9" t="n"/>
      <c r="AN154" s="9" t="n"/>
    </row>
    <row r="155">
      <c r="A155" s="9" t="inlineStr">
        <is>
          <t>Power Cable</t>
        </is>
      </c>
      <c r="B155" s="9" t="inlineStr">
        <is>
          <t>29103-ET-PE2402-1-PWK-1</t>
        </is>
      </c>
      <c r="C155" s="9" t="inlineStr">
        <is>
          <t>29103-ET-PE2402-1</t>
        </is>
      </c>
      <c r="D155" s="9" t="inlineStr">
        <is>
          <t>29103-HTP-004 HTC-35</t>
        </is>
      </c>
      <c r="E155" s="9" t="inlineStr">
        <is>
          <t>29103-HTP-004</t>
        </is>
      </c>
      <c r="F155" s="9" t="inlineStr"/>
      <c r="G155" s="9" t="inlineStr">
        <is>
          <t>113</t>
        </is>
      </c>
      <c r="H155" s="9" t="inlineStr">
        <is>
          <t>29103-ET-PE2402-1-PWK-1.pdf</t>
        </is>
      </c>
      <c r="I155" s="4" t="str">
        <f>IF($H155&lt;&gt;"","YES","NO")</f>
        <v>YES</v>
      </c>
      <c r="J155" s="4" t="str">
        <f>IF(N($T155)&gt;0,"YES","NO")</f>
        <v>NO</v>
      </c>
      <c r="K155" s="4" t="str">
        <f>IF(OR($A155="EHT Trace"),IF(AND($U155&lt;&gt;"",$V155&lt;&gt;""),"YES","NO"),"N/A")</f>
        <v>N/A</v>
      </c>
      <c r="L155" s="4" t="str">
        <f>IF(OR($A155="EHT Trace"),IF(AND($X155&lt;&gt;"",$Y155&lt;&gt;""),"YES","NO"),"N/A")</f>
        <v>N/A</v>
      </c>
      <c r="M155" s="4" t="str">
        <f>IF(OR($A155="EHT Trace"),IF(AND($AA155&lt;&gt;"",$AB155&lt;&gt;""),"YES","NO"),"N/A")</f>
        <v>N/A</v>
      </c>
      <c r="N155" s="4" t="str">
        <f>IF(OR($A155="Power Cable"),IF(AND($AD155&lt;&gt;""),"YES","NO"),"N/A")</f>
        <v>NO</v>
      </c>
      <c r="O155" s="4" t="str">
        <f>IF(OR($A155="Power Cable",$A155="RTD Cable",$A155="Fieldbus Cable"),IF(AND($AE155&lt;&gt;""),"YES","NO"),"N/A")</f>
        <v>NO</v>
      </c>
      <c r="P155" s="4" t="str">
        <f>IF(OR($A155="RTD"),IF(AND($AH155&lt;&gt;""),"YES","NO"),"N/A")</f>
        <v>N/A</v>
      </c>
      <c r="Q155" s="4" t="str">
        <f>IF(OR($A155="RTD"),IF(AND($AI155&lt;&gt;""),"YES","NO"),"N/A")</f>
        <v>N/A</v>
      </c>
      <c r="R155" s="4" t="str">
        <f>IF(OR($AM155&lt;&gt;"",$Z155&lt;&gt;"",$AC155&lt;&gt;""),"YES","NO")</f>
        <v>NO</v>
      </c>
      <c r="S155" s="4" t="str">
        <f>IF(COUNTIF(I155:R155,"NO")=0,"YES","NO")</f>
        <v>NO</v>
      </c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inlineStr">
        <is>
          <t>Teck</t>
        </is>
      </c>
      <c r="AK155" s="9" t="inlineStr">
        <is>
          <t>10AWG</t>
        </is>
      </c>
      <c r="AL155" s="9" t="inlineStr">
        <is>
          <t>Levy Ostrup</t>
        </is>
      </c>
      <c r="AM155" s="9" t="n"/>
      <c r="AN155" s="9" t="n"/>
    </row>
    <row r="156">
      <c r="A156" s="9" t="inlineStr">
        <is>
          <t>Power Cable</t>
        </is>
      </c>
      <c r="B156" s="9" t="inlineStr">
        <is>
          <t>29103-ET-PE2803-2-PWK-1</t>
        </is>
      </c>
      <c r="C156" s="9" t="inlineStr">
        <is>
          <t>29103-ET-PE2803-2</t>
        </is>
      </c>
      <c r="D156" s="9" t="inlineStr">
        <is>
          <t>29103-HTP-004 HTC-29</t>
        </is>
      </c>
      <c r="E156" s="9" t="inlineStr">
        <is>
          <t>29103-HTP-004</t>
        </is>
      </c>
      <c r="F156" s="9" t="inlineStr"/>
      <c r="G156" s="9" t="inlineStr">
        <is>
          <t>113</t>
        </is>
      </c>
      <c r="H156" s="9" t="inlineStr">
        <is>
          <t>29103-ET-PE2803-2-PWK-1.pdf</t>
        </is>
      </c>
      <c r="I156" s="4" t="str">
        <f>IF($H156&lt;&gt;"","YES","NO")</f>
        <v>YES</v>
      </c>
      <c r="J156" s="4" t="str">
        <f>IF(N($T156)&gt;0,"YES","NO")</f>
        <v>NO</v>
      </c>
      <c r="K156" s="4" t="str">
        <f>IF(OR($A156="EHT Trace"),IF(AND($U156&lt;&gt;"",$V156&lt;&gt;""),"YES","NO"),"N/A")</f>
        <v>N/A</v>
      </c>
      <c r="L156" s="4" t="str">
        <f>IF(OR($A156="EHT Trace"),IF(AND($X156&lt;&gt;"",$Y156&lt;&gt;""),"YES","NO"),"N/A")</f>
        <v>N/A</v>
      </c>
      <c r="M156" s="4" t="str">
        <f>IF(OR($A156="EHT Trace"),IF(AND($AA156&lt;&gt;"",$AB156&lt;&gt;""),"YES","NO"),"N/A")</f>
        <v>N/A</v>
      </c>
      <c r="N156" s="4" t="str">
        <f>IF(OR($A156="Power Cable"),IF(AND($AD156&lt;&gt;""),"YES","NO"),"N/A")</f>
        <v>NO</v>
      </c>
      <c r="O156" s="4" t="str">
        <f>IF(OR($A156="Power Cable",$A156="RTD Cable",$A156="Fieldbus Cable"),IF(AND($AE156&lt;&gt;""),"YES","NO"),"N/A")</f>
        <v>NO</v>
      </c>
      <c r="P156" s="4" t="str">
        <f>IF(OR($A156="RTD"),IF(AND($AH156&lt;&gt;""),"YES","NO"),"N/A")</f>
        <v>N/A</v>
      </c>
      <c r="Q156" s="4" t="str">
        <f>IF(OR($A156="RTD"),IF(AND($AI156&lt;&gt;""),"YES","NO"),"N/A")</f>
        <v>N/A</v>
      </c>
      <c r="R156" s="4" t="str">
        <f>IF(OR($AM156&lt;&gt;"",$Z156&lt;&gt;"",$AC156&lt;&gt;""),"YES","NO")</f>
        <v>NO</v>
      </c>
      <c r="S156" s="4" t="str">
        <f>IF(COUNTIF(I156:R156,"NO")=0,"YES","NO")</f>
        <v>NO</v>
      </c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inlineStr">
        <is>
          <t>Teck</t>
        </is>
      </c>
      <c r="AK156" s="9" t="inlineStr">
        <is>
          <t>10AWG</t>
        </is>
      </c>
      <c r="AL156" s="9" t="inlineStr">
        <is>
          <t>Levy Ostrup</t>
        </is>
      </c>
      <c r="AM156" s="9" t="n"/>
      <c r="AN156" s="9" t="n"/>
    </row>
    <row r="157">
      <c r="A157" s="9" t="inlineStr">
        <is>
          <t>Power Cable</t>
        </is>
      </c>
      <c r="B157" s="9" t="inlineStr">
        <is>
          <t>29103-ET-PG2101-1-PWK-1</t>
        </is>
      </c>
      <c r="C157" s="9" t="inlineStr">
        <is>
          <t>29103-ET-PG2101-1</t>
        </is>
      </c>
      <c r="D157" s="9" t="inlineStr">
        <is>
          <t>29103-HTP-004 HTC-21</t>
        </is>
      </c>
      <c r="E157" s="9" t="inlineStr">
        <is>
          <t>29103-HTP-004</t>
        </is>
      </c>
      <c r="F157" s="9" t="inlineStr"/>
      <c r="G157" s="9" t="inlineStr">
        <is>
          <t>113</t>
        </is>
      </c>
      <c r="H157" s="9" t="inlineStr">
        <is>
          <t>29103-ET-PG2101-1-PWK-1.pdf</t>
        </is>
      </c>
      <c r="I157" s="4" t="str">
        <f>IF($H157&lt;&gt;"","YES","NO")</f>
        <v>YES</v>
      </c>
      <c r="J157" s="4" t="str">
        <f>IF(N($T157)&gt;0,"YES","NO")</f>
        <v>NO</v>
      </c>
      <c r="K157" s="4" t="str">
        <f>IF(OR($A157="EHT Trace"),IF(AND($U157&lt;&gt;"",$V157&lt;&gt;""),"YES","NO"),"N/A")</f>
        <v>N/A</v>
      </c>
      <c r="L157" s="4" t="str">
        <f>IF(OR($A157="EHT Trace"),IF(AND($X157&lt;&gt;"",$Y157&lt;&gt;""),"YES","NO"),"N/A")</f>
        <v>N/A</v>
      </c>
      <c r="M157" s="4" t="str">
        <f>IF(OR($A157="EHT Trace"),IF(AND($AA157&lt;&gt;"",$AB157&lt;&gt;""),"YES","NO"),"N/A")</f>
        <v>N/A</v>
      </c>
      <c r="N157" s="4" t="str">
        <f>IF(OR($A157="Power Cable"),IF(AND($AD157&lt;&gt;""),"YES","NO"),"N/A")</f>
        <v>NO</v>
      </c>
      <c r="O157" s="4" t="str">
        <f>IF(OR($A157="Power Cable",$A157="RTD Cable",$A157="Fieldbus Cable"),IF(AND($AE157&lt;&gt;""),"YES","NO"),"N/A")</f>
        <v>NO</v>
      </c>
      <c r="P157" s="4" t="str">
        <f>IF(OR($A157="RTD"),IF(AND($AH157&lt;&gt;""),"YES","NO"),"N/A")</f>
        <v>N/A</v>
      </c>
      <c r="Q157" s="4" t="str">
        <f>IF(OR($A157="RTD"),IF(AND($AI157&lt;&gt;""),"YES","NO"),"N/A")</f>
        <v>N/A</v>
      </c>
      <c r="R157" s="4" t="str">
        <f>IF(OR($AM157&lt;&gt;"",$Z157&lt;&gt;"",$AC157&lt;&gt;""),"YES","NO")</f>
        <v>NO</v>
      </c>
      <c r="S157" s="4" t="str">
        <f>IF(COUNTIF(I157:R157,"NO")=0,"YES","NO")</f>
        <v>NO</v>
      </c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inlineStr">
        <is>
          <t>Teck</t>
        </is>
      </c>
      <c r="AK157" s="9" t="inlineStr">
        <is>
          <t>10AWG</t>
        </is>
      </c>
      <c r="AL157" s="9" t="inlineStr">
        <is>
          <t>Levy Ostrup</t>
        </is>
      </c>
      <c r="AM157" s="9" t="n"/>
      <c r="AN157" s="9" t="n"/>
    </row>
    <row r="158">
      <c r="A158" s="9" t="inlineStr">
        <is>
          <t>Power Cable</t>
        </is>
      </c>
      <c r="B158" s="9" t="inlineStr">
        <is>
          <t>29103-ET-PG2101-2-PWK-1</t>
        </is>
      </c>
      <c r="C158" s="9" t="inlineStr">
        <is>
          <t>29103-ET-PG2101-2</t>
        </is>
      </c>
      <c r="D158" s="9" t="inlineStr">
        <is>
          <t>29103-HTP-004 HTC-22</t>
        </is>
      </c>
      <c r="E158" s="9" t="inlineStr">
        <is>
          <t>29103-HTP-004</t>
        </is>
      </c>
      <c r="F158" s="9" t="inlineStr"/>
      <c r="G158" s="9" t="inlineStr">
        <is>
          <t>113</t>
        </is>
      </c>
      <c r="H158" s="9" t="inlineStr">
        <is>
          <t>29103-ET-PG2101-2-PWK-1.pdf</t>
        </is>
      </c>
      <c r="I158" s="4" t="str">
        <f>IF($H158&lt;&gt;"","YES","NO")</f>
        <v>YES</v>
      </c>
      <c r="J158" s="4" t="str">
        <f>IF(N($T158)&gt;0,"YES","NO")</f>
        <v>NO</v>
      </c>
      <c r="K158" s="4" t="str">
        <f>IF(OR($A158="EHT Trace"),IF(AND($U158&lt;&gt;"",$V158&lt;&gt;""),"YES","NO"),"N/A")</f>
        <v>N/A</v>
      </c>
      <c r="L158" s="4" t="str">
        <f>IF(OR($A158="EHT Trace"),IF(AND($X158&lt;&gt;"",$Y158&lt;&gt;""),"YES","NO"),"N/A")</f>
        <v>N/A</v>
      </c>
      <c r="M158" s="4" t="str">
        <f>IF(OR($A158="EHT Trace"),IF(AND($AA158&lt;&gt;"",$AB158&lt;&gt;""),"YES","NO"),"N/A")</f>
        <v>N/A</v>
      </c>
      <c r="N158" s="4" t="str">
        <f>IF(OR($A158="Power Cable"),IF(AND($AD158&lt;&gt;""),"YES","NO"),"N/A")</f>
        <v>NO</v>
      </c>
      <c r="O158" s="4" t="str">
        <f>IF(OR($A158="Power Cable",$A158="RTD Cable",$A158="Fieldbus Cable"),IF(AND($AE158&lt;&gt;""),"YES","NO"),"N/A")</f>
        <v>NO</v>
      </c>
      <c r="P158" s="4" t="str">
        <f>IF(OR($A158="RTD"),IF(AND($AH158&lt;&gt;""),"YES","NO"),"N/A")</f>
        <v>N/A</v>
      </c>
      <c r="Q158" s="4" t="str">
        <f>IF(OR($A158="RTD"),IF(AND($AI158&lt;&gt;""),"YES","NO"),"N/A")</f>
        <v>N/A</v>
      </c>
      <c r="R158" s="4" t="str">
        <f>IF(OR($AM158&lt;&gt;"",$Z158&lt;&gt;"",$AC158&lt;&gt;""),"YES","NO")</f>
        <v>NO</v>
      </c>
      <c r="S158" s="4" t="str">
        <f>IF(COUNTIF(I158:R158,"NO")=0,"YES","NO")</f>
        <v>NO</v>
      </c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inlineStr">
        <is>
          <t>Teck</t>
        </is>
      </c>
      <c r="AK158" s="9" t="inlineStr">
        <is>
          <t>10AWG</t>
        </is>
      </c>
      <c r="AL158" s="9" t="inlineStr">
        <is>
          <t>Levy Ostrup</t>
        </is>
      </c>
      <c r="AM158" s="9" t="n"/>
      <c r="AN158" s="9" t="n"/>
    </row>
    <row r="159">
      <c r="A159" s="9" t="inlineStr">
        <is>
          <t>Power Cable</t>
        </is>
      </c>
      <c r="B159" s="9" t="inlineStr">
        <is>
          <t>29103-ET-PG2201-1-PWK-1</t>
        </is>
      </c>
      <c r="C159" s="9" t="inlineStr">
        <is>
          <t>29103-ET-PG2201-1</t>
        </is>
      </c>
      <c r="D159" s="9" t="inlineStr">
        <is>
          <t>29103-HTP-004 HTC-14</t>
        </is>
      </c>
      <c r="E159" s="9" t="inlineStr">
        <is>
          <t>29103-HTP-004</t>
        </is>
      </c>
      <c r="F159" s="9" t="inlineStr"/>
      <c r="G159" s="9" t="inlineStr">
        <is>
          <t>113</t>
        </is>
      </c>
      <c r="H159" s="9" t="inlineStr">
        <is>
          <t>29103-ET-PG2201-1-PWK-1.pdf</t>
        </is>
      </c>
      <c r="I159" s="4" t="str">
        <f>IF($H159&lt;&gt;"","YES","NO")</f>
        <v>YES</v>
      </c>
      <c r="J159" s="4" t="str">
        <f>IF(N($T159)&gt;0,"YES","NO")</f>
        <v>NO</v>
      </c>
      <c r="K159" s="4" t="str">
        <f>IF(OR($A159="EHT Trace"),IF(AND($U159&lt;&gt;"",$V159&lt;&gt;""),"YES","NO"),"N/A")</f>
        <v>N/A</v>
      </c>
      <c r="L159" s="4" t="str">
        <f>IF(OR($A159="EHT Trace"),IF(AND($X159&lt;&gt;"",$Y159&lt;&gt;""),"YES","NO"),"N/A")</f>
        <v>N/A</v>
      </c>
      <c r="M159" s="4" t="str">
        <f>IF(OR($A159="EHT Trace"),IF(AND($AA159&lt;&gt;"",$AB159&lt;&gt;""),"YES","NO"),"N/A")</f>
        <v>N/A</v>
      </c>
      <c r="N159" s="4" t="str">
        <f>IF(OR($A159="Power Cable"),IF(AND($AD159&lt;&gt;""),"YES","NO"),"N/A")</f>
        <v>NO</v>
      </c>
      <c r="O159" s="4" t="str">
        <f>IF(OR($A159="Power Cable",$A159="RTD Cable",$A159="Fieldbus Cable"),IF(AND($AE159&lt;&gt;""),"YES","NO"),"N/A")</f>
        <v>NO</v>
      </c>
      <c r="P159" s="4" t="str">
        <f>IF(OR($A159="RTD"),IF(AND($AH159&lt;&gt;""),"YES","NO"),"N/A")</f>
        <v>N/A</v>
      </c>
      <c r="Q159" s="4" t="str">
        <f>IF(OR($A159="RTD"),IF(AND($AI159&lt;&gt;""),"YES","NO"),"N/A")</f>
        <v>N/A</v>
      </c>
      <c r="R159" s="4" t="str">
        <f>IF(OR($AM159&lt;&gt;"",$Z159&lt;&gt;"",$AC159&lt;&gt;""),"YES","NO")</f>
        <v>NO</v>
      </c>
      <c r="S159" s="4" t="str">
        <f>IF(COUNTIF(I159:R159,"NO")=0,"YES","NO")</f>
        <v>NO</v>
      </c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inlineStr">
        <is>
          <t>Teck</t>
        </is>
      </c>
      <c r="AK159" s="9" t="inlineStr">
        <is>
          <t>10AWG</t>
        </is>
      </c>
      <c r="AL159" s="9" t="inlineStr">
        <is>
          <t>Levy Ostrup</t>
        </is>
      </c>
      <c r="AM159" s="9" t="n"/>
      <c r="AN159" s="9" t="n"/>
    </row>
    <row r="160">
      <c r="A160" s="9" t="inlineStr">
        <is>
          <t>Power Cable</t>
        </is>
      </c>
      <c r="B160" s="9" t="inlineStr">
        <is>
          <t>29103-ET-PG2201-2-PWK-1</t>
        </is>
      </c>
      <c r="C160" s="9" t="inlineStr">
        <is>
          <t>29103-ET-PG2201-2</t>
        </is>
      </c>
      <c r="D160" s="9" t="inlineStr">
        <is>
          <t>29103-HTP-004 HTC-17</t>
        </is>
      </c>
      <c r="E160" s="9" t="inlineStr">
        <is>
          <t>29103-HTP-004</t>
        </is>
      </c>
      <c r="F160" s="9" t="inlineStr"/>
      <c r="G160" s="9" t="inlineStr">
        <is>
          <t>113</t>
        </is>
      </c>
      <c r="H160" s="9" t="inlineStr">
        <is>
          <t>29103-ET-PG2201-2-PWK-1.pdf</t>
        </is>
      </c>
      <c r="I160" s="4" t="str">
        <f>IF($H160&lt;&gt;"","YES","NO")</f>
        <v>YES</v>
      </c>
      <c r="J160" s="4" t="str">
        <f>IF(N($T160)&gt;0,"YES","NO")</f>
        <v>NO</v>
      </c>
      <c r="K160" s="4" t="str">
        <f>IF(OR($A160="EHT Trace"),IF(AND($U160&lt;&gt;"",$V160&lt;&gt;""),"YES","NO"),"N/A")</f>
        <v>N/A</v>
      </c>
      <c r="L160" s="4" t="str">
        <f>IF(OR($A160="EHT Trace"),IF(AND($X160&lt;&gt;"",$Y160&lt;&gt;""),"YES","NO"),"N/A")</f>
        <v>N/A</v>
      </c>
      <c r="M160" s="4" t="str">
        <f>IF(OR($A160="EHT Trace"),IF(AND($AA160&lt;&gt;"",$AB160&lt;&gt;""),"YES","NO"),"N/A")</f>
        <v>N/A</v>
      </c>
      <c r="N160" s="4" t="str">
        <f>IF(OR($A160="Power Cable"),IF(AND($AD160&lt;&gt;""),"YES","NO"),"N/A")</f>
        <v>NO</v>
      </c>
      <c r="O160" s="4" t="str">
        <f>IF(OR($A160="Power Cable",$A160="RTD Cable",$A160="Fieldbus Cable"),IF(AND($AE160&lt;&gt;""),"YES","NO"),"N/A")</f>
        <v>NO</v>
      </c>
      <c r="P160" s="4" t="str">
        <f>IF(OR($A160="RTD"),IF(AND($AH160&lt;&gt;""),"YES","NO"),"N/A")</f>
        <v>N/A</v>
      </c>
      <c r="Q160" s="4" t="str">
        <f>IF(OR($A160="RTD"),IF(AND($AI160&lt;&gt;""),"YES","NO"),"N/A")</f>
        <v>N/A</v>
      </c>
      <c r="R160" s="4" t="str">
        <f>IF(OR($AM160&lt;&gt;"",$Z160&lt;&gt;"",$AC160&lt;&gt;""),"YES","NO")</f>
        <v>NO</v>
      </c>
      <c r="S160" s="4" t="str">
        <f>IF(COUNTIF(I160:R160,"NO")=0,"YES","NO")</f>
        <v>NO</v>
      </c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inlineStr">
        <is>
          <t>Teck</t>
        </is>
      </c>
      <c r="AK160" s="9" t="inlineStr">
        <is>
          <t>10AWG</t>
        </is>
      </c>
      <c r="AL160" s="9" t="inlineStr">
        <is>
          <t>Levy Ostrup</t>
        </is>
      </c>
      <c r="AM160" s="9" t="n"/>
      <c r="AN160" s="9" t="n"/>
    </row>
    <row r="161">
      <c r="A161" s="9" t="inlineStr">
        <is>
          <t>Power Cable</t>
        </is>
      </c>
      <c r="B161" s="9" t="inlineStr">
        <is>
          <t>29103-ET-PG2301-1-PWK-1</t>
        </is>
      </c>
      <c r="C161" s="9" t="inlineStr">
        <is>
          <t>29103-ET-PG2301-1</t>
        </is>
      </c>
      <c r="D161" s="9" t="inlineStr">
        <is>
          <t>29103-HTP-004 HTC-11</t>
        </is>
      </c>
      <c r="E161" s="9" t="inlineStr">
        <is>
          <t>29103-HTP-004</t>
        </is>
      </c>
      <c r="F161" s="9" t="inlineStr"/>
      <c r="G161" s="9" t="inlineStr">
        <is>
          <t>113</t>
        </is>
      </c>
      <c r="H161" s="9" t="inlineStr">
        <is>
          <t>29103-ET-PG2301-1-PWK-1.pdf</t>
        </is>
      </c>
      <c r="I161" s="4" t="str">
        <f>IF($H161&lt;&gt;"","YES","NO")</f>
        <v>YES</v>
      </c>
      <c r="J161" s="4" t="str">
        <f>IF(N($T161)&gt;0,"YES","NO")</f>
        <v>NO</v>
      </c>
      <c r="K161" s="4" t="str">
        <f>IF(OR($A161="EHT Trace"),IF(AND($U161&lt;&gt;"",$V161&lt;&gt;""),"YES","NO"),"N/A")</f>
        <v>N/A</v>
      </c>
      <c r="L161" s="4" t="str">
        <f>IF(OR($A161="EHT Trace"),IF(AND($X161&lt;&gt;"",$Y161&lt;&gt;""),"YES","NO"),"N/A")</f>
        <v>N/A</v>
      </c>
      <c r="M161" s="4" t="str">
        <f>IF(OR($A161="EHT Trace"),IF(AND($AA161&lt;&gt;"",$AB161&lt;&gt;""),"YES","NO"),"N/A")</f>
        <v>N/A</v>
      </c>
      <c r="N161" s="4" t="str">
        <f>IF(OR($A161="Power Cable"),IF(AND($AD161&lt;&gt;""),"YES","NO"),"N/A")</f>
        <v>NO</v>
      </c>
      <c r="O161" s="4" t="str">
        <f>IF(OR($A161="Power Cable",$A161="RTD Cable",$A161="Fieldbus Cable"),IF(AND($AE161&lt;&gt;""),"YES","NO"),"N/A")</f>
        <v>NO</v>
      </c>
      <c r="P161" s="4" t="str">
        <f>IF(OR($A161="RTD"),IF(AND($AH161&lt;&gt;""),"YES","NO"),"N/A")</f>
        <v>N/A</v>
      </c>
      <c r="Q161" s="4" t="str">
        <f>IF(OR($A161="RTD"),IF(AND($AI161&lt;&gt;""),"YES","NO"),"N/A")</f>
        <v>N/A</v>
      </c>
      <c r="R161" s="4" t="str">
        <f>IF(OR($AM161&lt;&gt;"",$Z161&lt;&gt;"",$AC161&lt;&gt;""),"YES","NO")</f>
        <v>NO</v>
      </c>
      <c r="S161" s="4" t="str">
        <f>IF(COUNTIF(I161:R161,"NO")=0,"YES","NO")</f>
        <v>NO</v>
      </c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inlineStr">
        <is>
          <t>Teck</t>
        </is>
      </c>
      <c r="AK161" s="9" t="inlineStr">
        <is>
          <t>10AWG</t>
        </is>
      </c>
      <c r="AL161" s="9" t="inlineStr">
        <is>
          <t>Levy Ostrup</t>
        </is>
      </c>
      <c r="AM161" s="9" t="n"/>
      <c r="AN161" s="9" t="n"/>
    </row>
    <row r="162">
      <c r="A162" s="9" t="inlineStr">
        <is>
          <t>Power Cable</t>
        </is>
      </c>
      <c r="B162" s="9" t="inlineStr">
        <is>
          <t>29103-ET-PG2301-2-PWK-1</t>
        </is>
      </c>
      <c r="C162" s="9" t="inlineStr">
        <is>
          <t>29103-ET-PG2301-2</t>
        </is>
      </c>
      <c r="D162" s="9" t="inlineStr">
        <is>
          <t>29103-HTP-004 HTC-13</t>
        </is>
      </c>
      <c r="E162" s="9" t="inlineStr">
        <is>
          <t>29103-HTP-004</t>
        </is>
      </c>
      <c r="F162" s="9" t="inlineStr"/>
      <c r="G162" s="9" t="inlineStr">
        <is>
          <t>113</t>
        </is>
      </c>
      <c r="H162" s="9" t="inlineStr">
        <is>
          <t>29103-ET-PG2301-2-PWK-1.pdf</t>
        </is>
      </c>
      <c r="I162" s="4" t="str">
        <f>IF($H162&lt;&gt;"","YES","NO")</f>
        <v>YES</v>
      </c>
      <c r="J162" s="4" t="str">
        <f>IF(N($T162)&gt;0,"YES","NO")</f>
        <v>NO</v>
      </c>
      <c r="K162" s="4" t="str">
        <f>IF(OR($A162="EHT Trace"),IF(AND($U162&lt;&gt;"",$V162&lt;&gt;""),"YES","NO"),"N/A")</f>
        <v>N/A</v>
      </c>
      <c r="L162" s="4" t="str">
        <f>IF(OR($A162="EHT Trace"),IF(AND($X162&lt;&gt;"",$Y162&lt;&gt;""),"YES","NO"),"N/A")</f>
        <v>N/A</v>
      </c>
      <c r="M162" s="4" t="str">
        <f>IF(OR($A162="EHT Trace"),IF(AND($AA162&lt;&gt;"",$AB162&lt;&gt;""),"YES","NO"),"N/A")</f>
        <v>N/A</v>
      </c>
      <c r="N162" s="4" t="str">
        <f>IF(OR($A162="Power Cable"),IF(AND($AD162&lt;&gt;""),"YES","NO"),"N/A")</f>
        <v>NO</v>
      </c>
      <c r="O162" s="4" t="str">
        <f>IF(OR($A162="Power Cable",$A162="RTD Cable",$A162="Fieldbus Cable"),IF(AND($AE162&lt;&gt;""),"YES","NO"),"N/A")</f>
        <v>NO</v>
      </c>
      <c r="P162" s="4" t="str">
        <f>IF(OR($A162="RTD"),IF(AND($AH162&lt;&gt;""),"YES","NO"),"N/A")</f>
        <v>N/A</v>
      </c>
      <c r="Q162" s="4" t="str">
        <f>IF(OR($A162="RTD"),IF(AND($AI162&lt;&gt;""),"YES","NO"),"N/A")</f>
        <v>N/A</v>
      </c>
      <c r="R162" s="4" t="str">
        <f>IF(OR($AM162&lt;&gt;"",$Z162&lt;&gt;"",$AC162&lt;&gt;""),"YES","NO")</f>
        <v>NO</v>
      </c>
      <c r="S162" s="4" t="str">
        <f>IF(COUNTIF(I162:R162,"NO")=0,"YES","NO")</f>
        <v>NO</v>
      </c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inlineStr">
        <is>
          <t>Teck</t>
        </is>
      </c>
      <c r="AK162" s="9" t="inlineStr">
        <is>
          <t>10AWG</t>
        </is>
      </c>
      <c r="AL162" s="9" t="inlineStr">
        <is>
          <t>Levy Ostrup</t>
        </is>
      </c>
      <c r="AM162" s="9" t="n"/>
      <c r="AN162" s="9" t="n"/>
    </row>
    <row r="163">
      <c r="A163" s="9" t="inlineStr">
        <is>
          <t>Power Cable</t>
        </is>
      </c>
      <c r="B163" s="9" t="inlineStr">
        <is>
          <t>29103-ET-PG2401-2-PWK-1</t>
        </is>
      </c>
      <c r="C163" s="9" t="inlineStr">
        <is>
          <t>29103-ET-PG2401-2</t>
        </is>
      </c>
      <c r="D163" s="9" t="inlineStr">
        <is>
          <t>29103-HTP-004 HTC-36</t>
        </is>
      </c>
      <c r="E163" s="9" t="inlineStr">
        <is>
          <t>29103-HTP-004</t>
        </is>
      </c>
      <c r="F163" s="9" t="inlineStr"/>
      <c r="G163" s="9" t="inlineStr">
        <is>
          <t>113</t>
        </is>
      </c>
      <c r="H163" s="9" t="inlineStr">
        <is>
          <t>29103-ET-PG2401-2-PWK-1.pdf</t>
        </is>
      </c>
      <c r="I163" s="4" t="str">
        <f>IF($H163&lt;&gt;"","YES","NO")</f>
        <v>YES</v>
      </c>
      <c r="J163" s="4" t="str">
        <f>IF(N($T163)&gt;0,"YES","NO")</f>
        <v>NO</v>
      </c>
      <c r="K163" s="4" t="str">
        <f>IF(OR($A163="EHT Trace"),IF(AND($U163&lt;&gt;"",$V163&lt;&gt;""),"YES","NO"),"N/A")</f>
        <v>N/A</v>
      </c>
      <c r="L163" s="4" t="str">
        <f>IF(OR($A163="EHT Trace"),IF(AND($X163&lt;&gt;"",$Y163&lt;&gt;""),"YES","NO"),"N/A")</f>
        <v>N/A</v>
      </c>
      <c r="M163" s="4" t="str">
        <f>IF(OR($A163="EHT Trace"),IF(AND($AA163&lt;&gt;"",$AB163&lt;&gt;""),"YES","NO"),"N/A")</f>
        <v>N/A</v>
      </c>
      <c r="N163" s="4" t="str">
        <f>IF(OR($A163="Power Cable"),IF(AND($AD163&lt;&gt;""),"YES","NO"),"N/A")</f>
        <v>NO</v>
      </c>
      <c r="O163" s="4" t="str">
        <f>IF(OR($A163="Power Cable",$A163="RTD Cable",$A163="Fieldbus Cable"),IF(AND($AE163&lt;&gt;""),"YES","NO"),"N/A")</f>
        <v>NO</v>
      </c>
      <c r="P163" s="4" t="str">
        <f>IF(OR($A163="RTD"),IF(AND($AH163&lt;&gt;""),"YES","NO"),"N/A")</f>
        <v>N/A</v>
      </c>
      <c r="Q163" s="4" t="str">
        <f>IF(OR($A163="RTD"),IF(AND($AI163&lt;&gt;""),"YES","NO"),"N/A")</f>
        <v>N/A</v>
      </c>
      <c r="R163" s="4" t="str">
        <f>IF(OR($AM163&lt;&gt;"",$Z163&lt;&gt;"",$AC163&lt;&gt;""),"YES","NO")</f>
        <v>NO</v>
      </c>
      <c r="S163" s="4" t="str">
        <f>IF(COUNTIF(I163:R163,"NO")=0,"YES","NO")</f>
        <v>NO</v>
      </c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inlineStr">
        <is>
          <t>Teck</t>
        </is>
      </c>
      <c r="AK163" s="9" t="inlineStr">
        <is>
          <t>10AWG</t>
        </is>
      </c>
      <c r="AL163" s="9" t="inlineStr">
        <is>
          <t>Levy Ostrup</t>
        </is>
      </c>
      <c r="AM163" s="9" t="n"/>
      <c r="AN163" s="9" t="n"/>
    </row>
    <row r="164">
      <c r="A164" s="9" t="inlineStr">
        <is>
          <t>Power Cable</t>
        </is>
      </c>
      <c r="B164" s="9" t="inlineStr">
        <is>
          <t>29103-ET-ST2103-1-PWK-1</t>
        </is>
      </c>
      <c r="C164" s="9" t="inlineStr">
        <is>
          <t>29103-ET-ST2103-1</t>
        </is>
      </c>
      <c r="D164" s="9" t="inlineStr">
        <is>
          <t>29103-AMB-008</t>
        </is>
      </c>
      <c r="E164" s="9" t="inlineStr">
        <is>
          <t>29103-HTP-004</t>
        </is>
      </c>
      <c r="F164" s="9" t="inlineStr"/>
      <c r="G164" s="9" t="inlineStr">
        <is>
          <t>113</t>
        </is>
      </c>
      <c r="H164" s="9" t="inlineStr">
        <is>
          <t>29103-ET-ST2103-1-PWK-1.pdf</t>
        </is>
      </c>
      <c r="I164" s="4" t="str">
        <f>IF($H164&lt;&gt;"","YES","NO")</f>
        <v>YES</v>
      </c>
      <c r="J164" s="4" t="str">
        <f>IF(N($T164)&gt;0,"YES","NO")</f>
        <v>NO</v>
      </c>
      <c r="K164" s="4" t="str">
        <f>IF(OR($A164="EHT Trace"),IF(AND($U164&lt;&gt;"",$V164&lt;&gt;""),"YES","NO"),"N/A")</f>
        <v>N/A</v>
      </c>
      <c r="L164" s="4" t="str">
        <f>IF(OR($A164="EHT Trace"),IF(AND($X164&lt;&gt;"",$Y164&lt;&gt;""),"YES","NO"),"N/A")</f>
        <v>N/A</v>
      </c>
      <c r="M164" s="4" t="str">
        <f>IF(OR($A164="EHT Trace"),IF(AND($AA164&lt;&gt;"",$AB164&lt;&gt;""),"YES","NO"),"N/A")</f>
        <v>N/A</v>
      </c>
      <c r="N164" s="4" t="str">
        <f>IF(OR($A164="Power Cable"),IF(AND($AD164&lt;&gt;""),"YES","NO"),"N/A")</f>
        <v>NO</v>
      </c>
      <c r="O164" s="4" t="str">
        <f>IF(OR($A164="Power Cable",$A164="RTD Cable",$A164="Fieldbus Cable"),IF(AND($AE164&lt;&gt;""),"YES","NO"),"N/A")</f>
        <v>NO</v>
      </c>
      <c r="P164" s="4" t="str">
        <f>IF(OR($A164="RTD"),IF(AND($AH164&lt;&gt;""),"YES","NO"),"N/A")</f>
        <v>N/A</v>
      </c>
      <c r="Q164" s="4" t="str">
        <f>IF(OR($A164="RTD"),IF(AND($AI164&lt;&gt;""),"YES","NO"),"N/A")</f>
        <v>N/A</v>
      </c>
      <c r="R164" s="4" t="str">
        <f>IF(OR($AM164&lt;&gt;"",$Z164&lt;&gt;"",$AC164&lt;&gt;""),"YES","NO")</f>
        <v>NO</v>
      </c>
      <c r="S164" s="4" t="str">
        <f>IF(COUNTIF(I164:R164,"NO")=0,"YES","NO")</f>
        <v>NO</v>
      </c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inlineStr">
        <is>
          <t>Teck</t>
        </is>
      </c>
      <c r="AK164" s="9" t="inlineStr">
        <is>
          <t>10AWG</t>
        </is>
      </c>
      <c r="AL164" s="9" t="inlineStr">
        <is>
          <t>Levy Ostrup</t>
        </is>
      </c>
      <c r="AM164" s="9" t="n"/>
      <c r="AN164" s="9" t="n"/>
    </row>
    <row r="165">
      <c r="A165" s="9" t="inlineStr">
        <is>
          <t>Power Cable</t>
        </is>
      </c>
      <c r="B165" s="9" t="inlineStr">
        <is>
          <t>29103-ET-ST2203-1-PWK-1</t>
        </is>
      </c>
      <c r="C165" s="9" t="inlineStr">
        <is>
          <t>29103-ET-ST2203-1</t>
        </is>
      </c>
      <c r="D165" s="9" t="inlineStr">
        <is>
          <t>29103-AMB-008</t>
        </is>
      </c>
      <c r="E165" s="9" t="inlineStr">
        <is>
          <t>29103-HTP-004</t>
        </is>
      </c>
      <c r="F165" s="9" t="inlineStr"/>
      <c r="G165" s="9" t="inlineStr">
        <is>
          <t>113</t>
        </is>
      </c>
      <c r="H165" s="9" t="inlineStr">
        <is>
          <t>29103-ET-ST2203-1-PWK-1.pdf</t>
        </is>
      </c>
      <c r="I165" s="4" t="str">
        <f>IF($H165&lt;&gt;"","YES","NO")</f>
        <v>YES</v>
      </c>
      <c r="J165" s="4" t="str">
        <f>IF(N($T165)&gt;0,"YES","NO")</f>
        <v>NO</v>
      </c>
      <c r="K165" s="4" t="str">
        <f>IF(OR($A165="EHT Trace"),IF(AND($U165&lt;&gt;"",$V165&lt;&gt;""),"YES","NO"),"N/A")</f>
        <v>N/A</v>
      </c>
      <c r="L165" s="4" t="str">
        <f>IF(OR($A165="EHT Trace"),IF(AND($X165&lt;&gt;"",$Y165&lt;&gt;""),"YES","NO"),"N/A")</f>
        <v>N/A</v>
      </c>
      <c r="M165" s="4" t="str">
        <f>IF(OR($A165="EHT Trace"),IF(AND($AA165&lt;&gt;"",$AB165&lt;&gt;""),"YES","NO"),"N/A")</f>
        <v>N/A</v>
      </c>
      <c r="N165" s="4" t="str">
        <f>IF(OR($A165="Power Cable"),IF(AND($AD165&lt;&gt;""),"YES","NO"),"N/A")</f>
        <v>NO</v>
      </c>
      <c r="O165" s="4" t="str">
        <f>IF(OR($A165="Power Cable",$A165="RTD Cable",$A165="Fieldbus Cable"),IF(AND($AE165&lt;&gt;""),"YES","NO"),"N/A")</f>
        <v>NO</v>
      </c>
      <c r="P165" s="4" t="str">
        <f>IF(OR($A165="RTD"),IF(AND($AH165&lt;&gt;""),"YES","NO"),"N/A")</f>
        <v>N/A</v>
      </c>
      <c r="Q165" s="4" t="str">
        <f>IF(OR($A165="RTD"),IF(AND($AI165&lt;&gt;""),"YES","NO"),"N/A")</f>
        <v>N/A</v>
      </c>
      <c r="R165" s="4" t="str">
        <f>IF(OR($AM165&lt;&gt;"",$Z165&lt;&gt;"",$AC165&lt;&gt;""),"YES","NO")</f>
        <v>NO</v>
      </c>
      <c r="S165" s="4" t="str">
        <f>IF(COUNTIF(I165:R165,"NO")=0,"YES","NO")</f>
        <v>NO</v>
      </c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inlineStr">
        <is>
          <t>Teck</t>
        </is>
      </c>
      <c r="AK165" s="9" t="inlineStr">
        <is>
          <t>10AWG</t>
        </is>
      </c>
      <c r="AL165" s="9" t="inlineStr">
        <is>
          <t>Levy Ostrup</t>
        </is>
      </c>
      <c r="AM165" s="9" t="n"/>
      <c r="AN165" s="9" t="n"/>
    </row>
    <row r="166">
      <c r="A166" s="9" t="inlineStr">
        <is>
          <t>Power Cable</t>
        </is>
      </c>
      <c r="B166" s="9" t="inlineStr">
        <is>
          <t>29103-ET-ST2303-1-PWK-1</t>
        </is>
      </c>
      <c r="C166" s="9" t="inlineStr">
        <is>
          <t>29103-ET-ST2303-1</t>
        </is>
      </c>
      <c r="D166" s="9" t="inlineStr">
        <is>
          <t>29103-AMB-008</t>
        </is>
      </c>
      <c r="E166" s="9" t="inlineStr">
        <is>
          <t>29103-HTP-004</t>
        </is>
      </c>
      <c r="F166" s="9" t="inlineStr"/>
      <c r="G166" s="9" t="inlineStr">
        <is>
          <t>113</t>
        </is>
      </c>
      <c r="H166" s="9" t="inlineStr">
        <is>
          <t>29103-ET-ST2303-1-PWK-1.pdf</t>
        </is>
      </c>
      <c r="I166" s="4" t="str">
        <f>IF($H166&lt;&gt;"","YES","NO")</f>
        <v>YES</v>
      </c>
      <c r="J166" s="4" t="str">
        <f>IF(N($T166)&gt;0,"YES","NO")</f>
        <v>NO</v>
      </c>
      <c r="K166" s="4" t="str">
        <f>IF(OR($A166="EHT Trace"),IF(AND($U166&lt;&gt;"",$V166&lt;&gt;""),"YES","NO"),"N/A")</f>
        <v>N/A</v>
      </c>
      <c r="L166" s="4" t="str">
        <f>IF(OR($A166="EHT Trace"),IF(AND($X166&lt;&gt;"",$Y166&lt;&gt;""),"YES","NO"),"N/A")</f>
        <v>N/A</v>
      </c>
      <c r="M166" s="4" t="str">
        <f>IF(OR($A166="EHT Trace"),IF(AND($AA166&lt;&gt;"",$AB166&lt;&gt;""),"YES","NO"),"N/A")</f>
        <v>N/A</v>
      </c>
      <c r="N166" s="4" t="str">
        <f>IF(OR($A166="Power Cable"),IF(AND($AD166&lt;&gt;""),"YES","NO"),"N/A")</f>
        <v>NO</v>
      </c>
      <c r="O166" s="4" t="str">
        <f>IF(OR($A166="Power Cable",$A166="RTD Cable",$A166="Fieldbus Cable"),IF(AND($AE166&lt;&gt;""),"YES","NO"),"N/A")</f>
        <v>NO</v>
      </c>
      <c r="P166" s="4" t="str">
        <f>IF(OR($A166="RTD"),IF(AND($AH166&lt;&gt;""),"YES","NO"),"N/A")</f>
        <v>N/A</v>
      </c>
      <c r="Q166" s="4" t="str">
        <f>IF(OR($A166="RTD"),IF(AND($AI166&lt;&gt;""),"YES","NO"),"N/A")</f>
        <v>N/A</v>
      </c>
      <c r="R166" s="4" t="str">
        <f>IF(OR($AM166&lt;&gt;"",$Z166&lt;&gt;"",$AC166&lt;&gt;""),"YES","NO")</f>
        <v>NO</v>
      </c>
      <c r="S166" s="4" t="str">
        <f>IF(COUNTIF(I166:R166,"NO")=0,"YES","NO")</f>
        <v>NO</v>
      </c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inlineStr">
        <is>
          <t>Teck</t>
        </is>
      </c>
      <c r="AK166" s="9" t="inlineStr">
        <is>
          <t>10AWG</t>
        </is>
      </c>
      <c r="AL166" s="9" t="inlineStr">
        <is>
          <t>Levy Ostrup</t>
        </is>
      </c>
      <c r="AM166" s="9" t="n"/>
      <c r="AN166" s="9" t="n"/>
    </row>
    <row r="167">
      <c r="A167" s="9" t="inlineStr">
        <is>
          <t>Power Cable</t>
        </is>
      </c>
      <c r="B167" s="9" t="inlineStr">
        <is>
          <t>29103-ET-ST2403-1-PWK-1</t>
        </is>
      </c>
      <c r="C167" s="9" t="inlineStr">
        <is>
          <t>29103-ET-ST2403-1</t>
        </is>
      </c>
      <c r="D167" s="9" t="inlineStr">
        <is>
          <t>29103-AMB-010</t>
        </is>
      </c>
      <c r="E167" s="9" t="inlineStr">
        <is>
          <t>29103-HTP-004</t>
        </is>
      </c>
      <c r="F167" s="9" t="inlineStr"/>
      <c r="G167" s="9" t="inlineStr">
        <is>
          <t>113</t>
        </is>
      </c>
      <c r="H167" s="9" t="inlineStr">
        <is>
          <t>29103-ET-ST2403-1-PWK-1.pdf</t>
        </is>
      </c>
      <c r="I167" s="4" t="str">
        <f>IF($H167&lt;&gt;"","YES","NO")</f>
        <v>YES</v>
      </c>
      <c r="J167" s="4" t="str">
        <f>IF(N($T167)&gt;0,"YES","NO")</f>
        <v>NO</v>
      </c>
      <c r="K167" s="4" t="str">
        <f>IF(OR($A167="EHT Trace"),IF(AND($U167&lt;&gt;"",$V167&lt;&gt;""),"YES","NO"),"N/A")</f>
        <v>N/A</v>
      </c>
      <c r="L167" s="4" t="str">
        <f>IF(OR($A167="EHT Trace"),IF(AND($X167&lt;&gt;"",$Y167&lt;&gt;""),"YES","NO"),"N/A")</f>
        <v>N/A</v>
      </c>
      <c r="M167" s="4" t="str">
        <f>IF(OR($A167="EHT Trace"),IF(AND($AA167&lt;&gt;"",$AB167&lt;&gt;""),"YES","NO"),"N/A")</f>
        <v>N/A</v>
      </c>
      <c r="N167" s="4" t="str">
        <f>IF(OR($A167="Power Cable"),IF(AND($AD167&lt;&gt;""),"YES","NO"),"N/A")</f>
        <v>NO</v>
      </c>
      <c r="O167" s="4" t="str">
        <f>IF(OR($A167="Power Cable",$A167="RTD Cable",$A167="Fieldbus Cable"),IF(AND($AE167&lt;&gt;""),"YES","NO"),"N/A")</f>
        <v>NO</v>
      </c>
      <c r="P167" s="4" t="str">
        <f>IF(OR($A167="RTD"),IF(AND($AH167&lt;&gt;""),"YES","NO"),"N/A")</f>
        <v>N/A</v>
      </c>
      <c r="Q167" s="4" t="str">
        <f>IF(OR($A167="RTD"),IF(AND($AI167&lt;&gt;""),"YES","NO"),"N/A")</f>
        <v>N/A</v>
      </c>
      <c r="R167" s="4" t="str">
        <f>IF(OR($AM167&lt;&gt;"",$Z167&lt;&gt;"",$AC167&lt;&gt;""),"YES","NO")</f>
        <v>NO</v>
      </c>
      <c r="S167" s="4" t="str">
        <f>IF(COUNTIF(I167:R167,"NO")=0,"YES","NO")</f>
        <v>NO</v>
      </c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inlineStr">
        <is>
          <t>Teck</t>
        </is>
      </c>
      <c r="AK167" s="9" t="inlineStr">
        <is>
          <t>10AWG</t>
        </is>
      </c>
      <c r="AL167" s="9" t="inlineStr">
        <is>
          <t>Levy Ostrup</t>
        </is>
      </c>
      <c r="AM167" s="9" t="n"/>
      <c r="AN167" s="9" t="n"/>
    </row>
    <row r="168">
      <c r="A168" s="9" t="inlineStr">
        <is>
          <t>Power Cable</t>
        </is>
      </c>
      <c r="B168" s="9" t="inlineStr">
        <is>
          <t>29103-ET-ST2503-1-PWK-1</t>
        </is>
      </c>
      <c r="C168" s="9" t="inlineStr">
        <is>
          <t>29103-ET-ST2503-1</t>
        </is>
      </c>
      <c r="D168" s="9" t="inlineStr">
        <is>
          <t>29103-AMB-010</t>
        </is>
      </c>
      <c r="E168" s="9" t="inlineStr">
        <is>
          <t>29103-HTP-004</t>
        </is>
      </c>
      <c r="F168" s="9" t="inlineStr"/>
      <c r="G168" s="9" t="inlineStr">
        <is>
          <t>113</t>
        </is>
      </c>
      <c r="H168" s="9" t="inlineStr">
        <is>
          <t>29103-ET-ST2503-1-PWK-1.pdf</t>
        </is>
      </c>
      <c r="I168" s="4" t="str">
        <f>IF($H168&lt;&gt;"","YES","NO")</f>
        <v>YES</v>
      </c>
      <c r="J168" s="4" t="str">
        <f>IF(N($T168)&gt;0,"YES","NO")</f>
        <v>NO</v>
      </c>
      <c r="K168" s="4" t="str">
        <f>IF(OR($A168="EHT Trace"),IF(AND($U168&lt;&gt;"",$V168&lt;&gt;""),"YES","NO"),"N/A")</f>
        <v>N/A</v>
      </c>
      <c r="L168" s="4" t="str">
        <f>IF(OR($A168="EHT Trace"),IF(AND($X168&lt;&gt;"",$Y168&lt;&gt;""),"YES","NO"),"N/A")</f>
        <v>N/A</v>
      </c>
      <c r="M168" s="4" t="str">
        <f>IF(OR($A168="EHT Trace"),IF(AND($AA168&lt;&gt;"",$AB168&lt;&gt;""),"YES","NO"),"N/A")</f>
        <v>N/A</v>
      </c>
      <c r="N168" s="4" t="str">
        <f>IF(OR($A168="Power Cable"),IF(AND($AD168&lt;&gt;""),"YES","NO"),"N/A")</f>
        <v>NO</v>
      </c>
      <c r="O168" s="4" t="str">
        <f>IF(OR($A168="Power Cable",$A168="RTD Cable",$A168="Fieldbus Cable"),IF(AND($AE168&lt;&gt;""),"YES","NO"),"N/A")</f>
        <v>NO</v>
      </c>
      <c r="P168" s="4" t="str">
        <f>IF(OR($A168="RTD"),IF(AND($AH168&lt;&gt;""),"YES","NO"),"N/A")</f>
        <v>N/A</v>
      </c>
      <c r="Q168" s="4" t="str">
        <f>IF(OR($A168="RTD"),IF(AND($AI168&lt;&gt;""),"YES","NO"),"N/A")</f>
        <v>N/A</v>
      </c>
      <c r="R168" s="4" t="str">
        <f>IF(OR($AM168&lt;&gt;"",$Z168&lt;&gt;"",$AC168&lt;&gt;""),"YES","NO")</f>
        <v>NO</v>
      </c>
      <c r="S168" s="4" t="str">
        <f>IF(COUNTIF(I168:R168,"NO")=0,"YES","NO")</f>
        <v>NO</v>
      </c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inlineStr">
        <is>
          <t>Teck</t>
        </is>
      </c>
      <c r="AK168" s="9" t="inlineStr">
        <is>
          <t>10AWG</t>
        </is>
      </c>
      <c r="AL168" s="9" t="inlineStr">
        <is>
          <t>Levy Ostrup</t>
        </is>
      </c>
      <c r="AM168" s="9" t="n"/>
      <c r="AN168" s="9" t="n"/>
    </row>
    <row r="169">
      <c r="A169" s="9" t="inlineStr">
        <is>
          <t>RTD</t>
        </is>
      </c>
      <c r="B169" s="9" t="inlineStr">
        <is>
          <t>29103-ET-P2101-1-R-1</t>
        </is>
      </c>
      <c r="C169" s="9" t="inlineStr">
        <is>
          <t>29103-ET-P2101-1</t>
        </is>
      </c>
      <c r="D169" s="9" t="inlineStr">
        <is>
          <t>29103-HTP-004 HTC-19</t>
        </is>
      </c>
      <c r="E169" s="9" t="inlineStr">
        <is>
          <t>PRODUCED EMULSION</t>
        </is>
      </c>
      <c r="F169" s="9" t="inlineStr">
        <is>
          <t>29103-65R-ET-P2101-01-01</t>
        </is>
      </c>
      <c r="G169" s="9" t="inlineStr">
        <is>
          <t>13.2</t>
        </is>
      </c>
      <c r="H169" s="9" t="inlineStr">
        <is>
          <t>29103-ET-P2101-1-R-1.pdf</t>
        </is>
      </c>
      <c r="I169" s="4" t="str">
        <f>IF($H169&lt;&gt;"","YES","NO")</f>
        <v>YES</v>
      </c>
      <c r="J169" s="4" t="str">
        <f>IF(N($T169)&gt;0,"YES","NO")</f>
        <v>NO</v>
      </c>
      <c r="K169" s="4" t="str">
        <f>IF(OR($A169="EHT Trace"),IF(AND($U169&lt;&gt;"",$V169&lt;&gt;""),"YES","NO"),"N/A")</f>
        <v>N/A</v>
      </c>
      <c r="L169" s="4" t="str">
        <f>IF(OR($A169="EHT Trace"),IF(AND($X169&lt;&gt;"",$Y169&lt;&gt;""),"YES","NO"),"N/A")</f>
        <v>N/A</v>
      </c>
      <c r="M169" s="4" t="str">
        <f>IF(OR($A169="EHT Trace"),IF(AND($AA169&lt;&gt;"",$AB169&lt;&gt;""),"YES","NO"),"N/A")</f>
        <v>N/A</v>
      </c>
      <c r="N169" s="4" t="str">
        <f>IF(OR($A169="Power Cable"),IF(AND($AD169&lt;&gt;""),"YES","NO"),"N/A")</f>
        <v>N/A</v>
      </c>
      <c r="O169" s="4" t="str">
        <f>IF(OR($A169="Power Cable",$A169="RTD Cable",$A169="Fieldbus Cable"),IF(AND($AE169&lt;&gt;""),"YES","NO"),"N/A")</f>
        <v>N/A</v>
      </c>
      <c r="P169" s="4" t="str">
        <f>IF(OR($A169="RTD"),IF(AND($AH169&lt;&gt;""),"YES","NO"),"N/A")</f>
        <v>NO</v>
      </c>
      <c r="Q169" s="4" t="str">
        <f>IF(OR($A169="RTD"),IF(AND($AI169&lt;&gt;""),"YES","NO"),"N/A")</f>
        <v>NO</v>
      </c>
      <c r="R169" s="4" t="str">
        <f>IF(OR($AM169&lt;&gt;"",$Z169&lt;&gt;"",$AC169&lt;&gt;""),"YES","NO")</f>
        <v>NO</v>
      </c>
      <c r="S169" s="4" t="str">
        <f>IF(COUNTIF(I169:R169,"NO")=0,"YES","NO")</f>
        <v>NO</v>
      </c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inlineStr">
        <is>
          <t>Levy Ostrup</t>
        </is>
      </c>
      <c r="AM169" s="9" t="n"/>
      <c r="AN169" s="9" t="n"/>
    </row>
    <row r="170">
      <c r="A170" s="9" t="inlineStr">
        <is>
          <t>RTD</t>
        </is>
      </c>
      <c r="B170" s="9" t="inlineStr">
        <is>
          <t>29103-ET-P2104-1-R-1</t>
        </is>
      </c>
      <c r="C170" s="9" t="inlineStr">
        <is>
          <t>29103-ET-P2104-1</t>
        </is>
      </c>
      <c r="D170" s="9" t="inlineStr">
        <is>
          <t>29103-HTP-004 HTC-18</t>
        </is>
      </c>
      <c r="E170" s="9" t="inlineStr">
        <is>
          <t>PRODUCED EMULSION</t>
        </is>
      </c>
      <c r="F170" s="9" t="inlineStr">
        <is>
          <t>29103-65R-ET-P2104-01-01</t>
        </is>
      </c>
      <c r="G170" s="9" t="inlineStr">
        <is>
          <t>13.2</t>
        </is>
      </c>
      <c r="H170" s="9" t="inlineStr">
        <is>
          <t>29103-ET-P2104-1-R-1.pdf</t>
        </is>
      </c>
      <c r="I170" s="4" t="str">
        <f>IF($H170&lt;&gt;"","YES","NO")</f>
        <v>YES</v>
      </c>
      <c r="J170" s="4" t="str">
        <f>IF(N($T170)&gt;0,"YES","NO")</f>
        <v>NO</v>
      </c>
      <c r="K170" s="4" t="str">
        <f>IF(OR($A170="EHT Trace"),IF(AND($U170&lt;&gt;"",$V170&lt;&gt;""),"YES","NO"),"N/A")</f>
        <v>N/A</v>
      </c>
      <c r="L170" s="4" t="str">
        <f>IF(OR($A170="EHT Trace"),IF(AND($X170&lt;&gt;"",$Y170&lt;&gt;""),"YES","NO"),"N/A")</f>
        <v>N/A</v>
      </c>
      <c r="M170" s="4" t="str">
        <f>IF(OR($A170="EHT Trace"),IF(AND($AA170&lt;&gt;"",$AB170&lt;&gt;""),"YES","NO"),"N/A")</f>
        <v>N/A</v>
      </c>
      <c r="N170" s="4" t="str">
        <f>IF(OR($A170="Power Cable"),IF(AND($AD170&lt;&gt;""),"YES","NO"),"N/A")</f>
        <v>N/A</v>
      </c>
      <c r="O170" s="4" t="str">
        <f>IF(OR($A170="Power Cable",$A170="RTD Cable",$A170="Fieldbus Cable"),IF(AND($AE170&lt;&gt;""),"YES","NO"),"N/A")</f>
        <v>N/A</v>
      </c>
      <c r="P170" s="4" t="str">
        <f>IF(OR($A170="RTD"),IF(AND($AH170&lt;&gt;""),"YES","NO"),"N/A")</f>
        <v>NO</v>
      </c>
      <c r="Q170" s="4" t="str">
        <f>IF(OR($A170="RTD"),IF(AND($AI170&lt;&gt;""),"YES","NO"),"N/A")</f>
        <v>NO</v>
      </c>
      <c r="R170" s="4" t="str">
        <f>IF(OR($AM170&lt;&gt;"",$Z170&lt;&gt;"",$AC170&lt;&gt;""),"YES","NO")</f>
        <v>NO</v>
      </c>
      <c r="S170" s="4" t="str">
        <f>IF(COUNTIF(I170:R170,"NO")=0,"YES","NO")</f>
        <v>NO</v>
      </c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inlineStr">
        <is>
          <t>Levy Ostrup</t>
        </is>
      </c>
      <c r="AM170" s="9" t="n"/>
      <c r="AN170" s="9" t="n"/>
    </row>
    <row r="171">
      <c r="A171" s="9" t="inlineStr">
        <is>
          <t>RTD</t>
        </is>
      </c>
      <c r="B171" s="9" t="inlineStr">
        <is>
          <t>29103-ET-P2104-1-R-2</t>
        </is>
      </c>
      <c r="C171" s="9" t="inlineStr">
        <is>
          <t>29103-ET-P2104-1</t>
        </is>
      </c>
      <c r="D171" s="9" t="inlineStr">
        <is>
          <t>29103-HTP-004 I/O-2-1</t>
        </is>
      </c>
      <c r="E171" s="9" t="inlineStr">
        <is>
          <t>PRODUCED EMULSION</t>
        </is>
      </c>
      <c r="F171" s="9" t="inlineStr">
        <is>
          <t>29103-65R-ET-P2104-01-01</t>
        </is>
      </c>
      <c r="G171" s="9" t="inlineStr">
        <is>
          <t>13.2</t>
        </is>
      </c>
      <c r="H171" s="9" t="inlineStr">
        <is>
          <t>29103-ET-P2104-1-R-2.pdf</t>
        </is>
      </c>
      <c r="I171" s="4" t="str">
        <f>IF($H171&lt;&gt;"","YES","NO")</f>
        <v>YES</v>
      </c>
      <c r="J171" s="4" t="str">
        <f>IF(N($T171)&gt;0,"YES","NO")</f>
        <v>NO</v>
      </c>
      <c r="K171" s="4" t="str">
        <f>IF(OR($A171="EHT Trace"),IF(AND($U171&lt;&gt;"",$V171&lt;&gt;""),"YES","NO"),"N/A")</f>
        <v>N/A</v>
      </c>
      <c r="L171" s="4" t="str">
        <f>IF(OR($A171="EHT Trace"),IF(AND($X171&lt;&gt;"",$Y171&lt;&gt;""),"YES","NO"),"N/A")</f>
        <v>N/A</v>
      </c>
      <c r="M171" s="4" t="str">
        <f>IF(OR($A171="EHT Trace"),IF(AND($AA171&lt;&gt;"",$AB171&lt;&gt;""),"YES","NO"),"N/A")</f>
        <v>N/A</v>
      </c>
      <c r="N171" s="4" t="str">
        <f>IF(OR($A171="Power Cable"),IF(AND($AD171&lt;&gt;""),"YES","NO"),"N/A")</f>
        <v>N/A</v>
      </c>
      <c r="O171" s="4" t="str">
        <f>IF(OR($A171="Power Cable",$A171="RTD Cable",$A171="Fieldbus Cable"),IF(AND($AE171&lt;&gt;""),"YES","NO"),"N/A")</f>
        <v>N/A</v>
      </c>
      <c r="P171" s="4" t="str">
        <f>IF(OR($A171="RTD"),IF(AND($AH171&lt;&gt;""),"YES","NO"),"N/A")</f>
        <v>NO</v>
      </c>
      <c r="Q171" s="4" t="str">
        <f>IF(OR($A171="RTD"),IF(AND($AI171&lt;&gt;""),"YES","NO"),"N/A")</f>
        <v>NO</v>
      </c>
      <c r="R171" s="4" t="str">
        <f>IF(OR($AM171&lt;&gt;"",$Z171&lt;&gt;"",$AC171&lt;&gt;""),"YES","NO")</f>
        <v>NO</v>
      </c>
      <c r="S171" s="4" t="str">
        <f>IF(COUNTIF(I171:R171,"NO")=0,"YES","NO")</f>
        <v>NO</v>
      </c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inlineStr">
        <is>
          <t>Levy Ostrup</t>
        </is>
      </c>
      <c r="AM171" s="9" t="n"/>
      <c r="AN171" s="9" t="n"/>
    </row>
    <row r="172">
      <c r="A172" s="9" t="inlineStr">
        <is>
          <t>RTD</t>
        </is>
      </c>
      <c r="B172" s="9" t="inlineStr">
        <is>
          <t>29103-ET-P2104-2-R-1</t>
        </is>
      </c>
      <c r="C172" s="9" t="inlineStr">
        <is>
          <t>29103-ET-P2104-2</t>
        </is>
      </c>
      <c r="D172" s="9" t="inlineStr">
        <is>
          <t>29103-HTP-004 HTC-25</t>
        </is>
      </c>
      <c r="E172" s="9" t="inlineStr">
        <is>
          <t>PRODUCED EMULSION</t>
        </is>
      </c>
      <c r="F172" s="9" t="inlineStr">
        <is>
          <t>29103-65R-ET-P2104-02-01</t>
        </is>
      </c>
      <c r="G172" s="9" t="inlineStr">
        <is>
          <t>13.2</t>
        </is>
      </c>
      <c r="H172" s="9" t="inlineStr">
        <is>
          <t>29103-ET-P2104-2-R-1.pdf</t>
        </is>
      </c>
      <c r="I172" s="4" t="str">
        <f>IF($H172&lt;&gt;"","YES","NO")</f>
        <v>YES</v>
      </c>
      <c r="J172" s="4" t="str">
        <f>IF(N($T172)&gt;0,"YES","NO")</f>
        <v>NO</v>
      </c>
      <c r="K172" s="4" t="str">
        <f>IF(OR($A172="EHT Trace"),IF(AND($U172&lt;&gt;"",$V172&lt;&gt;""),"YES","NO"),"N/A")</f>
        <v>N/A</v>
      </c>
      <c r="L172" s="4" t="str">
        <f>IF(OR($A172="EHT Trace"),IF(AND($X172&lt;&gt;"",$Y172&lt;&gt;""),"YES","NO"),"N/A")</f>
        <v>N/A</v>
      </c>
      <c r="M172" s="4" t="str">
        <f>IF(OR($A172="EHT Trace"),IF(AND($AA172&lt;&gt;"",$AB172&lt;&gt;""),"YES","NO"),"N/A")</f>
        <v>N/A</v>
      </c>
      <c r="N172" s="4" t="str">
        <f>IF(OR($A172="Power Cable"),IF(AND($AD172&lt;&gt;""),"YES","NO"),"N/A")</f>
        <v>N/A</v>
      </c>
      <c r="O172" s="4" t="str">
        <f>IF(OR($A172="Power Cable",$A172="RTD Cable",$A172="Fieldbus Cable"),IF(AND($AE172&lt;&gt;""),"YES","NO"),"N/A")</f>
        <v>N/A</v>
      </c>
      <c r="P172" s="4" t="str">
        <f>IF(OR($A172="RTD"),IF(AND($AH172&lt;&gt;""),"YES","NO"),"N/A")</f>
        <v>NO</v>
      </c>
      <c r="Q172" s="4" t="str">
        <f>IF(OR($A172="RTD"),IF(AND($AI172&lt;&gt;""),"YES","NO"),"N/A")</f>
        <v>NO</v>
      </c>
      <c r="R172" s="4" t="str">
        <f>IF(OR($AM172&lt;&gt;"",$Z172&lt;&gt;"",$AC172&lt;&gt;""),"YES","NO")</f>
        <v>NO</v>
      </c>
      <c r="S172" s="4" t="str">
        <f>IF(COUNTIF(I172:R172,"NO")=0,"YES","NO")</f>
        <v>NO</v>
      </c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inlineStr">
        <is>
          <t>Levy Ostrup</t>
        </is>
      </c>
      <c r="AM172" s="9" t="n"/>
      <c r="AN172" s="9" t="n"/>
    </row>
    <row r="173">
      <c r="A173" s="9" t="inlineStr">
        <is>
          <t>RTD</t>
        </is>
      </c>
      <c r="B173" s="9" t="inlineStr">
        <is>
          <t>29103-ET-P2104-2-R-2</t>
        </is>
      </c>
      <c r="C173" s="9" t="inlineStr">
        <is>
          <t>29103-ET-P2104-2</t>
        </is>
      </c>
      <c r="D173" s="9" t="inlineStr">
        <is>
          <t>29103-HTP-004 I/O-4-3</t>
        </is>
      </c>
      <c r="E173" s="9" t="inlineStr">
        <is>
          <t>PRODUCED EMULSION</t>
        </is>
      </c>
      <c r="F173" s="9" t="inlineStr">
        <is>
          <t>29103-65R-ET-P2104-02-01</t>
        </is>
      </c>
      <c r="G173" s="9" t="inlineStr">
        <is>
          <t>13.2</t>
        </is>
      </c>
      <c r="H173" s="9" t="inlineStr">
        <is>
          <t>29103-ET-P2104-2-R-2.pdf</t>
        </is>
      </c>
      <c r="I173" s="4" t="str">
        <f>IF($H173&lt;&gt;"","YES","NO")</f>
        <v>YES</v>
      </c>
      <c r="J173" s="4" t="str">
        <f>IF(N($T173)&gt;0,"YES","NO")</f>
        <v>NO</v>
      </c>
      <c r="K173" s="4" t="str">
        <f>IF(OR($A173="EHT Trace"),IF(AND($U173&lt;&gt;"",$V173&lt;&gt;""),"YES","NO"),"N/A")</f>
        <v>N/A</v>
      </c>
      <c r="L173" s="4" t="str">
        <f>IF(OR($A173="EHT Trace"),IF(AND($X173&lt;&gt;"",$Y173&lt;&gt;""),"YES","NO"),"N/A")</f>
        <v>N/A</v>
      </c>
      <c r="M173" s="4" t="str">
        <f>IF(OR($A173="EHT Trace"),IF(AND($AA173&lt;&gt;"",$AB173&lt;&gt;""),"YES","NO"),"N/A")</f>
        <v>N/A</v>
      </c>
      <c r="N173" s="4" t="str">
        <f>IF(OR($A173="Power Cable"),IF(AND($AD173&lt;&gt;""),"YES","NO"),"N/A")</f>
        <v>N/A</v>
      </c>
      <c r="O173" s="4" t="str">
        <f>IF(OR($A173="Power Cable",$A173="RTD Cable",$A173="Fieldbus Cable"),IF(AND($AE173&lt;&gt;""),"YES","NO"),"N/A")</f>
        <v>N/A</v>
      </c>
      <c r="P173" s="4" t="str">
        <f>IF(OR($A173="RTD"),IF(AND($AH173&lt;&gt;""),"YES","NO"),"N/A")</f>
        <v>NO</v>
      </c>
      <c r="Q173" s="4" t="str">
        <f>IF(OR($A173="RTD"),IF(AND($AI173&lt;&gt;""),"YES","NO"),"N/A")</f>
        <v>NO</v>
      </c>
      <c r="R173" s="4" t="str">
        <f>IF(OR($AM173&lt;&gt;"",$Z173&lt;&gt;"",$AC173&lt;&gt;""),"YES","NO")</f>
        <v>NO</v>
      </c>
      <c r="S173" s="4" t="str">
        <f>IF(COUNTIF(I173:R173,"NO")=0,"YES","NO")</f>
        <v>NO</v>
      </c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inlineStr">
        <is>
          <t>Levy Ostrup</t>
        </is>
      </c>
      <c r="AM173" s="9" t="n"/>
      <c r="AN173" s="9" t="n"/>
    </row>
    <row r="174">
      <c r="A174" s="9" t="inlineStr">
        <is>
          <t>RTD</t>
        </is>
      </c>
      <c r="B174" s="9" t="inlineStr">
        <is>
          <t>29103-ET-P2201-1-R-1</t>
        </is>
      </c>
      <c r="C174" s="9" t="inlineStr">
        <is>
          <t>29103-ET-P2201-1</t>
        </is>
      </c>
      <c r="D174" s="9" t="inlineStr">
        <is>
          <t>29103-HTP-004 HTC-05</t>
        </is>
      </c>
      <c r="E174" s="9" t="inlineStr">
        <is>
          <t>PRODUCED EMULSION</t>
        </is>
      </c>
      <c r="F174" s="9" t="inlineStr">
        <is>
          <t>29103-65R-ET-P2201-01-01</t>
        </is>
      </c>
      <c r="G174" s="9" t="inlineStr">
        <is>
          <t>13.2</t>
        </is>
      </c>
      <c r="H174" s="9" t="inlineStr">
        <is>
          <t>29103-ET-P2201-1-R-1.pdf</t>
        </is>
      </c>
      <c r="I174" s="4" t="str">
        <f>IF($H174&lt;&gt;"","YES","NO")</f>
        <v>YES</v>
      </c>
      <c r="J174" s="4" t="str">
        <f>IF(N($T174)&gt;0,"YES","NO")</f>
        <v>NO</v>
      </c>
      <c r="K174" s="4" t="str">
        <f>IF(OR($A174="EHT Trace"),IF(AND($U174&lt;&gt;"",$V174&lt;&gt;""),"YES","NO"),"N/A")</f>
        <v>N/A</v>
      </c>
      <c r="L174" s="4" t="str">
        <f>IF(OR($A174="EHT Trace"),IF(AND($X174&lt;&gt;"",$Y174&lt;&gt;""),"YES","NO"),"N/A")</f>
        <v>N/A</v>
      </c>
      <c r="M174" s="4" t="str">
        <f>IF(OR($A174="EHT Trace"),IF(AND($AA174&lt;&gt;"",$AB174&lt;&gt;""),"YES","NO"),"N/A")</f>
        <v>N/A</v>
      </c>
      <c r="N174" s="4" t="str">
        <f>IF(OR($A174="Power Cable"),IF(AND($AD174&lt;&gt;""),"YES","NO"),"N/A")</f>
        <v>N/A</v>
      </c>
      <c r="O174" s="4" t="str">
        <f>IF(OR($A174="Power Cable",$A174="RTD Cable",$A174="Fieldbus Cable"),IF(AND($AE174&lt;&gt;""),"YES","NO"),"N/A")</f>
        <v>N/A</v>
      </c>
      <c r="P174" s="4" t="str">
        <f>IF(OR($A174="RTD"),IF(AND($AH174&lt;&gt;""),"YES","NO"),"N/A")</f>
        <v>NO</v>
      </c>
      <c r="Q174" s="4" t="str">
        <f>IF(OR($A174="RTD"),IF(AND($AI174&lt;&gt;""),"YES","NO"),"N/A")</f>
        <v>NO</v>
      </c>
      <c r="R174" s="4" t="str">
        <f>IF(OR($AM174&lt;&gt;"",$Z174&lt;&gt;"",$AC174&lt;&gt;""),"YES","NO")</f>
        <v>NO</v>
      </c>
      <c r="S174" s="4" t="str">
        <f>IF(COUNTIF(I174:R174,"NO")=0,"YES","NO")</f>
        <v>NO</v>
      </c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inlineStr">
        <is>
          <t>Levy Ostrup</t>
        </is>
      </c>
      <c r="AM174" s="9" t="n"/>
      <c r="AN174" s="9" t="n"/>
    </row>
    <row r="175">
      <c r="A175" s="9" t="inlineStr">
        <is>
          <t>RTD</t>
        </is>
      </c>
      <c r="B175" s="9" t="inlineStr">
        <is>
          <t>29103-ET-P2204-1-R-1</t>
        </is>
      </c>
      <c r="C175" s="9" t="inlineStr">
        <is>
          <t>29103-ET-P2204-1</t>
        </is>
      </c>
      <c r="D175" s="9" t="inlineStr">
        <is>
          <t>29103-HTP-004 HTC-09</t>
        </is>
      </c>
      <c r="E175" s="9" t="inlineStr">
        <is>
          <t>PRODUCED EMULSION</t>
        </is>
      </c>
      <c r="F175" s="9" t="inlineStr">
        <is>
          <t>29103-65R-ET-P2204-01-01</t>
        </is>
      </c>
      <c r="G175" s="9" t="inlineStr">
        <is>
          <t>13.2</t>
        </is>
      </c>
      <c r="H175" s="9" t="inlineStr">
        <is>
          <t>29103-ET-P2204-1-R-1.pdf</t>
        </is>
      </c>
      <c r="I175" s="4" t="str">
        <f>IF($H175&lt;&gt;"","YES","NO")</f>
        <v>YES</v>
      </c>
      <c r="J175" s="4" t="str">
        <f>IF(N($T175)&gt;0,"YES","NO")</f>
        <v>NO</v>
      </c>
      <c r="K175" s="4" t="str">
        <f>IF(OR($A175="EHT Trace"),IF(AND($U175&lt;&gt;"",$V175&lt;&gt;""),"YES","NO"),"N/A")</f>
        <v>N/A</v>
      </c>
      <c r="L175" s="4" t="str">
        <f>IF(OR($A175="EHT Trace"),IF(AND($X175&lt;&gt;"",$Y175&lt;&gt;""),"YES","NO"),"N/A")</f>
        <v>N/A</v>
      </c>
      <c r="M175" s="4" t="str">
        <f>IF(OR($A175="EHT Trace"),IF(AND($AA175&lt;&gt;"",$AB175&lt;&gt;""),"YES","NO"),"N/A")</f>
        <v>N/A</v>
      </c>
      <c r="N175" s="4" t="str">
        <f>IF(OR($A175="Power Cable"),IF(AND($AD175&lt;&gt;""),"YES","NO"),"N/A")</f>
        <v>N/A</v>
      </c>
      <c r="O175" s="4" t="str">
        <f>IF(OR($A175="Power Cable",$A175="RTD Cable",$A175="Fieldbus Cable"),IF(AND($AE175&lt;&gt;""),"YES","NO"),"N/A")</f>
        <v>N/A</v>
      </c>
      <c r="P175" s="4" t="str">
        <f>IF(OR($A175="RTD"),IF(AND($AH175&lt;&gt;""),"YES","NO"),"N/A")</f>
        <v>NO</v>
      </c>
      <c r="Q175" s="4" t="str">
        <f>IF(OR($A175="RTD"),IF(AND($AI175&lt;&gt;""),"YES","NO"),"N/A")</f>
        <v>NO</v>
      </c>
      <c r="R175" s="4" t="str">
        <f>IF(OR($AM175&lt;&gt;"",$Z175&lt;&gt;"",$AC175&lt;&gt;""),"YES","NO")</f>
        <v>NO</v>
      </c>
      <c r="S175" s="4" t="str">
        <f>IF(COUNTIF(I175:R175,"NO")=0,"YES","NO")</f>
        <v>NO</v>
      </c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inlineStr">
        <is>
          <t>Levy Ostrup</t>
        </is>
      </c>
      <c r="AM175" s="9" t="n"/>
      <c r="AN175" s="9" t="n"/>
    </row>
    <row r="176">
      <c r="A176" s="9" t="inlineStr">
        <is>
          <t>RTD</t>
        </is>
      </c>
      <c r="B176" s="9" t="inlineStr">
        <is>
          <t>29103-ET-P2204-1-R-2</t>
        </is>
      </c>
      <c r="C176" s="9" t="inlineStr">
        <is>
          <t>29103-ET-P2204-1</t>
        </is>
      </c>
      <c r="D176" s="9" t="inlineStr">
        <is>
          <t>29103-HTP-004 I/O-1-4</t>
        </is>
      </c>
      <c r="E176" s="9" t="inlineStr">
        <is>
          <t>PRODUCED EMULSION</t>
        </is>
      </c>
      <c r="F176" s="9" t="inlineStr">
        <is>
          <t>29103-65R-ET-P2204-01-01</t>
        </is>
      </c>
      <c r="G176" s="9" t="inlineStr">
        <is>
          <t>13.2</t>
        </is>
      </c>
      <c r="H176" s="9" t="inlineStr">
        <is>
          <t>29103-ET-P2204-1-R-2.pdf</t>
        </is>
      </c>
      <c r="I176" s="4" t="str">
        <f>IF($H176&lt;&gt;"","YES","NO")</f>
        <v>YES</v>
      </c>
      <c r="J176" s="4" t="str">
        <f>IF(N($T176)&gt;0,"YES","NO")</f>
        <v>NO</v>
      </c>
      <c r="K176" s="4" t="str">
        <f>IF(OR($A176="EHT Trace"),IF(AND($U176&lt;&gt;"",$V176&lt;&gt;""),"YES","NO"),"N/A")</f>
        <v>N/A</v>
      </c>
      <c r="L176" s="4" t="str">
        <f>IF(OR($A176="EHT Trace"),IF(AND($X176&lt;&gt;"",$Y176&lt;&gt;""),"YES","NO"),"N/A")</f>
        <v>N/A</v>
      </c>
      <c r="M176" s="4" t="str">
        <f>IF(OR($A176="EHT Trace"),IF(AND($AA176&lt;&gt;"",$AB176&lt;&gt;""),"YES","NO"),"N/A")</f>
        <v>N/A</v>
      </c>
      <c r="N176" s="4" t="str">
        <f>IF(OR($A176="Power Cable"),IF(AND($AD176&lt;&gt;""),"YES","NO"),"N/A")</f>
        <v>N/A</v>
      </c>
      <c r="O176" s="4" t="str">
        <f>IF(OR($A176="Power Cable",$A176="RTD Cable",$A176="Fieldbus Cable"),IF(AND($AE176&lt;&gt;""),"YES","NO"),"N/A")</f>
        <v>N/A</v>
      </c>
      <c r="P176" s="4" t="str">
        <f>IF(OR($A176="RTD"),IF(AND($AH176&lt;&gt;""),"YES","NO"),"N/A")</f>
        <v>NO</v>
      </c>
      <c r="Q176" s="4" t="str">
        <f>IF(OR($A176="RTD"),IF(AND($AI176&lt;&gt;""),"YES","NO"),"N/A")</f>
        <v>NO</v>
      </c>
      <c r="R176" s="4" t="str">
        <f>IF(OR($AM176&lt;&gt;"",$Z176&lt;&gt;"",$AC176&lt;&gt;""),"YES","NO")</f>
        <v>NO</v>
      </c>
      <c r="S176" s="4" t="str">
        <f>IF(COUNTIF(I176:R176,"NO")=0,"YES","NO")</f>
        <v>NO</v>
      </c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inlineStr">
        <is>
          <t>Levy Ostrup</t>
        </is>
      </c>
      <c r="AM176" s="9" t="n"/>
      <c r="AN176" s="9" t="n"/>
    </row>
    <row r="177">
      <c r="A177" s="9" t="inlineStr">
        <is>
          <t>RTD</t>
        </is>
      </c>
      <c r="B177" s="9" t="inlineStr">
        <is>
          <t>29103-ET-P2204-2-R-1</t>
        </is>
      </c>
      <c r="C177" s="9" t="inlineStr">
        <is>
          <t>29103-ET-P2204-2</t>
        </is>
      </c>
      <c r="D177" s="9" t="inlineStr">
        <is>
          <t>29103-HTP-004 HTC-26</t>
        </is>
      </c>
      <c r="E177" s="9" t="inlineStr">
        <is>
          <t>PRODUCED EMULSION</t>
        </is>
      </c>
      <c r="F177" s="9" t="inlineStr">
        <is>
          <t>29103-65R-ET-P2204-02-01</t>
        </is>
      </c>
      <c r="G177" s="9" t="inlineStr">
        <is>
          <t>13.2</t>
        </is>
      </c>
      <c r="H177" s="9" t="inlineStr">
        <is>
          <t>29103-ET-P2204-2-R-1.pdf</t>
        </is>
      </c>
      <c r="I177" s="4" t="str">
        <f>IF($H177&lt;&gt;"","YES","NO")</f>
        <v>YES</v>
      </c>
      <c r="J177" s="4" t="str">
        <f>IF(N($T177)&gt;0,"YES","NO")</f>
        <v>NO</v>
      </c>
      <c r="K177" s="4" t="str">
        <f>IF(OR($A177="EHT Trace"),IF(AND($U177&lt;&gt;"",$V177&lt;&gt;""),"YES","NO"),"N/A")</f>
        <v>N/A</v>
      </c>
      <c r="L177" s="4" t="str">
        <f>IF(OR($A177="EHT Trace"),IF(AND($X177&lt;&gt;"",$Y177&lt;&gt;""),"YES","NO"),"N/A")</f>
        <v>N/A</v>
      </c>
      <c r="M177" s="4" t="str">
        <f>IF(OR($A177="EHT Trace"),IF(AND($AA177&lt;&gt;"",$AB177&lt;&gt;""),"YES","NO"),"N/A")</f>
        <v>N/A</v>
      </c>
      <c r="N177" s="4" t="str">
        <f>IF(OR($A177="Power Cable"),IF(AND($AD177&lt;&gt;""),"YES","NO"),"N/A")</f>
        <v>N/A</v>
      </c>
      <c r="O177" s="4" t="str">
        <f>IF(OR($A177="Power Cable",$A177="RTD Cable",$A177="Fieldbus Cable"),IF(AND($AE177&lt;&gt;""),"YES","NO"),"N/A")</f>
        <v>N/A</v>
      </c>
      <c r="P177" s="4" t="str">
        <f>IF(OR($A177="RTD"),IF(AND($AH177&lt;&gt;""),"YES","NO"),"N/A")</f>
        <v>NO</v>
      </c>
      <c r="Q177" s="4" t="str">
        <f>IF(OR($A177="RTD"),IF(AND($AI177&lt;&gt;""),"YES","NO"),"N/A")</f>
        <v>NO</v>
      </c>
      <c r="R177" s="4" t="str">
        <f>IF(OR($AM177&lt;&gt;"",$Z177&lt;&gt;"",$AC177&lt;&gt;""),"YES","NO")</f>
        <v>NO</v>
      </c>
      <c r="S177" s="4" t="str">
        <f>IF(COUNTIF(I177:R177,"NO")=0,"YES","NO")</f>
        <v>NO</v>
      </c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inlineStr">
        <is>
          <t>Levy Ostrup</t>
        </is>
      </c>
      <c r="AM177" s="9" t="n"/>
      <c r="AN177" s="9" t="n"/>
    </row>
    <row r="178">
      <c r="A178" s="9" t="inlineStr">
        <is>
          <t>RTD</t>
        </is>
      </c>
      <c r="B178" s="9" t="inlineStr">
        <is>
          <t>29103-ET-P2204-2-R-2</t>
        </is>
      </c>
      <c r="C178" s="9" t="inlineStr">
        <is>
          <t>29103-ET-P2204-2</t>
        </is>
      </c>
      <c r="D178" s="9" t="inlineStr">
        <is>
          <t>29103-HTP-004 I/O-4-4</t>
        </is>
      </c>
      <c r="E178" s="9" t="inlineStr">
        <is>
          <t>PRODUCED EMULSION</t>
        </is>
      </c>
      <c r="F178" s="9" t="inlineStr">
        <is>
          <t>29103-65R-ET-P2204-02-01</t>
        </is>
      </c>
      <c r="G178" s="9" t="inlineStr">
        <is>
          <t>13.2</t>
        </is>
      </c>
      <c r="H178" s="9" t="inlineStr">
        <is>
          <t>29103-ET-P2204-2-R-2.pdf</t>
        </is>
      </c>
      <c r="I178" s="4" t="str">
        <f>IF($H178&lt;&gt;"","YES","NO")</f>
        <v>YES</v>
      </c>
      <c r="J178" s="4" t="str">
        <f>IF(N($T178)&gt;0,"YES","NO")</f>
        <v>NO</v>
      </c>
      <c r="K178" s="4" t="str">
        <f>IF(OR($A178="EHT Trace"),IF(AND($U178&lt;&gt;"",$V178&lt;&gt;""),"YES","NO"),"N/A")</f>
        <v>N/A</v>
      </c>
      <c r="L178" s="4" t="str">
        <f>IF(OR($A178="EHT Trace"),IF(AND($X178&lt;&gt;"",$Y178&lt;&gt;""),"YES","NO"),"N/A")</f>
        <v>N/A</v>
      </c>
      <c r="M178" s="4" t="str">
        <f>IF(OR($A178="EHT Trace"),IF(AND($AA178&lt;&gt;"",$AB178&lt;&gt;""),"YES","NO"),"N/A")</f>
        <v>N/A</v>
      </c>
      <c r="N178" s="4" t="str">
        <f>IF(OR($A178="Power Cable"),IF(AND($AD178&lt;&gt;""),"YES","NO"),"N/A")</f>
        <v>N/A</v>
      </c>
      <c r="O178" s="4" t="str">
        <f>IF(OR($A178="Power Cable",$A178="RTD Cable",$A178="Fieldbus Cable"),IF(AND($AE178&lt;&gt;""),"YES","NO"),"N/A")</f>
        <v>N/A</v>
      </c>
      <c r="P178" s="4" t="str">
        <f>IF(OR($A178="RTD"),IF(AND($AH178&lt;&gt;""),"YES","NO"),"N/A")</f>
        <v>NO</v>
      </c>
      <c r="Q178" s="4" t="str">
        <f>IF(OR($A178="RTD"),IF(AND($AI178&lt;&gt;""),"YES","NO"),"N/A")</f>
        <v>NO</v>
      </c>
      <c r="R178" s="4" t="str">
        <f>IF(OR($AM178&lt;&gt;"",$Z178&lt;&gt;"",$AC178&lt;&gt;""),"YES","NO")</f>
        <v>NO</v>
      </c>
      <c r="S178" s="4" t="str">
        <f>IF(COUNTIF(I178:R178,"NO")=0,"YES","NO")</f>
        <v>NO</v>
      </c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inlineStr">
        <is>
          <t>Levy Ostrup</t>
        </is>
      </c>
      <c r="AM178" s="9" t="n"/>
      <c r="AN178" s="9" t="n"/>
    </row>
    <row r="179">
      <c r="A179" s="9" t="inlineStr">
        <is>
          <t>RTD</t>
        </is>
      </c>
      <c r="B179" s="9" t="inlineStr">
        <is>
          <t>29103-ET-P2301-1-R-1</t>
        </is>
      </c>
      <c r="C179" s="9" t="inlineStr">
        <is>
          <t>29103-ET-P2301-1</t>
        </is>
      </c>
      <c r="D179" s="9" t="inlineStr">
        <is>
          <t>29103-HTP-004 HTC-04</t>
        </is>
      </c>
      <c r="E179" s="9" t="inlineStr">
        <is>
          <t>PRODUCED EMULSION</t>
        </is>
      </c>
      <c r="F179" s="9" t="inlineStr">
        <is>
          <t>29103-65R-ET-P2301-01-01</t>
        </is>
      </c>
      <c r="G179" s="9" t="inlineStr">
        <is>
          <t>13.2</t>
        </is>
      </c>
      <c r="H179" s="9" t="inlineStr">
        <is>
          <t>29103-ET-P2301-1-R-1.pdf</t>
        </is>
      </c>
      <c r="I179" s="4" t="str">
        <f>IF($H179&lt;&gt;"","YES","NO")</f>
        <v>YES</v>
      </c>
      <c r="J179" s="4" t="str">
        <f>IF(N($T179)&gt;0,"YES","NO")</f>
        <v>NO</v>
      </c>
      <c r="K179" s="4" t="str">
        <f>IF(OR($A179="EHT Trace"),IF(AND($U179&lt;&gt;"",$V179&lt;&gt;""),"YES","NO"),"N/A")</f>
        <v>N/A</v>
      </c>
      <c r="L179" s="4" t="str">
        <f>IF(OR($A179="EHT Trace"),IF(AND($X179&lt;&gt;"",$Y179&lt;&gt;""),"YES","NO"),"N/A")</f>
        <v>N/A</v>
      </c>
      <c r="M179" s="4" t="str">
        <f>IF(OR($A179="EHT Trace"),IF(AND($AA179&lt;&gt;"",$AB179&lt;&gt;""),"YES","NO"),"N/A")</f>
        <v>N/A</v>
      </c>
      <c r="N179" s="4" t="str">
        <f>IF(OR($A179="Power Cable"),IF(AND($AD179&lt;&gt;""),"YES","NO"),"N/A")</f>
        <v>N/A</v>
      </c>
      <c r="O179" s="4" t="str">
        <f>IF(OR($A179="Power Cable",$A179="RTD Cable",$A179="Fieldbus Cable"),IF(AND($AE179&lt;&gt;""),"YES","NO"),"N/A")</f>
        <v>N/A</v>
      </c>
      <c r="P179" s="4" t="str">
        <f>IF(OR($A179="RTD"),IF(AND($AH179&lt;&gt;""),"YES","NO"),"N/A")</f>
        <v>NO</v>
      </c>
      <c r="Q179" s="4" t="str">
        <f>IF(OR($A179="RTD"),IF(AND($AI179&lt;&gt;""),"YES","NO"),"N/A")</f>
        <v>NO</v>
      </c>
      <c r="R179" s="4" t="str">
        <f>IF(OR($AM179&lt;&gt;"",$Z179&lt;&gt;"",$AC179&lt;&gt;""),"YES","NO")</f>
        <v>NO</v>
      </c>
      <c r="S179" s="4" t="str">
        <f>IF(COUNTIF(I179:R179,"NO")=0,"YES","NO")</f>
        <v>NO</v>
      </c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inlineStr">
        <is>
          <t>Levy Ostrup</t>
        </is>
      </c>
      <c r="AM179" s="9" t="n"/>
      <c r="AN179" s="9" t="n"/>
    </row>
    <row r="180">
      <c r="A180" s="9" t="inlineStr">
        <is>
          <t>RTD</t>
        </is>
      </c>
      <c r="B180" s="9" t="inlineStr">
        <is>
          <t>29103-ET-P2304-1-R-1</t>
        </is>
      </c>
      <c r="C180" s="9" t="inlineStr">
        <is>
          <t>29103-ET-P2304-1</t>
        </is>
      </c>
      <c r="D180" s="9" t="inlineStr">
        <is>
          <t>29103-HTP-004 HTC-02</t>
        </is>
      </c>
      <c r="E180" s="9" t="inlineStr">
        <is>
          <t>PRODUCED EMULSION</t>
        </is>
      </c>
      <c r="F180" s="9" t="inlineStr">
        <is>
          <t>29103-65R-ET-P2304-01-01</t>
        </is>
      </c>
      <c r="G180" s="9" t="inlineStr">
        <is>
          <t>13.2</t>
        </is>
      </c>
      <c r="H180" s="9" t="inlineStr">
        <is>
          <t>29103-ET-P2304-1-R-1.pdf</t>
        </is>
      </c>
      <c r="I180" s="4" t="str">
        <f>IF($H180&lt;&gt;"","YES","NO")</f>
        <v>YES</v>
      </c>
      <c r="J180" s="4" t="str">
        <f>IF(N($T180)&gt;0,"YES","NO")</f>
        <v>NO</v>
      </c>
      <c r="K180" s="4" t="str">
        <f>IF(OR($A180="EHT Trace"),IF(AND($U180&lt;&gt;"",$V180&lt;&gt;""),"YES","NO"),"N/A")</f>
        <v>N/A</v>
      </c>
      <c r="L180" s="4" t="str">
        <f>IF(OR($A180="EHT Trace"),IF(AND($X180&lt;&gt;"",$Y180&lt;&gt;""),"YES","NO"),"N/A")</f>
        <v>N/A</v>
      </c>
      <c r="M180" s="4" t="str">
        <f>IF(OR($A180="EHT Trace"),IF(AND($AA180&lt;&gt;"",$AB180&lt;&gt;""),"YES","NO"),"N/A")</f>
        <v>N/A</v>
      </c>
      <c r="N180" s="4" t="str">
        <f>IF(OR($A180="Power Cable"),IF(AND($AD180&lt;&gt;""),"YES","NO"),"N/A")</f>
        <v>N/A</v>
      </c>
      <c r="O180" s="4" t="str">
        <f>IF(OR($A180="Power Cable",$A180="RTD Cable",$A180="Fieldbus Cable"),IF(AND($AE180&lt;&gt;""),"YES","NO"),"N/A")</f>
        <v>N/A</v>
      </c>
      <c r="P180" s="4" t="str">
        <f>IF(OR($A180="RTD"),IF(AND($AH180&lt;&gt;""),"YES","NO"),"N/A")</f>
        <v>NO</v>
      </c>
      <c r="Q180" s="4" t="str">
        <f>IF(OR($A180="RTD"),IF(AND($AI180&lt;&gt;""),"YES","NO"),"N/A")</f>
        <v>NO</v>
      </c>
      <c r="R180" s="4" t="str">
        <f>IF(OR($AM180&lt;&gt;"",$Z180&lt;&gt;"",$AC180&lt;&gt;""),"YES","NO")</f>
        <v>NO</v>
      </c>
      <c r="S180" s="4" t="str">
        <f>IF(COUNTIF(I180:R180,"NO")=0,"YES","NO")</f>
        <v>NO</v>
      </c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inlineStr">
        <is>
          <t>Levy Ostrup</t>
        </is>
      </c>
      <c r="AM180" s="9" t="n"/>
      <c r="AN180" s="9" t="n"/>
    </row>
    <row r="181">
      <c r="A181" s="9" t="inlineStr">
        <is>
          <t>RTD</t>
        </is>
      </c>
      <c r="B181" s="9" t="inlineStr">
        <is>
          <t>29103-ET-P2304-1-R-2</t>
        </is>
      </c>
      <c r="C181" s="9" t="inlineStr">
        <is>
          <t>29103-ET-P2304-1</t>
        </is>
      </c>
      <c r="D181" s="9" t="inlineStr">
        <is>
          <t>29103-HTP-004 I/O-1-3</t>
        </is>
      </c>
      <c r="E181" s="9" t="inlineStr">
        <is>
          <t>PRODUCED EMULSION</t>
        </is>
      </c>
      <c r="F181" s="9" t="inlineStr">
        <is>
          <t>29103-65R-ET-P2304-01-01</t>
        </is>
      </c>
      <c r="G181" s="9" t="inlineStr">
        <is>
          <t>13.2</t>
        </is>
      </c>
      <c r="H181" s="9" t="inlineStr">
        <is>
          <t>29103-ET-P2304-1-R-2.pdf</t>
        </is>
      </c>
      <c r="I181" s="4" t="str">
        <f>IF($H181&lt;&gt;"","YES","NO")</f>
        <v>YES</v>
      </c>
      <c r="J181" s="4" t="str">
        <f>IF(N($T181)&gt;0,"YES","NO")</f>
        <v>NO</v>
      </c>
      <c r="K181" s="4" t="str">
        <f>IF(OR($A181="EHT Trace"),IF(AND($U181&lt;&gt;"",$V181&lt;&gt;""),"YES","NO"),"N/A")</f>
        <v>N/A</v>
      </c>
      <c r="L181" s="4" t="str">
        <f>IF(OR($A181="EHT Trace"),IF(AND($X181&lt;&gt;"",$Y181&lt;&gt;""),"YES","NO"),"N/A")</f>
        <v>N/A</v>
      </c>
      <c r="M181" s="4" t="str">
        <f>IF(OR($A181="EHT Trace"),IF(AND($AA181&lt;&gt;"",$AB181&lt;&gt;""),"YES","NO"),"N/A")</f>
        <v>N/A</v>
      </c>
      <c r="N181" s="4" t="str">
        <f>IF(OR($A181="Power Cable"),IF(AND($AD181&lt;&gt;""),"YES","NO"),"N/A")</f>
        <v>N/A</v>
      </c>
      <c r="O181" s="4" t="str">
        <f>IF(OR($A181="Power Cable",$A181="RTD Cable",$A181="Fieldbus Cable"),IF(AND($AE181&lt;&gt;""),"YES","NO"),"N/A")</f>
        <v>N/A</v>
      </c>
      <c r="P181" s="4" t="str">
        <f>IF(OR($A181="RTD"),IF(AND($AH181&lt;&gt;""),"YES","NO"),"N/A")</f>
        <v>NO</v>
      </c>
      <c r="Q181" s="4" t="str">
        <f>IF(OR($A181="RTD"),IF(AND($AI181&lt;&gt;""),"YES","NO"),"N/A")</f>
        <v>NO</v>
      </c>
      <c r="R181" s="4" t="str">
        <f>IF(OR($AM181&lt;&gt;"",$Z181&lt;&gt;"",$AC181&lt;&gt;""),"YES","NO")</f>
        <v>NO</v>
      </c>
      <c r="S181" s="4" t="str">
        <f>IF(COUNTIF(I181:R181,"NO")=0,"YES","NO")</f>
        <v>NO</v>
      </c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inlineStr">
        <is>
          <t>Levy Ostrup</t>
        </is>
      </c>
      <c r="AM181" s="9" t="n"/>
      <c r="AN181" s="9" t="n"/>
    </row>
    <row r="182">
      <c r="A182" s="9" t="inlineStr">
        <is>
          <t>RTD</t>
        </is>
      </c>
      <c r="B182" s="9" t="inlineStr">
        <is>
          <t>29103-ET-P2304-2-R-1</t>
        </is>
      </c>
      <c r="C182" s="9" t="inlineStr">
        <is>
          <t>29103-ET-P2304-2</t>
        </is>
      </c>
      <c r="D182" s="9" t="inlineStr">
        <is>
          <t>29103-HTP-004 HTC-27</t>
        </is>
      </c>
      <c r="E182" s="9" t="inlineStr">
        <is>
          <t>PRODUCED EMULSION</t>
        </is>
      </c>
      <c r="F182" s="9" t="inlineStr">
        <is>
          <t>29103-65R-ET-P2304-02-01</t>
        </is>
      </c>
      <c r="G182" s="9" t="inlineStr">
        <is>
          <t>13.2</t>
        </is>
      </c>
      <c r="H182" s="9" t="inlineStr">
        <is>
          <t>29103-ET-P2304-2-R-1.pdf</t>
        </is>
      </c>
      <c r="I182" s="4" t="str">
        <f>IF($H182&lt;&gt;"","YES","NO")</f>
        <v>YES</v>
      </c>
      <c r="J182" s="4" t="str">
        <f>IF(N($T182)&gt;0,"YES","NO")</f>
        <v>NO</v>
      </c>
      <c r="K182" s="4" t="str">
        <f>IF(OR($A182="EHT Trace"),IF(AND($U182&lt;&gt;"",$V182&lt;&gt;""),"YES","NO"),"N/A")</f>
        <v>N/A</v>
      </c>
      <c r="L182" s="4" t="str">
        <f>IF(OR($A182="EHT Trace"),IF(AND($X182&lt;&gt;"",$Y182&lt;&gt;""),"YES","NO"),"N/A")</f>
        <v>N/A</v>
      </c>
      <c r="M182" s="4" t="str">
        <f>IF(OR($A182="EHT Trace"),IF(AND($AA182&lt;&gt;"",$AB182&lt;&gt;""),"YES","NO"),"N/A")</f>
        <v>N/A</v>
      </c>
      <c r="N182" s="4" t="str">
        <f>IF(OR($A182="Power Cable"),IF(AND($AD182&lt;&gt;""),"YES","NO"),"N/A")</f>
        <v>N/A</v>
      </c>
      <c r="O182" s="4" t="str">
        <f>IF(OR($A182="Power Cable",$A182="RTD Cable",$A182="Fieldbus Cable"),IF(AND($AE182&lt;&gt;""),"YES","NO"),"N/A")</f>
        <v>N/A</v>
      </c>
      <c r="P182" s="4" t="str">
        <f>IF(OR($A182="RTD"),IF(AND($AH182&lt;&gt;""),"YES","NO"),"N/A")</f>
        <v>NO</v>
      </c>
      <c r="Q182" s="4" t="str">
        <f>IF(OR($A182="RTD"),IF(AND($AI182&lt;&gt;""),"YES","NO"),"N/A")</f>
        <v>NO</v>
      </c>
      <c r="R182" s="4" t="str">
        <f>IF(OR($AM182&lt;&gt;"",$Z182&lt;&gt;"",$AC182&lt;&gt;""),"YES","NO")</f>
        <v>NO</v>
      </c>
      <c r="S182" s="4" t="str">
        <f>IF(COUNTIF(I182:R182,"NO")=0,"YES","NO")</f>
        <v>NO</v>
      </c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inlineStr">
        <is>
          <t>Levy Ostrup</t>
        </is>
      </c>
      <c r="AM182" s="9" t="n"/>
      <c r="AN182" s="9" t="n"/>
    </row>
    <row r="183">
      <c r="A183" s="9" t="inlineStr">
        <is>
          <t>RTD</t>
        </is>
      </c>
      <c r="B183" s="9" t="inlineStr">
        <is>
          <t>29103-ET-P2304-2-R-2</t>
        </is>
      </c>
      <c r="C183" s="9" t="inlineStr">
        <is>
          <t>29103-ET-P2304-2</t>
        </is>
      </c>
      <c r="D183" s="9" t="inlineStr">
        <is>
          <t>29103-HTP-004 HTC-28</t>
        </is>
      </c>
      <c r="E183" s="9" t="inlineStr">
        <is>
          <t>PRODUCED EMULSION</t>
        </is>
      </c>
      <c r="F183" s="9" t="inlineStr">
        <is>
          <t>29103-65R-ET-P2304-02-01</t>
        </is>
      </c>
      <c r="G183" s="9" t="inlineStr">
        <is>
          <t>13.2</t>
        </is>
      </c>
      <c r="H183" s="9" t="inlineStr">
        <is>
          <t>29103-ET-P2304-2-R-2.pdf</t>
        </is>
      </c>
      <c r="I183" s="4" t="str">
        <f>IF($H183&lt;&gt;"","YES","NO")</f>
        <v>YES</v>
      </c>
      <c r="J183" s="4" t="str">
        <f>IF(N($T183)&gt;0,"YES","NO")</f>
        <v>NO</v>
      </c>
      <c r="K183" s="4" t="str">
        <f>IF(OR($A183="EHT Trace"),IF(AND($U183&lt;&gt;"",$V183&lt;&gt;""),"YES","NO"),"N/A")</f>
        <v>N/A</v>
      </c>
      <c r="L183" s="4" t="str">
        <f>IF(OR($A183="EHT Trace"),IF(AND($X183&lt;&gt;"",$Y183&lt;&gt;""),"YES","NO"),"N/A")</f>
        <v>N/A</v>
      </c>
      <c r="M183" s="4" t="str">
        <f>IF(OR($A183="EHT Trace"),IF(AND($AA183&lt;&gt;"",$AB183&lt;&gt;""),"YES","NO"),"N/A")</f>
        <v>N/A</v>
      </c>
      <c r="N183" s="4" t="str">
        <f>IF(OR($A183="Power Cable"),IF(AND($AD183&lt;&gt;""),"YES","NO"),"N/A")</f>
        <v>N/A</v>
      </c>
      <c r="O183" s="4" t="str">
        <f>IF(OR($A183="Power Cable",$A183="RTD Cable",$A183="Fieldbus Cable"),IF(AND($AE183&lt;&gt;""),"YES","NO"),"N/A")</f>
        <v>N/A</v>
      </c>
      <c r="P183" s="4" t="str">
        <f>IF(OR($A183="RTD"),IF(AND($AH183&lt;&gt;""),"YES","NO"),"N/A")</f>
        <v>NO</v>
      </c>
      <c r="Q183" s="4" t="str">
        <f>IF(OR($A183="RTD"),IF(AND($AI183&lt;&gt;""),"YES","NO"),"N/A")</f>
        <v>NO</v>
      </c>
      <c r="R183" s="4" t="str">
        <f>IF(OR($AM183&lt;&gt;"",$Z183&lt;&gt;"",$AC183&lt;&gt;""),"YES","NO")</f>
        <v>NO</v>
      </c>
      <c r="S183" s="4" t="str">
        <f>IF(COUNTIF(I183:R183,"NO")=0,"YES","NO")</f>
        <v>NO</v>
      </c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inlineStr">
        <is>
          <t>Levy Ostrup</t>
        </is>
      </c>
      <c r="AM183" s="9" t="n"/>
      <c r="AN183" s="9" t="n"/>
    </row>
    <row r="184">
      <c r="A184" s="9" t="inlineStr">
        <is>
          <t>RTD</t>
        </is>
      </c>
      <c r="B184" s="9" t="inlineStr">
        <is>
          <t>29103-ET-P2404-1-R-1</t>
        </is>
      </c>
      <c r="C184" s="9" t="inlineStr">
        <is>
          <t>29103-ET-P2404-1</t>
        </is>
      </c>
      <c r="D184" s="9" t="inlineStr">
        <is>
          <t>29103-HTP-004 HTC-32</t>
        </is>
      </c>
      <c r="E184" s="9" t="inlineStr">
        <is>
          <t>PRODUCED EMULSION</t>
        </is>
      </c>
      <c r="F184" s="9" t="inlineStr">
        <is>
          <t>29103-65R-ET-P2404-01-01</t>
        </is>
      </c>
      <c r="G184" s="9" t="inlineStr">
        <is>
          <t>13.2</t>
        </is>
      </c>
      <c r="H184" s="9" t="inlineStr">
        <is>
          <t>29103-ET-P2404-1-R-1.pdf</t>
        </is>
      </c>
      <c r="I184" s="4" t="str">
        <f>IF($H184&lt;&gt;"","YES","NO")</f>
        <v>YES</v>
      </c>
      <c r="J184" s="4" t="str">
        <f>IF(N($T184)&gt;0,"YES","NO")</f>
        <v>NO</v>
      </c>
      <c r="K184" s="4" t="str">
        <f>IF(OR($A184="EHT Trace"),IF(AND($U184&lt;&gt;"",$V184&lt;&gt;""),"YES","NO"),"N/A")</f>
        <v>N/A</v>
      </c>
      <c r="L184" s="4" t="str">
        <f>IF(OR($A184="EHT Trace"),IF(AND($X184&lt;&gt;"",$Y184&lt;&gt;""),"YES","NO"),"N/A")</f>
        <v>N/A</v>
      </c>
      <c r="M184" s="4" t="str">
        <f>IF(OR($A184="EHT Trace"),IF(AND($AA184&lt;&gt;"",$AB184&lt;&gt;""),"YES","NO"),"N/A")</f>
        <v>N/A</v>
      </c>
      <c r="N184" s="4" t="str">
        <f>IF(OR($A184="Power Cable"),IF(AND($AD184&lt;&gt;""),"YES","NO"),"N/A")</f>
        <v>N/A</v>
      </c>
      <c r="O184" s="4" t="str">
        <f>IF(OR($A184="Power Cable",$A184="RTD Cable",$A184="Fieldbus Cable"),IF(AND($AE184&lt;&gt;""),"YES","NO"),"N/A")</f>
        <v>N/A</v>
      </c>
      <c r="P184" s="4" t="str">
        <f>IF(OR($A184="RTD"),IF(AND($AH184&lt;&gt;""),"YES","NO"),"N/A")</f>
        <v>NO</v>
      </c>
      <c r="Q184" s="4" t="str">
        <f>IF(OR($A184="RTD"),IF(AND($AI184&lt;&gt;""),"YES","NO"),"N/A")</f>
        <v>NO</v>
      </c>
      <c r="R184" s="4" t="str">
        <f>IF(OR($AM184&lt;&gt;"",$Z184&lt;&gt;"",$AC184&lt;&gt;""),"YES","NO")</f>
        <v>NO</v>
      </c>
      <c r="S184" s="4" t="str">
        <f>IF(COUNTIF(I184:R184,"NO")=0,"YES","NO")</f>
        <v>NO</v>
      </c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inlineStr">
        <is>
          <t>Levy Ostrup</t>
        </is>
      </c>
      <c r="AM184" s="9" t="n"/>
      <c r="AN184" s="9" t="n"/>
    </row>
    <row r="185">
      <c r="A185" s="9" t="inlineStr">
        <is>
          <t>RTD</t>
        </is>
      </c>
      <c r="B185" s="9" t="inlineStr">
        <is>
          <t>29103-ET-P2404-1-R-2</t>
        </is>
      </c>
      <c r="C185" s="9" t="inlineStr">
        <is>
          <t>29103-ET-P2404-1</t>
        </is>
      </c>
      <c r="D185" s="9" t="inlineStr">
        <is>
          <t>29103-HTP-004 HTC-01</t>
        </is>
      </c>
      <c r="E185" s="9" t="inlineStr">
        <is>
          <t>PRODUCED EMULSION</t>
        </is>
      </c>
      <c r="F185" s="9" t="inlineStr">
        <is>
          <t>29103-65R-ET-P2404-01-01</t>
        </is>
      </c>
      <c r="G185" s="9" t="inlineStr">
        <is>
          <t>13.2</t>
        </is>
      </c>
      <c r="H185" s="9" t="inlineStr">
        <is>
          <t>29103-ET-P2404-1-R-2.pdf</t>
        </is>
      </c>
      <c r="I185" s="4" t="str">
        <f>IF($H185&lt;&gt;"","YES","NO")</f>
        <v>YES</v>
      </c>
      <c r="J185" s="4" t="str">
        <f>IF(N($T185)&gt;0,"YES","NO")</f>
        <v>NO</v>
      </c>
      <c r="K185" s="4" t="str">
        <f>IF(OR($A185="EHT Trace"),IF(AND($U185&lt;&gt;"",$V185&lt;&gt;""),"YES","NO"),"N/A")</f>
        <v>N/A</v>
      </c>
      <c r="L185" s="4" t="str">
        <f>IF(OR($A185="EHT Trace"),IF(AND($X185&lt;&gt;"",$Y185&lt;&gt;""),"YES","NO"),"N/A")</f>
        <v>N/A</v>
      </c>
      <c r="M185" s="4" t="str">
        <f>IF(OR($A185="EHT Trace"),IF(AND($AA185&lt;&gt;"",$AB185&lt;&gt;""),"YES","NO"),"N/A")</f>
        <v>N/A</v>
      </c>
      <c r="N185" s="4" t="str">
        <f>IF(OR($A185="Power Cable"),IF(AND($AD185&lt;&gt;""),"YES","NO"),"N/A")</f>
        <v>N/A</v>
      </c>
      <c r="O185" s="4" t="str">
        <f>IF(OR($A185="Power Cable",$A185="RTD Cable",$A185="Fieldbus Cable"),IF(AND($AE185&lt;&gt;""),"YES","NO"),"N/A")</f>
        <v>N/A</v>
      </c>
      <c r="P185" s="4" t="str">
        <f>IF(OR($A185="RTD"),IF(AND($AH185&lt;&gt;""),"YES","NO"),"N/A")</f>
        <v>NO</v>
      </c>
      <c r="Q185" s="4" t="str">
        <f>IF(OR($A185="RTD"),IF(AND($AI185&lt;&gt;""),"YES","NO"),"N/A")</f>
        <v>NO</v>
      </c>
      <c r="R185" s="4" t="str">
        <f>IF(OR($AM185&lt;&gt;"",$Z185&lt;&gt;"",$AC185&lt;&gt;""),"YES","NO")</f>
        <v>NO</v>
      </c>
      <c r="S185" s="4" t="str">
        <f>IF(COUNTIF(I185:R185,"NO")=0,"YES","NO")</f>
        <v>NO</v>
      </c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inlineStr">
        <is>
          <t>Levy Ostrup</t>
        </is>
      </c>
      <c r="AM185" s="9" t="n"/>
      <c r="AN185" s="9" t="n"/>
    </row>
    <row r="186">
      <c r="A186" s="9" t="inlineStr">
        <is>
          <t>RTD</t>
        </is>
      </c>
      <c r="B186" s="9" t="inlineStr">
        <is>
          <t>29103-ET-P2404-2-R-1</t>
        </is>
      </c>
      <c r="C186" s="9" t="inlineStr">
        <is>
          <t>29103-ET-P2404-2</t>
        </is>
      </c>
      <c r="D186" s="9" t="inlineStr">
        <is>
          <t>29103-HTP-004 HTC-41</t>
        </is>
      </c>
      <c r="E186" s="9" t="inlineStr">
        <is>
          <t>PRODUCED EMULSION</t>
        </is>
      </c>
      <c r="F186" s="9" t="inlineStr">
        <is>
          <t>29103-65R-ET-P2404-02-01</t>
        </is>
      </c>
      <c r="G186" s="9" t="inlineStr">
        <is>
          <t>13.2</t>
        </is>
      </c>
      <c r="H186" s="9" t="inlineStr">
        <is>
          <t>29103-ET-P2404-2-R-1.pdf</t>
        </is>
      </c>
      <c r="I186" s="4" t="str">
        <f>IF($H186&lt;&gt;"","YES","NO")</f>
        <v>YES</v>
      </c>
      <c r="J186" s="4" t="str">
        <f>IF(N($T186)&gt;0,"YES","NO")</f>
        <v>NO</v>
      </c>
      <c r="K186" s="4" t="str">
        <f>IF(OR($A186="EHT Trace"),IF(AND($U186&lt;&gt;"",$V186&lt;&gt;""),"YES","NO"),"N/A")</f>
        <v>N/A</v>
      </c>
      <c r="L186" s="4" t="str">
        <f>IF(OR($A186="EHT Trace"),IF(AND($X186&lt;&gt;"",$Y186&lt;&gt;""),"YES","NO"),"N/A")</f>
        <v>N/A</v>
      </c>
      <c r="M186" s="4" t="str">
        <f>IF(OR($A186="EHT Trace"),IF(AND($AA186&lt;&gt;"",$AB186&lt;&gt;""),"YES","NO"),"N/A")</f>
        <v>N/A</v>
      </c>
      <c r="N186" s="4" t="str">
        <f>IF(OR($A186="Power Cable"),IF(AND($AD186&lt;&gt;""),"YES","NO"),"N/A")</f>
        <v>N/A</v>
      </c>
      <c r="O186" s="4" t="str">
        <f>IF(OR($A186="Power Cable",$A186="RTD Cable",$A186="Fieldbus Cable"),IF(AND($AE186&lt;&gt;""),"YES","NO"),"N/A")</f>
        <v>N/A</v>
      </c>
      <c r="P186" s="4" t="str">
        <f>IF(OR($A186="RTD"),IF(AND($AH186&lt;&gt;""),"YES","NO"),"N/A")</f>
        <v>NO</v>
      </c>
      <c r="Q186" s="4" t="str">
        <f>IF(OR($A186="RTD"),IF(AND($AI186&lt;&gt;""),"YES","NO"),"N/A")</f>
        <v>NO</v>
      </c>
      <c r="R186" s="4" t="str">
        <f>IF(OR($AM186&lt;&gt;"",$Z186&lt;&gt;"",$AC186&lt;&gt;""),"YES","NO")</f>
        <v>NO</v>
      </c>
      <c r="S186" s="4" t="str">
        <f>IF(COUNTIF(I186:R186,"NO")=0,"YES","NO")</f>
        <v>NO</v>
      </c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inlineStr">
        <is>
          <t>Levy Ostrup</t>
        </is>
      </c>
      <c r="AM186" s="9" t="n"/>
      <c r="AN186" s="9" t="n"/>
    </row>
    <row r="187">
      <c r="A187" s="9" t="inlineStr">
        <is>
          <t>RTD</t>
        </is>
      </c>
      <c r="B187" s="9" t="inlineStr">
        <is>
          <t>29103-ET-P2404-2-R-2</t>
        </is>
      </c>
      <c r="C187" s="9" t="inlineStr">
        <is>
          <t>29103-ET-P2404-2</t>
        </is>
      </c>
      <c r="D187" s="9" t="inlineStr">
        <is>
          <t>29103-HTP-004 HTC-03</t>
        </is>
      </c>
      <c r="E187" s="9" t="inlineStr">
        <is>
          <t>PRODUCED EMULSION</t>
        </is>
      </c>
      <c r="F187" s="9" t="inlineStr">
        <is>
          <t>29103-65R-ET-P2404-02-01</t>
        </is>
      </c>
      <c r="G187" s="9" t="inlineStr">
        <is>
          <t>13.2</t>
        </is>
      </c>
      <c r="H187" s="9" t="inlineStr">
        <is>
          <t>29103-ET-P2404-2-R-2.pdf</t>
        </is>
      </c>
      <c r="I187" s="4" t="str">
        <f>IF($H187&lt;&gt;"","YES","NO")</f>
        <v>YES</v>
      </c>
      <c r="J187" s="4" t="str">
        <f>IF(N($T187)&gt;0,"YES","NO")</f>
        <v>NO</v>
      </c>
      <c r="K187" s="4" t="str">
        <f>IF(OR($A187="EHT Trace"),IF(AND($U187&lt;&gt;"",$V187&lt;&gt;""),"YES","NO"),"N/A")</f>
        <v>N/A</v>
      </c>
      <c r="L187" s="4" t="str">
        <f>IF(OR($A187="EHT Trace"),IF(AND($X187&lt;&gt;"",$Y187&lt;&gt;""),"YES","NO"),"N/A")</f>
        <v>N/A</v>
      </c>
      <c r="M187" s="4" t="str">
        <f>IF(OR($A187="EHT Trace"),IF(AND($AA187&lt;&gt;"",$AB187&lt;&gt;""),"YES","NO"),"N/A")</f>
        <v>N/A</v>
      </c>
      <c r="N187" s="4" t="str">
        <f>IF(OR($A187="Power Cable"),IF(AND($AD187&lt;&gt;""),"YES","NO"),"N/A")</f>
        <v>N/A</v>
      </c>
      <c r="O187" s="4" t="str">
        <f>IF(OR($A187="Power Cable",$A187="RTD Cable",$A187="Fieldbus Cable"),IF(AND($AE187&lt;&gt;""),"YES","NO"),"N/A")</f>
        <v>N/A</v>
      </c>
      <c r="P187" s="4" t="str">
        <f>IF(OR($A187="RTD"),IF(AND($AH187&lt;&gt;""),"YES","NO"),"N/A")</f>
        <v>NO</v>
      </c>
      <c r="Q187" s="4" t="str">
        <f>IF(OR($A187="RTD"),IF(AND($AI187&lt;&gt;""),"YES","NO"),"N/A")</f>
        <v>NO</v>
      </c>
      <c r="R187" s="4" t="str">
        <f>IF(OR($AM187&lt;&gt;"",$Z187&lt;&gt;"",$AC187&lt;&gt;""),"YES","NO")</f>
        <v>NO</v>
      </c>
      <c r="S187" s="4" t="str">
        <f>IF(COUNTIF(I187:R187,"NO")=0,"YES","NO")</f>
        <v>NO</v>
      </c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inlineStr">
        <is>
          <t>Levy Ostrup</t>
        </is>
      </c>
      <c r="AM187" s="9" t="n"/>
      <c r="AN187" s="9" t="n"/>
    </row>
    <row r="188">
      <c r="A188" s="9" t="inlineStr">
        <is>
          <t>RTD</t>
        </is>
      </c>
      <c r="B188" s="9" t="inlineStr">
        <is>
          <t>29103-ET-P2800-2-R-1</t>
        </is>
      </c>
      <c r="C188" s="9" t="inlineStr">
        <is>
          <t>29103-ET-P2800-2</t>
        </is>
      </c>
      <c r="D188" s="9" t="inlineStr">
        <is>
          <t>29103-HTP-004 HTC-31</t>
        </is>
      </c>
      <c r="E188" s="9" t="inlineStr">
        <is>
          <t>PRODUCED EMULSION</t>
        </is>
      </c>
      <c r="F188" s="9" t="inlineStr">
        <is>
          <t>29103-65R-ET-P2800-02-01</t>
        </is>
      </c>
      <c r="G188" s="9" t="inlineStr">
        <is>
          <t>13.2</t>
        </is>
      </c>
      <c r="H188" s="9" t="inlineStr">
        <is>
          <t>29103-ET-P2800-2-R-1.pdf</t>
        </is>
      </c>
      <c r="I188" s="4" t="str">
        <f>IF($H188&lt;&gt;"","YES","NO")</f>
        <v>YES</v>
      </c>
      <c r="J188" s="4" t="str">
        <f>IF(N($T188)&gt;0,"YES","NO")</f>
        <v>NO</v>
      </c>
      <c r="K188" s="4" t="str">
        <f>IF(OR($A188="EHT Trace"),IF(AND($U188&lt;&gt;"",$V188&lt;&gt;""),"YES","NO"),"N/A")</f>
        <v>N/A</v>
      </c>
      <c r="L188" s="4" t="str">
        <f>IF(OR($A188="EHT Trace"),IF(AND($X188&lt;&gt;"",$Y188&lt;&gt;""),"YES","NO"),"N/A")</f>
        <v>N/A</v>
      </c>
      <c r="M188" s="4" t="str">
        <f>IF(OR($A188="EHT Trace"),IF(AND($AA188&lt;&gt;"",$AB188&lt;&gt;""),"YES","NO"),"N/A")</f>
        <v>N/A</v>
      </c>
      <c r="N188" s="4" t="str">
        <f>IF(OR($A188="Power Cable"),IF(AND($AD188&lt;&gt;""),"YES","NO"),"N/A")</f>
        <v>N/A</v>
      </c>
      <c r="O188" s="4" t="str">
        <f>IF(OR($A188="Power Cable",$A188="RTD Cable",$A188="Fieldbus Cable"),IF(AND($AE188&lt;&gt;""),"YES","NO"),"N/A")</f>
        <v>N/A</v>
      </c>
      <c r="P188" s="4" t="str">
        <f>IF(OR($A188="RTD"),IF(AND($AH188&lt;&gt;""),"YES","NO"),"N/A")</f>
        <v>NO</v>
      </c>
      <c r="Q188" s="4" t="str">
        <f>IF(OR($A188="RTD"),IF(AND($AI188&lt;&gt;""),"YES","NO"),"N/A")</f>
        <v>NO</v>
      </c>
      <c r="R188" s="4" t="str">
        <f>IF(OR($AM188&lt;&gt;"",$Z188&lt;&gt;"",$AC188&lt;&gt;""),"YES","NO")</f>
        <v>NO</v>
      </c>
      <c r="S188" s="4" t="str">
        <f>IF(COUNTIF(I188:R188,"NO")=0,"YES","NO")</f>
        <v>NO</v>
      </c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inlineStr">
        <is>
          <t>Levy Ostrup</t>
        </is>
      </c>
      <c r="AM188" s="9" t="n"/>
      <c r="AN188" s="9" t="n"/>
    </row>
    <row r="189">
      <c r="A189" s="9" t="inlineStr">
        <is>
          <t>RTD</t>
        </is>
      </c>
      <c r="B189" s="9" t="inlineStr">
        <is>
          <t>29103-ET-P2800-3-R-1</t>
        </is>
      </c>
      <c r="C189" s="9" t="inlineStr">
        <is>
          <t>29103-ET-P2800-3</t>
        </is>
      </c>
      <c r="D189" s="9" t="inlineStr">
        <is>
          <t>29103-HTP-004 HTC-24</t>
        </is>
      </c>
      <c r="E189" s="9" t="inlineStr">
        <is>
          <t>PRODUCED EMULSION</t>
        </is>
      </c>
      <c r="F189" s="9" t="inlineStr">
        <is>
          <t>29103-65R-ET-P2800-03-01</t>
        </is>
      </c>
      <c r="G189" s="9" t="inlineStr">
        <is>
          <t>13.2</t>
        </is>
      </c>
      <c r="H189" s="9" t="inlineStr">
        <is>
          <t>29103-ET-P2800-3-R-1.pdf</t>
        </is>
      </c>
      <c r="I189" s="4" t="str">
        <f>IF($H189&lt;&gt;"","YES","NO")</f>
        <v>YES</v>
      </c>
      <c r="J189" s="4" t="str">
        <f>IF(N($T189)&gt;0,"YES","NO")</f>
        <v>NO</v>
      </c>
      <c r="K189" s="4" t="str">
        <f>IF(OR($A189="EHT Trace"),IF(AND($U189&lt;&gt;"",$V189&lt;&gt;""),"YES","NO"),"N/A")</f>
        <v>N/A</v>
      </c>
      <c r="L189" s="4" t="str">
        <f>IF(OR($A189="EHT Trace"),IF(AND($X189&lt;&gt;"",$Y189&lt;&gt;""),"YES","NO"),"N/A")</f>
        <v>N/A</v>
      </c>
      <c r="M189" s="4" t="str">
        <f>IF(OR($A189="EHT Trace"),IF(AND($AA189&lt;&gt;"",$AB189&lt;&gt;""),"YES","NO"),"N/A")</f>
        <v>N/A</v>
      </c>
      <c r="N189" s="4" t="str">
        <f>IF(OR($A189="Power Cable"),IF(AND($AD189&lt;&gt;""),"YES","NO"),"N/A")</f>
        <v>N/A</v>
      </c>
      <c r="O189" s="4" t="str">
        <f>IF(OR($A189="Power Cable",$A189="RTD Cable",$A189="Fieldbus Cable"),IF(AND($AE189&lt;&gt;""),"YES","NO"),"N/A")</f>
        <v>N/A</v>
      </c>
      <c r="P189" s="4" t="str">
        <f>IF(OR($A189="RTD"),IF(AND($AH189&lt;&gt;""),"YES","NO"),"N/A")</f>
        <v>NO</v>
      </c>
      <c r="Q189" s="4" t="str">
        <f>IF(OR($A189="RTD"),IF(AND($AI189&lt;&gt;""),"YES","NO"),"N/A")</f>
        <v>NO</v>
      </c>
      <c r="R189" s="4" t="str">
        <f>IF(OR($AM189&lt;&gt;"",$Z189&lt;&gt;"",$AC189&lt;&gt;""),"YES","NO")</f>
        <v>NO</v>
      </c>
      <c r="S189" s="4" t="str">
        <f>IF(COUNTIF(I189:R189,"NO")=0,"YES","NO")</f>
        <v>NO</v>
      </c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inlineStr">
        <is>
          <t>Levy Ostrup</t>
        </is>
      </c>
      <c r="AM189" s="9" t="n"/>
      <c r="AN189" s="9" t="n"/>
    </row>
    <row r="190">
      <c r="A190" s="9" t="inlineStr">
        <is>
          <t>RTD</t>
        </is>
      </c>
      <c r="B190" s="9" t="inlineStr">
        <is>
          <t>29103-ET-PE2101-1-R-1</t>
        </is>
      </c>
      <c r="C190" s="9" t="inlineStr">
        <is>
          <t>29103-ET-PE2101-1</t>
        </is>
      </c>
      <c r="D190" s="9" t="inlineStr">
        <is>
          <t>29103-HTP-004 HTC-23</t>
        </is>
      </c>
      <c r="E190" s="9" t="inlineStr">
        <is>
          <t>PRODUCED EMULSION</t>
        </is>
      </c>
      <c r="F190" s="9" t="inlineStr">
        <is>
          <t>29103-65R-ET-PE2101-01-01</t>
        </is>
      </c>
      <c r="G190" s="9" t="inlineStr">
        <is>
          <t>13.2</t>
        </is>
      </c>
      <c r="H190" s="9" t="inlineStr">
        <is>
          <t>29103-ET-PE2101-1-R-1.pdf</t>
        </is>
      </c>
      <c r="I190" s="4" t="str">
        <f>IF($H190&lt;&gt;"","YES","NO")</f>
        <v>YES</v>
      </c>
      <c r="J190" s="4" t="str">
        <f>IF(N($T190)&gt;0,"YES","NO")</f>
        <v>NO</v>
      </c>
      <c r="K190" s="4" t="str">
        <f>IF(OR($A190="EHT Trace"),IF(AND($U190&lt;&gt;"",$V190&lt;&gt;""),"YES","NO"),"N/A")</f>
        <v>N/A</v>
      </c>
      <c r="L190" s="4" t="str">
        <f>IF(OR($A190="EHT Trace"),IF(AND($X190&lt;&gt;"",$Y190&lt;&gt;""),"YES","NO"),"N/A")</f>
        <v>N/A</v>
      </c>
      <c r="M190" s="4" t="str">
        <f>IF(OR($A190="EHT Trace"),IF(AND($AA190&lt;&gt;"",$AB190&lt;&gt;""),"YES","NO"),"N/A")</f>
        <v>N/A</v>
      </c>
      <c r="N190" s="4" t="str">
        <f>IF(OR($A190="Power Cable"),IF(AND($AD190&lt;&gt;""),"YES","NO"),"N/A")</f>
        <v>N/A</v>
      </c>
      <c r="O190" s="4" t="str">
        <f>IF(OR($A190="Power Cable",$A190="RTD Cable",$A190="Fieldbus Cable"),IF(AND($AE190&lt;&gt;""),"YES","NO"),"N/A")</f>
        <v>N/A</v>
      </c>
      <c r="P190" s="4" t="str">
        <f>IF(OR($A190="RTD"),IF(AND($AH190&lt;&gt;""),"YES","NO"),"N/A")</f>
        <v>NO</v>
      </c>
      <c r="Q190" s="4" t="str">
        <f>IF(OR($A190="RTD"),IF(AND($AI190&lt;&gt;""),"YES","NO"),"N/A")</f>
        <v>NO</v>
      </c>
      <c r="R190" s="4" t="str">
        <f>IF(OR($AM190&lt;&gt;"",$Z190&lt;&gt;"",$AC190&lt;&gt;""),"YES","NO")</f>
        <v>NO</v>
      </c>
      <c r="S190" s="4" t="str">
        <f>IF(COUNTIF(I190:R190,"NO")=0,"YES","NO")</f>
        <v>NO</v>
      </c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inlineStr">
        <is>
          <t>Levy Ostrup</t>
        </is>
      </c>
      <c r="AM190" s="9" t="n"/>
      <c r="AN190" s="9" t="n"/>
    </row>
    <row r="191">
      <c r="A191" s="9" t="inlineStr">
        <is>
          <t>RTD</t>
        </is>
      </c>
      <c r="B191" s="9" t="inlineStr">
        <is>
          <t>29103-ET-PE2101-2-R-2</t>
        </is>
      </c>
      <c r="C191" s="9" t="inlineStr">
        <is>
          <t>29103-ET-PE2101-2</t>
        </is>
      </c>
      <c r="D191" s="9" t="inlineStr">
        <is>
          <t>29103-HTP-004 I/O-3-2</t>
        </is>
      </c>
      <c r="E191" s="9" t="inlineStr">
        <is>
          <t>PRODUCED EMULSION</t>
        </is>
      </c>
      <c r="F191" s="9" t="inlineStr">
        <is>
          <t>29103-65R-ET-PE2101-02-01</t>
        </is>
      </c>
      <c r="G191" s="9" t="inlineStr">
        <is>
          <t>13.2</t>
        </is>
      </c>
      <c r="H191" s="9" t="inlineStr">
        <is>
          <t>29103-ET-PE2101-2-R-2.pdf</t>
        </is>
      </c>
      <c r="I191" s="4" t="str">
        <f>IF($H191&lt;&gt;"","YES","NO")</f>
        <v>YES</v>
      </c>
      <c r="J191" s="4" t="str">
        <f>IF(N($T191)&gt;0,"YES","NO")</f>
        <v>NO</v>
      </c>
      <c r="K191" s="4" t="str">
        <f>IF(OR($A191="EHT Trace"),IF(AND($U191&lt;&gt;"",$V191&lt;&gt;""),"YES","NO"),"N/A")</f>
        <v>N/A</v>
      </c>
      <c r="L191" s="4" t="str">
        <f>IF(OR($A191="EHT Trace"),IF(AND($X191&lt;&gt;"",$Y191&lt;&gt;""),"YES","NO"),"N/A")</f>
        <v>N/A</v>
      </c>
      <c r="M191" s="4" t="str">
        <f>IF(OR($A191="EHT Trace"),IF(AND($AA191&lt;&gt;"",$AB191&lt;&gt;""),"YES","NO"),"N/A")</f>
        <v>N/A</v>
      </c>
      <c r="N191" s="4" t="str">
        <f>IF(OR($A191="Power Cable"),IF(AND($AD191&lt;&gt;""),"YES","NO"),"N/A")</f>
        <v>N/A</v>
      </c>
      <c r="O191" s="4" t="str">
        <f>IF(OR($A191="Power Cable",$A191="RTD Cable",$A191="Fieldbus Cable"),IF(AND($AE191&lt;&gt;""),"YES","NO"),"N/A")</f>
        <v>N/A</v>
      </c>
      <c r="P191" s="4" t="str">
        <f>IF(OR($A191="RTD"),IF(AND($AH191&lt;&gt;""),"YES","NO"),"N/A")</f>
        <v>NO</v>
      </c>
      <c r="Q191" s="4" t="str">
        <f>IF(OR($A191="RTD"),IF(AND($AI191&lt;&gt;""),"YES","NO"),"N/A")</f>
        <v>NO</v>
      </c>
      <c r="R191" s="4" t="str">
        <f>IF(OR($AM191&lt;&gt;"",$Z191&lt;&gt;"",$AC191&lt;&gt;""),"YES","NO")</f>
        <v>NO</v>
      </c>
      <c r="S191" s="4" t="str">
        <f>IF(COUNTIF(I191:R191,"NO")=0,"YES","NO")</f>
        <v>NO</v>
      </c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inlineStr">
        <is>
          <t>Levy Ostrup</t>
        </is>
      </c>
      <c r="AM191" s="9" t="n"/>
      <c r="AN191" s="9" t="n"/>
    </row>
    <row r="192">
      <c r="A192" s="9" t="inlineStr">
        <is>
          <t>RTD</t>
        </is>
      </c>
      <c r="B192" s="9" t="inlineStr">
        <is>
          <t>29103-ET-PE2102-1-R-1</t>
        </is>
      </c>
      <c r="C192" s="9" t="inlineStr">
        <is>
          <t>29103-ET-PE2102-1</t>
        </is>
      </c>
      <c r="D192" s="9" t="inlineStr">
        <is>
          <t>29103-HTP-004 HTC-20</t>
        </is>
      </c>
      <c r="E192" s="9" t="inlineStr">
        <is>
          <t>PRODUCED EMULSION</t>
        </is>
      </c>
      <c r="F192" s="9" t="inlineStr">
        <is>
          <t>29103-65R-ET-PE2102-01-01</t>
        </is>
      </c>
      <c r="G192" s="9" t="inlineStr">
        <is>
          <t>13.2</t>
        </is>
      </c>
      <c r="H192" s="9" t="inlineStr">
        <is>
          <t>29103-ET-PE2102-1-R-1.pdf</t>
        </is>
      </c>
      <c r="I192" s="4" t="str">
        <f>IF($H192&lt;&gt;"","YES","NO")</f>
        <v>YES</v>
      </c>
      <c r="J192" s="4" t="str">
        <f>IF(N($T192)&gt;0,"YES","NO")</f>
        <v>NO</v>
      </c>
      <c r="K192" s="4" t="str">
        <f>IF(OR($A192="EHT Trace"),IF(AND($U192&lt;&gt;"",$V192&lt;&gt;""),"YES","NO"),"N/A")</f>
        <v>N/A</v>
      </c>
      <c r="L192" s="4" t="str">
        <f>IF(OR($A192="EHT Trace"),IF(AND($X192&lt;&gt;"",$Y192&lt;&gt;""),"YES","NO"),"N/A")</f>
        <v>N/A</v>
      </c>
      <c r="M192" s="4" t="str">
        <f>IF(OR($A192="EHT Trace"),IF(AND($AA192&lt;&gt;"",$AB192&lt;&gt;""),"YES","NO"),"N/A")</f>
        <v>N/A</v>
      </c>
      <c r="N192" s="4" t="str">
        <f>IF(OR($A192="Power Cable"),IF(AND($AD192&lt;&gt;""),"YES","NO"),"N/A")</f>
        <v>N/A</v>
      </c>
      <c r="O192" s="4" t="str">
        <f>IF(OR($A192="Power Cable",$A192="RTD Cable",$A192="Fieldbus Cable"),IF(AND($AE192&lt;&gt;""),"YES","NO"),"N/A")</f>
        <v>N/A</v>
      </c>
      <c r="P192" s="4" t="str">
        <f>IF(OR($A192="RTD"),IF(AND($AH192&lt;&gt;""),"YES","NO"),"N/A")</f>
        <v>NO</v>
      </c>
      <c r="Q192" s="4" t="str">
        <f>IF(OR($A192="RTD"),IF(AND($AI192&lt;&gt;""),"YES","NO"),"N/A")</f>
        <v>NO</v>
      </c>
      <c r="R192" s="4" t="str">
        <f>IF(OR($AM192&lt;&gt;"",$Z192&lt;&gt;"",$AC192&lt;&gt;""),"YES","NO")</f>
        <v>NO</v>
      </c>
      <c r="S192" s="4" t="str">
        <f>IF(COUNTIF(I192:R192,"NO")=0,"YES","NO")</f>
        <v>NO</v>
      </c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inlineStr">
        <is>
          <t>Levy Ostrup</t>
        </is>
      </c>
      <c r="AM192" s="9" t="n"/>
      <c r="AN192" s="9" t="n"/>
    </row>
    <row r="193">
      <c r="A193" s="9" t="inlineStr">
        <is>
          <t>RTD</t>
        </is>
      </c>
      <c r="B193" s="9" t="inlineStr">
        <is>
          <t>29103-ET-PE2102-1-R-2</t>
        </is>
      </c>
      <c r="C193" s="9" t="inlineStr">
        <is>
          <t>29103-ET-PE2102-1</t>
        </is>
      </c>
      <c r="D193" s="9" t="inlineStr">
        <is>
          <t>29103-HTP-004 I/O-3-3</t>
        </is>
      </c>
      <c r="E193" s="9" t="inlineStr">
        <is>
          <t>PRODUCED EMULSION</t>
        </is>
      </c>
      <c r="F193" s="9" t="inlineStr">
        <is>
          <t>29103-65R-ET-PE2102-01-01</t>
        </is>
      </c>
      <c r="G193" s="9" t="inlineStr">
        <is>
          <t>13.2</t>
        </is>
      </c>
      <c r="H193" s="9" t="inlineStr">
        <is>
          <t>29103-ET-PE2102-1-R-2.pdf</t>
        </is>
      </c>
      <c r="I193" s="4" t="str">
        <f>IF($H193&lt;&gt;"","YES","NO")</f>
        <v>YES</v>
      </c>
      <c r="J193" s="4" t="str">
        <f>IF(N($T193)&gt;0,"YES","NO")</f>
        <v>NO</v>
      </c>
      <c r="K193" s="4" t="str">
        <f>IF(OR($A193="EHT Trace"),IF(AND($U193&lt;&gt;"",$V193&lt;&gt;""),"YES","NO"),"N/A")</f>
        <v>N/A</v>
      </c>
      <c r="L193" s="4" t="str">
        <f>IF(OR($A193="EHT Trace"),IF(AND($X193&lt;&gt;"",$Y193&lt;&gt;""),"YES","NO"),"N/A")</f>
        <v>N/A</v>
      </c>
      <c r="M193" s="4" t="str">
        <f>IF(OR($A193="EHT Trace"),IF(AND($AA193&lt;&gt;"",$AB193&lt;&gt;""),"YES","NO"),"N/A")</f>
        <v>N/A</v>
      </c>
      <c r="N193" s="4" t="str">
        <f>IF(OR($A193="Power Cable"),IF(AND($AD193&lt;&gt;""),"YES","NO"),"N/A")</f>
        <v>N/A</v>
      </c>
      <c r="O193" s="4" t="str">
        <f>IF(OR($A193="Power Cable",$A193="RTD Cable",$A193="Fieldbus Cable"),IF(AND($AE193&lt;&gt;""),"YES","NO"),"N/A")</f>
        <v>N/A</v>
      </c>
      <c r="P193" s="4" t="str">
        <f>IF(OR($A193="RTD"),IF(AND($AH193&lt;&gt;""),"YES","NO"),"N/A")</f>
        <v>NO</v>
      </c>
      <c r="Q193" s="4" t="str">
        <f>IF(OR($A193="RTD"),IF(AND($AI193&lt;&gt;""),"YES","NO"),"N/A")</f>
        <v>NO</v>
      </c>
      <c r="R193" s="4" t="str">
        <f>IF(OR($AM193&lt;&gt;"",$Z193&lt;&gt;"",$AC193&lt;&gt;""),"YES","NO")</f>
        <v>NO</v>
      </c>
      <c r="S193" s="4" t="str">
        <f>IF(COUNTIF(I193:R193,"NO")=0,"YES","NO")</f>
        <v>NO</v>
      </c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inlineStr">
        <is>
          <t>Levy Ostrup</t>
        </is>
      </c>
      <c r="AM193" s="9" t="n"/>
      <c r="AN193" s="9" t="n"/>
    </row>
    <row r="194">
      <c r="A194" s="9" t="inlineStr">
        <is>
          <t>RTD</t>
        </is>
      </c>
      <c r="B194" s="9" t="inlineStr">
        <is>
          <t>29103-ET-PE2201-1-R-1</t>
        </is>
      </c>
      <c r="C194" s="9" t="inlineStr">
        <is>
          <t>29103-ET-PE2201-1</t>
        </is>
      </c>
      <c r="D194" s="9" t="inlineStr">
        <is>
          <t>29103-HTP-004 HTC-08</t>
        </is>
      </c>
      <c r="E194" s="9" t="inlineStr">
        <is>
          <t>PRODUCED EMULSION</t>
        </is>
      </c>
      <c r="F194" s="9" t="inlineStr">
        <is>
          <t>29103-65R-ET-PE2201-01-01</t>
        </is>
      </c>
      <c r="G194" s="9" t="inlineStr">
        <is>
          <t>13.2</t>
        </is>
      </c>
      <c r="H194" s="9" t="inlineStr">
        <is>
          <t>29103-ET-PE2201-1-R-1.pdf</t>
        </is>
      </c>
      <c r="I194" s="4" t="str">
        <f>IF($H194&lt;&gt;"","YES","NO")</f>
        <v>YES</v>
      </c>
      <c r="J194" s="4" t="str">
        <f>IF(N($T194)&gt;0,"YES","NO")</f>
        <v>NO</v>
      </c>
      <c r="K194" s="4" t="str">
        <f>IF(OR($A194="EHT Trace"),IF(AND($U194&lt;&gt;"",$V194&lt;&gt;""),"YES","NO"),"N/A")</f>
        <v>N/A</v>
      </c>
      <c r="L194" s="4" t="str">
        <f>IF(OR($A194="EHT Trace"),IF(AND($X194&lt;&gt;"",$Y194&lt;&gt;""),"YES","NO"),"N/A")</f>
        <v>N/A</v>
      </c>
      <c r="M194" s="4" t="str">
        <f>IF(OR($A194="EHT Trace"),IF(AND($AA194&lt;&gt;"",$AB194&lt;&gt;""),"YES","NO"),"N/A")</f>
        <v>N/A</v>
      </c>
      <c r="N194" s="4" t="str">
        <f>IF(OR($A194="Power Cable"),IF(AND($AD194&lt;&gt;""),"YES","NO"),"N/A")</f>
        <v>N/A</v>
      </c>
      <c r="O194" s="4" t="str">
        <f>IF(OR($A194="Power Cable",$A194="RTD Cable",$A194="Fieldbus Cable"),IF(AND($AE194&lt;&gt;""),"YES","NO"),"N/A")</f>
        <v>N/A</v>
      </c>
      <c r="P194" s="4" t="str">
        <f>IF(OR($A194="RTD"),IF(AND($AH194&lt;&gt;""),"YES","NO"),"N/A")</f>
        <v>NO</v>
      </c>
      <c r="Q194" s="4" t="str">
        <f>IF(OR($A194="RTD"),IF(AND($AI194&lt;&gt;""),"YES","NO"),"N/A")</f>
        <v>NO</v>
      </c>
      <c r="R194" s="4" t="str">
        <f>IF(OR($AM194&lt;&gt;"",$Z194&lt;&gt;"",$AC194&lt;&gt;""),"YES","NO")</f>
        <v>NO</v>
      </c>
      <c r="S194" s="4" t="str">
        <f>IF(COUNTIF(I194:R194,"NO")=0,"YES","NO")</f>
        <v>NO</v>
      </c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inlineStr">
        <is>
          <t>Levy Ostrup</t>
        </is>
      </c>
      <c r="AM194" s="9" t="n"/>
      <c r="AN194" s="9" t="n"/>
    </row>
    <row r="195">
      <c r="A195" s="9" t="inlineStr">
        <is>
          <t>RTD</t>
        </is>
      </c>
      <c r="B195" s="9" t="inlineStr">
        <is>
          <t>29103-ET-PE2201-2-R-2</t>
        </is>
      </c>
      <c r="C195" s="9" t="inlineStr">
        <is>
          <t>29103-ET-PE2201-2</t>
        </is>
      </c>
      <c r="D195" s="9" t="inlineStr">
        <is>
          <t>29103-HTP-004 I/O-2-4</t>
        </is>
      </c>
      <c r="E195" s="9" t="inlineStr">
        <is>
          <t>PRODUCED EMULSION</t>
        </is>
      </c>
      <c r="F195" s="9" t="inlineStr">
        <is>
          <t>29103-65R-ET-PE2201-02-01</t>
        </is>
      </c>
      <c r="G195" s="9" t="inlineStr">
        <is>
          <t>13.2</t>
        </is>
      </c>
      <c r="H195" s="9" t="inlineStr">
        <is>
          <t>29103-ET-PE2201-2-R-2.pdf</t>
        </is>
      </c>
      <c r="I195" s="4" t="str">
        <f>IF($H195&lt;&gt;"","YES","NO")</f>
        <v>YES</v>
      </c>
      <c r="J195" s="4" t="str">
        <f>IF(N($T195)&gt;0,"YES","NO")</f>
        <v>NO</v>
      </c>
      <c r="K195" s="4" t="str">
        <f>IF(OR($A195="EHT Trace"),IF(AND($U195&lt;&gt;"",$V195&lt;&gt;""),"YES","NO"),"N/A")</f>
        <v>N/A</v>
      </c>
      <c r="L195" s="4" t="str">
        <f>IF(OR($A195="EHT Trace"),IF(AND($X195&lt;&gt;"",$Y195&lt;&gt;""),"YES","NO"),"N/A")</f>
        <v>N/A</v>
      </c>
      <c r="M195" s="4" t="str">
        <f>IF(OR($A195="EHT Trace"),IF(AND($AA195&lt;&gt;"",$AB195&lt;&gt;""),"YES","NO"),"N/A")</f>
        <v>N/A</v>
      </c>
      <c r="N195" s="4" t="str">
        <f>IF(OR($A195="Power Cable"),IF(AND($AD195&lt;&gt;""),"YES","NO"),"N/A")</f>
        <v>N/A</v>
      </c>
      <c r="O195" s="4" t="str">
        <f>IF(OR($A195="Power Cable",$A195="RTD Cable",$A195="Fieldbus Cable"),IF(AND($AE195&lt;&gt;""),"YES","NO"),"N/A")</f>
        <v>N/A</v>
      </c>
      <c r="P195" s="4" t="str">
        <f>IF(OR($A195="RTD"),IF(AND($AH195&lt;&gt;""),"YES","NO"),"N/A")</f>
        <v>NO</v>
      </c>
      <c r="Q195" s="4" t="str">
        <f>IF(OR($A195="RTD"),IF(AND($AI195&lt;&gt;""),"YES","NO"),"N/A")</f>
        <v>NO</v>
      </c>
      <c r="R195" s="4" t="str">
        <f>IF(OR($AM195&lt;&gt;"",$Z195&lt;&gt;"",$AC195&lt;&gt;""),"YES","NO")</f>
        <v>NO</v>
      </c>
      <c r="S195" s="4" t="str">
        <f>IF(COUNTIF(I195:R195,"NO")=0,"YES","NO")</f>
        <v>NO</v>
      </c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inlineStr">
        <is>
          <t>Levy Ostrup</t>
        </is>
      </c>
      <c r="AM195" s="9" t="n"/>
      <c r="AN195" s="9" t="n"/>
    </row>
    <row r="196">
      <c r="A196" s="9" t="inlineStr">
        <is>
          <t>RTD</t>
        </is>
      </c>
      <c r="B196" s="9" t="inlineStr">
        <is>
          <t>29103-ET-PE2202-1-R-1</t>
        </is>
      </c>
      <c r="C196" s="9" t="inlineStr">
        <is>
          <t>29103-ET-PE2202-1</t>
        </is>
      </c>
      <c r="D196" s="9" t="inlineStr">
        <is>
          <t>29103-HTP-004 HTC-15</t>
        </is>
      </c>
      <c r="E196" s="9" t="inlineStr">
        <is>
          <t>PRODUCED EMULSION</t>
        </is>
      </c>
      <c r="F196" s="9" t="inlineStr">
        <is>
          <t>29103-65R-ET-PE2202-01-01</t>
        </is>
      </c>
      <c r="G196" s="9" t="inlineStr">
        <is>
          <t>13.2</t>
        </is>
      </c>
      <c r="H196" s="9" t="inlineStr">
        <is>
          <t>29103-ET-PE2202-1-R-1.pdf</t>
        </is>
      </c>
      <c r="I196" s="4" t="str">
        <f>IF($H196&lt;&gt;"","YES","NO")</f>
        <v>YES</v>
      </c>
      <c r="J196" s="4" t="str">
        <f>IF(N($T196)&gt;0,"YES","NO")</f>
        <v>NO</v>
      </c>
      <c r="K196" s="4" t="str">
        <f>IF(OR($A196="EHT Trace"),IF(AND($U196&lt;&gt;"",$V196&lt;&gt;""),"YES","NO"),"N/A")</f>
        <v>N/A</v>
      </c>
      <c r="L196" s="4" t="str">
        <f>IF(OR($A196="EHT Trace"),IF(AND($X196&lt;&gt;"",$Y196&lt;&gt;""),"YES","NO"),"N/A")</f>
        <v>N/A</v>
      </c>
      <c r="M196" s="4" t="str">
        <f>IF(OR($A196="EHT Trace"),IF(AND($AA196&lt;&gt;"",$AB196&lt;&gt;""),"YES","NO"),"N/A")</f>
        <v>N/A</v>
      </c>
      <c r="N196" s="4" t="str">
        <f>IF(OR($A196="Power Cable"),IF(AND($AD196&lt;&gt;""),"YES","NO"),"N/A")</f>
        <v>N/A</v>
      </c>
      <c r="O196" s="4" t="str">
        <f>IF(OR($A196="Power Cable",$A196="RTD Cable",$A196="Fieldbus Cable"),IF(AND($AE196&lt;&gt;""),"YES","NO"),"N/A")</f>
        <v>N/A</v>
      </c>
      <c r="P196" s="4" t="str">
        <f>IF(OR($A196="RTD"),IF(AND($AH196&lt;&gt;""),"YES","NO"),"N/A")</f>
        <v>NO</v>
      </c>
      <c r="Q196" s="4" t="str">
        <f>IF(OR($A196="RTD"),IF(AND($AI196&lt;&gt;""),"YES","NO"),"N/A")</f>
        <v>NO</v>
      </c>
      <c r="R196" s="4" t="str">
        <f>IF(OR($AM196&lt;&gt;"",$Z196&lt;&gt;"",$AC196&lt;&gt;""),"YES","NO")</f>
        <v>NO</v>
      </c>
      <c r="S196" s="4" t="str">
        <f>IF(COUNTIF(I196:R196,"NO")=0,"YES","NO")</f>
        <v>NO</v>
      </c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inlineStr">
        <is>
          <t>Levy Ostrup</t>
        </is>
      </c>
      <c r="AM196" s="9" t="n"/>
      <c r="AN196" s="9" t="n"/>
    </row>
    <row r="197">
      <c r="A197" s="9" t="inlineStr">
        <is>
          <t>RTD</t>
        </is>
      </c>
      <c r="B197" s="9" t="inlineStr">
        <is>
          <t>29103-ET-PE2202-1-R-2</t>
        </is>
      </c>
      <c r="C197" s="9" t="inlineStr">
        <is>
          <t>29103-ET-PE2202-1</t>
        </is>
      </c>
      <c r="D197" s="9" t="inlineStr">
        <is>
          <t>29103-HTP-004 I/O-3-1</t>
        </is>
      </c>
      <c r="E197" s="9" t="inlineStr">
        <is>
          <t>PRODUCED EMULSION</t>
        </is>
      </c>
      <c r="F197" s="9" t="inlineStr">
        <is>
          <t>29103-65R-ET-PE2202-01-01</t>
        </is>
      </c>
      <c r="G197" s="9" t="inlineStr">
        <is>
          <t>13.2</t>
        </is>
      </c>
      <c r="H197" s="9" t="inlineStr">
        <is>
          <t>29103-ET-PE2202-1-R-2.pdf</t>
        </is>
      </c>
      <c r="I197" s="4" t="str">
        <f>IF($H197&lt;&gt;"","YES","NO")</f>
        <v>YES</v>
      </c>
      <c r="J197" s="4" t="str">
        <f>IF(N($T197)&gt;0,"YES","NO")</f>
        <v>NO</v>
      </c>
      <c r="K197" s="4" t="str">
        <f>IF(OR($A197="EHT Trace"),IF(AND($U197&lt;&gt;"",$V197&lt;&gt;""),"YES","NO"),"N/A")</f>
        <v>N/A</v>
      </c>
      <c r="L197" s="4" t="str">
        <f>IF(OR($A197="EHT Trace"),IF(AND($X197&lt;&gt;"",$Y197&lt;&gt;""),"YES","NO"),"N/A")</f>
        <v>N/A</v>
      </c>
      <c r="M197" s="4" t="str">
        <f>IF(OR($A197="EHT Trace"),IF(AND($AA197&lt;&gt;"",$AB197&lt;&gt;""),"YES","NO"),"N/A")</f>
        <v>N/A</v>
      </c>
      <c r="N197" s="4" t="str">
        <f>IF(OR($A197="Power Cable"),IF(AND($AD197&lt;&gt;""),"YES","NO"),"N/A")</f>
        <v>N/A</v>
      </c>
      <c r="O197" s="4" t="str">
        <f>IF(OR($A197="Power Cable",$A197="RTD Cable",$A197="Fieldbus Cable"),IF(AND($AE197&lt;&gt;""),"YES","NO"),"N/A")</f>
        <v>N/A</v>
      </c>
      <c r="P197" s="4" t="str">
        <f>IF(OR($A197="RTD"),IF(AND($AH197&lt;&gt;""),"YES","NO"),"N/A")</f>
        <v>NO</v>
      </c>
      <c r="Q197" s="4" t="str">
        <f>IF(OR($A197="RTD"),IF(AND($AI197&lt;&gt;""),"YES","NO"),"N/A")</f>
        <v>NO</v>
      </c>
      <c r="R197" s="4" t="str">
        <f>IF(OR($AM197&lt;&gt;"",$Z197&lt;&gt;"",$AC197&lt;&gt;""),"YES","NO")</f>
        <v>NO</v>
      </c>
      <c r="S197" s="4" t="str">
        <f>IF(COUNTIF(I197:R197,"NO")=0,"YES","NO")</f>
        <v>NO</v>
      </c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inlineStr">
        <is>
          <t>Levy Ostrup</t>
        </is>
      </c>
      <c r="AM197" s="9" t="n"/>
      <c r="AN197" s="9" t="n"/>
    </row>
    <row r="198">
      <c r="A198" s="9" t="inlineStr">
        <is>
          <t>RTD</t>
        </is>
      </c>
      <c r="B198" s="9" t="inlineStr">
        <is>
          <t>29103-ET-PE2301-1-R-1</t>
        </is>
      </c>
      <c r="C198" s="9" t="inlineStr">
        <is>
          <t>29103-ET-PE2301-1</t>
        </is>
      </c>
      <c r="D198" s="9" t="inlineStr">
        <is>
          <t>29103-HTP-004 HTC-10</t>
        </is>
      </c>
      <c r="E198" s="9" t="inlineStr">
        <is>
          <t>PRODUCED EMULSION</t>
        </is>
      </c>
      <c r="F198" s="9" t="inlineStr">
        <is>
          <t>29103-65R-ET-PE2301-01-01</t>
        </is>
      </c>
      <c r="G198" s="9" t="inlineStr">
        <is>
          <t>13.2</t>
        </is>
      </c>
      <c r="H198" s="9" t="inlineStr">
        <is>
          <t>29103-ET-PE2301-1-R-1.pdf</t>
        </is>
      </c>
      <c r="I198" s="4" t="str">
        <f>IF($H198&lt;&gt;"","YES","NO")</f>
        <v>YES</v>
      </c>
      <c r="J198" s="4" t="str">
        <f>IF(N($T198)&gt;0,"YES","NO")</f>
        <v>NO</v>
      </c>
      <c r="K198" s="4" t="str">
        <f>IF(OR($A198="EHT Trace"),IF(AND($U198&lt;&gt;"",$V198&lt;&gt;""),"YES","NO"),"N/A")</f>
        <v>N/A</v>
      </c>
      <c r="L198" s="4" t="str">
        <f>IF(OR($A198="EHT Trace"),IF(AND($X198&lt;&gt;"",$Y198&lt;&gt;""),"YES","NO"),"N/A")</f>
        <v>N/A</v>
      </c>
      <c r="M198" s="4" t="str">
        <f>IF(OR($A198="EHT Trace"),IF(AND($AA198&lt;&gt;"",$AB198&lt;&gt;""),"YES","NO"),"N/A")</f>
        <v>N/A</v>
      </c>
      <c r="N198" s="4" t="str">
        <f>IF(OR($A198="Power Cable"),IF(AND($AD198&lt;&gt;""),"YES","NO"),"N/A")</f>
        <v>N/A</v>
      </c>
      <c r="O198" s="4" t="str">
        <f>IF(OR($A198="Power Cable",$A198="RTD Cable",$A198="Fieldbus Cable"),IF(AND($AE198&lt;&gt;""),"YES","NO"),"N/A")</f>
        <v>N/A</v>
      </c>
      <c r="P198" s="4" t="str">
        <f>IF(OR($A198="RTD"),IF(AND($AH198&lt;&gt;""),"YES","NO"),"N/A")</f>
        <v>NO</v>
      </c>
      <c r="Q198" s="4" t="str">
        <f>IF(OR($A198="RTD"),IF(AND($AI198&lt;&gt;""),"YES","NO"),"N/A")</f>
        <v>NO</v>
      </c>
      <c r="R198" s="4" t="str">
        <f>IF(OR($AM198&lt;&gt;"",$Z198&lt;&gt;"",$AC198&lt;&gt;""),"YES","NO")</f>
        <v>NO</v>
      </c>
      <c r="S198" s="4" t="str">
        <f>IF(COUNTIF(I198:R198,"NO")=0,"YES","NO")</f>
        <v>NO</v>
      </c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inlineStr">
        <is>
          <t>Levy Ostrup</t>
        </is>
      </c>
      <c r="AM198" s="9" t="n"/>
      <c r="AN198" s="9" t="n"/>
    </row>
    <row r="199">
      <c r="A199" s="9" t="inlineStr">
        <is>
          <t>RTD</t>
        </is>
      </c>
      <c r="B199" s="9" t="inlineStr">
        <is>
          <t>29103-ET-PE2301-2-R-2</t>
        </is>
      </c>
      <c r="C199" s="9" t="inlineStr">
        <is>
          <t>29103-ET-PE2301-2</t>
        </is>
      </c>
      <c r="D199" s="9" t="inlineStr">
        <is>
          <t>29103-HTP-004 I/O-2-2</t>
        </is>
      </c>
      <c r="E199" s="9" t="inlineStr">
        <is>
          <t>PRODUCED EMULSION</t>
        </is>
      </c>
      <c r="F199" s="9" t="inlineStr">
        <is>
          <t>29103-65R-ET-PE2301-02-01</t>
        </is>
      </c>
      <c r="G199" s="9" t="inlineStr">
        <is>
          <t>13.2</t>
        </is>
      </c>
      <c r="H199" s="9" t="inlineStr">
        <is>
          <t>29103-ET-PE2301-2-R-2.pdf</t>
        </is>
      </c>
      <c r="I199" s="4" t="str">
        <f>IF($H199&lt;&gt;"","YES","NO")</f>
        <v>YES</v>
      </c>
      <c r="J199" s="4" t="str">
        <f>IF(N($T199)&gt;0,"YES","NO")</f>
        <v>NO</v>
      </c>
      <c r="K199" s="4" t="str">
        <f>IF(OR($A199="EHT Trace"),IF(AND($U199&lt;&gt;"",$V199&lt;&gt;""),"YES","NO"),"N/A")</f>
        <v>N/A</v>
      </c>
      <c r="L199" s="4" t="str">
        <f>IF(OR($A199="EHT Trace"),IF(AND($X199&lt;&gt;"",$Y199&lt;&gt;""),"YES","NO"),"N/A")</f>
        <v>N/A</v>
      </c>
      <c r="M199" s="4" t="str">
        <f>IF(OR($A199="EHT Trace"),IF(AND($AA199&lt;&gt;"",$AB199&lt;&gt;""),"YES","NO"),"N/A")</f>
        <v>N/A</v>
      </c>
      <c r="N199" s="4" t="str">
        <f>IF(OR($A199="Power Cable"),IF(AND($AD199&lt;&gt;""),"YES","NO"),"N/A")</f>
        <v>N/A</v>
      </c>
      <c r="O199" s="4" t="str">
        <f>IF(OR($A199="Power Cable",$A199="RTD Cable",$A199="Fieldbus Cable"),IF(AND($AE199&lt;&gt;""),"YES","NO"),"N/A")</f>
        <v>N/A</v>
      </c>
      <c r="P199" s="4" t="str">
        <f>IF(OR($A199="RTD"),IF(AND($AH199&lt;&gt;""),"YES","NO"),"N/A")</f>
        <v>NO</v>
      </c>
      <c r="Q199" s="4" t="str">
        <f>IF(OR($A199="RTD"),IF(AND($AI199&lt;&gt;""),"YES","NO"),"N/A")</f>
        <v>NO</v>
      </c>
      <c r="R199" s="4" t="str">
        <f>IF(OR($AM199&lt;&gt;"",$Z199&lt;&gt;"",$AC199&lt;&gt;""),"YES","NO")</f>
        <v>NO</v>
      </c>
      <c r="S199" s="4" t="str">
        <f>IF(COUNTIF(I199:R199,"NO")=0,"YES","NO")</f>
        <v>NO</v>
      </c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inlineStr">
        <is>
          <t>Levy Ostrup</t>
        </is>
      </c>
      <c r="AM199" s="9" t="n"/>
      <c r="AN199" s="9" t="n"/>
    </row>
    <row r="200">
      <c r="A200" s="9" t="inlineStr">
        <is>
          <t>RTD</t>
        </is>
      </c>
      <c r="B200" s="9" t="inlineStr">
        <is>
          <t>29103-ET-PE2302-1-R-1</t>
        </is>
      </c>
      <c r="C200" s="9" t="inlineStr">
        <is>
          <t>29103-ET-PE2302-1</t>
        </is>
      </c>
      <c r="D200" s="9" t="inlineStr">
        <is>
          <t>29103-HTP-004 HTC-06</t>
        </is>
      </c>
      <c r="E200" s="9" t="inlineStr">
        <is>
          <t>PRODUCED EMULSION</t>
        </is>
      </c>
      <c r="F200" s="9" t="inlineStr">
        <is>
          <t>29103-65R-ET-PE2302-01-01</t>
        </is>
      </c>
      <c r="G200" s="9" t="inlineStr">
        <is>
          <t>13.2</t>
        </is>
      </c>
      <c r="H200" s="9" t="inlineStr">
        <is>
          <t>29103-ET-PE2302-1-R-1.pdf</t>
        </is>
      </c>
      <c r="I200" s="4" t="str">
        <f>IF($H200&lt;&gt;"","YES","NO")</f>
        <v>YES</v>
      </c>
      <c r="J200" s="4" t="str">
        <f>IF(N($T200)&gt;0,"YES","NO")</f>
        <v>NO</v>
      </c>
      <c r="K200" s="4" t="str">
        <f>IF(OR($A200="EHT Trace"),IF(AND($U200&lt;&gt;"",$V200&lt;&gt;""),"YES","NO"),"N/A")</f>
        <v>N/A</v>
      </c>
      <c r="L200" s="4" t="str">
        <f>IF(OR($A200="EHT Trace"),IF(AND($X200&lt;&gt;"",$Y200&lt;&gt;""),"YES","NO"),"N/A")</f>
        <v>N/A</v>
      </c>
      <c r="M200" s="4" t="str">
        <f>IF(OR($A200="EHT Trace"),IF(AND($AA200&lt;&gt;"",$AB200&lt;&gt;""),"YES","NO"),"N/A")</f>
        <v>N/A</v>
      </c>
      <c r="N200" s="4" t="str">
        <f>IF(OR($A200="Power Cable"),IF(AND($AD200&lt;&gt;""),"YES","NO"),"N/A")</f>
        <v>N/A</v>
      </c>
      <c r="O200" s="4" t="str">
        <f>IF(OR($A200="Power Cable",$A200="RTD Cable",$A200="Fieldbus Cable"),IF(AND($AE200&lt;&gt;""),"YES","NO"),"N/A")</f>
        <v>N/A</v>
      </c>
      <c r="P200" s="4" t="str">
        <f>IF(OR($A200="RTD"),IF(AND($AH200&lt;&gt;""),"YES","NO"),"N/A")</f>
        <v>NO</v>
      </c>
      <c r="Q200" s="4" t="str">
        <f>IF(OR($A200="RTD"),IF(AND($AI200&lt;&gt;""),"YES","NO"),"N/A")</f>
        <v>NO</v>
      </c>
      <c r="R200" s="4" t="str">
        <f>IF(OR($AM200&lt;&gt;"",$Z200&lt;&gt;"",$AC200&lt;&gt;""),"YES","NO")</f>
        <v>NO</v>
      </c>
      <c r="S200" s="4" t="str">
        <f>IF(COUNTIF(I200:R200,"NO")=0,"YES","NO")</f>
        <v>NO</v>
      </c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inlineStr">
        <is>
          <t>Levy Ostrup</t>
        </is>
      </c>
      <c r="AM200" s="9" t="n"/>
      <c r="AN200" s="9" t="n"/>
    </row>
    <row r="201">
      <c r="A201" s="9" t="inlineStr">
        <is>
          <t>RTD</t>
        </is>
      </c>
      <c r="B201" s="9" t="inlineStr">
        <is>
          <t>29103-ET-PE2302-1-R-2</t>
        </is>
      </c>
      <c r="C201" s="9" t="inlineStr">
        <is>
          <t>29103-ET-PE2302-1</t>
        </is>
      </c>
      <c r="D201" s="9" t="inlineStr">
        <is>
          <t>29103-HTP-004 I/O-2-3</t>
        </is>
      </c>
      <c r="E201" s="9" t="inlineStr">
        <is>
          <t>PRODUCED EMULSION</t>
        </is>
      </c>
      <c r="F201" s="9" t="inlineStr">
        <is>
          <t>29103-65R-ET-PE2302-01-01</t>
        </is>
      </c>
      <c r="G201" s="9" t="inlineStr">
        <is>
          <t>13.2</t>
        </is>
      </c>
      <c r="H201" s="9" t="inlineStr">
        <is>
          <t>29103-ET-PE2302-1-R-2.pdf</t>
        </is>
      </c>
      <c r="I201" s="4" t="str">
        <f>IF($H201&lt;&gt;"","YES","NO")</f>
        <v>YES</v>
      </c>
      <c r="J201" s="4" t="str">
        <f>IF(N($T201)&gt;0,"YES","NO")</f>
        <v>NO</v>
      </c>
      <c r="K201" s="4" t="str">
        <f>IF(OR($A201="EHT Trace"),IF(AND($U201&lt;&gt;"",$V201&lt;&gt;""),"YES","NO"),"N/A")</f>
        <v>N/A</v>
      </c>
      <c r="L201" s="4" t="str">
        <f>IF(OR($A201="EHT Trace"),IF(AND($X201&lt;&gt;"",$Y201&lt;&gt;""),"YES","NO"),"N/A")</f>
        <v>N/A</v>
      </c>
      <c r="M201" s="4" t="str">
        <f>IF(OR($A201="EHT Trace"),IF(AND($AA201&lt;&gt;"",$AB201&lt;&gt;""),"YES","NO"),"N/A")</f>
        <v>N/A</v>
      </c>
      <c r="N201" s="4" t="str">
        <f>IF(OR($A201="Power Cable"),IF(AND($AD201&lt;&gt;""),"YES","NO"),"N/A")</f>
        <v>N/A</v>
      </c>
      <c r="O201" s="4" t="str">
        <f>IF(OR($A201="Power Cable",$A201="RTD Cable",$A201="Fieldbus Cable"),IF(AND($AE201&lt;&gt;""),"YES","NO"),"N/A")</f>
        <v>N/A</v>
      </c>
      <c r="P201" s="4" t="str">
        <f>IF(OR($A201="RTD"),IF(AND($AH201&lt;&gt;""),"YES","NO"),"N/A")</f>
        <v>NO</v>
      </c>
      <c r="Q201" s="4" t="str">
        <f>IF(OR($A201="RTD"),IF(AND($AI201&lt;&gt;""),"YES","NO"),"N/A")</f>
        <v>NO</v>
      </c>
      <c r="R201" s="4" t="str">
        <f>IF(OR($AM201&lt;&gt;"",$Z201&lt;&gt;"",$AC201&lt;&gt;""),"YES","NO")</f>
        <v>NO</v>
      </c>
      <c r="S201" s="4" t="str">
        <f>IF(COUNTIF(I201:R201,"NO")=0,"YES","NO")</f>
        <v>NO</v>
      </c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inlineStr">
        <is>
          <t>Levy Ostrup</t>
        </is>
      </c>
      <c r="AM201" s="9" t="n"/>
      <c r="AN201" s="9" t="n"/>
    </row>
    <row r="202">
      <c r="A202" s="9" t="inlineStr">
        <is>
          <t>RTD</t>
        </is>
      </c>
      <c r="B202" s="9" t="inlineStr">
        <is>
          <t>29103-ET-PE2401-2-R-2</t>
        </is>
      </c>
      <c r="C202" s="9" t="inlineStr">
        <is>
          <t>29103-ET-PE2401-2</t>
        </is>
      </c>
      <c r="D202" s="9" t="inlineStr">
        <is>
          <t>29103-HTP-004 HTC-59</t>
        </is>
      </c>
      <c r="E202" s="9" t="inlineStr">
        <is>
          <t>PRODUCED EMULSION</t>
        </is>
      </c>
      <c r="F202" s="9" t="inlineStr">
        <is>
          <t>29103-65R-ET-PE2401-02-01</t>
        </is>
      </c>
      <c r="G202" s="9" t="inlineStr">
        <is>
          <t>13.2</t>
        </is>
      </c>
      <c r="H202" s="9" t="inlineStr">
        <is>
          <t>29103-ET-PE2401-2-R-2.pdf</t>
        </is>
      </c>
      <c r="I202" s="4" t="str">
        <f>IF($H202&lt;&gt;"","YES","NO")</f>
        <v>YES</v>
      </c>
      <c r="J202" s="4" t="str">
        <f>IF(N($T202)&gt;0,"YES","NO")</f>
        <v>NO</v>
      </c>
      <c r="K202" s="4" t="str">
        <f>IF(OR($A202="EHT Trace"),IF(AND($U202&lt;&gt;"",$V202&lt;&gt;""),"YES","NO"),"N/A")</f>
        <v>N/A</v>
      </c>
      <c r="L202" s="4" t="str">
        <f>IF(OR($A202="EHT Trace"),IF(AND($X202&lt;&gt;"",$Y202&lt;&gt;""),"YES","NO"),"N/A")</f>
        <v>N/A</v>
      </c>
      <c r="M202" s="4" t="str">
        <f>IF(OR($A202="EHT Trace"),IF(AND($AA202&lt;&gt;"",$AB202&lt;&gt;""),"YES","NO"),"N/A")</f>
        <v>N/A</v>
      </c>
      <c r="N202" s="4" t="str">
        <f>IF(OR($A202="Power Cable"),IF(AND($AD202&lt;&gt;""),"YES","NO"),"N/A")</f>
        <v>N/A</v>
      </c>
      <c r="O202" s="4" t="str">
        <f>IF(OR($A202="Power Cable",$A202="RTD Cable",$A202="Fieldbus Cable"),IF(AND($AE202&lt;&gt;""),"YES","NO"),"N/A")</f>
        <v>N/A</v>
      </c>
      <c r="P202" s="4" t="str">
        <f>IF(OR($A202="RTD"),IF(AND($AH202&lt;&gt;""),"YES","NO"),"N/A")</f>
        <v>NO</v>
      </c>
      <c r="Q202" s="4" t="str">
        <f>IF(OR($A202="RTD"),IF(AND($AI202&lt;&gt;""),"YES","NO"),"N/A")</f>
        <v>NO</v>
      </c>
      <c r="R202" s="4" t="str">
        <f>IF(OR($AM202&lt;&gt;"",$Z202&lt;&gt;"",$AC202&lt;&gt;""),"YES","NO")</f>
        <v>NO</v>
      </c>
      <c r="S202" s="4" t="str">
        <f>IF(COUNTIF(I202:R202,"NO")=0,"YES","NO")</f>
        <v>NO</v>
      </c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inlineStr">
        <is>
          <t>Levy Ostrup</t>
        </is>
      </c>
      <c r="AM202" s="9" t="n"/>
      <c r="AN202" s="9" t="n"/>
    </row>
    <row r="203">
      <c r="A203" s="9" t="inlineStr">
        <is>
          <t>RTD</t>
        </is>
      </c>
      <c r="B203" s="9" t="inlineStr">
        <is>
          <t>29103-ET-PE2402-1-R-1</t>
        </is>
      </c>
      <c r="C203" s="9" t="inlineStr">
        <is>
          <t>29103-ET-PE2402-1</t>
        </is>
      </c>
      <c r="D203" s="9" t="inlineStr">
        <is>
          <t>29103-HTP-004 HTC-35</t>
        </is>
      </c>
      <c r="E203" s="9" t="inlineStr">
        <is>
          <t>PRODUCED EMULSION</t>
        </is>
      </c>
      <c r="F203" s="9" t="inlineStr">
        <is>
          <t>29103-65R-ET-PE2402-01-01</t>
        </is>
      </c>
      <c r="G203" s="9" t="inlineStr">
        <is>
          <t>13.2</t>
        </is>
      </c>
      <c r="H203" s="9" t="inlineStr">
        <is>
          <t>29103-ET-PE2402-1-R-1.pdf</t>
        </is>
      </c>
      <c r="I203" s="4" t="str">
        <f>IF($H203&lt;&gt;"","YES","NO")</f>
        <v>YES</v>
      </c>
      <c r="J203" s="4" t="str">
        <f>IF(N($T203)&gt;0,"YES","NO")</f>
        <v>NO</v>
      </c>
      <c r="K203" s="4" t="str">
        <f>IF(OR($A203="EHT Trace"),IF(AND($U203&lt;&gt;"",$V203&lt;&gt;""),"YES","NO"),"N/A")</f>
        <v>N/A</v>
      </c>
      <c r="L203" s="4" t="str">
        <f>IF(OR($A203="EHT Trace"),IF(AND($X203&lt;&gt;"",$Y203&lt;&gt;""),"YES","NO"),"N/A")</f>
        <v>N/A</v>
      </c>
      <c r="M203" s="4" t="str">
        <f>IF(OR($A203="EHT Trace"),IF(AND($AA203&lt;&gt;"",$AB203&lt;&gt;""),"YES","NO"),"N/A")</f>
        <v>N/A</v>
      </c>
      <c r="N203" s="4" t="str">
        <f>IF(OR($A203="Power Cable"),IF(AND($AD203&lt;&gt;""),"YES","NO"),"N/A")</f>
        <v>N/A</v>
      </c>
      <c r="O203" s="4" t="str">
        <f>IF(OR($A203="Power Cable",$A203="RTD Cable",$A203="Fieldbus Cable"),IF(AND($AE203&lt;&gt;""),"YES","NO"),"N/A")</f>
        <v>N/A</v>
      </c>
      <c r="P203" s="4" t="str">
        <f>IF(OR($A203="RTD"),IF(AND($AH203&lt;&gt;""),"YES","NO"),"N/A")</f>
        <v>NO</v>
      </c>
      <c r="Q203" s="4" t="str">
        <f>IF(OR($A203="RTD"),IF(AND($AI203&lt;&gt;""),"YES","NO"),"N/A")</f>
        <v>NO</v>
      </c>
      <c r="R203" s="4" t="str">
        <f>IF(OR($AM203&lt;&gt;"",$Z203&lt;&gt;"",$AC203&lt;&gt;""),"YES","NO")</f>
        <v>NO</v>
      </c>
      <c r="S203" s="4" t="str">
        <f>IF(COUNTIF(I203:R203,"NO")=0,"YES","NO")</f>
        <v>NO</v>
      </c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inlineStr">
        <is>
          <t>Levy Ostrup</t>
        </is>
      </c>
      <c r="AM203" s="9" t="n"/>
      <c r="AN203" s="9" t="n"/>
    </row>
    <row r="204">
      <c r="A204" s="9" t="inlineStr">
        <is>
          <t>RTD</t>
        </is>
      </c>
      <c r="B204" s="9" t="inlineStr">
        <is>
          <t>29103-ET-PE2402-1-R-2</t>
        </is>
      </c>
      <c r="C204" s="9" t="inlineStr">
        <is>
          <t>29103-ET-PE2402-1</t>
        </is>
      </c>
      <c r="D204" s="9" t="inlineStr">
        <is>
          <t>29103-HTP-004 HTC-60</t>
        </is>
      </c>
      <c r="E204" s="9" t="inlineStr">
        <is>
          <t>PRODUCED EMULSION</t>
        </is>
      </c>
      <c r="F204" s="9" t="inlineStr">
        <is>
          <t>29103-65R-ET-PE2402-01-01</t>
        </is>
      </c>
      <c r="G204" s="9" t="inlineStr">
        <is>
          <t>13.2</t>
        </is>
      </c>
      <c r="H204" s="9" t="inlineStr">
        <is>
          <t>29103-ET-PE2402-1-R-2.pdf</t>
        </is>
      </c>
      <c r="I204" s="4" t="str">
        <f>IF($H204&lt;&gt;"","YES","NO")</f>
        <v>YES</v>
      </c>
      <c r="J204" s="4" t="str">
        <f>IF(N($T204)&gt;0,"YES","NO")</f>
        <v>NO</v>
      </c>
      <c r="K204" s="4" t="str">
        <f>IF(OR($A204="EHT Trace"),IF(AND($U204&lt;&gt;"",$V204&lt;&gt;""),"YES","NO"),"N/A")</f>
        <v>N/A</v>
      </c>
      <c r="L204" s="4" t="str">
        <f>IF(OR($A204="EHT Trace"),IF(AND($X204&lt;&gt;"",$Y204&lt;&gt;""),"YES","NO"),"N/A")</f>
        <v>N/A</v>
      </c>
      <c r="M204" s="4" t="str">
        <f>IF(OR($A204="EHT Trace"),IF(AND($AA204&lt;&gt;"",$AB204&lt;&gt;""),"YES","NO"),"N/A")</f>
        <v>N/A</v>
      </c>
      <c r="N204" s="4" t="str">
        <f>IF(OR($A204="Power Cable"),IF(AND($AD204&lt;&gt;""),"YES","NO"),"N/A")</f>
        <v>N/A</v>
      </c>
      <c r="O204" s="4" t="str">
        <f>IF(OR($A204="Power Cable",$A204="RTD Cable",$A204="Fieldbus Cable"),IF(AND($AE204&lt;&gt;""),"YES","NO"),"N/A")</f>
        <v>N/A</v>
      </c>
      <c r="P204" s="4" t="str">
        <f>IF(OR($A204="RTD"),IF(AND($AH204&lt;&gt;""),"YES","NO"),"N/A")</f>
        <v>NO</v>
      </c>
      <c r="Q204" s="4" t="str">
        <f>IF(OR($A204="RTD"),IF(AND($AI204&lt;&gt;""),"YES","NO"),"N/A")</f>
        <v>NO</v>
      </c>
      <c r="R204" s="4" t="str">
        <f>IF(OR($AM204&lt;&gt;"",$Z204&lt;&gt;"",$AC204&lt;&gt;""),"YES","NO")</f>
        <v>NO</v>
      </c>
      <c r="S204" s="4" t="str">
        <f>IF(COUNTIF(I204:R204,"NO")=0,"YES","NO")</f>
        <v>NO</v>
      </c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inlineStr">
        <is>
          <t>Levy Ostrup</t>
        </is>
      </c>
      <c r="AM204" s="9" t="n"/>
      <c r="AN204" s="9" t="n"/>
    </row>
    <row r="205">
      <c r="A205" s="9" t="inlineStr">
        <is>
          <t>RTD</t>
        </is>
      </c>
      <c r="B205" s="9" t="inlineStr">
        <is>
          <t>29103-ET-PE2803-2-R-1</t>
        </is>
      </c>
      <c r="C205" s="9" t="inlineStr">
        <is>
          <t>29103-ET-PE2803-2</t>
        </is>
      </c>
      <c r="D205" s="9" t="inlineStr">
        <is>
          <t>29103-HTP-004 HTC-29</t>
        </is>
      </c>
      <c r="E205" s="9" t="inlineStr">
        <is>
          <t>PRODUCED EMULSION</t>
        </is>
      </c>
      <c r="F205" s="9" t="inlineStr">
        <is>
          <t>29103-65R-ET-PE2803-02-01</t>
        </is>
      </c>
      <c r="G205" s="9" t="inlineStr">
        <is>
          <t>13.2</t>
        </is>
      </c>
      <c r="H205" s="9" t="inlineStr">
        <is>
          <t>29103-ET-PE2803-2-R-1.pdf</t>
        </is>
      </c>
      <c r="I205" s="4" t="str">
        <f>IF($H205&lt;&gt;"","YES","NO")</f>
        <v>YES</v>
      </c>
      <c r="J205" s="4" t="str">
        <f>IF(N($T205)&gt;0,"YES","NO")</f>
        <v>NO</v>
      </c>
      <c r="K205" s="4" t="str">
        <f>IF(OR($A205="EHT Trace"),IF(AND($U205&lt;&gt;"",$V205&lt;&gt;""),"YES","NO"),"N/A")</f>
        <v>N/A</v>
      </c>
      <c r="L205" s="4" t="str">
        <f>IF(OR($A205="EHT Trace"),IF(AND($X205&lt;&gt;"",$Y205&lt;&gt;""),"YES","NO"),"N/A")</f>
        <v>N/A</v>
      </c>
      <c r="M205" s="4" t="str">
        <f>IF(OR($A205="EHT Trace"),IF(AND($AA205&lt;&gt;"",$AB205&lt;&gt;""),"YES","NO"),"N/A")</f>
        <v>N/A</v>
      </c>
      <c r="N205" s="4" t="str">
        <f>IF(OR($A205="Power Cable"),IF(AND($AD205&lt;&gt;""),"YES","NO"),"N/A")</f>
        <v>N/A</v>
      </c>
      <c r="O205" s="4" t="str">
        <f>IF(OR($A205="Power Cable",$A205="RTD Cable",$A205="Fieldbus Cable"),IF(AND($AE205&lt;&gt;""),"YES","NO"),"N/A")</f>
        <v>N/A</v>
      </c>
      <c r="P205" s="4" t="str">
        <f>IF(OR($A205="RTD"),IF(AND($AH205&lt;&gt;""),"YES","NO"),"N/A")</f>
        <v>NO</v>
      </c>
      <c r="Q205" s="4" t="str">
        <f>IF(OR($A205="RTD"),IF(AND($AI205&lt;&gt;""),"YES","NO"),"N/A")</f>
        <v>NO</v>
      </c>
      <c r="R205" s="4" t="str">
        <f>IF(OR($AM205&lt;&gt;"",$Z205&lt;&gt;"",$AC205&lt;&gt;""),"YES","NO")</f>
        <v>NO</v>
      </c>
      <c r="S205" s="4" t="str">
        <f>IF(COUNTIF(I205:R205,"NO")=0,"YES","NO")</f>
        <v>NO</v>
      </c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inlineStr">
        <is>
          <t>Levy Ostrup</t>
        </is>
      </c>
      <c r="AM205" s="9" t="n"/>
      <c r="AN205" s="9" t="n"/>
    </row>
    <row r="206">
      <c r="A206" s="9" t="inlineStr">
        <is>
          <t>RTD</t>
        </is>
      </c>
      <c r="B206" s="9" t="inlineStr">
        <is>
          <t>29103-ET-PG2101-1-R-1</t>
        </is>
      </c>
      <c r="C206" s="9" t="inlineStr">
        <is>
          <t>29103-ET-PG2101-1</t>
        </is>
      </c>
      <c r="D206" s="9" t="inlineStr">
        <is>
          <t>29103-HTP-004 HTC-21</t>
        </is>
      </c>
      <c r="E206" s="9" t="inlineStr">
        <is>
          <t>PRODUCED GAS</t>
        </is>
      </c>
      <c r="F206" s="9" t="inlineStr">
        <is>
          <t>29103-65R-ET-PG2101-01-01</t>
        </is>
      </c>
      <c r="G206" s="9" t="inlineStr">
        <is>
          <t>13.2</t>
        </is>
      </c>
      <c r="H206" s="9" t="inlineStr">
        <is>
          <t>29103-ET-PG2101-1-R-1.pdf</t>
        </is>
      </c>
      <c r="I206" s="4" t="str">
        <f>IF($H206&lt;&gt;"","YES","NO")</f>
        <v>YES</v>
      </c>
      <c r="J206" s="4" t="str">
        <f>IF(N($T206)&gt;0,"YES","NO")</f>
        <v>NO</v>
      </c>
      <c r="K206" s="4" t="str">
        <f>IF(OR($A206="EHT Trace"),IF(AND($U206&lt;&gt;"",$V206&lt;&gt;""),"YES","NO"),"N/A")</f>
        <v>N/A</v>
      </c>
      <c r="L206" s="4" t="str">
        <f>IF(OR($A206="EHT Trace"),IF(AND($X206&lt;&gt;"",$Y206&lt;&gt;""),"YES","NO"),"N/A")</f>
        <v>N/A</v>
      </c>
      <c r="M206" s="4" t="str">
        <f>IF(OR($A206="EHT Trace"),IF(AND($AA206&lt;&gt;"",$AB206&lt;&gt;""),"YES","NO"),"N/A")</f>
        <v>N/A</v>
      </c>
      <c r="N206" s="4" t="str">
        <f>IF(OR($A206="Power Cable"),IF(AND($AD206&lt;&gt;""),"YES","NO"),"N/A")</f>
        <v>N/A</v>
      </c>
      <c r="O206" s="4" t="str">
        <f>IF(OR($A206="Power Cable",$A206="RTD Cable",$A206="Fieldbus Cable"),IF(AND($AE206&lt;&gt;""),"YES","NO"),"N/A")</f>
        <v>N/A</v>
      </c>
      <c r="P206" s="4" t="str">
        <f>IF(OR($A206="RTD"),IF(AND($AH206&lt;&gt;""),"YES","NO"),"N/A")</f>
        <v>NO</v>
      </c>
      <c r="Q206" s="4" t="str">
        <f>IF(OR($A206="RTD"),IF(AND($AI206&lt;&gt;""),"YES","NO"),"N/A")</f>
        <v>NO</v>
      </c>
      <c r="R206" s="4" t="str">
        <f>IF(OR($AM206&lt;&gt;"",$Z206&lt;&gt;"",$AC206&lt;&gt;""),"YES","NO")</f>
        <v>NO</v>
      </c>
      <c r="S206" s="4" t="str">
        <f>IF(COUNTIF(I206:R206,"NO")=0,"YES","NO")</f>
        <v>NO</v>
      </c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inlineStr">
        <is>
          <t>Levy Ostrup</t>
        </is>
      </c>
      <c r="AM206" s="9" t="n"/>
      <c r="AN206" s="9" t="n"/>
    </row>
    <row r="207">
      <c r="A207" s="9" t="inlineStr">
        <is>
          <t>RTD</t>
        </is>
      </c>
      <c r="B207" s="9" t="inlineStr">
        <is>
          <t>29103-ET-PG2101-1-R-2</t>
        </is>
      </c>
      <c r="C207" s="9" t="inlineStr">
        <is>
          <t>29103-ET-PG2101-1</t>
        </is>
      </c>
      <c r="D207" s="9" t="inlineStr">
        <is>
          <t>29103-HTP-004 I/O-4-2</t>
        </is>
      </c>
      <c r="E207" s="9" t="inlineStr">
        <is>
          <t>PRODUCED GAS</t>
        </is>
      </c>
      <c r="F207" s="9" t="inlineStr">
        <is>
          <t>29103-65R-ET-PG2101-01-01</t>
        </is>
      </c>
      <c r="G207" s="9" t="inlineStr">
        <is>
          <t>13.2</t>
        </is>
      </c>
      <c r="H207" s="9" t="inlineStr">
        <is>
          <t>29103-ET-PG2101-1-R-2.pdf</t>
        </is>
      </c>
      <c r="I207" s="4" t="str">
        <f>IF($H207&lt;&gt;"","YES","NO")</f>
        <v>YES</v>
      </c>
      <c r="J207" s="4" t="str">
        <f>IF(N($T207)&gt;0,"YES","NO")</f>
        <v>NO</v>
      </c>
      <c r="K207" s="4" t="str">
        <f>IF(OR($A207="EHT Trace"),IF(AND($U207&lt;&gt;"",$V207&lt;&gt;""),"YES","NO"),"N/A")</f>
        <v>N/A</v>
      </c>
      <c r="L207" s="4" t="str">
        <f>IF(OR($A207="EHT Trace"),IF(AND($X207&lt;&gt;"",$Y207&lt;&gt;""),"YES","NO"),"N/A")</f>
        <v>N/A</v>
      </c>
      <c r="M207" s="4" t="str">
        <f>IF(OR($A207="EHT Trace"),IF(AND($AA207&lt;&gt;"",$AB207&lt;&gt;""),"YES","NO"),"N/A")</f>
        <v>N/A</v>
      </c>
      <c r="N207" s="4" t="str">
        <f>IF(OR($A207="Power Cable"),IF(AND($AD207&lt;&gt;""),"YES","NO"),"N/A")</f>
        <v>N/A</v>
      </c>
      <c r="O207" s="4" t="str">
        <f>IF(OR($A207="Power Cable",$A207="RTD Cable",$A207="Fieldbus Cable"),IF(AND($AE207&lt;&gt;""),"YES","NO"),"N/A")</f>
        <v>N/A</v>
      </c>
      <c r="P207" s="4" t="str">
        <f>IF(OR($A207="RTD"),IF(AND($AH207&lt;&gt;""),"YES","NO"),"N/A")</f>
        <v>NO</v>
      </c>
      <c r="Q207" s="4" t="str">
        <f>IF(OR($A207="RTD"),IF(AND($AI207&lt;&gt;""),"YES","NO"),"N/A")</f>
        <v>NO</v>
      </c>
      <c r="R207" s="4" t="str">
        <f>IF(OR($AM207&lt;&gt;"",$Z207&lt;&gt;"",$AC207&lt;&gt;""),"YES","NO")</f>
        <v>NO</v>
      </c>
      <c r="S207" s="4" t="str">
        <f>IF(COUNTIF(I207:R207,"NO")=0,"YES","NO")</f>
        <v>NO</v>
      </c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inlineStr">
        <is>
          <t>Levy Ostrup</t>
        </is>
      </c>
      <c r="AM207" s="9" t="n"/>
      <c r="AN207" s="9" t="n"/>
    </row>
    <row r="208">
      <c r="A208" s="9" t="inlineStr">
        <is>
          <t>RTD</t>
        </is>
      </c>
      <c r="B208" s="9" t="inlineStr">
        <is>
          <t>29103-ET-PG2101-2-R-1</t>
        </is>
      </c>
      <c r="C208" s="9" t="inlineStr">
        <is>
          <t>29103-ET-PG2101-2</t>
        </is>
      </c>
      <c r="D208" s="9" t="inlineStr">
        <is>
          <t>29103-HTP-004 HTC-22</t>
        </is>
      </c>
      <c r="E208" s="9" t="inlineStr">
        <is>
          <t>PRODUCED GAS</t>
        </is>
      </c>
      <c r="F208" s="9" t="inlineStr">
        <is>
          <t>29103-65R-ET-PG2101-02-01</t>
        </is>
      </c>
      <c r="G208" s="9" t="inlineStr">
        <is>
          <t>13.2</t>
        </is>
      </c>
      <c r="H208" s="9" t="inlineStr">
        <is>
          <t>29103-ET-PG2101-2-R-1.pdf</t>
        </is>
      </c>
      <c r="I208" s="4" t="str">
        <f>IF($H208&lt;&gt;"","YES","NO")</f>
        <v>YES</v>
      </c>
      <c r="J208" s="4" t="str">
        <f>IF(N($T208)&gt;0,"YES","NO")</f>
        <v>NO</v>
      </c>
      <c r="K208" s="4" t="str">
        <f>IF(OR($A208="EHT Trace"),IF(AND($U208&lt;&gt;"",$V208&lt;&gt;""),"YES","NO"),"N/A")</f>
        <v>N/A</v>
      </c>
      <c r="L208" s="4" t="str">
        <f>IF(OR($A208="EHT Trace"),IF(AND($X208&lt;&gt;"",$Y208&lt;&gt;""),"YES","NO"),"N/A")</f>
        <v>N/A</v>
      </c>
      <c r="M208" s="4" t="str">
        <f>IF(OR($A208="EHT Trace"),IF(AND($AA208&lt;&gt;"",$AB208&lt;&gt;""),"YES","NO"),"N/A")</f>
        <v>N/A</v>
      </c>
      <c r="N208" s="4" t="str">
        <f>IF(OR($A208="Power Cable"),IF(AND($AD208&lt;&gt;""),"YES","NO"),"N/A")</f>
        <v>N/A</v>
      </c>
      <c r="O208" s="4" t="str">
        <f>IF(OR($A208="Power Cable",$A208="RTD Cable",$A208="Fieldbus Cable"),IF(AND($AE208&lt;&gt;""),"YES","NO"),"N/A")</f>
        <v>N/A</v>
      </c>
      <c r="P208" s="4" t="str">
        <f>IF(OR($A208="RTD"),IF(AND($AH208&lt;&gt;""),"YES","NO"),"N/A")</f>
        <v>NO</v>
      </c>
      <c r="Q208" s="4" t="str">
        <f>IF(OR($A208="RTD"),IF(AND($AI208&lt;&gt;""),"YES","NO"),"N/A")</f>
        <v>NO</v>
      </c>
      <c r="R208" s="4" t="str">
        <f>IF(OR($AM208&lt;&gt;"",$Z208&lt;&gt;"",$AC208&lt;&gt;""),"YES","NO")</f>
        <v>NO</v>
      </c>
      <c r="S208" s="4" t="str">
        <f>IF(COUNTIF(I208:R208,"NO")=0,"YES","NO")</f>
        <v>NO</v>
      </c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inlineStr">
        <is>
          <t>Levy Ostrup</t>
        </is>
      </c>
      <c r="AM208" s="9" t="n"/>
      <c r="AN208" s="9" t="n"/>
    </row>
    <row r="209">
      <c r="A209" s="9" t="inlineStr">
        <is>
          <t>RTD</t>
        </is>
      </c>
      <c r="B209" s="9" t="inlineStr">
        <is>
          <t>29103-ET-PG2201-1-R-1</t>
        </is>
      </c>
      <c r="C209" s="9" t="inlineStr">
        <is>
          <t>29103-ET-PG2201-1</t>
        </is>
      </c>
      <c r="D209" s="9" t="inlineStr">
        <is>
          <t>29103-HTP-004 HTC-14</t>
        </is>
      </c>
      <c r="E209" s="9" t="inlineStr">
        <is>
          <t>PRODUCED GAS</t>
        </is>
      </c>
      <c r="F209" s="9" t="inlineStr">
        <is>
          <t>29103-65R-ET-PG2201-01-01</t>
        </is>
      </c>
      <c r="G209" s="9" t="inlineStr">
        <is>
          <t>13.2</t>
        </is>
      </c>
      <c r="H209" s="9" t="inlineStr">
        <is>
          <t>29103-ET-PG2201-1-R-1.pdf</t>
        </is>
      </c>
      <c r="I209" s="4" t="str">
        <f>IF($H209&lt;&gt;"","YES","NO")</f>
        <v>YES</v>
      </c>
      <c r="J209" s="4" t="str">
        <f>IF(N($T209)&gt;0,"YES","NO")</f>
        <v>NO</v>
      </c>
      <c r="K209" s="4" t="str">
        <f>IF(OR($A209="EHT Trace"),IF(AND($U209&lt;&gt;"",$V209&lt;&gt;""),"YES","NO"),"N/A")</f>
        <v>N/A</v>
      </c>
      <c r="L209" s="4" t="str">
        <f>IF(OR($A209="EHT Trace"),IF(AND($X209&lt;&gt;"",$Y209&lt;&gt;""),"YES","NO"),"N/A")</f>
        <v>N/A</v>
      </c>
      <c r="M209" s="4" t="str">
        <f>IF(OR($A209="EHT Trace"),IF(AND($AA209&lt;&gt;"",$AB209&lt;&gt;""),"YES","NO"),"N/A")</f>
        <v>N/A</v>
      </c>
      <c r="N209" s="4" t="str">
        <f>IF(OR($A209="Power Cable"),IF(AND($AD209&lt;&gt;""),"YES","NO"),"N/A")</f>
        <v>N/A</v>
      </c>
      <c r="O209" s="4" t="str">
        <f>IF(OR($A209="Power Cable",$A209="RTD Cable",$A209="Fieldbus Cable"),IF(AND($AE209&lt;&gt;""),"YES","NO"),"N/A")</f>
        <v>N/A</v>
      </c>
      <c r="P209" s="4" t="str">
        <f>IF(OR($A209="RTD"),IF(AND($AH209&lt;&gt;""),"YES","NO"),"N/A")</f>
        <v>NO</v>
      </c>
      <c r="Q209" s="4" t="str">
        <f>IF(OR($A209="RTD"),IF(AND($AI209&lt;&gt;""),"YES","NO"),"N/A")</f>
        <v>NO</v>
      </c>
      <c r="R209" s="4" t="str">
        <f>IF(OR($AM209&lt;&gt;"",$Z209&lt;&gt;"",$AC209&lt;&gt;""),"YES","NO")</f>
        <v>NO</v>
      </c>
      <c r="S209" s="4" t="str">
        <f>IF(COUNTIF(I209:R209,"NO")=0,"YES","NO")</f>
        <v>NO</v>
      </c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inlineStr">
        <is>
          <t>Levy Ostrup</t>
        </is>
      </c>
      <c r="AM209" s="9" t="n"/>
      <c r="AN209" s="9" t="n"/>
    </row>
    <row r="210">
      <c r="A210" s="9" t="inlineStr">
        <is>
          <t>RTD</t>
        </is>
      </c>
      <c r="B210" s="9" t="inlineStr">
        <is>
          <t>29103-ET-PG2201-1-R-2</t>
        </is>
      </c>
      <c r="C210" s="9" t="inlineStr">
        <is>
          <t>29103-ET-PG2201-1</t>
        </is>
      </c>
      <c r="D210" s="9" t="inlineStr">
        <is>
          <t>29103-HTP-004 I/O-4-1</t>
        </is>
      </c>
      <c r="E210" s="9" t="inlineStr">
        <is>
          <t>PRODUCED GAS</t>
        </is>
      </c>
      <c r="F210" s="9" t="inlineStr">
        <is>
          <t>29103-65R-ET-PG2201-01-01</t>
        </is>
      </c>
      <c r="G210" s="9" t="inlineStr">
        <is>
          <t>13.2</t>
        </is>
      </c>
      <c r="H210" s="9" t="inlineStr">
        <is>
          <t>29103-ET-PG2201-1-R-2.pdf</t>
        </is>
      </c>
      <c r="I210" s="4" t="str">
        <f>IF($H210&lt;&gt;"","YES","NO")</f>
        <v>YES</v>
      </c>
      <c r="J210" s="4" t="str">
        <f>IF(N($T210)&gt;0,"YES","NO")</f>
        <v>NO</v>
      </c>
      <c r="K210" s="4" t="str">
        <f>IF(OR($A210="EHT Trace"),IF(AND($U210&lt;&gt;"",$V210&lt;&gt;""),"YES","NO"),"N/A")</f>
        <v>N/A</v>
      </c>
      <c r="L210" s="4" t="str">
        <f>IF(OR($A210="EHT Trace"),IF(AND($X210&lt;&gt;"",$Y210&lt;&gt;""),"YES","NO"),"N/A")</f>
        <v>N/A</v>
      </c>
      <c r="M210" s="4" t="str">
        <f>IF(OR($A210="EHT Trace"),IF(AND($AA210&lt;&gt;"",$AB210&lt;&gt;""),"YES","NO"),"N/A")</f>
        <v>N/A</v>
      </c>
      <c r="N210" s="4" t="str">
        <f>IF(OR($A210="Power Cable"),IF(AND($AD210&lt;&gt;""),"YES","NO"),"N/A")</f>
        <v>N/A</v>
      </c>
      <c r="O210" s="4" t="str">
        <f>IF(OR($A210="Power Cable",$A210="RTD Cable",$A210="Fieldbus Cable"),IF(AND($AE210&lt;&gt;""),"YES","NO"),"N/A")</f>
        <v>N/A</v>
      </c>
      <c r="P210" s="4" t="str">
        <f>IF(OR($A210="RTD"),IF(AND($AH210&lt;&gt;""),"YES","NO"),"N/A")</f>
        <v>NO</v>
      </c>
      <c r="Q210" s="4" t="str">
        <f>IF(OR($A210="RTD"),IF(AND($AI210&lt;&gt;""),"YES","NO"),"N/A")</f>
        <v>NO</v>
      </c>
      <c r="R210" s="4" t="str">
        <f>IF(OR($AM210&lt;&gt;"",$Z210&lt;&gt;"",$AC210&lt;&gt;""),"YES","NO")</f>
        <v>NO</v>
      </c>
      <c r="S210" s="4" t="str">
        <f>IF(COUNTIF(I210:R210,"NO")=0,"YES","NO")</f>
        <v>NO</v>
      </c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inlineStr">
        <is>
          <t>Levy Ostrup</t>
        </is>
      </c>
      <c r="AM210" s="9" t="n"/>
      <c r="AN210" s="9" t="n"/>
    </row>
    <row r="211">
      <c r="A211" s="9" t="inlineStr">
        <is>
          <t>RTD</t>
        </is>
      </c>
      <c r="B211" s="9" t="inlineStr">
        <is>
          <t>29103-ET-PG2201-2-R-1</t>
        </is>
      </c>
      <c r="C211" s="9" t="inlineStr">
        <is>
          <t>29103-ET-PG2201-2</t>
        </is>
      </c>
      <c r="D211" s="9" t="inlineStr">
        <is>
          <t>29103-HTP-004 HTC-17</t>
        </is>
      </c>
      <c r="E211" s="9" t="inlineStr">
        <is>
          <t>PRODUCED GAS</t>
        </is>
      </c>
      <c r="F211" s="9" t="inlineStr">
        <is>
          <t>29103-65R-ET-PG2201-02-01</t>
        </is>
      </c>
      <c r="G211" s="9" t="inlineStr">
        <is>
          <t>13.2</t>
        </is>
      </c>
      <c r="H211" s="9" t="inlineStr">
        <is>
          <t>29103-ET-PG2201-2-R-1.pdf</t>
        </is>
      </c>
      <c r="I211" s="4" t="str">
        <f>IF($H211&lt;&gt;"","YES","NO")</f>
        <v>YES</v>
      </c>
      <c r="J211" s="4" t="str">
        <f>IF(N($T211)&gt;0,"YES","NO")</f>
        <v>NO</v>
      </c>
      <c r="K211" s="4" t="str">
        <f>IF(OR($A211="EHT Trace"),IF(AND($U211&lt;&gt;"",$V211&lt;&gt;""),"YES","NO"),"N/A")</f>
        <v>N/A</v>
      </c>
      <c r="L211" s="4" t="str">
        <f>IF(OR($A211="EHT Trace"),IF(AND($X211&lt;&gt;"",$Y211&lt;&gt;""),"YES","NO"),"N/A")</f>
        <v>N/A</v>
      </c>
      <c r="M211" s="4" t="str">
        <f>IF(OR($A211="EHT Trace"),IF(AND($AA211&lt;&gt;"",$AB211&lt;&gt;""),"YES","NO"),"N/A")</f>
        <v>N/A</v>
      </c>
      <c r="N211" s="4" t="str">
        <f>IF(OR($A211="Power Cable"),IF(AND($AD211&lt;&gt;""),"YES","NO"),"N/A")</f>
        <v>N/A</v>
      </c>
      <c r="O211" s="4" t="str">
        <f>IF(OR($A211="Power Cable",$A211="RTD Cable",$A211="Fieldbus Cable"),IF(AND($AE211&lt;&gt;""),"YES","NO"),"N/A")</f>
        <v>N/A</v>
      </c>
      <c r="P211" s="4" t="str">
        <f>IF(OR($A211="RTD"),IF(AND($AH211&lt;&gt;""),"YES","NO"),"N/A")</f>
        <v>NO</v>
      </c>
      <c r="Q211" s="4" t="str">
        <f>IF(OR($A211="RTD"),IF(AND($AI211&lt;&gt;""),"YES","NO"),"N/A")</f>
        <v>NO</v>
      </c>
      <c r="R211" s="4" t="str">
        <f>IF(OR($AM211&lt;&gt;"",$Z211&lt;&gt;"",$AC211&lt;&gt;""),"YES","NO")</f>
        <v>NO</v>
      </c>
      <c r="S211" s="4" t="str">
        <f>IF(COUNTIF(I211:R211,"NO")=0,"YES","NO")</f>
        <v>NO</v>
      </c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inlineStr">
        <is>
          <t>Levy Ostrup</t>
        </is>
      </c>
      <c r="AM211" s="9" t="n"/>
      <c r="AN211" s="9" t="n"/>
    </row>
    <row r="212">
      <c r="A212" s="9" t="inlineStr">
        <is>
          <t>RTD</t>
        </is>
      </c>
      <c r="B212" s="9" t="inlineStr">
        <is>
          <t>29103-ET-PG2301-1-R-1</t>
        </is>
      </c>
      <c r="C212" s="9" t="inlineStr">
        <is>
          <t>29103-ET-PG2301-1</t>
        </is>
      </c>
      <c r="D212" s="9" t="inlineStr">
        <is>
          <t>29103-HTP-004 HTC-11</t>
        </is>
      </c>
      <c r="E212" s="9" t="inlineStr">
        <is>
          <t>PRODUCED GAS</t>
        </is>
      </c>
      <c r="F212" s="9" t="inlineStr">
        <is>
          <t>29103-65R-ET-PG2301-01-01</t>
        </is>
      </c>
      <c r="G212" s="9" t="inlineStr">
        <is>
          <t>13.2</t>
        </is>
      </c>
      <c r="H212" s="9" t="inlineStr">
        <is>
          <t>29103-ET-PG2301-1-R-1.pdf</t>
        </is>
      </c>
      <c r="I212" s="4" t="str">
        <f>IF($H212&lt;&gt;"","YES","NO")</f>
        <v>YES</v>
      </c>
      <c r="J212" s="4" t="str">
        <f>IF(N($T212)&gt;0,"YES","NO")</f>
        <v>NO</v>
      </c>
      <c r="K212" s="4" t="str">
        <f>IF(OR($A212="EHT Trace"),IF(AND($U212&lt;&gt;"",$V212&lt;&gt;""),"YES","NO"),"N/A")</f>
        <v>N/A</v>
      </c>
      <c r="L212" s="4" t="str">
        <f>IF(OR($A212="EHT Trace"),IF(AND($X212&lt;&gt;"",$Y212&lt;&gt;""),"YES","NO"),"N/A")</f>
        <v>N/A</v>
      </c>
      <c r="M212" s="4" t="str">
        <f>IF(OR($A212="EHT Trace"),IF(AND($AA212&lt;&gt;"",$AB212&lt;&gt;""),"YES","NO"),"N/A")</f>
        <v>N/A</v>
      </c>
      <c r="N212" s="4" t="str">
        <f>IF(OR($A212="Power Cable"),IF(AND($AD212&lt;&gt;""),"YES","NO"),"N/A")</f>
        <v>N/A</v>
      </c>
      <c r="O212" s="4" t="str">
        <f>IF(OR($A212="Power Cable",$A212="RTD Cable",$A212="Fieldbus Cable"),IF(AND($AE212&lt;&gt;""),"YES","NO"),"N/A")</f>
        <v>N/A</v>
      </c>
      <c r="P212" s="4" t="str">
        <f>IF(OR($A212="RTD"),IF(AND($AH212&lt;&gt;""),"YES","NO"),"N/A")</f>
        <v>NO</v>
      </c>
      <c r="Q212" s="4" t="str">
        <f>IF(OR($A212="RTD"),IF(AND($AI212&lt;&gt;""),"YES","NO"),"N/A")</f>
        <v>NO</v>
      </c>
      <c r="R212" s="4" t="str">
        <f>IF(OR($AM212&lt;&gt;"",$Z212&lt;&gt;"",$AC212&lt;&gt;""),"YES","NO")</f>
        <v>NO</v>
      </c>
      <c r="S212" s="4" t="str">
        <f>IF(COUNTIF(I212:R212,"NO")=0,"YES","NO")</f>
        <v>NO</v>
      </c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inlineStr">
        <is>
          <t>Levy Ostrup</t>
        </is>
      </c>
      <c r="AM212" s="9" t="n"/>
      <c r="AN212" s="9" t="n"/>
    </row>
    <row r="213">
      <c r="A213" s="9" t="inlineStr">
        <is>
          <t>RTD</t>
        </is>
      </c>
      <c r="B213" s="9" t="inlineStr">
        <is>
          <t>29103-ET-PG2301-1-R-2</t>
        </is>
      </c>
      <c r="C213" s="9" t="inlineStr">
        <is>
          <t>29103-ET-PG2301-1</t>
        </is>
      </c>
      <c r="D213" s="9" t="inlineStr">
        <is>
          <t>29103-HTP-004 I/O-3-4</t>
        </is>
      </c>
      <c r="E213" s="9" t="inlineStr">
        <is>
          <t>PRODUCED GAS</t>
        </is>
      </c>
      <c r="F213" s="9" t="inlineStr">
        <is>
          <t>29103-65R-ET-PG2301-01-01</t>
        </is>
      </c>
      <c r="G213" s="9" t="inlineStr">
        <is>
          <t>13.2</t>
        </is>
      </c>
      <c r="H213" s="9" t="inlineStr">
        <is>
          <t>29103-ET-PG2301-1-R-2.pdf</t>
        </is>
      </c>
      <c r="I213" s="4" t="str">
        <f>IF($H213&lt;&gt;"","YES","NO")</f>
        <v>YES</v>
      </c>
      <c r="J213" s="4" t="str">
        <f>IF(N($T213)&gt;0,"YES","NO")</f>
        <v>NO</v>
      </c>
      <c r="K213" s="4" t="str">
        <f>IF(OR($A213="EHT Trace"),IF(AND($U213&lt;&gt;"",$V213&lt;&gt;""),"YES","NO"),"N/A")</f>
        <v>N/A</v>
      </c>
      <c r="L213" s="4" t="str">
        <f>IF(OR($A213="EHT Trace"),IF(AND($X213&lt;&gt;"",$Y213&lt;&gt;""),"YES","NO"),"N/A")</f>
        <v>N/A</v>
      </c>
      <c r="M213" s="4" t="str">
        <f>IF(OR($A213="EHT Trace"),IF(AND($AA213&lt;&gt;"",$AB213&lt;&gt;""),"YES","NO"),"N/A")</f>
        <v>N/A</v>
      </c>
      <c r="N213" s="4" t="str">
        <f>IF(OR($A213="Power Cable"),IF(AND($AD213&lt;&gt;""),"YES","NO"),"N/A")</f>
        <v>N/A</v>
      </c>
      <c r="O213" s="4" t="str">
        <f>IF(OR($A213="Power Cable",$A213="RTD Cable",$A213="Fieldbus Cable"),IF(AND($AE213&lt;&gt;""),"YES","NO"),"N/A")</f>
        <v>N/A</v>
      </c>
      <c r="P213" s="4" t="str">
        <f>IF(OR($A213="RTD"),IF(AND($AH213&lt;&gt;""),"YES","NO"),"N/A")</f>
        <v>NO</v>
      </c>
      <c r="Q213" s="4" t="str">
        <f>IF(OR($A213="RTD"),IF(AND($AI213&lt;&gt;""),"YES","NO"),"N/A")</f>
        <v>NO</v>
      </c>
      <c r="R213" s="4" t="str">
        <f>IF(OR($AM213&lt;&gt;"",$Z213&lt;&gt;"",$AC213&lt;&gt;""),"YES","NO")</f>
        <v>NO</v>
      </c>
      <c r="S213" s="4" t="str">
        <f>IF(COUNTIF(I213:R213,"NO")=0,"YES","NO")</f>
        <v>NO</v>
      </c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inlineStr">
        <is>
          <t>Levy Ostrup</t>
        </is>
      </c>
      <c r="AM213" s="9" t="n"/>
      <c r="AN213" s="9" t="n"/>
    </row>
    <row r="214">
      <c r="A214" s="9" t="inlineStr">
        <is>
          <t>RTD</t>
        </is>
      </c>
      <c r="B214" s="9" t="inlineStr">
        <is>
          <t>29103-ET-PG2301-2-R-1</t>
        </is>
      </c>
      <c r="C214" s="9" t="inlineStr">
        <is>
          <t>29103-ET-PG2301-2</t>
        </is>
      </c>
      <c r="D214" s="9" t="inlineStr">
        <is>
          <t>29103-HTP-004 HTC-13</t>
        </is>
      </c>
      <c r="E214" s="9" t="inlineStr">
        <is>
          <t>PRODUCED GAS</t>
        </is>
      </c>
      <c r="F214" s="9" t="inlineStr">
        <is>
          <t>29103-65R-ET-PG2301-02-01</t>
        </is>
      </c>
      <c r="G214" s="9" t="inlineStr">
        <is>
          <t>13.2</t>
        </is>
      </c>
      <c r="H214" s="9" t="inlineStr">
        <is>
          <t>29103-ET-PG2301-2-R-1.pdf</t>
        </is>
      </c>
      <c r="I214" s="4" t="str">
        <f>IF($H214&lt;&gt;"","YES","NO")</f>
        <v>YES</v>
      </c>
      <c r="J214" s="4" t="str">
        <f>IF(N($T214)&gt;0,"YES","NO")</f>
        <v>NO</v>
      </c>
      <c r="K214" s="4" t="str">
        <f>IF(OR($A214="EHT Trace"),IF(AND($U214&lt;&gt;"",$V214&lt;&gt;""),"YES","NO"),"N/A")</f>
        <v>N/A</v>
      </c>
      <c r="L214" s="4" t="str">
        <f>IF(OR($A214="EHT Trace"),IF(AND($X214&lt;&gt;"",$Y214&lt;&gt;""),"YES","NO"),"N/A")</f>
        <v>N/A</v>
      </c>
      <c r="M214" s="4" t="str">
        <f>IF(OR($A214="EHT Trace"),IF(AND($AA214&lt;&gt;"",$AB214&lt;&gt;""),"YES","NO"),"N/A")</f>
        <v>N/A</v>
      </c>
      <c r="N214" s="4" t="str">
        <f>IF(OR($A214="Power Cable"),IF(AND($AD214&lt;&gt;""),"YES","NO"),"N/A")</f>
        <v>N/A</v>
      </c>
      <c r="O214" s="4" t="str">
        <f>IF(OR($A214="Power Cable",$A214="RTD Cable",$A214="Fieldbus Cable"),IF(AND($AE214&lt;&gt;""),"YES","NO"),"N/A")</f>
        <v>N/A</v>
      </c>
      <c r="P214" s="4" t="str">
        <f>IF(OR($A214="RTD"),IF(AND($AH214&lt;&gt;""),"YES","NO"),"N/A")</f>
        <v>NO</v>
      </c>
      <c r="Q214" s="4" t="str">
        <f>IF(OR($A214="RTD"),IF(AND($AI214&lt;&gt;""),"YES","NO"),"N/A")</f>
        <v>NO</v>
      </c>
      <c r="R214" s="4" t="str">
        <f>IF(OR($AM214&lt;&gt;"",$Z214&lt;&gt;"",$AC214&lt;&gt;""),"YES","NO")</f>
        <v>NO</v>
      </c>
      <c r="S214" s="4" t="str">
        <f>IF(COUNTIF(I214:R214,"NO")=0,"YES","NO")</f>
        <v>NO</v>
      </c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inlineStr">
        <is>
          <t>Levy Ostrup</t>
        </is>
      </c>
      <c r="AM214" s="9" t="n"/>
      <c r="AN214" s="9" t="n"/>
    </row>
    <row r="215">
      <c r="A215" s="9" t="inlineStr">
        <is>
          <t>RTD</t>
        </is>
      </c>
      <c r="B215" s="9" t="inlineStr">
        <is>
          <t>29103-ET-PG2401-2-R-1</t>
        </is>
      </c>
      <c r="C215" s="9" t="inlineStr">
        <is>
          <t>29103-ET-PG2401-2</t>
        </is>
      </c>
      <c r="D215" s="9" t="inlineStr">
        <is>
          <t>29103-HTP-004 HTC-36</t>
        </is>
      </c>
      <c r="E215" s="9" t="inlineStr">
        <is>
          <t>PRODUCED GAS</t>
        </is>
      </c>
      <c r="F215" s="9" t="inlineStr">
        <is>
          <t>29103-65R-ET-PG2401-02-01</t>
        </is>
      </c>
      <c r="G215" s="9" t="inlineStr">
        <is>
          <t>13.2</t>
        </is>
      </c>
      <c r="H215" s="9" t="inlineStr">
        <is>
          <t>29103-ET-PG2401-2-R-1.pdf</t>
        </is>
      </c>
      <c r="I215" s="4" t="str">
        <f>IF($H215&lt;&gt;"","YES","NO")</f>
        <v>YES</v>
      </c>
      <c r="J215" s="4" t="str">
        <f>IF(N($T215)&gt;0,"YES","NO")</f>
        <v>NO</v>
      </c>
      <c r="K215" s="4" t="str">
        <f>IF(OR($A215="EHT Trace"),IF(AND($U215&lt;&gt;"",$V215&lt;&gt;""),"YES","NO"),"N/A")</f>
        <v>N/A</v>
      </c>
      <c r="L215" s="4" t="str">
        <f>IF(OR($A215="EHT Trace"),IF(AND($X215&lt;&gt;"",$Y215&lt;&gt;""),"YES","NO"),"N/A")</f>
        <v>N/A</v>
      </c>
      <c r="M215" s="4" t="str">
        <f>IF(OR($A215="EHT Trace"),IF(AND($AA215&lt;&gt;"",$AB215&lt;&gt;""),"YES","NO"),"N/A")</f>
        <v>N/A</v>
      </c>
      <c r="N215" s="4" t="str">
        <f>IF(OR($A215="Power Cable"),IF(AND($AD215&lt;&gt;""),"YES","NO"),"N/A")</f>
        <v>N/A</v>
      </c>
      <c r="O215" s="4" t="str">
        <f>IF(OR($A215="Power Cable",$A215="RTD Cable",$A215="Fieldbus Cable"),IF(AND($AE215&lt;&gt;""),"YES","NO"),"N/A")</f>
        <v>N/A</v>
      </c>
      <c r="P215" s="4" t="str">
        <f>IF(OR($A215="RTD"),IF(AND($AH215&lt;&gt;""),"YES","NO"),"N/A")</f>
        <v>NO</v>
      </c>
      <c r="Q215" s="4" t="str">
        <f>IF(OR($A215="RTD"),IF(AND($AI215&lt;&gt;""),"YES","NO"),"N/A")</f>
        <v>NO</v>
      </c>
      <c r="R215" s="4" t="str">
        <f>IF(OR($AM215&lt;&gt;"",$Z215&lt;&gt;"",$AC215&lt;&gt;""),"YES","NO")</f>
        <v>NO</v>
      </c>
      <c r="S215" s="4" t="str">
        <f>IF(COUNTIF(I215:R215,"NO")=0,"YES","NO")</f>
        <v>NO</v>
      </c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inlineStr">
        <is>
          <t>Levy Ostrup</t>
        </is>
      </c>
      <c r="AM215" s="9" t="n"/>
      <c r="AN215" s="9" t="n"/>
    </row>
    <row r="216">
      <c r="A216" s="9" t="inlineStr">
        <is>
          <t>RTD Cable</t>
        </is>
      </c>
      <c r="B216" s="9" t="inlineStr">
        <is>
          <t>29103-ET-P2101-1-R-1</t>
        </is>
      </c>
      <c r="C216" s="9" t="inlineStr">
        <is>
          <t>29103-ET-P2101-1</t>
        </is>
      </c>
      <c r="D216" s="9" t="inlineStr">
        <is>
          <t>29103-HTP-004 HTC-19</t>
        </is>
      </c>
      <c r="E216" s="9" t="inlineStr">
        <is>
          <t>29103-HTP-004</t>
        </is>
      </c>
      <c r="F216" s="9" t="inlineStr"/>
      <c r="G216" s="9" t="inlineStr">
        <is>
          <t>113</t>
        </is>
      </c>
      <c r="H216" s="9" t="inlineStr">
        <is>
          <t>29103-ET-P2101-1-R-1.pdf</t>
        </is>
      </c>
      <c r="I216" s="4" t="str">
        <f>IF($H216&lt;&gt;"","YES","NO")</f>
        <v>YES</v>
      </c>
      <c r="J216" s="4" t="str">
        <f>IF(N($T216)&gt;0,"YES","NO")</f>
        <v>NO</v>
      </c>
      <c r="K216" s="4" t="str">
        <f>IF(OR($A216="EHT Trace"),IF(AND($U216&lt;&gt;"",$V216&lt;&gt;""),"YES","NO"),"N/A")</f>
        <v>N/A</v>
      </c>
      <c r="L216" s="4" t="str">
        <f>IF(OR($A216="EHT Trace"),IF(AND($X216&lt;&gt;"",$Y216&lt;&gt;""),"YES","NO"),"N/A")</f>
        <v>N/A</v>
      </c>
      <c r="M216" s="4" t="str">
        <f>IF(OR($A216="EHT Trace"),IF(AND($AA216&lt;&gt;"",$AB216&lt;&gt;""),"YES","NO"),"N/A")</f>
        <v>N/A</v>
      </c>
      <c r="N216" s="4" t="str">
        <f>IF(OR($A216="Power Cable"),IF(AND($AD216&lt;&gt;""),"YES","NO"),"N/A")</f>
        <v>N/A</v>
      </c>
      <c r="O216" s="4" t="str">
        <f>IF(OR($A216="Power Cable",$A216="RTD Cable",$A216="Fieldbus Cable"),IF(AND($AE216&lt;&gt;""),"YES","NO"),"N/A")</f>
        <v>NO</v>
      </c>
      <c r="P216" s="4" t="str">
        <f>IF(OR($A216="RTD"),IF(AND($AH216&lt;&gt;""),"YES","NO"),"N/A")</f>
        <v>N/A</v>
      </c>
      <c r="Q216" s="4" t="str">
        <f>IF(OR($A216="RTD"),IF(AND($AI216&lt;&gt;""),"YES","NO"),"N/A")</f>
        <v>N/A</v>
      </c>
      <c r="R216" s="4" t="str">
        <f>IF(OR($AM216&lt;&gt;"",$Z216&lt;&gt;"",$AC216&lt;&gt;""),"YES","NO")</f>
        <v>NO</v>
      </c>
      <c r="S216" s="4" t="str">
        <f>IF(COUNTIF(I216:R216,"NO")=0,"YES","NO")</f>
        <v>NO</v>
      </c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inlineStr">
        <is>
          <t>ACIC</t>
        </is>
      </c>
      <c r="AK216" s="9" t="inlineStr">
        <is>
          <t>16AWG</t>
        </is>
      </c>
      <c r="AL216" s="9" t="inlineStr">
        <is>
          <t>Levy Ostrup</t>
        </is>
      </c>
      <c r="AM216" s="9" t="n"/>
      <c r="AN216" s="9" t="n"/>
    </row>
    <row r="217">
      <c r="A217" s="9" t="inlineStr">
        <is>
          <t>RTD Cable</t>
        </is>
      </c>
      <c r="B217" s="9" t="inlineStr">
        <is>
          <t>29103-ET-P2104-1-R-1</t>
        </is>
      </c>
      <c r="C217" s="9" t="inlineStr">
        <is>
          <t>29103-ET-P2104-1</t>
        </is>
      </c>
      <c r="D217" s="9" t="inlineStr">
        <is>
          <t>29103-HTP-004 HTC-18</t>
        </is>
      </c>
      <c r="E217" s="9" t="inlineStr">
        <is>
          <t>29103-HTP-004</t>
        </is>
      </c>
      <c r="F217" s="9" t="inlineStr"/>
      <c r="G217" s="9" t="inlineStr">
        <is>
          <t>113</t>
        </is>
      </c>
      <c r="H217" s="9" t="inlineStr">
        <is>
          <t>29103-ET-P2104-1-R-1.pdf</t>
        </is>
      </c>
      <c r="I217" s="4" t="str">
        <f>IF($H217&lt;&gt;"","YES","NO")</f>
        <v>YES</v>
      </c>
      <c r="J217" s="4" t="str">
        <f>IF(N($T217)&gt;0,"YES","NO")</f>
        <v>NO</v>
      </c>
      <c r="K217" s="4" t="str">
        <f>IF(OR($A217="EHT Trace"),IF(AND($U217&lt;&gt;"",$V217&lt;&gt;""),"YES","NO"),"N/A")</f>
        <v>N/A</v>
      </c>
      <c r="L217" s="4" t="str">
        <f>IF(OR($A217="EHT Trace"),IF(AND($X217&lt;&gt;"",$Y217&lt;&gt;""),"YES","NO"),"N/A")</f>
        <v>N/A</v>
      </c>
      <c r="M217" s="4" t="str">
        <f>IF(OR($A217="EHT Trace"),IF(AND($AA217&lt;&gt;"",$AB217&lt;&gt;""),"YES","NO"),"N/A")</f>
        <v>N/A</v>
      </c>
      <c r="N217" s="4" t="str">
        <f>IF(OR($A217="Power Cable"),IF(AND($AD217&lt;&gt;""),"YES","NO"),"N/A")</f>
        <v>N/A</v>
      </c>
      <c r="O217" s="4" t="str">
        <f>IF(OR($A217="Power Cable",$A217="RTD Cable",$A217="Fieldbus Cable"),IF(AND($AE217&lt;&gt;""),"YES","NO"),"N/A")</f>
        <v>NO</v>
      </c>
      <c r="P217" s="4" t="str">
        <f>IF(OR($A217="RTD"),IF(AND($AH217&lt;&gt;""),"YES","NO"),"N/A")</f>
        <v>N/A</v>
      </c>
      <c r="Q217" s="4" t="str">
        <f>IF(OR($A217="RTD"),IF(AND($AI217&lt;&gt;""),"YES","NO"),"N/A")</f>
        <v>N/A</v>
      </c>
      <c r="R217" s="4" t="str">
        <f>IF(OR($AM217&lt;&gt;"",$Z217&lt;&gt;"",$AC217&lt;&gt;""),"YES","NO")</f>
        <v>NO</v>
      </c>
      <c r="S217" s="4" t="str">
        <f>IF(COUNTIF(I217:R217,"NO")=0,"YES","NO")</f>
        <v>NO</v>
      </c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inlineStr">
        <is>
          <t>ACIC</t>
        </is>
      </c>
      <c r="AK217" s="9" t="inlineStr">
        <is>
          <t>16AWG</t>
        </is>
      </c>
      <c r="AL217" s="9" t="inlineStr">
        <is>
          <t>Levy Ostrup</t>
        </is>
      </c>
      <c r="AM217" s="9" t="n"/>
      <c r="AN217" s="9" t="n"/>
    </row>
    <row r="218">
      <c r="A218" s="9" t="inlineStr">
        <is>
          <t>RTD Cable</t>
        </is>
      </c>
      <c r="B218" s="9" t="inlineStr">
        <is>
          <t>29103-ET-P2104-1-R-2</t>
        </is>
      </c>
      <c r="C218" s="9" t="inlineStr">
        <is>
          <t>29103-ET-P2104-1</t>
        </is>
      </c>
      <c r="D218" s="9" t="inlineStr">
        <is>
          <t>29103-HTP-004 I/O-2-1</t>
        </is>
      </c>
      <c r="E218" s="9" t="inlineStr">
        <is>
          <t>29103-HTP-004</t>
        </is>
      </c>
      <c r="F218" s="9" t="inlineStr"/>
      <c r="G218" s="9" t="inlineStr">
        <is>
          <t>113</t>
        </is>
      </c>
      <c r="H218" s="9" t="inlineStr">
        <is>
          <t>29103-ET-P2104-1-R-2.pdf</t>
        </is>
      </c>
      <c r="I218" s="4" t="str">
        <f>IF($H218&lt;&gt;"","YES","NO")</f>
        <v>YES</v>
      </c>
      <c r="J218" s="4" t="str">
        <f>IF(N($T218)&gt;0,"YES","NO")</f>
        <v>NO</v>
      </c>
      <c r="K218" s="4" t="str">
        <f>IF(OR($A218="EHT Trace"),IF(AND($U218&lt;&gt;"",$V218&lt;&gt;""),"YES","NO"),"N/A")</f>
        <v>N/A</v>
      </c>
      <c r="L218" s="4" t="str">
        <f>IF(OR($A218="EHT Trace"),IF(AND($X218&lt;&gt;"",$Y218&lt;&gt;""),"YES","NO"),"N/A")</f>
        <v>N/A</v>
      </c>
      <c r="M218" s="4" t="str">
        <f>IF(OR($A218="EHT Trace"),IF(AND($AA218&lt;&gt;"",$AB218&lt;&gt;""),"YES","NO"),"N/A")</f>
        <v>N/A</v>
      </c>
      <c r="N218" s="4" t="str">
        <f>IF(OR($A218="Power Cable"),IF(AND($AD218&lt;&gt;""),"YES","NO"),"N/A")</f>
        <v>N/A</v>
      </c>
      <c r="O218" s="4" t="str">
        <f>IF(OR($A218="Power Cable",$A218="RTD Cable",$A218="Fieldbus Cable"),IF(AND($AE218&lt;&gt;""),"YES","NO"),"N/A")</f>
        <v>NO</v>
      </c>
      <c r="P218" s="4" t="str">
        <f>IF(OR($A218="RTD"),IF(AND($AH218&lt;&gt;""),"YES","NO"),"N/A")</f>
        <v>N/A</v>
      </c>
      <c r="Q218" s="4" t="str">
        <f>IF(OR($A218="RTD"),IF(AND($AI218&lt;&gt;""),"YES","NO"),"N/A")</f>
        <v>N/A</v>
      </c>
      <c r="R218" s="4" t="str">
        <f>IF(OR($AM218&lt;&gt;"",$Z218&lt;&gt;"",$AC218&lt;&gt;""),"YES","NO")</f>
        <v>NO</v>
      </c>
      <c r="S218" s="4" t="str">
        <f>IF(COUNTIF(I218:R218,"NO")=0,"YES","NO")</f>
        <v>NO</v>
      </c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inlineStr">
        <is>
          <t>ACIC</t>
        </is>
      </c>
      <c r="AK218" s="9" t="inlineStr">
        <is>
          <t>16AWG</t>
        </is>
      </c>
      <c r="AL218" s="9" t="inlineStr">
        <is>
          <t>Levy Ostrup</t>
        </is>
      </c>
      <c r="AM218" s="9" t="n"/>
      <c r="AN218" s="9" t="n"/>
    </row>
    <row r="219">
      <c r="A219" s="9" t="inlineStr">
        <is>
          <t>RTD Cable</t>
        </is>
      </c>
      <c r="B219" s="9" t="inlineStr">
        <is>
          <t>29103-ET-P2104-2-R-1</t>
        </is>
      </c>
      <c r="C219" s="9" t="inlineStr">
        <is>
          <t>29103-ET-P2104-2</t>
        </is>
      </c>
      <c r="D219" s="9" t="inlineStr">
        <is>
          <t>29103-HTP-004 HTC-25</t>
        </is>
      </c>
      <c r="E219" s="9" t="inlineStr">
        <is>
          <t>29103-HTP-004</t>
        </is>
      </c>
      <c r="F219" s="9" t="inlineStr"/>
      <c r="G219" s="9" t="inlineStr">
        <is>
          <t>113</t>
        </is>
      </c>
      <c r="H219" s="9" t="inlineStr">
        <is>
          <t>29103-ET-P2104-2-R-1.pdf</t>
        </is>
      </c>
      <c r="I219" s="4" t="str">
        <f>IF($H219&lt;&gt;"","YES","NO")</f>
        <v>YES</v>
      </c>
      <c r="J219" s="4" t="str">
        <f>IF(N($T219)&gt;0,"YES","NO")</f>
        <v>NO</v>
      </c>
      <c r="K219" s="4" t="str">
        <f>IF(OR($A219="EHT Trace"),IF(AND($U219&lt;&gt;"",$V219&lt;&gt;""),"YES","NO"),"N/A")</f>
        <v>N/A</v>
      </c>
      <c r="L219" s="4" t="str">
        <f>IF(OR($A219="EHT Trace"),IF(AND($X219&lt;&gt;"",$Y219&lt;&gt;""),"YES","NO"),"N/A")</f>
        <v>N/A</v>
      </c>
      <c r="M219" s="4" t="str">
        <f>IF(OR($A219="EHT Trace"),IF(AND($AA219&lt;&gt;"",$AB219&lt;&gt;""),"YES","NO"),"N/A")</f>
        <v>N/A</v>
      </c>
      <c r="N219" s="4" t="str">
        <f>IF(OR($A219="Power Cable"),IF(AND($AD219&lt;&gt;""),"YES","NO"),"N/A")</f>
        <v>N/A</v>
      </c>
      <c r="O219" s="4" t="str">
        <f>IF(OR($A219="Power Cable",$A219="RTD Cable",$A219="Fieldbus Cable"),IF(AND($AE219&lt;&gt;""),"YES","NO"),"N/A")</f>
        <v>NO</v>
      </c>
      <c r="P219" s="4" t="str">
        <f>IF(OR($A219="RTD"),IF(AND($AH219&lt;&gt;""),"YES","NO"),"N/A")</f>
        <v>N/A</v>
      </c>
      <c r="Q219" s="4" t="str">
        <f>IF(OR($A219="RTD"),IF(AND($AI219&lt;&gt;""),"YES","NO"),"N/A")</f>
        <v>N/A</v>
      </c>
      <c r="R219" s="4" t="str">
        <f>IF(OR($AM219&lt;&gt;"",$Z219&lt;&gt;"",$AC219&lt;&gt;""),"YES","NO")</f>
        <v>NO</v>
      </c>
      <c r="S219" s="4" t="str">
        <f>IF(COUNTIF(I219:R219,"NO")=0,"YES","NO")</f>
        <v>NO</v>
      </c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inlineStr">
        <is>
          <t>ACIC</t>
        </is>
      </c>
      <c r="AK219" s="9" t="inlineStr">
        <is>
          <t>16AWG</t>
        </is>
      </c>
      <c r="AL219" s="9" t="inlineStr">
        <is>
          <t>Levy Ostrup</t>
        </is>
      </c>
      <c r="AM219" s="9" t="n"/>
      <c r="AN219" s="9" t="n"/>
    </row>
    <row r="220">
      <c r="A220" s="9" t="inlineStr">
        <is>
          <t>RTD Cable</t>
        </is>
      </c>
      <c r="B220" s="9" t="inlineStr">
        <is>
          <t>29103-ET-P2104-2-R-2</t>
        </is>
      </c>
      <c r="C220" s="9" t="inlineStr">
        <is>
          <t>29103-ET-P2104-2</t>
        </is>
      </c>
      <c r="D220" s="9" t="inlineStr">
        <is>
          <t>29103-HTP-004 I/O-4-3</t>
        </is>
      </c>
      <c r="E220" s="9" t="inlineStr">
        <is>
          <t>29103-HTP-004</t>
        </is>
      </c>
      <c r="F220" s="9" t="inlineStr"/>
      <c r="G220" s="9" t="inlineStr">
        <is>
          <t>113</t>
        </is>
      </c>
      <c r="H220" s="9" t="inlineStr">
        <is>
          <t>29103-ET-P2104-2-R-2.pdf</t>
        </is>
      </c>
      <c r="I220" s="4" t="str">
        <f>IF($H220&lt;&gt;"","YES","NO")</f>
        <v>YES</v>
      </c>
      <c r="J220" s="4" t="str">
        <f>IF(N($T220)&gt;0,"YES","NO")</f>
        <v>NO</v>
      </c>
      <c r="K220" s="4" t="str">
        <f>IF(OR($A220="EHT Trace"),IF(AND($U220&lt;&gt;"",$V220&lt;&gt;""),"YES","NO"),"N/A")</f>
        <v>N/A</v>
      </c>
      <c r="L220" s="4" t="str">
        <f>IF(OR($A220="EHT Trace"),IF(AND($X220&lt;&gt;"",$Y220&lt;&gt;""),"YES","NO"),"N/A")</f>
        <v>N/A</v>
      </c>
      <c r="M220" s="4" t="str">
        <f>IF(OR($A220="EHT Trace"),IF(AND($AA220&lt;&gt;"",$AB220&lt;&gt;""),"YES","NO"),"N/A")</f>
        <v>N/A</v>
      </c>
      <c r="N220" s="4" t="str">
        <f>IF(OR($A220="Power Cable"),IF(AND($AD220&lt;&gt;""),"YES","NO"),"N/A")</f>
        <v>N/A</v>
      </c>
      <c r="O220" s="4" t="str">
        <f>IF(OR($A220="Power Cable",$A220="RTD Cable",$A220="Fieldbus Cable"),IF(AND($AE220&lt;&gt;""),"YES","NO"),"N/A")</f>
        <v>NO</v>
      </c>
      <c r="P220" s="4" t="str">
        <f>IF(OR($A220="RTD"),IF(AND($AH220&lt;&gt;""),"YES","NO"),"N/A")</f>
        <v>N/A</v>
      </c>
      <c r="Q220" s="4" t="str">
        <f>IF(OR($A220="RTD"),IF(AND($AI220&lt;&gt;""),"YES","NO"),"N/A")</f>
        <v>N/A</v>
      </c>
      <c r="R220" s="4" t="str">
        <f>IF(OR($AM220&lt;&gt;"",$Z220&lt;&gt;"",$AC220&lt;&gt;""),"YES","NO")</f>
        <v>NO</v>
      </c>
      <c r="S220" s="4" t="str">
        <f>IF(COUNTIF(I220:R220,"NO")=0,"YES","NO")</f>
        <v>NO</v>
      </c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inlineStr">
        <is>
          <t>ACIC</t>
        </is>
      </c>
      <c r="AK220" s="9" t="inlineStr">
        <is>
          <t>16AWG</t>
        </is>
      </c>
      <c r="AL220" s="9" t="inlineStr">
        <is>
          <t>Levy Ostrup</t>
        </is>
      </c>
      <c r="AM220" s="9" t="n"/>
      <c r="AN220" s="9" t="n"/>
    </row>
    <row r="221">
      <c r="A221" s="9" t="inlineStr">
        <is>
          <t>RTD Cable</t>
        </is>
      </c>
      <c r="B221" s="9" t="inlineStr">
        <is>
          <t>29103-ET-P2201-1-R-1</t>
        </is>
      </c>
      <c r="C221" s="9" t="inlineStr">
        <is>
          <t>29103-ET-P2201-1</t>
        </is>
      </c>
      <c r="D221" s="9" t="inlineStr">
        <is>
          <t>29103-HTP-004 HTC-05</t>
        </is>
      </c>
      <c r="E221" s="9" t="inlineStr">
        <is>
          <t>29103-HTP-004</t>
        </is>
      </c>
      <c r="F221" s="9" t="inlineStr"/>
      <c r="G221" s="9" t="inlineStr">
        <is>
          <t>113</t>
        </is>
      </c>
      <c r="H221" s="9" t="inlineStr">
        <is>
          <t>29103-ET-P2201-1-R-1.pdf</t>
        </is>
      </c>
      <c r="I221" s="4" t="str">
        <f>IF($H221&lt;&gt;"","YES","NO")</f>
        <v>YES</v>
      </c>
      <c r="J221" s="4" t="str">
        <f>IF(N($T221)&gt;0,"YES","NO")</f>
        <v>NO</v>
      </c>
      <c r="K221" s="4" t="str">
        <f>IF(OR($A221="EHT Trace"),IF(AND($U221&lt;&gt;"",$V221&lt;&gt;""),"YES","NO"),"N/A")</f>
        <v>N/A</v>
      </c>
      <c r="L221" s="4" t="str">
        <f>IF(OR($A221="EHT Trace"),IF(AND($X221&lt;&gt;"",$Y221&lt;&gt;""),"YES","NO"),"N/A")</f>
        <v>N/A</v>
      </c>
      <c r="M221" s="4" t="str">
        <f>IF(OR($A221="EHT Trace"),IF(AND($AA221&lt;&gt;"",$AB221&lt;&gt;""),"YES","NO"),"N/A")</f>
        <v>N/A</v>
      </c>
      <c r="N221" s="4" t="str">
        <f>IF(OR($A221="Power Cable"),IF(AND($AD221&lt;&gt;""),"YES","NO"),"N/A")</f>
        <v>N/A</v>
      </c>
      <c r="O221" s="4" t="str">
        <f>IF(OR($A221="Power Cable",$A221="RTD Cable",$A221="Fieldbus Cable"),IF(AND($AE221&lt;&gt;""),"YES","NO"),"N/A")</f>
        <v>NO</v>
      </c>
      <c r="P221" s="4" t="str">
        <f>IF(OR($A221="RTD"),IF(AND($AH221&lt;&gt;""),"YES","NO"),"N/A")</f>
        <v>N/A</v>
      </c>
      <c r="Q221" s="4" t="str">
        <f>IF(OR($A221="RTD"),IF(AND($AI221&lt;&gt;""),"YES","NO"),"N/A")</f>
        <v>N/A</v>
      </c>
      <c r="R221" s="4" t="str">
        <f>IF(OR($AM221&lt;&gt;"",$Z221&lt;&gt;"",$AC221&lt;&gt;""),"YES","NO")</f>
        <v>NO</v>
      </c>
      <c r="S221" s="4" t="str">
        <f>IF(COUNTIF(I221:R221,"NO")=0,"YES","NO")</f>
        <v>NO</v>
      </c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inlineStr">
        <is>
          <t>ACIC</t>
        </is>
      </c>
      <c r="AK221" s="9" t="inlineStr">
        <is>
          <t>16AWG</t>
        </is>
      </c>
      <c r="AL221" s="9" t="inlineStr">
        <is>
          <t>Levy Ostrup</t>
        </is>
      </c>
      <c r="AM221" s="9" t="n"/>
      <c r="AN221" s="9" t="n"/>
    </row>
    <row r="222">
      <c r="A222" s="9" t="inlineStr">
        <is>
          <t>RTD Cable</t>
        </is>
      </c>
      <c r="B222" s="9" t="inlineStr">
        <is>
          <t>29103-ET-P2204-1-R-1</t>
        </is>
      </c>
      <c r="C222" s="9" t="inlineStr">
        <is>
          <t>29103-ET-P2204-1</t>
        </is>
      </c>
      <c r="D222" s="9" t="inlineStr">
        <is>
          <t>29103-HTP-004 HTC-09</t>
        </is>
      </c>
      <c r="E222" s="9" t="inlineStr">
        <is>
          <t>29103-HTP-004</t>
        </is>
      </c>
      <c r="F222" s="9" t="inlineStr"/>
      <c r="G222" s="9" t="inlineStr">
        <is>
          <t>113</t>
        </is>
      </c>
      <c r="H222" s="9" t="inlineStr">
        <is>
          <t>29103-ET-P2204-1-R-1.pdf</t>
        </is>
      </c>
      <c r="I222" s="4" t="str">
        <f>IF($H222&lt;&gt;"","YES","NO")</f>
        <v>YES</v>
      </c>
      <c r="J222" s="4" t="str">
        <f>IF(N($T222)&gt;0,"YES","NO")</f>
        <v>NO</v>
      </c>
      <c r="K222" s="4" t="str">
        <f>IF(OR($A222="EHT Trace"),IF(AND($U222&lt;&gt;"",$V222&lt;&gt;""),"YES","NO"),"N/A")</f>
        <v>N/A</v>
      </c>
      <c r="L222" s="4" t="str">
        <f>IF(OR($A222="EHT Trace"),IF(AND($X222&lt;&gt;"",$Y222&lt;&gt;""),"YES","NO"),"N/A")</f>
        <v>N/A</v>
      </c>
      <c r="M222" s="4" t="str">
        <f>IF(OR($A222="EHT Trace"),IF(AND($AA222&lt;&gt;"",$AB222&lt;&gt;""),"YES","NO"),"N/A")</f>
        <v>N/A</v>
      </c>
      <c r="N222" s="4" t="str">
        <f>IF(OR($A222="Power Cable"),IF(AND($AD222&lt;&gt;""),"YES","NO"),"N/A")</f>
        <v>N/A</v>
      </c>
      <c r="O222" s="4" t="str">
        <f>IF(OR($A222="Power Cable",$A222="RTD Cable",$A222="Fieldbus Cable"),IF(AND($AE222&lt;&gt;""),"YES","NO"),"N/A")</f>
        <v>NO</v>
      </c>
      <c r="P222" s="4" t="str">
        <f>IF(OR($A222="RTD"),IF(AND($AH222&lt;&gt;""),"YES","NO"),"N/A")</f>
        <v>N/A</v>
      </c>
      <c r="Q222" s="4" t="str">
        <f>IF(OR($A222="RTD"),IF(AND($AI222&lt;&gt;""),"YES","NO"),"N/A")</f>
        <v>N/A</v>
      </c>
      <c r="R222" s="4" t="str">
        <f>IF(OR($AM222&lt;&gt;"",$Z222&lt;&gt;"",$AC222&lt;&gt;""),"YES","NO")</f>
        <v>NO</v>
      </c>
      <c r="S222" s="4" t="str">
        <f>IF(COUNTIF(I222:R222,"NO")=0,"YES","NO")</f>
        <v>NO</v>
      </c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inlineStr">
        <is>
          <t>ACIC</t>
        </is>
      </c>
      <c r="AK222" s="9" t="inlineStr">
        <is>
          <t>16AWG</t>
        </is>
      </c>
      <c r="AL222" s="9" t="inlineStr">
        <is>
          <t>Levy Ostrup</t>
        </is>
      </c>
      <c r="AM222" s="9" t="n"/>
      <c r="AN222" s="9" t="n"/>
    </row>
    <row r="223">
      <c r="A223" s="9" t="inlineStr">
        <is>
          <t>RTD Cable</t>
        </is>
      </c>
      <c r="B223" s="9" t="inlineStr">
        <is>
          <t>29103-ET-P2204-1-R-2</t>
        </is>
      </c>
      <c r="C223" s="9" t="inlineStr">
        <is>
          <t>29103-ET-P2204-1</t>
        </is>
      </c>
      <c r="D223" s="9" t="inlineStr">
        <is>
          <t>29103-HTP-004 I/O-1-4</t>
        </is>
      </c>
      <c r="E223" s="9" t="inlineStr">
        <is>
          <t>29103-HTP-004</t>
        </is>
      </c>
      <c r="F223" s="9" t="inlineStr"/>
      <c r="G223" s="9" t="inlineStr">
        <is>
          <t>113</t>
        </is>
      </c>
      <c r="H223" s="9" t="inlineStr">
        <is>
          <t>29103-ET-P2204-1-R-2.pdf</t>
        </is>
      </c>
      <c r="I223" s="4" t="str">
        <f>IF($H223&lt;&gt;"","YES","NO")</f>
        <v>YES</v>
      </c>
      <c r="J223" s="4" t="str">
        <f>IF(N($T223)&gt;0,"YES","NO")</f>
        <v>NO</v>
      </c>
      <c r="K223" s="4" t="str">
        <f>IF(OR($A223="EHT Trace"),IF(AND($U223&lt;&gt;"",$V223&lt;&gt;""),"YES","NO"),"N/A")</f>
        <v>N/A</v>
      </c>
      <c r="L223" s="4" t="str">
        <f>IF(OR($A223="EHT Trace"),IF(AND($X223&lt;&gt;"",$Y223&lt;&gt;""),"YES","NO"),"N/A")</f>
        <v>N/A</v>
      </c>
      <c r="M223" s="4" t="str">
        <f>IF(OR($A223="EHT Trace"),IF(AND($AA223&lt;&gt;"",$AB223&lt;&gt;""),"YES","NO"),"N/A")</f>
        <v>N/A</v>
      </c>
      <c r="N223" s="4" t="str">
        <f>IF(OR($A223="Power Cable"),IF(AND($AD223&lt;&gt;""),"YES","NO"),"N/A")</f>
        <v>N/A</v>
      </c>
      <c r="O223" s="4" t="str">
        <f>IF(OR($A223="Power Cable",$A223="RTD Cable",$A223="Fieldbus Cable"),IF(AND($AE223&lt;&gt;""),"YES","NO"),"N/A")</f>
        <v>NO</v>
      </c>
      <c r="P223" s="4" t="str">
        <f>IF(OR($A223="RTD"),IF(AND($AH223&lt;&gt;""),"YES","NO"),"N/A")</f>
        <v>N/A</v>
      </c>
      <c r="Q223" s="4" t="str">
        <f>IF(OR($A223="RTD"),IF(AND($AI223&lt;&gt;""),"YES","NO"),"N/A")</f>
        <v>N/A</v>
      </c>
      <c r="R223" s="4" t="str">
        <f>IF(OR($AM223&lt;&gt;"",$Z223&lt;&gt;"",$AC223&lt;&gt;""),"YES","NO")</f>
        <v>NO</v>
      </c>
      <c r="S223" s="4" t="str">
        <f>IF(COUNTIF(I223:R223,"NO")=0,"YES","NO")</f>
        <v>NO</v>
      </c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inlineStr">
        <is>
          <t>ACIC</t>
        </is>
      </c>
      <c r="AK223" s="9" t="inlineStr">
        <is>
          <t>16AWG</t>
        </is>
      </c>
      <c r="AL223" s="9" t="inlineStr">
        <is>
          <t>Levy Ostrup</t>
        </is>
      </c>
      <c r="AM223" s="9" t="n"/>
      <c r="AN223" s="9" t="n"/>
    </row>
    <row r="224">
      <c r="A224" s="9" t="inlineStr">
        <is>
          <t>RTD Cable</t>
        </is>
      </c>
      <c r="B224" s="9" t="inlineStr">
        <is>
          <t>29103-ET-P2204-2-R-1</t>
        </is>
      </c>
      <c r="C224" s="9" t="inlineStr">
        <is>
          <t>29103-ET-P2204-2</t>
        </is>
      </c>
      <c r="D224" s="9" t="inlineStr">
        <is>
          <t>29103-HTP-004 HTC-26</t>
        </is>
      </c>
      <c r="E224" s="9" t="inlineStr">
        <is>
          <t>29103-HTP-004</t>
        </is>
      </c>
      <c r="F224" s="9" t="inlineStr"/>
      <c r="G224" s="9" t="inlineStr">
        <is>
          <t>113</t>
        </is>
      </c>
      <c r="H224" s="9" t="inlineStr">
        <is>
          <t>29103-ET-P2204-2-R-1.pdf</t>
        </is>
      </c>
      <c r="I224" s="4" t="str">
        <f>IF($H224&lt;&gt;"","YES","NO")</f>
        <v>YES</v>
      </c>
      <c r="J224" s="4" t="str">
        <f>IF(N($T224)&gt;0,"YES","NO")</f>
        <v>NO</v>
      </c>
      <c r="K224" s="4" t="str">
        <f>IF(OR($A224="EHT Trace"),IF(AND($U224&lt;&gt;"",$V224&lt;&gt;""),"YES","NO"),"N/A")</f>
        <v>N/A</v>
      </c>
      <c r="L224" s="4" t="str">
        <f>IF(OR($A224="EHT Trace"),IF(AND($X224&lt;&gt;"",$Y224&lt;&gt;""),"YES","NO"),"N/A")</f>
        <v>N/A</v>
      </c>
      <c r="M224" s="4" t="str">
        <f>IF(OR($A224="EHT Trace"),IF(AND($AA224&lt;&gt;"",$AB224&lt;&gt;""),"YES","NO"),"N/A")</f>
        <v>N/A</v>
      </c>
      <c r="N224" s="4" t="str">
        <f>IF(OR($A224="Power Cable"),IF(AND($AD224&lt;&gt;""),"YES","NO"),"N/A")</f>
        <v>N/A</v>
      </c>
      <c r="O224" s="4" t="str">
        <f>IF(OR($A224="Power Cable",$A224="RTD Cable",$A224="Fieldbus Cable"),IF(AND($AE224&lt;&gt;""),"YES","NO"),"N/A")</f>
        <v>NO</v>
      </c>
      <c r="P224" s="4" t="str">
        <f>IF(OR($A224="RTD"),IF(AND($AH224&lt;&gt;""),"YES","NO"),"N/A")</f>
        <v>N/A</v>
      </c>
      <c r="Q224" s="4" t="str">
        <f>IF(OR($A224="RTD"),IF(AND($AI224&lt;&gt;""),"YES","NO"),"N/A")</f>
        <v>N/A</v>
      </c>
      <c r="R224" s="4" t="str">
        <f>IF(OR($AM224&lt;&gt;"",$Z224&lt;&gt;"",$AC224&lt;&gt;""),"YES","NO")</f>
        <v>NO</v>
      </c>
      <c r="S224" s="4" t="str">
        <f>IF(COUNTIF(I224:R224,"NO")=0,"YES","NO")</f>
        <v>NO</v>
      </c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inlineStr">
        <is>
          <t>ACIC</t>
        </is>
      </c>
      <c r="AK224" s="9" t="inlineStr">
        <is>
          <t>16AWG</t>
        </is>
      </c>
      <c r="AL224" s="9" t="inlineStr">
        <is>
          <t>Levy Ostrup</t>
        </is>
      </c>
      <c r="AM224" s="9" t="n"/>
      <c r="AN224" s="9" t="n"/>
    </row>
    <row r="225">
      <c r="A225" s="9" t="inlineStr">
        <is>
          <t>RTD Cable</t>
        </is>
      </c>
      <c r="B225" s="9" t="inlineStr">
        <is>
          <t>29103-ET-P2204-2-R-2</t>
        </is>
      </c>
      <c r="C225" s="9" t="inlineStr">
        <is>
          <t>29103-ET-P2204-2</t>
        </is>
      </c>
      <c r="D225" s="9" t="inlineStr">
        <is>
          <t>29103-HTP-004 I/O-4-4</t>
        </is>
      </c>
      <c r="E225" s="9" t="inlineStr">
        <is>
          <t>29103-HTP-004</t>
        </is>
      </c>
      <c r="F225" s="9" t="inlineStr"/>
      <c r="G225" s="9" t="inlineStr">
        <is>
          <t>113</t>
        </is>
      </c>
      <c r="H225" s="9" t="inlineStr">
        <is>
          <t>29103-ET-P2204-2-R-2.pdf</t>
        </is>
      </c>
      <c r="I225" s="4" t="str">
        <f>IF($H225&lt;&gt;"","YES","NO")</f>
        <v>YES</v>
      </c>
      <c r="J225" s="4" t="str">
        <f>IF(N($T225)&gt;0,"YES","NO")</f>
        <v>NO</v>
      </c>
      <c r="K225" s="4" t="str">
        <f>IF(OR($A225="EHT Trace"),IF(AND($U225&lt;&gt;"",$V225&lt;&gt;""),"YES","NO"),"N/A")</f>
        <v>N/A</v>
      </c>
      <c r="L225" s="4" t="str">
        <f>IF(OR($A225="EHT Trace"),IF(AND($X225&lt;&gt;"",$Y225&lt;&gt;""),"YES","NO"),"N/A")</f>
        <v>N/A</v>
      </c>
      <c r="M225" s="4" t="str">
        <f>IF(OR($A225="EHT Trace"),IF(AND($AA225&lt;&gt;"",$AB225&lt;&gt;""),"YES","NO"),"N/A")</f>
        <v>N/A</v>
      </c>
      <c r="N225" s="4" t="str">
        <f>IF(OR($A225="Power Cable"),IF(AND($AD225&lt;&gt;""),"YES","NO"),"N/A")</f>
        <v>N/A</v>
      </c>
      <c r="O225" s="4" t="str">
        <f>IF(OR($A225="Power Cable",$A225="RTD Cable",$A225="Fieldbus Cable"),IF(AND($AE225&lt;&gt;""),"YES","NO"),"N/A")</f>
        <v>NO</v>
      </c>
      <c r="P225" s="4" t="str">
        <f>IF(OR($A225="RTD"),IF(AND($AH225&lt;&gt;""),"YES","NO"),"N/A")</f>
        <v>N/A</v>
      </c>
      <c r="Q225" s="4" t="str">
        <f>IF(OR($A225="RTD"),IF(AND($AI225&lt;&gt;""),"YES","NO"),"N/A")</f>
        <v>N/A</v>
      </c>
      <c r="R225" s="4" t="str">
        <f>IF(OR($AM225&lt;&gt;"",$Z225&lt;&gt;"",$AC225&lt;&gt;""),"YES","NO")</f>
        <v>NO</v>
      </c>
      <c r="S225" s="4" t="str">
        <f>IF(COUNTIF(I225:R225,"NO")=0,"YES","NO")</f>
        <v>NO</v>
      </c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inlineStr">
        <is>
          <t>ACIC</t>
        </is>
      </c>
      <c r="AK225" s="9" t="inlineStr">
        <is>
          <t>16AWG</t>
        </is>
      </c>
      <c r="AL225" s="9" t="inlineStr">
        <is>
          <t>Levy Ostrup</t>
        </is>
      </c>
      <c r="AM225" s="9" t="n"/>
      <c r="AN225" s="9" t="n"/>
    </row>
    <row r="226">
      <c r="A226" s="9" t="inlineStr">
        <is>
          <t>RTD Cable</t>
        </is>
      </c>
      <c r="B226" s="9" t="inlineStr">
        <is>
          <t>29103-ET-P2301-1-R-1</t>
        </is>
      </c>
      <c r="C226" s="9" t="inlineStr">
        <is>
          <t>29103-ET-P2301-1</t>
        </is>
      </c>
      <c r="D226" s="9" t="inlineStr">
        <is>
          <t>29103-HTP-004 HTC-04</t>
        </is>
      </c>
      <c r="E226" s="9" t="inlineStr">
        <is>
          <t>29103-HTP-004</t>
        </is>
      </c>
      <c r="F226" s="9" t="inlineStr"/>
      <c r="G226" s="9" t="inlineStr">
        <is>
          <t>113</t>
        </is>
      </c>
      <c r="H226" s="9" t="inlineStr">
        <is>
          <t>29103-ET-P2301-1-R-1.pdf</t>
        </is>
      </c>
      <c r="I226" s="4" t="str">
        <f>IF($H226&lt;&gt;"","YES","NO")</f>
        <v>YES</v>
      </c>
      <c r="J226" s="4" t="str">
        <f>IF(N($T226)&gt;0,"YES","NO")</f>
        <v>NO</v>
      </c>
      <c r="K226" s="4" t="str">
        <f>IF(OR($A226="EHT Trace"),IF(AND($U226&lt;&gt;"",$V226&lt;&gt;""),"YES","NO"),"N/A")</f>
        <v>N/A</v>
      </c>
      <c r="L226" s="4" t="str">
        <f>IF(OR($A226="EHT Trace"),IF(AND($X226&lt;&gt;"",$Y226&lt;&gt;""),"YES","NO"),"N/A")</f>
        <v>N/A</v>
      </c>
      <c r="M226" s="4" t="str">
        <f>IF(OR($A226="EHT Trace"),IF(AND($AA226&lt;&gt;"",$AB226&lt;&gt;""),"YES","NO"),"N/A")</f>
        <v>N/A</v>
      </c>
      <c r="N226" s="4" t="str">
        <f>IF(OR($A226="Power Cable"),IF(AND($AD226&lt;&gt;""),"YES","NO"),"N/A")</f>
        <v>N/A</v>
      </c>
      <c r="O226" s="4" t="str">
        <f>IF(OR($A226="Power Cable",$A226="RTD Cable",$A226="Fieldbus Cable"),IF(AND($AE226&lt;&gt;""),"YES","NO"),"N/A")</f>
        <v>NO</v>
      </c>
      <c r="P226" s="4" t="str">
        <f>IF(OR($A226="RTD"),IF(AND($AH226&lt;&gt;""),"YES","NO"),"N/A")</f>
        <v>N/A</v>
      </c>
      <c r="Q226" s="4" t="str">
        <f>IF(OR($A226="RTD"),IF(AND($AI226&lt;&gt;""),"YES","NO"),"N/A")</f>
        <v>N/A</v>
      </c>
      <c r="R226" s="4" t="str">
        <f>IF(OR($AM226&lt;&gt;"",$Z226&lt;&gt;"",$AC226&lt;&gt;""),"YES","NO")</f>
        <v>NO</v>
      </c>
      <c r="S226" s="4" t="str">
        <f>IF(COUNTIF(I226:R226,"NO")=0,"YES","NO")</f>
        <v>NO</v>
      </c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inlineStr">
        <is>
          <t>ACIC</t>
        </is>
      </c>
      <c r="AK226" s="9" t="inlineStr">
        <is>
          <t>16AWG</t>
        </is>
      </c>
      <c r="AL226" s="9" t="inlineStr">
        <is>
          <t>Levy Ostrup</t>
        </is>
      </c>
      <c r="AM226" s="9" t="n"/>
      <c r="AN226" s="9" t="n"/>
    </row>
    <row r="227">
      <c r="A227" s="9" t="inlineStr">
        <is>
          <t>RTD Cable</t>
        </is>
      </c>
      <c r="B227" s="9" t="inlineStr">
        <is>
          <t>29103-ET-P2304-1-R-1</t>
        </is>
      </c>
      <c r="C227" s="9" t="inlineStr">
        <is>
          <t>29103-ET-P2304-1</t>
        </is>
      </c>
      <c r="D227" s="9" t="inlineStr">
        <is>
          <t>29103-HTP-004 HTC-02</t>
        </is>
      </c>
      <c r="E227" s="9" t="inlineStr">
        <is>
          <t>29103-HTP-004</t>
        </is>
      </c>
      <c r="F227" s="9" t="inlineStr"/>
      <c r="G227" s="9" t="inlineStr">
        <is>
          <t>113</t>
        </is>
      </c>
      <c r="H227" s="9" t="inlineStr">
        <is>
          <t>29103-ET-P2304-1-R-1.pdf</t>
        </is>
      </c>
      <c r="I227" s="4" t="str">
        <f>IF($H227&lt;&gt;"","YES","NO")</f>
        <v>YES</v>
      </c>
      <c r="J227" s="4" t="str">
        <f>IF(N($T227)&gt;0,"YES","NO")</f>
        <v>NO</v>
      </c>
      <c r="K227" s="4" t="str">
        <f>IF(OR($A227="EHT Trace"),IF(AND($U227&lt;&gt;"",$V227&lt;&gt;""),"YES","NO"),"N/A")</f>
        <v>N/A</v>
      </c>
      <c r="L227" s="4" t="str">
        <f>IF(OR($A227="EHT Trace"),IF(AND($X227&lt;&gt;"",$Y227&lt;&gt;""),"YES","NO"),"N/A")</f>
        <v>N/A</v>
      </c>
      <c r="M227" s="4" t="str">
        <f>IF(OR($A227="EHT Trace"),IF(AND($AA227&lt;&gt;"",$AB227&lt;&gt;""),"YES","NO"),"N/A")</f>
        <v>N/A</v>
      </c>
      <c r="N227" s="4" t="str">
        <f>IF(OR($A227="Power Cable"),IF(AND($AD227&lt;&gt;""),"YES","NO"),"N/A")</f>
        <v>N/A</v>
      </c>
      <c r="O227" s="4" t="str">
        <f>IF(OR($A227="Power Cable",$A227="RTD Cable",$A227="Fieldbus Cable"),IF(AND($AE227&lt;&gt;""),"YES","NO"),"N/A")</f>
        <v>NO</v>
      </c>
      <c r="P227" s="4" t="str">
        <f>IF(OR($A227="RTD"),IF(AND($AH227&lt;&gt;""),"YES","NO"),"N/A")</f>
        <v>N/A</v>
      </c>
      <c r="Q227" s="4" t="str">
        <f>IF(OR($A227="RTD"),IF(AND($AI227&lt;&gt;""),"YES","NO"),"N/A")</f>
        <v>N/A</v>
      </c>
      <c r="R227" s="4" t="str">
        <f>IF(OR($AM227&lt;&gt;"",$Z227&lt;&gt;"",$AC227&lt;&gt;""),"YES","NO")</f>
        <v>NO</v>
      </c>
      <c r="S227" s="4" t="str">
        <f>IF(COUNTIF(I227:R227,"NO")=0,"YES","NO")</f>
        <v>NO</v>
      </c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inlineStr">
        <is>
          <t>ACIC</t>
        </is>
      </c>
      <c r="AK227" s="9" t="inlineStr">
        <is>
          <t>16AWG</t>
        </is>
      </c>
      <c r="AL227" s="9" t="inlineStr">
        <is>
          <t>Levy Ostrup</t>
        </is>
      </c>
      <c r="AM227" s="9" t="n"/>
      <c r="AN227" s="9" t="n"/>
    </row>
    <row r="228">
      <c r="A228" s="9" t="inlineStr">
        <is>
          <t>RTD Cable</t>
        </is>
      </c>
      <c r="B228" s="9" t="inlineStr">
        <is>
          <t>29103-ET-P2304-1-R-2</t>
        </is>
      </c>
      <c r="C228" s="9" t="inlineStr">
        <is>
          <t>29103-ET-P2304-1</t>
        </is>
      </c>
      <c r="D228" s="9" t="inlineStr">
        <is>
          <t>29103-HTP-004 I/O-1-3</t>
        </is>
      </c>
      <c r="E228" s="9" t="inlineStr">
        <is>
          <t>29103-HTP-004</t>
        </is>
      </c>
      <c r="F228" s="9" t="inlineStr"/>
      <c r="G228" s="9" t="inlineStr">
        <is>
          <t>113</t>
        </is>
      </c>
      <c r="H228" s="9" t="inlineStr">
        <is>
          <t>29103-ET-P2304-1-R-2.pdf</t>
        </is>
      </c>
      <c r="I228" s="4" t="str">
        <f>IF($H228&lt;&gt;"","YES","NO")</f>
        <v>YES</v>
      </c>
      <c r="J228" s="4" t="str">
        <f>IF(N($T228)&gt;0,"YES","NO")</f>
        <v>NO</v>
      </c>
      <c r="K228" s="4" t="str">
        <f>IF(OR($A228="EHT Trace"),IF(AND($U228&lt;&gt;"",$V228&lt;&gt;""),"YES","NO"),"N/A")</f>
        <v>N/A</v>
      </c>
      <c r="L228" s="4" t="str">
        <f>IF(OR($A228="EHT Trace"),IF(AND($X228&lt;&gt;"",$Y228&lt;&gt;""),"YES","NO"),"N/A")</f>
        <v>N/A</v>
      </c>
      <c r="M228" s="4" t="str">
        <f>IF(OR($A228="EHT Trace"),IF(AND($AA228&lt;&gt;"",$AB228&lt;&gt;""),"YES","NO"),"N/A")</f>
        <v>N/A</v>
      </c>
      <c r="N228" s="4" t="str">
        <f>IF(OR($A228="Power Cable"),IF(AND($AD228&lt;&gt;""),"YES","NO"),"N/A")</f>
        <v>N/A</v>
      </c>
      <c r="O228" s="4" t="str">
        <f>IF(OR($A228="Power Cable",$A228="RTD Cable",$A228="Fieldbus Cable"),IF(AND($AE228&lt;&gt;""),"YES","NO"),"N/A")</f>
        <v>NO</v>
      </c>
      <c r="P228" s="4" t="str">
        <f>IF(OR($A228="RTD"),IF(AND($AH228&lt;&gt;""),"YES","NO"),"N/A")</f>
        <v>N/A</v>
      </c>
      <c r="Q228" s="4" t="str">
        <f>IF(OR($A228="RTD"),IF(AND($AI228&lt;&gt;""),"YES","NO"),"N/A")</f>
        <v>N/A</v>
      </c>
      <c r="R228" s="4" t="str">
        <f>IF(OR($AM228&lt;&gt;"",$Z228&lt;&gt;"",$AC228&lt;&gt;""),"YES","NO")</f>
        <v>NO</v>
      </c>
      <c r="S228" s="4" t="str">
        <f>IF(COUNTIF(I228:R228,"NO")=0,"YES","NO")</f>
        <v>NO</v>
      </c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inlineStr">
        <is>
          <t>ACIC</t>
        </is>
      </c>
      <c r="AK228" s="9" t="inlineStr">
        <is>
          <t>16AWG</t>
        </is>
      </c>
      <c r="AL228" s="9" t="inlineStr">
        <is>
          <t>Levy Ostrup</t>
        </is>
      </c>
      <c r="AM228" s="9" t="n"/>
      <c r="AN228" s="9" t="n"/>
    </row>
    <row r="229">
      <c r="A229" s="9" t="inlineStr">
        <is>
          <t>RTD Cable</t>
        </is>
      </c>
      <c r="B229" s="9" t="inlineStr">
        <is>
          <t>29103-ET-P2304-2-R-1</t>
        </is>
      </c>
      <c r="C229" s="9" t="inlineStr">
        <is>
          <t>29103-ET-P2304-2</t>
        </is>
      </c>
      <c r="D229" s="9" t="inlineStr">
        <is>
          <t>29103-HTP-004 HTC-27</t>
        </is>
      </c>
      <c r="E229" s="9" t="inlineStr">
        <is>
          <t>29103-HTP-004</t>
        </is>
      </c>
      <c r="F229" s="9" t="inlineStr"/>
      <c r="G229" s="9" t="inlineStr">
        <is>
          <t>113</t>
        </is>
      </c>
      <c r="H229" s="9" t="inlineStr">
        <is>
          <t>29103-ET-P2304-2-R-1.pdf</t>
        </is>
      </c>
      <c r="I229" s="4" t="str">
        <f>IF($H229&lt;&gt;"","YES","NO")</f>
        <v>YES</v>
      </c>
      <c r="J229" s="4" t="str">
        <f>IF(N($T229)&gt;0,"YES","NO")</f>
        <v>NO</v>
      </c>
      <c r="K229" s="4" t="str">
        <f>IF(OR($A229="EHT Trace"),IF(AND($U229&lt;&gt;"",$V229&lt;&gt;""),"YES","NO"),"N/A")</f>
        <v>N/A</v>
      </c>
      <c r="L229" s="4" t="str">
        <f>IF(OR($A229="EHT Trace"),IF(AND($X229&lt;&gt;"",$Y229&lt;&gt;""),"YES","NO"),"N/A")</f>
        <v>N/A</v>
      </c>
      <c r="M229" s="4" t="str">
        <f>IF(OR($A229="EHT Trace"),IF(AND($AA229&lt;&gt;"",$AB229&lt;&gt;""),"YES","NO"),"N/A")</f>
        <v>N/A</v>
      </c>
      <c r="N229" s="4" t="str">
        <f>IF(OR($A229="Power Cable"),IF(AND($AD229&lt;&gt;""),"YES","NO"),"N/A")</f>
        <v>N/A</v>
      </c>
      <c r="O229" s="4" t="str">
        <f>IF(OR($A229="Power Cable",$A229="RTD Cable",$A229="Fieldbus Cable"),IF(AND($AE229&lt;&gt;""),"YES","NO"),"N/A")</f>
        <v>NO</v>
      </c>
      <c r="P229" s="4" t="str">
        <f>IF(OR($A229="RTD"),IF(AND($AH229&lt;&gt;""),"YES","NO"),"N/A")</f>
        <v>N/A</v>
      </c>
      <c r="Q229" s="4" t="str">
        <f>IF(OR($A229="RTD"),IF(AND($AI229&lt;&gt;""),"YES","NO"),"N/A")</f>
        <v>N/A</v>
      </c>
      <c r="R229" s="4" t="str">
        <f>IF(OR($AM229&lt;&gt;"",$Z229&lt;&gt;"",$AC229&lt;&gt;""),"YES","NO")</f>
        <v>NO</v>
      </c>
      <c r="S229" s="4" t="str">
        <f>IF(COUNTIF(I229:R229,"NO")=0,"YES","NO")</f>
        <v>NO</v>
      </c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inlineStr">
        <is>
          <t>ACIC</t>
        </is>
      </c>
      <c r="AK229" s="9" t="inlineStr">
        <is>
          <t>16AWG</t>
        </is>
      </c>
      <c r="AL229" s="9" t="inlineStr">
        <is>
          <t>Levy Ostrup</t>
        </is>
      </c>
      <c r="AM229" s="9" t="n"/>
      <c r="AN229" s="9" t="n"/>
    </row>
    <row r="230">
      <c r="A230" s="9" t="inlineStr">
        <is>
          <t>RTD Cable</t>
        </is>
      </c>
      <c r="B230" s="9" t="inlineStr">
        <is>
          <t>29103-ET-P2304-2-R-2</t>
        </is>
      </c>
      <c r="C230" s="9" t="inlineStr">
        <is>
          <t>29103-ET-P2304-2</t>
        </is>
      </c>
      <c r="D230" s="9" t="inlineStr">
        <is>
          <t>29103-HTP-004 HTC-28</t>
        </is>
      </c>
      <c r="E230" s="9" t="inlineStr">
        <is>
          <t>29103-HTP-004</t>
        </is>
      </c>
      <c r="F230" s="9" t="inlineStr"/>
      <c r="G230" s="9" t="inlineStr">
        <is>
          <t>113</t>
        </is>
      </c>
      <c r="H230" s="9" t="inlineStr">
        <is>
          <t>29103-ET-P2304-2-R-2.pdf</t>
        </is>
      </c>
      <c r="I230" s="4" t="str">
        <f>IF($H230&lt;&gt;"","YES","NO")</f>
        <v>YES</v>
      </c>
      <c r="J230" s="4" t="str">
        <f>IF(N($T230)&gt;0,"YES","NO")</f>
        <v>NO</v>
      </c>
      <c r="K230" s="4" t="str">
        <f>IF(OR($A230="EHT Trace"),IF(AND($U230&lt;&gt;"",$V230&lt;&gt;""),"YES","NO"),"N/A")</f>
        <v>N/A</v>
      </c>
      <c r="L230" s="4" t="str">
        <f>IF(OR($A230="EHT Trace"),IF(AND($X230&lt;&gt;"",$Y230&lt;&gt;""),"YES","NO"),"N/A")</f>
        <v>N/A</v>
      </c>
      <c r="M230" s="4" t="str">
        <f>IF(OR($A230="EHT Trace"),IF(AND($AA230&lt;&gt;"",$AB230&lt;&gt;""),"YES","NO"),"N/A")</f>
        <v>N/A</v>
      </c>
      <c r="N230" s="4" t="str">
        <f>IF(OR($A230="Power Cable"),IF(AND($AD230&lt;&gt;""),"YES","NO"),"N/A")</f>
        <v>N/A</v>
      </c>
      <c r="O230" s="4" t="str">
        <f>IF(OR($A230="Power Cable",$A230="RTD Cable",$A230="Fieldbus Cable"),IF(AND($AE230&lt;&gt;""),"YES","NO"),"N/A")</f>
        <v>NO</v>
      </c>
      <c r="P230" s="4" t="str">
        <f>IF(OR($A230="RTD"),IF(AND($AH230&lt;&gt;""),"YES","NO"),"N/A")</f>
        <v>N/A</v>
      </c>
      <c r="Q230" s="4" t="str">
        <f>IF(OR($A230="RTD"),IF(AND($AI230&lt;&gt;""),"YES","NO"),"N/A")</f>
        <v>N/A</v>
      </c>
      <c r="R230" s="4" t="str">
        <f>IF(OR($AM230&lt;&gt;"",$Z230&lt;&gt;"",$AC230&lt;&gt;""),"YES","NO")</f>
        <v>NO</v>
      </c>
      <c r="S230" s="4" t="str">
        <f>IF(COUNTIF(I230:R230,"NO")=0,"YES","NO")</f>
        <v>NO</v>
      </c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inlineStr">
        <is>
          <t>ACIC</t>
        </is>
      </c>
      <c r="AK230" s="9" t="inlineStr">
        <is>
          <t>16AWG</t>
        </is>
      </c>
      <c r="AL230" s="9" t="inlineStr">
        <is>
          <t>Levy Ostrup</t>
        </is>
      </c>
      <c r="AM230" s="9" t="n"/>
      <c r="AN230" s="9" t="n"/>
    </row>
    <row r="231">
      <c r="A231" s="9" t="inlineStr">
        <is>
          <t>RTD Cable</t>
        </is>
      </c>
      <c r="B231" s="9" t="inlineStr">
        <is>
          <t>29103-ET-P2404-1-R-1</t>
        </is>
      </c>
      <c r="C231" s="9" t="inlineStr">
        <is>
          <t>29103-ET-P2404-1</t>
        </is>
      </c>
      <c r="D231" s="9" t="inlineStr">
        <is>
          <t>29103-HTP-004 HTC-32</t>
        </is>
      </c>
      <c r="E231" s="9" t="inlineStr">
        <is>
          <t>29103-HTP-004</t>
        </is>
      </c>
      <c r="F231" s="9" t="inlineStr"/>
      <c r="G231" s="9" t="inlineStr">
        <is>
          <t>113</t>
        </is>
      </c>
      <c r="H231" s="9" t="inlineStr">
        <is>
          <t>29103-ET-P2404-1-R-1.pdf</t>
        </is>
      </c>
      <c r="I231" s="4" t="str">
        <f>IF($H231&lt;&gt;"","YES","NO")</f>
        <v>YES</v>
      </c>
      <c r="J231" s="4" t="str">
        <f>IF(N($T231)&gt;0,"YES","NO")</f>
        <v>NO</v>
      </c>
      <c r="K231" s="4" t="str">
        <f>IF(OR($A231="EHT Trace"),IF(AND($U231&lt;&gt;"",$V231&lt;&gt;""),"YES","NO"),"N/A")</f>
        <v>N/A</v>
      </c>
      <c r="L231" s="4" t="str">
        <f>IF(OR($A231="EHT Trace"),IF(AND($X231&lt;&gt;"",$Y231&lt;&gt;""),"YES","NO"),"N/A")</f>
        <v>N/A</v>
      </c>
      <c r="M231" s="4" t="str">
        <f>IF(OR($A231="EHT Trace"),IF(AND($AA231&lt;&gt;"",$AB231&lt;&gt;""),"YES","NO"),"N/A")</f>
        <v>N/A</v>
      </c>
      <c r="N231" s="4" t="str">
        <f>IF(OR($A231="Power Cable"),IF(AND($AD231&lt;&gt;""),"YES","NO"),"N/A")</f>
        <v>N/A</v>
      </c>
      <c r="O231" s="4" t="str">
        <f>IF(OR($A231="Power Cable",$A231="RTD Cable",$A231="Fieldbus Cable"),IF(AND($AE231&lt;&gt;""),"YES","NO"),"N/A")</f>
        <v>NO</v>
      </c>
      <c r="P231" s="4" t="str">
        <f>IF(OR($A231="RTD"),IF(AND($AH231&lt;&gt;""),"YES","NO"),"N/A")</f>
        <v>N/A</v>
      </c>
      <c r="Q231" s="4" t="str">
        <f>IF(OR($A231="RTD"),IF(AND($AI231&lt;&gt;""),"YES","NO"),"N/A")</f>
        <v>N/A</v>
      </c>
      <c r="R231" s="4" t="str">
        <f>IF(OR($AM231&lt;&gt;"",$Z231&lt;&gt;"",$AC231&lt;&gt;""),"YES","NO")</f>
        <v>NO</v>
      </c>
      <c r="S231" s="4" t="str">
        <f>IF(COUNTIF(I231:R231,"NO")=0,"YES","NO")</f>
        <v>NO</v>
      </c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inlineStr">
        <is>
          <t>ACIC</t>
        </is>
      </c>
      <c r="AK231" s="9" t="inlineStr">
        <is>
          <t>16AWG</t>
        </is>
      </c>
      <c r="AL231" s="9" t="inlineStr">
        <is>
          <t>Levy Ostrup</t>
        </is>
      </c>
      <c r="AM231" s="9" t="n"/>
      <c r="AN231" s="9" t="n"/>
    </row>
    <row r="232">
      <c r="A232" s="9" t="inlineStr">
        <is>
          <t>RTD Cable</t>
        </is>
      </c>
      <c r="B232" s="9" t="inlineStr">
        <is>
          <t>29103-ET-P2404-1-R-2</t>
        </is>
      </c>
      <c r="C232" s="9" t="inlineStr">
        <is>
          <t>29103-ET-P2404-1</t>
        </is>
      </c>
      <c r="D232" s="9" t="inlineStr">
        <is>
          <t>29103-HTP-004 HTC-01</t>
        </is>
      </c>
      <c r="E232" s="9" t="inlineStr">
        <is>
          <t>29103-HTP-004</t>
        </is>
      </c>
      <c r="F232" s="9" t="inlineStr"/>
      <c r="G232" s="9" t="inlineStr">
        <is>
          <t>113</t>
        </is>
      </c>
      <c r="H232" s="9" t="inlineStr">
        <is>
          <t>29103-ET-P2404-1-R-2.pdf</t>
        </is>
      </c>
      <c r="I232" s="4" t="str">
        <f>IF($H232&lt;&gt;"","YES","NO")</f>
        <v>YES</v>
      </c>
      <c r="J232" s="4" t="str">
        <f>IF(N($T232)&gt;0,"YES","NO")</f>
        <v>NO</v>
      </c>
      <c r="K232" s="4" t="str">
        <f>IF(OR($A232="EHT Trace"),IF(AND($U232&lt;&gt;"",$V232&lt;&gt;""),"YES","NO"),"N/A")</f>
        <v>N/A</v>
      </c>
      <c r="L232" s="4" t="str">
        <f>IF(OR($A232="EHT Trace"),IF(AND($X232&lt;&gt;"",$Y232&lt;&gt;""),"YES","NO"),"N/A")</f>
        <v>N/A</v>
      </c>
      <c r="M232" s="4" t="str">
        <f>IF(OR($A232="EHT Trace"),IF(AND($AA232&lt;&gt;"",$AB232&lt;&gt;""),"YES","NO"),"N/A")</f>
        <v>N/A</v>
      </c>
      <c r="N232" s="4" t="str">
        <f>IF(OR($A232="Power Cable"),IF(AND($AD232&lt;&gt;""),"YES","NO"),"N/A")</f>
        <v>N/A</v>
      </c>
      <c r="O232" s="4" t="str">
        <f>IF(OR($A232="Power Cable",$A232="RTD Cable",$A232="Fieldbus Cable"),IF(AND($AE232&lt;&gt;""),"YES","NO"),"N/A")</f>
        <v>NO</v>
      </c>
      <c r="P232" s="4" t="str">
        <f>IF(OR($A232="RTD"),IF(AND($AH232&lt;&gt;""),"YES","NO"),"N/A")</f>
        <v>N/A</v>
      </c>
      <c r="Q232" s="4" t="str">
        <f>IF(OR($A232="RTD"),IF(AND($AI232&lt;&gt;""),"YES","NO"),"N/A")</f>
        <v>N/A</v>
      </c>
      <c r="R232" s="4" t="str">
        <f>IF(OR($AM232&lt;&gt;"",$Z232&lt;&gt;"",$AC232&lt;&gt;""),"YES","NO")</f>
        <v>NO</v>
      </c>
      <c r="S232" s="4" t="str">
        <f>IF(COUNTIF(I232:R232,"NO")=0,"YES","NO")</f>
        <v>NO</v>
      </c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inlineStr">
        <is>
          <t>ACIC</t>
        </is>
      </c>
      <c r="AK232" s="9" t="inlineStr">
        <is>
          <t>16AWG</t>
        </is>
      </c>
      <c r="AL232" s="9" t="inlineStr">
        <is>
          <t>Levy Ostrup</t>
        </is>
      </c>
      <c r="AM232" s="9" t="n"/>
      <c r="AN232" s="9" t="n"/>
    </row>
    <row r="233">
      <c r="A233" s="9" t="inlineStr">
        <is>
          <t>RTD Cable</t>
        </is>
      </c>
      <c r="B233" s="9" t="inlineStr">
        <is>
          <t>29103-ET-P2404-2-R-1</t>
        </is>
      </c>
      <c r="C233" s="9" t="inlineStr">
        <is>
          <t>29103-ET-P2404-2</t>
        </is>
      </c>
      <c r="D233" s="9" t="inlineStr">
        <is>
          <t>29103-HTP-004 HTC-41</t>
        </is>
      </c>
      <c r="E233" s="9" t="inlineStr">
        <is>
          <t>29103-HTP-004</t>
        </is>
      </c>
      <c r="F233" s="9" t="inlineStr"/>
      <c r="G233" s="9" t="inlineStr">
        <is>
          <t>113</t>
        </is>
      </c>
      <c r="H233" s="9" t="inlineStr">
        <is>
          <t>29103-ET-P2404-2-R-1.pdf</t>
        </is>
      </c>
      <c r="I233" s="4" t="str">
        <f>IF($H233&lt;&gt;"","YES","NO")</f>
        <v>YES</v>
      </c>
      <c r="J233" s="4" t="str">
        <f>IF(N($T233)&gt;0,"YES","NO")</f>
        <v>NO</v>
      </c>
      <c r="K233" s="4" t="str">
        <f>IF(OR($A233="EHT Trace"),IF(AND($U233&lt;&gt;"",$V233&lt;&gt;""),"YES","NO"),"N/A")</f>
        <v>N/A</v>
      </c>
      <c r="L233" s="4" t="str">
        <f>IF(OR($A233="EHT Trace"),IF(AND($X233&lt;&gt;"",$Y233&lt;&gt;""),"YES","NO"),"N/A")</f>
        <v>N/A</v>
      </c>
      <c r="M233" s="4" t="str">
        <f>IF(OR($A233="EHT Trace"),IF(AND($AA233&lt;&gt;"",$AB233&lt;&gt;""),"YES","NO"),"N/A")</f>
        <v>N/A</v>
      </c>
      <c r="N233" s="4" t="str">
        <f>IF(OR($A233="Power Cable"),IF(AND($AD233&lt;&gt;""),"YES","NO"),"N/A")</f>
        <v>N/A</v>
      </c>
      <c r="O233" s="4" t="str">
        <f>IF(OR($A233="Power Cable",$A233="RTD Cable",$A233="Fieldbus Cable"),IF(AND($AE233&lt;&gt;""),"YES","NO"),"N/A")</f>
        <v>NO</v>
      </c>
      <c r="P233" s="4" t="str">
        <f>IF(OR($A233="RTD"),IF(AND($AH233&lt;&gt;""),"YES","NO"),"N/A")</f>
        <v>N/A</v>
      </c>
      <c r="Q233" s="4" t="str">
        <f>IF(OR($A233="RTD"),IF(AND($AI233&lt;&gt;""),"YES","NO"),"N/A")</f>
        <v>N/A</v>
      </c>
      <c r="R233" s="4" t="str">
        <f>IF(OR($AM233&lt;&gt;"",$Z233&lt;&gt;"",$AC233&lt;&gt;""),"YES","NO")</f>
        <v>NO</v>
      </c>
      <c r="S233" s="4" t="str">
        <f>IF(COUNTIF(I233:R233,"NO")=0,"YES","NO")</f>
        <v>NO</v>
      </c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inlineStr">
        <is>
          <t>ACIC</t>
        </is>
      </c>
      <c r="AK233" s="9" t="inlineStr">
        <is>
          <t>16AWG</t>
        </is>
      </c>
      <c r="AL233" s="9" t="inlineStr">
        <is>
          <t>Levy Ostrup</t>
        </is>
      </c>
      <c r="AM233" s="9" t="n"/>
      <c r="AN233" s="9" t="n"/>
    </row>
    <row r="234">
      <c r="A234" s="9" t="inlineStr">
        <is>
          <t>RTD Cable</t>
        </is>
      </c>
      <c r="B234" s="9" t="inlineStr">
        <is>
          <t>29103-ET-P2404-2-R-2</t>
        </is>
      </c>
      <c r="C234" s="9" t="inlineStr">
        <is>
          <t>29103-ET-P2404-2</t>
        </is>
      </c>
      <c r="D234" s="9" t="inlineStr">
        <is>
          <t>29103-HTP-004 HTC-03</t>
        </is>
      </c>
      <c r="E234" s="9" t="inlineStr">
        <is>
          <t>29103-HTP-004</t>
        </is>
      </c>
      <c r="F234" s="9" t="inlineStr"/>
      <c r="G234" s="9" t="inlineStr">
        <is>
          <t>113</t>
        </is>
      </c>
      <c r="H234" s="9" t="inlineStr">
        <is>
          <t>29103-ET-P2404-2-R-2.pdf</t>
        </is>
      </c>
      <c r="I234" s="4" t="str">
        <f>IF($H234&lt;&gt;"","YES","NO")</f>
        <v>YES</v>
      </c>
      <c r="J234" s="4" t="str">
        <f>IF(N($T234)&gt;0,"YES","NO")</f>
        <v>NO</v>
      </c>
      <c r="K234" s="4" t="str">
        <f>IF(OR($A234="EHT Trace"),IF(AND($U234&lt;&gt;"",$V234&lt;&gt;""),"YES","NO"),"N/A")</f>
        <v>N/A</v>
      </c>
      <c r="L234" s="4" t="str">
        <f>IF(OR($A234="EHT Trace"),IF(AND($X234&lt;&gt;"",$Y234&lt;&gt;""),"YES","NO"),"N/A")</f>
        <v>N/A</v>
      </c>
      <c r="M234" s="4" t="str">
        <f>IF(OR($A234="EHT Trace"),IF(AND($AA234&lt;&gt;"",$AB234&lt;&gt;""),"YES","NO"),"N/A")</f>
        <v>N/A</v>
      </c>
      <c r="N234" s="4" t="str">
        <f>IF(OR($A234="Power Cable"),IF(AND($AD234&lt;&gt;""),"YES","NO"),"N/A")</f>
        <v>N/A</v>
      </c>
      <c r="O234" s="4" t="str">
        <f>IF(OR($A234="Power Cable",$A234="RTD Cable",$A234="Fieldbus Cable"),IF(AND($AE234&lt;&gt;""),"YES","NO"),"N/A")</f>
        <v>NO</v>
      </c>
      <c r="P234" s="4" t="str">
        <f>IF(OR($A234="RTD"),IF(AND($AH234&lt;&gt;""),"YES","NO"),"N/A")</f>
        <v>N/A</v>
      </c>
      <c r="Q234" s="4" t="str">
        <f>IF(OR($A234="RTD"),IF(AND($AI234&lt;&gt;""),"YES","NO"),"N/A")</f>
        <v>N/A</v>
      </c>
      <c r="R234" s="4" t="str">
        <f>IF(OR($AM234&lt;&gt;"",$Z234&lt;&gt;"",$AC234&lt;&gt;""),"YES","NO")</f>
        <v>NO</v>
      </c>
      <c r="S234" s="4" t="str">
        <f>IF(COUNTIF(I234:R234,"NO")=0,"YES","NO")</f>
        <v>NO</v>
      </c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inlineStr">
        <is>
          <t>ACIC</t>
        </is>
      </c>
      <c r="AK234" s="9" t="inlineStr">
        <is>
          <t>16AWG</t>
        </is>
      </c>
      <c r="AL234" s="9" t="inlineStr">
        <is>
          <t>Levy Ostrup</t>
        </is>
      </c>
      <c r="AM234" s="9" t="n"/>
      <c r="AN234" s="9" t="n"/>
    </row>
    <row r="235">
      <c r="A235" s="9" t="inlineStr">
        <is>
          <t>RTD Cable</t>
        </is>
      </c>
      <c r="B235" s="9" t="inlineStr">
        <is>
          <t>29103-ET-P2800-2-R-1</t>
        </is>
      </c>
      <c r="C235" s="9" t="inlineStr">
        <is>
          <t>29103-ET-P2800-2</t>
        </is>
      </c>
      <c r="D235" s="9" t="inlineStr">
        <is>
          <t>29103-HTP-004 HTC-31</t>
        </is>
      </c>
      <c r="E235" s="9" t="inlineStr">
        <is>
          <t>29103-HTP-004</t>
        </is>
      </c>
      <c r="F235" s="9" t="inlineStr"/>
      <c r="G235" s="9" t="inlineStr">
        <is>
          <t>113</t>
        </is>
      </c>
      <c r="H235" s="9" t="inlineStr">
        <is>
          <t>29103-ET-P2800-2-R-1.pdf</t>
        </is>
      </c>
      <c r="I235" s="4" t="str">
        <f>IF($H235&lt;&gt;"","YES","NO")</f>
        <v>YES</v>
      </c>
      <c r="J235" s="4" t="str">
        <f>IF(N($T235)&gt;0,"YES","NO")</f>
        <v>NO</v>
      </c>
      <c r="K235" s="4" t="str">
        <f>IF(OR($A235="EHT Trace"),IF(AND($U235&lt;&gt;"",$V235&lt;&gt;""),"YES","NO"),"N/A")</f>
        <v>N/A</v>
      </c>
      <c r="L235" s="4" t="str">
        <f>IF(OR($A235="EHT Trace"),IF(AND($X235&lt;&gt;"",$Y235&lt;&gt;""),"YES","NO"),"N/A")</f>
        <v>N/A</v>
      </c>
      <c r="M235" s="4" t="str">
        <f>IF(OR($A235="EHT Trace"),IF(AND($AA235&lt;&gt;"",$AB235&lt;&gt;""),"YES","NO"),"N/A")</f>
        <v>N/A</v>
      </c>
      <c r="N235" s="4" t="str">
        <f>IF(OR($A235="Power Cable"),IF(AND($AD235&lt;&gt;""),"YES","NO"),"N/A")</f>
        <v>N/A</v>
      </c>
      <c r="O235" s="4" t="str">
        <f>IF(OR($A235="Power Cable",$A235="RTD Cable",$A235="Fieldbus Cable"),IF(AND($AE235&lt;&gt;""),"YES","NO"),"N/A")</f>
        <v>NO</v>
      </c>
      <c r="P235" s="4" t="str">
        <f>IF(OR($A235="RTD"),IF(AND($AH235&lt;&gt;""),"YES","NO"),"N/A")</f>
        <v>N/A</v>
      </c>
      <c r="Q235" s="4" t="str">
        <f>IF(OR($A235="RTD"),IF(AND($AI235&lt;&gt;""),"YES","NO"),"N/A")</f>
        <v>N/A</v>
      </c>
      <c r="R235" s="4" t="str">
        <f>IF(OR($AM235&lt;&gt;"",$Z235&lt;&gt;"",$AC235&lt;&gt;""),"YES","NO")</f>
        <v>NO</v>
      </c>
      <c r="S235" s="4" t="str">
        <f>IF(COUNTIF(I235:R235,"NO")=0,"YES","NO")</f>
        <v>NO</v>
      </c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inlineStr">
        <is>
          <t>ACIC</t>
        </is>
      </c>
      <c r="AK235" s="9" t="inlineStr">
        <is>
          <t>16AWG</t>
        </is>
      </c>
      <c r="AL235" s="9" t="inlineStr">
        <is>
          <t>Levy Ostrup</t>
        </is>
      </c>
      <c r="AM235" s="9" t="n"/>
      <c r="AN235" s="9" t="n"/>
    </row>
    <row r="236">
      <c r="A236" s="9" t="inlineStr">
        <is>
          <t>RTD Cable</t>
        </is>
      </c>
      <c r="B236" s="9" t="inlineStr">
        <is>
          <t>29103-ET-P2800-3-R-1</t>
        </is>
      </c>
      <c r="C236" s="9" t="inlineStr">
        <is>
          <t>29103-ET-P2800-3</t>
        </is>
      </c>
      <c r="D236" s="9" t="inlineStr">
        <is>
          <t>29103-HTP-004 HTC-24</t>
        </is>
      </c>
      <c r="E236" s="9" t="inlineStr">
        <is>
          <t>29103-HTP-004</t>
        </is>
      </c>
      <c r="F236" s="9" t="inlineStr"/>
      <c r="G236" s="9" t="inlineStr">
        <is>
          <t>113</t>
        </is>
      </c>
      <c r="H236" s="9" t="inlineStr">
        <is>
          <t>29103-ET-P2800-3-R-1.pdf</t>
        </is>
      </c>
      <c r="I236" s="4" t="str">
        <f>IF($H236&lt;&gt;"","YES","NO")</f>
        <v>YES</v>
      </c>
      <c r="J236" s="4" t="str">
        <f>IF(N($T236)&gt;0,"YES","NO")</f>
        <v>NO</v>
      </c>
      <c r="K236" s="4" t="str">
        <f>IF(OR($A236="EHT Trace"),IF(AND($U236&lt;&gt;"",$V236&lt;&gt;""),"YES","NO"),"N/A")</f>
        <v>N/A</v>
      </c>
      <c r="L236" s="4" t="str">
        <f>IF(OR($A236="EHT Trace"),IF(AND($X236&lt;&gt;"",$Y236&lt;&gt;""),"YES","NO"),"N/A")</f>
        <v>N/A</v>
      </c>
      <c r="M236" s="4" t="str">
        <f>IF(OR($A236="EHT Trace"),IF(AND($AA236&lt;&gt;"",$AB236&lt;&gt;""),"YES","NO"),"N/A")</f>
        <v>N/A</v>
      </c>
      <c r="N236" s="4" t="str">
        <f>IF(OR($A236="Power Cable"),IF(AND($AD236&lt;&gt;""),"YES","NO"),"N/A")</f>
        <v>N/A</v>
      </c>
      <c r="O236" s="4" t="str">
        <f>IF(OR($A236="Power Cable",$A236="RTD Cable",$A236="Fieldbus Cable"),IF(AND($AE236&lt;&gt;""),"YES","NO"),"N/A")</f>
        <v>NO</v>
      </c>
      <c r="P236" s="4" t="str">
        <f>IF(OR($A236="RTD"),IF(AND($AH236&lt;&gt;""),"YES","NO"),"N/A")</f>
        <v>N/A</v>
      </c>
      <c r="Q236" s="4" t="str">
        <f>IF(OR($A236="RTD"),IF(AND($AI236&lt;&gt;""),"YES","NO"),"N/A")</f>
        <v>N/A</v>
      </c>
      <c r="R236" s="4" t="str">
        <f>IF(OR($AM236&lt;&gt;"",$Z236&lt;&gt;"",$AC236&lt;&gt;""),"YES","NO")</f>
        <v>NO</v>
      </c>
      <c r="S236" s="4" t="str">
        <f>IF(COUNTIF(I236:R236,"NO")=0,"YES","NO")</f>
        <v>NO</v>
      </c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inlineStr">
        <is>
          <t>ACIC</t>
        </is>
      </c>
      <c r="AK236" s="9" t="inlineStr">
        <is>
          <t>16AWG</t>
        </is>
      </c>
      <c r="AL236" s="9" t="inlineStr">
        <is>
          <t>Levy Ostrup</t>
        </is>
      </c>
      <c r="AM236" s="9" t="n"/>
      <c r="AN236" s="9" t="n"/>
    </row>
    <row r="237">
      <c r="A237" s="9" t="inlineStr">
        <is>
          <t>RTD Cable</t>
        </is>
      </c>
      <c r="B237" s="9" t="inlineStr">
        <is>
          <t>29103-ET-PE2101-1-R-1</t>
        </is>
      </c>
      <c r="C237" s="9" t="inlineStr">
        <is>
          <t>29103-ET-PE2101-1</t>
        </is>
      </c>
      <c r="D237" s="9" t="inlineStr">
        <is>
          <t>29103-HTP-004 HTC-23</t>
        </is>
      </c>
      <c r="E237" s="9" t="inlineStr">
        <is>
          <t>29103-HTP-004</t>
        </is>
      </c>
      <c r="F237" s="9" t="inlineStr"/>
      <c r="G237" s="9" t="inlineStr">
        <is>
          <t>113</t>
        </is>
      </c>
      <c r="H237" s="9" t="inlineStr">
        <is>
          <t>29103-ET-PE2101-1-R-1.pdf</t>
        </is>
      </c>
      <c r="I237" s="4" t="str">
        <f>IF($H237&lt;&gt;"","YES","NO")</f>
        <v>YES</v>
      </c>
      <c r="J237" s="4" t="str">
        <f>IF(N($T237)&gt;0,"YES","NO")</f>
        <v>NO</v>
      </c>
      <c r="K237" s="4" t="str">
        <f>IF(OR($A237="EHT Trace"),IF(AND($U237&lt;&gt;"",$V237&lt;&gt;""),"YES","NO"),"N/A")</f>
        <v>N/A</v>
      </c>
      <c r="L237" s="4" t="str">
        <f>IF(OR($A237="EHT Trace"),IF(AND($X237&lt;&gt;"",$Y237&lt;&gt;""),"YES","NO"),"N/A")</f>
        <v>N/A</v>
      </c>
      <c r="M237" s="4" t="str">
        <f>IF(OR($A237="EHT Trace"),IF(AND($AA237&lt;&gt;"",$AB237&lt;&gt;""),"YES","NO"),"N/A")</f>
        <v>N/A</v>
      </c>
      <c r="N237" s="4" t="str">
        <f>IF(OR($A237="Power Cable"),IF(AND($AD237&lt;&gt;""),"YES","NO"),"N/A")</f>
        <v>N/A</v>
      </c>
      <c r="O237" s="4" t="str">
        <f>IF(OR($A237="Power Cable",$A237="RTD Cable",$A237="Fieldbus Cable"),IF(AND($AE237&lt;&gt;""),"YES","NO"),"N/A")</f>
        <v>NO</v>
      </c>
      <c r="P237" s="4" t="str">
        <f>IF(OR($A237="RTD"),IF(AND($AH237&lt;&gt;""),"YES","NO"),"N/A")</f>
        <v>N/A</v>
      </c>
      <c r="Q237" s="4" t="str">
        <f>IF(OR($A237="RTD"),IF(AND($AI237&lt;&gt;""),"YES","NO"),"N/A")</f>
        <v>N/A</v>
      </c>
      <c r="R237" s="4" t="str">
        <f>IF(OR($AM237&lt;&gt;"",$Z237&lt;&gt;"",$AC237&lt;&gt;""),"YES","NO")</f>
        <v>NO</v>
      </c>
      <c r="S237" s="4" t="str">
        <f>IF(COUNTIF(I237:R237,"NO")=0,"YES","NO")</f>
        <v>NO</v>
      </c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inlineStr">
        <is>
          <t>ACIC</t>
        </is>
      </c>
      <c r="AK237" s="9" t="inlineStr">
        <is>
          <t>16AWG</t>
        </is>
      </c>
      <c r="AL237" s="9" t="inlineStr">
        <is>
          <t>Levy Ostrup</t>
        </is>
      </c>
      <c r="AM237" s="9" t="n"/>
      <c r="AN237" s="9" t="n"/>
    </row>
    <row r="238">
      <c r="A238" s="9" t="inlineStr">
        <is>
          <t>RTD Cable</t>
        </is>
      </c>
      <c r="B238" s="9" t="inlineStr">
        <is>
          <t>29103-ET-PE2101-2-R-2</t>
        </is>
      </c>
      <c r="C238" s="9" t="inlineStr">
        <is>
          <t>29103-ET-PE2101-2</t>
        </is>
      </c>
      <c r="D238" s="9" t="inlineStr">
        <is>
          <t>29103-HTP-004 I/O-3-2</t>
        </is>
      </c>
      <c r="E238" s="9" t="inlineStr">
        <is>
          <t>29103-HTP-004</t>
        </is>
      </c>
      <c r="F238" s="9" t="inlineStr"/>
      <c r="G238" s="9" t="inlineStr">
        <is>
          <t>113</t>
        </is>
      </c>
      <c r="H238" s="9" t="inlineStr">
        <is>
          <t>29103-ET-PE2101-2-R-2.pdf</t>
        </is>
      </c>
      <c r="I238" s="4" t="str">
        <f>IF($H238&lt;&gt;"","YES","NO")</f>
        <v>YES</v>
      </c>
      <c r="J238" s="4" t="str">
        <f>IF(N($T238)&gt;0,"YES","NO")</f>
        <v>NO</v>
      </c>
      <c r="K238" s="4" t="str">
        <f>IF(OR($A238="EHT Trace"),IF(AND($U238&lt;&gt;"",$V238&lt;&gt;""),"YES","NO"),"N/A")</f>
        <v>N/A</v>
      </c>
      <c r="L238" s="4" t="str">
        <f>IF(OR($A238="EHT Trace"),IF(AND($X238&lt;&gt;"",$Y238&lt;&gt;""),"YES","NO"),"N/A")</f>
        <v>N/A</v>
      </c>
      <c r="M238" s="4" t="str">
        <f>IF(OR($A238="EHT Trace"),IF(AND($AA238&lt;&gt;"",$AB238&lt;&gt;""),"YES","NO"),"N/A")</f>
        <v>N/A</v>
      </c>
      <c r="N238" s="4" t="str">
        <f>IF(OR($A238="Power Cable"),IF(AND($AD238&lt;&gt;""),"YES","NO"),"N/A")</f>
        <v>N/A</v>
      </c>
      <c r="O238" s="4" t="str">
        <f>IF(OR($A238="Power Cable",$A238="RTD Cable",$A238="Fieldbus Cable"),IF(AND($AE238&lt;&gt;""),"YES","NO"),"N/A")</f>
        <v>NO</v>
      </c>
      <c r="P238" s="4" t="str">
        <f>IF(OR($A238="RTD"),IF(AND($AH238&lt;&gt;""),"YES","NO"),"N/A")</f>
        <v>N/A</v>
      </c>
      <c r="Q238" s="4" t="str">
        <f>IF(OR($A238="RTD"),IF(AND($AI238&lt;&gt;""),"YES","NO"),"N/A")</f>
        <v>N/A</v>
      </c>
      <c r="R238" s="4" t="str">
        <f>IF(OR($AM238&lt;&gt;"",$Z238&lt;&gt;"",$AC238&lt;&gt;""),"YES","NO")</f>
        <v>NO</v>
      </c>
      <c r="S238" s="4" t="str">
        <f>IF(COUNTIF(I238:R238,"NO")=0,"YES","NO")</f>
        <v>NO</v>
      </c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inlineStr">
        <is>
          <t>ACIC</t>
        </is>
      </c>
      <c r="AK238" s="9" t="inlineStr">
        <is>
          <t>16AWG</t>
        </is>
      </c>
      <c r="AL238" s="9" t="inlineStr">
        <is>
          <t>Levy Ostrup</t>
        </is>
      </c>
      <c r="AM238" s="9" t="n"/>
      <c r="AN238" s="9" t="n"/>
    </row>
    <row r="239">
      <c r="A239" s="9" t="inlineStr">
        <is>
          <t>RTD Cable</t>
        </is>
      </c>
      <c r="B239" s="9" t="inlineStr">
        <is>
          <t>29103-ET-PE2102-1-R-1</t>
        </is>
      </c>
      <c r="C239" s="9" t="inlineStr">
        <is>
          <t>29103-ET-PE2102-1</t>
        </is>
      </c>
      <c r="D239" s="9" t="inlineStr">
        <is>
          <t>29103-HTP-004 HTC-20</t>
        </is>
      </c>
      <c r="E239" s="9" t="inlineStr">
        <is>
          <t>29103-HTP-004</t>
        </is>
      </c>
      <c r="F239" s="9" t="inlineStr"/>
      <c r="G239" s="9" t="inlineStr">
        <is>
          <t>113</t>
        </is>
      </c>
      <c r="H239" s="9" t="inlineStr">
        <is>
          <t>29103-ET-PE2102-1-R-1.pdf</t>
        </is>
      </c>
      <c r="I239" s="4" t="str">
        <f>IF($H239&lt;&gt;"","YES","NO")</f>
        <v>YES</v>
      </c>
      <c r="J239" s="4" t="str">
        <f>IF(N($T239)&gt;0,"YES","NO")</f>
        <v>NO</v>
      </c>
      <c r="K239" s="4" t="str">
        <f>IF(OR($A239="EHT Trace"),IF(AND($U239&lt;&gt;"",$V239&lt;&gt;""),"YES","NO"),"N/A")</f>
        <v>N/A</v>
      </c>
      <c r="L239" s="4" t="str">
        <f>IF(OR($A239="EHT Trace"),IF(AND($X239&lt;&gt;"",$Y239&lt;&gt;""),"YES","NO"),"N/A")</f>
        <v>N/A</v>
      </c>
      <c r="M239" s="4" t="str">
        <f>IF(OR($A239="EHT Trace"),IF(AND($AA239&lt;&gt;"",$AB239&lt;&gt;""),"YES","NO"),"N/A")</f>
        <v>N/A</v>
      </c>
      <c r="N239" s="4" t="str">
        <f>IF(OR($A239="Power Cable"),IF(AND($AD239&lt;&gt;""),"YES","NO"),"N/A")</f>
        <v>N/A</v>
      </c>
      <c r="O239" s="4" t="str">
        <f>IF(OR($A239="Power Cable",$A239="RTD Cable",$A239="Fieldbus Cable"),IF(AND($AE239&lt;&gt;""),"YES","NO"),"N/A")</f>
        <v>NO</v>
      </c>
      <c r="P239" s="4" t="str">
        <f>IF(OR($A239="RTD"),IF(AND($AH239&lt;&gt;""),"YES","NO"),"N/A")</f>
        <v>N/A</v>
      </c>
      <c r="Q239" s="4" t="str">
        <f>IF(OR($A239="RTD"),IF(AND($AI239&lt;&gt;""),"YES","NO"),"N/A")</f>
        <v>N/A</v>
      </c>
      <c r="R239" s="4" t="str">
        <f>IF(OR($AM239&lt;&gt;"",$Z239&lt;&gt;"",$AC239&lt;&gt;""),"YES","NO")</f>
        <v>NO</v>
      </c>
      <c r="S239" s="4" t="str">
        <f>IF(COUNTIF(I239:R239,"NO")=0,"YES","NO")</f>
        <v>NO</v>
      </c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inlineStr">
        <is>
          <t>ACIC</t>
        </is>
      </c>
      <c r="AK239" s="9" t="inlineStr">
        <is>
          <t>16AWG</t>
        </is>
      </c>
      <c r="AL239" s="9" t="inlineStr">
        <is>
          <t>Levy Ostrup</t>
        </is>
      </c>
      <c r="AM239" s="9" t="n"/>
      <c r="AN239" s="9" t="n"/>
    </row>
    <row r="240">
      <c r="A240" s="9" t="inlineStr">
        <is>
          <t>RTD Cable</t>
        </is>
      </c>
      <c r="B240" s="9" t="inlineStr">
        <is>
          <t>29103-ET-PE2102-1-R-2</t>
        </is>
      </c>
      <c r="C240" s="9" t="inlineStr">
        <is>
          <t>29103-ET-PE2102-1</t>
        </is>
      </c>
      <c r="D240" s="9" t="inlineStr">
        <is>
          <t>29103-HTP-004 I/O-3-3</t>
        </is>
      </c>
      <c r="E240" s="9" t="inlineStr">
        <is>
          <t>29103-HTP-004</t>
        </is>
      </c>
      <c r="F240" s="9" t="inlineStr"/>
      <c r="G240" s="9" t="inlineStr">
        <is>
          <t>113</t>
        </is>
      </c>
      <c r="H240" s="9" t="inlineStr">
        <is>
          <t>29103-ET-PE2102-1-R-2.pdf</t>
        </is>
      </c>
      <c r="I240" s="4" t="str">
        <f>IF($H240&lt;&gt;"","YES","NO")</f>
        <v>YES</v>
      </c>
      <c r="J240" s="4" t="str">
        <f>IF(N($T240)&gt;0,"YES","NO")</f>
        <v>NO</v>
      </c>
      <c r="K240" s="4" t="str">
        <f>IF(OR($A240="EHT Trace"),IF(AND($U240&lt;&gt;"",$V240&lt;&gt;""),"YES","NO"),"N/A")</f>
        <v>N/A</v>
      </c>
      <c r="L240" s="4" t="str">
        <f>IF(OR($A240="EHT Trace"),IF(AND($X240&lt;&gt;"",$Y240&lt;&gt;""),"YES","NO"),"N/A")</f>
        <v>N/A</v>
      </c>
      <c r="M240" s="4" t="str">
        <f>IF(OR($A240="EHT Trace"),IF(AND($AA240&lt;&gt;"",$AB240&lt;&gt;""),"YES","NO"),"N/A")</f>
        <v>N/A</v>
      </c>
      <c r="N240" s="4" t="str">
        <f>IF(OR($A240="Power Cable"),IF(AND($AD240&lt;&gt;""),"YES","NO"),"N/A")</f>
        <v>N/A</v>
      </c>
      <c r="O240" s="4" t="str">
        <f>IF(OR($A240="Power Cable",$A240="RTD Cable",$A240="Fieldbus Cable"),IF(AND($AE240&lt;&gt;""),"YES","NO"),"N/A")</f>
        <v>NO</v>
      </c>
      <c r="P240" s="4" t="str">
        <f>IF(OR($A240="RTD"),IF(AND($AH240&lt;&gt;""),"YES","NO"),"N/A")</f>
        <v>N/A</v>
      </c>
      <c r="Q240" s="4" t="str">
        <f>IF(OR($A240="RTD"),IF(AND($AI240&lt;&gt;""),"YES","NO"),"N/A")</f>
        <v>N/A</v>
      </c>
      <c r="R240" s="4" t="str">
        <f>IF(OR($AM240&lt;&gt;"",$Z240&lt;&gt;"",$AC240&lt;&gt;""),"YES","NO")</f>
        <v>NO</v>
      </c>
      <c r="S240" s="4" t="str">
        <f>IF(COUNTIF(I240:R240,"NO")=0,"YES","NO")</f>
        <v>NO</v>
      </c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inlineStr">
        <is>
          <t>ACIC</t>
        </is>
      </c>
      <c r="AK240" s="9" t="inlineStr">
        <is>
          <t>16AWG</t>
        </is>
      </c>
      <c r="AL240" s="9" t="inlineStr">
        <is>
          <t>Levy Ostrup</t>
        </is>
      </c>
      <c r="AM240" s="9" t="n"/>
      <c r="AN240" s="9" t="n"/>
    </row>
    <row r="241">
      <c r="A241" s="9" t="inlineStr">
        <is>
          <t>RTD Cable</t>
        </is>
      </c>
      <c r="B241" s="9" t="inlineStr">
        <is>
          <t>29103-ET-PE2201-1-R-1</t>
        </is>
      </c>
      <c r="C241" s="9" t="inlineStr">
        <is>
          <t>29103-ET-PE2201-1</t>
        </is>
      </c>
      <c r="D241" s="9" t="inlineStr">
        <is>
          <t>29103-HTP-004 HTC-08</t>
        </is>
      </c>
      <c r="E241" s="9" t="inlineStr">
        <is>
          <t>29103-HTP-004</t>
        </is>
      </c>
      <c r="F241" s="9" t="inlineStr"/>
      <c r="G241" s="9" t="inlineStr">
        <is>
          <t>113</t>
        </is>
      </c>
      <c r="H241" s="9" t="inlineStr">
        <is>
          <t>29103-ET-PE2201-1-R-1.pdf</t>
        </is>
      </c>
      <c r="I241" s="4" t="str">
        <f>IF($H241&lt;&gt;"","YES","NO")</f>
        <v>YES</v>
      </c>
      <c r="J241" s="4" t="str">
        <f>IF(N($T241)&gt;0,"YES","NO")</f>
        <v>NO</v>
      </c>
      <c r="K241" s="4" t="str">
        <f>IF(OR($A241="EHT Trace"),IF(AND($U241&lt;&gt;"",$V241&lt;&gt;""),"YES","NO"),"N/A")</f>
        <v>N/A</v>
      </c>
      <c r="L241" s="4" t="str">
        <f>IF(OR($A241="EHT Trace"),IF(AND($X241&lt;&gt;"",$Y241&lt;&gt;""),"YES","NO"),"N/A")</f>
        <v>N/A</v>
      </c>
      <c r="M241" s="4" t="str">
        <f>IF(OR($A241="EHT Trace"),IF(AND($AA241&lt;&gt;"",$AB241&lt;&gt;""),"YES","NO"),"N/A")</f>
        <v>N/A</v>
      </c>
      <c r="N241" s="4" t="str">
        <f>IF(OR($A241="Power Cable"),IF(AND($AD241&lt;&gt;""),"YES","NO"),"N/A")</f>
        <v>N/A</v>
      </c>
      <c r="O241" s="4" t="str">
        <f>IF(OR($A241="Power Cable",$A241="RTD Cable",$A241="Fieldbus Cable"),IF(AND($AE241&lt;&gt;""),"YES","NO"),"N/A")</f>
        <v>NO</v>
      </c>
      <c r="P241" s="4" t="str">
        <f>IF(OR($A241="RTD"),IF(AND($AH241&lt;&gt;""),"YES","NO"),"N/A")</f>
        <v>N/A</v>
      </c>
      <c r="Q241" s="4" t="str">
        <f>IF(OR($A241="RTD"),IF(AND($AI241&lt;&gt;""),"YES","NO"),"N/A")</f>
        <v>N/A</v>
      </c>
      <c r="R241" s="4" t="str">
        <f>IF(OR($AM241&lt;&gt;"",$Z241&lt;&gt;"",$AC241&lt;&gt;""),"YES","NO")</f>
        <v>NO</v>
      </c>
      <c r="S241" s="4" t="str">
        <f>IF(COUNTIF(I241:R241,"NO")=0,"YES","NO")</f>
        <v>NO</v>
      </c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inlineStr">
        <is>
          <t>ACIC</t>
        </is>
      </c>
      <c r="AK241" s="9" t="inlineStr">
        <is>
          <t>16AWG</t>
        </is>
      </c>
      <c r="AL241" s="9" t="inlineStr">
        <is>
          <t>Levy Ostrup</t>
        </is>
      </c>
      <c r="AM241" s="9" t="n"/>
      <c r="AN241" s="9" t="n"/>
    </row>
    <row r="242">
      <c r="A242" s="9" t="inlineStr">
        <is>
          <t>RTD Cable</t>
        </is>
      </c>
      <c r="B242" s="9" t="inlineStr">
        <is>
          <t>29103-ET-PE2201-2-R-2</t>
        </is>
      </c>
      <c r="C242" s="9" t="inlineStr">
        <is>
          <t>29103-ET-PE2201-2</t>
        </is>
      </c>
      <c r="D242" s="9" t="inlineStr">
        <is>
          <t>29103-HTP-004 I/O-2-4</t>
        </is>
      </c>
      <c r="E242" s="9" t="inlineStr">
        <is>
          <t>29103-HTP-004</t>
        </is>
      </c>
      <c r="F242" s="9" t="inlineStr"/>
      <c r="G242" s="9" t="inlineStr">
        <is>
          <t>113</t>
        </is>
      </c>
      <c r="H242" s="9" t="inlineStr">
        <is>
          <t>29103-ET-PE2201-2-R-2.pdf</t>
        </is>
      </c>
      <c r="I242" s="4" t="str">
        <f>IF($H242&lt;&gt;"","YES","NO")</f>
        <v>YES</v>
      </c>
      <c r="J242" s="4" t="str">
        <f>IF(N($T242)&gt;0,"YES","NO")</f>
        <v>NO</v>
      </c>
      <c r="K242" s="4" t="str">
        <f>IF(OR($A242="EHT Trace"),IF(AND($U242&lt;&gt;"",$V242&lt;&gt;""),"YES","NO"),"N/A")</f>
        <v>N/A</v>
      </c>
      <c r="L242" s="4" t="str">
        <f>IF(OR($A242="EHT Trace"),IF(AND($X242&lt;&gt;"",$Y242&lt;&gt;""),"YES","NO"),"N/A")</f>
        <v>N/A</v>
      </c>
      <c r="M242" s="4" t="str">
        <f>IF(OR($A242="EHT Trace"),IF(AND($AA242&lt;&gt;"",$AB242&lt;&gt;""),"YES","NO"),"N/A")</f>
        <v>N/A</v>
      </c>
      <c r="N242" s="4" t="str">
        <f>IF(OR($A242="Power Cable"),IF(AND($AD242&lt;&gt;""),"YES","NO"),"N/A")</f>
        <v>N/A</v>
      </c>
      <c r="O242" s="4" t="str">
        <f>IF(OR($A242="Power Cable",$A242="RTD Cable",$A242="Fieldbus Cable"),IF(AND($AE242&lt;&gt;""),"YES","NO"),"N/A")</f>
        <v>NO</v>
      </c>
      <c r="P242" s="4" t="str">
        <f>IF(OR($A242="RTD"),IF(AND($AH242&lt;&gt;""),"YES","NO"),"N/A")</f>
        <v>N/A</v>
      </c>
      <c r="Q242" s="4" t="str">
        <f>IF(OR($A242="RTD"),IF(AND($AI242&lt;&gt;""),"YES","NO"),"N/A")</f>
        <v>N/A</v>
      </c>
      <c r="R242" s="4" t="str">
        <f>IF(OR($AM242&lt;&gt;"",$Z242&lt;&gt;"",$AC242&lt;&gt;""),"YES","NO")</f>
        <v>NO</v>
      </c>
      <c r="S242" s="4" t="str">
        <f>IF(COUNTIF(I242:R242,"NO")=0,"YES","NO")</f>
        <v>NO</v>
      </c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inlineStr">
        <is>
          <t>ACIC</t>
        </is>
      </c>
      <c r="AK242" s="9" t="inlineStr">
        <is>
          <t>16AWG</t>
        </is>
      </c>
      <c r="AL242" s="9" t="inlineStr">
        <is>
          <t>Levy Ostrup</t>
        </is>
      </c>
      <c r="AM242" s="9" t="n"/>
      <c r="AN242" s="9" t="n"/>
    </row>
    <row r="243">
      <c r="A243" s="9" t="inlineStr">
        <is>
          <t>RTD Cable</t>
        </is>
      </c>
      <c r="B243" s="9" t="inlineStr">
        <is>
          <t>29103-ET-PE2202-1-R-1</t>
        </is>
      </c>
      <c r="C243" s="9" t="inlineStr">
        <is>
          <t>29103-ET-PE2202-1</t>
        </is>
      </c>
      <c r="D243" s="9" t="inlineStr">
        <is>
          <t>29103-HTP-004 HTC-15</t>
        </is>
      </c>
      <c r="E243" s="9" t="inlineStr">
        <is>
          <t>29103-HTP-004</t>
        </is>
      </c>
      <c r="F243" s="9" t="inlineStr"/>
      <c r="G243" s="9" t="inlineStr">
        <is>
          <t>113</t>
        </is>
      </c>
      <c r="H243" s="9" t="inlineStr">
        <is>
          <t>29103-ET-PE2202-1-R-1.pdf</t>
        </is>
      </c>
      <c r="I243" s="4" t="str">
        <f>IF($H243&lt;&gt;"","YES","NO")</f>
        <v>YES</v>
      </c>
      <c r="J243" s="4" t="str">
        <f>IF(N($T243)&gt;0,"YES","NO")</f>
        <v>NO</v>
      </c>
      <c r="K243" s="4" t="str">
        <f>IF(OR($A243="EHT Trace"),IF(AND($U243&lt;&gt;"",$V243&lt;&gt;""),"YES","NO"),"N/A")</f>
        <v>N/A</v>
      </c>
      <c r="L243" s="4" t="str">
        <f>IF(OR($A243="EHT Trace"),IF(AND($X243&lt;&gt;"",$Y243&lt;&gt;""),"YES","NO"),"N/A")</f>
        <v>N/A</v>
      </c>
      <c r="M243" s="4" t="str">
        <f>IF(OR($A243="EHT Trace"),IF(AND($AA243&lt;&gt;"",$AB243&lt;&gt;""),"YES","NO"),"N/A")</f>
        <v>N/A</v>
      </c>
      <c r="N243" s="4" t="str">
        <f>IF(OR($A243="Power Cable"),IF(AND($AD243&lt;&gt;""),"YES","NO"),"N/A")</f>
        <v>N/A</v>
      </c>
      <c r="O243" s="4" t="str">
        <f>IF(OR($A243="Power Cable",$A243="RTD Cable",$A243="Fieldbus Cable"),IF(AND($AE243&lt;&gt;""),"YES","NO"),"N/A")</f>
        <v>NO</v>
      </c>
      <c r="P243" s="4" t="str">
        <f>IF(OR($A243="RTD"),IF(AND($AH243&lt;&gt;""),"YES","NO"),"N/A")</f>
        <v>N/A</v>
      </c>
      <c r="Q243" s="4" t="str">
        <f>IF(OR($A243="RTD"),IF(AND($AI243&lt;&gt;""),"YES","NO"),"N/A")</f>
        <v>N/A</v>
      </c>
      <c r="R243" s="4" t="str">
        <f>IF(OR($AM243&lt;&gt;"",$Z243&lt;&gt;"",$AC243&lt;&gt;""),"YES","NO")</f>
        <v>NO</v>
      </c>
      <c r="S243" s="4" t="str">
        <f>IF(COUNTIF(I243:R243,"NO")=0,"YES","NO")</f>
        <v>NO</v>
      </c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inlineStr">
        <is>
          <t>ACIC</t>
        </is>
      </c>
      <c r="AK243" s="9" t="inlineStr">
        <is>
          <t>16AWG</t>
        </is>
      </c>
      <c r="AL243" s="9" t="inlineStr">
        <is>
          <t>Levy Ostrup</t>
        </is>
      </c>
      <c r="AM243" s="9" t="n"/>
      <c r="AN243" s="9" t="n"/>
    </row>
    <row r="244">
      <c r="A244" s="9" t="inlineStr">
        <is>
          <t>RTD Cable</t>
        </is>
      </c>
      <c r="B244" s="9" t="inlineStr">
        <is>
          <t>29103-ET-PE2202-1-R-2</t>
        </is>
      </c>
      <c r="C244" s="9" t="inlineStr">
        <is>
          <t>29103-ET-PE2202-1</t>
        </is>
      </c>
      <c r="D244" s="9" t="inlineStr">
        <is>
          <t>29103-HTP-004 I/O-3-1</t>
        </is>
      </c>
      <c r="E244" s="9" t="inlineStr">
        <is>
          <t>29103-HTP-004</t>
        </is>
      </c>
      <c r="F244" s="9" t="inlineStr"/>
      <c r="G244" s="9" t="inlineStr">
        <is>
          <t>113</t>
        </is>
      </c>
      <c r="H244" s="9" t="inlineStr">
        <is>
          <t>29103-ET-PE2202-1-R-2.pdf</t>
        </is>
      </c>
      <c r="I244" s="4" t="str">
        <f>IF($H244&lt;&gt;"","YES","NO")</f>
        <v>YES</v>
      </c>
      <c r="J244" s="4" t="str">
        <f>IF(N($T244)&gt;0,"YES","NO")</f>
        <v>NO</v>
      </c>
      <c r="K244" s="4" t="str">
        <f>IF(OR($A244="EHT Trace"),IF(AND($U244&lt;&gt;"",$V244&lt;&gt;""),"YES","NO"),"N/A")</f>
        <v>N/A</v>
      </c>
      <c r="L244" s="4" t="str">
        <f>IF(OR($A244="EHT Trace"),IF(AND($X244&lt;&gt;"",$Y244&lt;&gt;""),"YES","NO"),"N/A")</f>
        <v>N/A</v>
      </c>
      <c r="M244" s="4" t="str">
        <f>IF(OR($A244="EHT Trace"),IF(AND($AA244&lt;&gt;"",$AB244&lt;&gt;""),"YES","NO"),"N/A")</f>
        <v>N/A</v>
      </c>
      <c r="N244" s="4" t="str">
        <f>IF(OR($A244="Power Cable"),IF(AND($AD244&lt;&gt;""),"YES","NO"),"N/A")</f>
        <v>N/A</v>
      </c>
      <c r="O244" s="4" t="str">
        <f>IF(OR($A244="Power Cable",$A244="RTD Cable",$A244="Fieldbus Cable"),IF(AND($AE244&lt;&gt;""),"YES","NO"),"N/A")</f>
        <v>NO</v>
      </c>
      <c r="P244" s="4" t="str">
        <f>IF(OR($A244="RTD"),IF(AND($AH244&lt;&gt;""),"YES","NO"),"N/A")</f>
        <v>N/A</v>
      </c>
      <c r="Q244" s="4" t="str">
        <f>IF(OR($A244="RTD"),IF(AND($AI244&lt;&gt;""),"YES","NO"),"N/A")</f>
        <v>N/A</v>
      </c>
      <c r="R244" s="4" t="str">
        <f>IF(OR($AM244&lt;&gt;"",$Z244&lt;&gt;"",$AC244&lt;&gt;""),"YES","NO")</f>
        <v>NO</v>
      </c>
      <c r="S244" s="4" t="str">
        <f>IF(COUNTIF(I244:R244,"NO")=0,"YES","NO")</f>
        <v>NO</v>
      </c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inlineStr">
        <is>
          <t>ACIC</t>
        </is>
      </c>
      <c r="AK244" s="9" t="inlineStr">
        <is>
          <t>16AWG</t>
        </is>
      </c>
      <c r="AL244" s="9" t="inlineStr">
        <is>
          <t>Levy Ostrup</t>
        </is>
      </c>
      <c r="AM244" s="9" t="n"/>
      <c r="AN244" s="9" t="n"/>
    </row>
    <row r="245">
      <c r="A245" s="9" t="inlineStr">
        <is>
          <t>RTD Cable</t>
        </is>
      </c>
      <c r="B245" s="9" t="inlineStr">
        <is>
          <t>29103-ET-PE2301-1-R-1</t>
        </is>
      </c>
      <c r="C245" s="9" t="inlineStr">
        <is>
          <t>29103-ET-PE2301-1</t>
        </is>
      </c>
      <c r="D245" s="9" t="inlineStr">
        <is>
          <t>29103-HTP-004 HTC-10</t>
        </is>
      </c>
      <c r="E245" s="9" t="inlineStr">
        <is>
          <t>29103-HTP-004</t>
        </is>
      </c>
      <c r="F245" s="9" t="inlineStr"/>
      <c r="G245" s="9" t="inlineStr">
        <is>
          <t>113</t>
        </is>
      </c>
      <c r="H245" s="9" t="inlineStr">
        <is>
          <t>29103-ET-PE2301-1-R-1.pdf</t>
        </is>
      </c>
      <c r="I245" s="4" t="str">
        <f>IF($H245&lt;&gt;"","YES","NO")</f>
        <v>YES</v>
      </c>
      <c r="J245" s="4" t="str">
        <f>IF(N($T245)&gt;0,"YES","NO")</f>
        <v>NO</v>
      </c>
      <c r="K245" s="4" t="str">
        <f>IF(OR($A245="EHT Trace"),IF(AND($U245&lt;&gt;"",$V245&lt;&gt;""),"YES","NO"),"N/A")</f>
        <v>N/A</v>
      </c>
      <c r="L245" s="4" t="str">
        <f>IF(OR($A245="EHT Trace"),IF(AND($X245&lt;&gt;"",$Y245&lt;&gt;""),"YES","NO"),"N/A")</f>
        <v>N/A</v>
      </c>
      <c r="M245" s="4" t="str">
        <f>IF(OR($A245="EHT Trace"),IF(AND($AA245&lt;&gt;"",$AB245&lt;&gt;""),"YES","NO"),"N/A")</f>
        <v>N/A</v>
      </c>
      <c r="N245" s="4" t="str">
        <f>IF(OR($A245="Power Cable"),IF(AND($AD245&lt;&gt;""),"YES","NO"),"N/A")</f>
        <v>N/A</v>
      </c>
      <c r="O245" s="4" t="str">
        <f>IF(OR($A245="Power Cable",$A245="RTD Cable",$A245="Fieldbus Cable"),IF(AND($AE245&lt;&gt;""),"YES","NO"),"N/A")</f>
        <v>NO</v>
      </c>
      <c r="P245" s="4" t="str">
        <f>IF(OR($A245="RTD"),IF(AND($AH245&lt;&gt;""),"YES","NO"),"N/A")</f>
        <v>N/A</v>
      </c>
      <c r="Q245" s="4" t="str">
        <f>IF(OR($A245="RTD"),IF(AND($AI245&lt;&gt;""),"YES","NO"),"N/A")</f>
        <v>N/A</v>
      </c>
      <c r="R245" s="4" t="str">
        <f>IF(OR($AM245&lt;&gt;"",$Z245&lt;&gt;"",$AC245&lt;&gt;""),"YES","NO")</f>
        <v>NO</v>
      </c>
      <c r="S245" s="4" t="str">
        <f>IF(COUNTIF(I245:R245,"NO")=0,"YES","NO")</f>
        <v>NO</v>
      </c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inlineStr">
        <is>
          <t>ACIC</t>
        </is>
      </c>
      <c r="AK245" s="9" t="inlineStr">
        <is>
          <t>16AWG</t>
        </is>
      </c>
      <c r="AL245" s="9" t="inlineStr">
        <is>
          <t>Levy Ostrup</t>
        </is>
      </c>
      <c r="AM245" s="9" t="n"/>
      <c r="AN245" s="9" t="n"/>
    </row>
    <row r="246">
      <c r="A246" s="9" t="inlineStr">
        <is>
          <t>RTD Cable</t>
        </is>
      </c>
      <c r="B246" s="9" t="inlineStr">
        <is>
          <t>29103-ET-PE2301-2-R-2</t>
        </is>
      </c>
      <c r="C246" s="9" t="inlineStr">
        <is>
          <t>29103-ET-PE2301-2</t>
        </is>
      </c>
      <c r="D246" s="9" t="inlineStr">
        <is>
          <t>29103-HTP-004 I/O-2-2</t>
        </is>
      </c>
      <c r="E246" s="9" t="inlineStr">
        <is>
          <t>29103-HTP-004</t>
        </is>
      </c>
      <c r="F246" s="9" t="inlineStr"/>
      <c r="G246" s="9" t="inlineStr">
        <is>
          <t>113</t>
        </is>
      </c>
      <c r="H246" s="9" t="inlineStr">
        <is>
          <t>29103-ET-PE2301-2-R-2.pdf</t>
        </is>
      </c>
      <c r="I246" s="4" t="str">
        <f>IF($H246&lt;&gt;"","YES","NO")</f>
        <v>YES</v>
      </c>
      <c r="J246" s="4" t="str">
        <f>IF(N($T246)&gt;0,"YES","NO")</f>
        <v>NO</v>
      </c>
      <c r="K246" s="4" t="str">
        <f>IF(OR($A246="EHT Trace"),IF(AND($U246&lt;&gt;"",$V246&lt;&gt;""),"YES","NO"),"N/A")</f>
        <v>N/A</v>
      </c>
      <c r="L246" s="4" t="str">
        <f>IF(OR($A246="EHT Trace"),IF(AND($X246&lt;&gt;"",$Y246&lt;&gt;""),"YES","NO"),"N/A")</f>
        <v>N/A</v>
      </c>
      <c r="M246" s="4" t="str">
        <f>IF(OR($A246="EHT Trace"),IF(AND($AA246&lt;&gt;"",$AB246&lt;&gt;""),"YES","NO"),"N/A")</f>
        <v>N/A</v>
      </c>
      <c r="N246" s="4" t="str">
        <f>IF(OR($A246="Power Cable"),IF(AND($AD246&lt;&gt;""),"YES","NO"),"N/A")</f>
        <v>N/A</v>
      </c>
      <c r="O246" s="4" t="str">
        <f>IF(OR($A246="Power Cable",$A246="RTD Cable",$A246="Fieldbus Cable"),IF(AND($AE246&lt;&gt;""),"YES","NO"),"N/A")</f>
        <v>NO</v>
      </c>
      <c r="P246" s="4" t="str">
        <f>IF(OR($A246="RTD"),IF(AND($AH246&lt;&gt;""),"YES","NO"),"N/A")</f>
        <v>N/A</v>
      </c>
      <c r="Q246" s="4" t="str">
        <f>IF(OR($A246="RTD"),IF(AND($AI246&lt;&gt;""),"YES","NO"),"N/A")</f>
        <v>N/A</v>
      </c>
      <c r="R246" s="4" t="str">
        <f>IF(OR($AM246&lt;&gt;"",$Z246&lt;&gt;"",$AC246&lt;&gt;""),"YES","NO")</f>
        <v>NO</v>
      </c>
      <c r="S246" s="4" t="str">
        <f>IF(COUNTIF(I246:R246,"NO")=0,"YES","NO")</f>
        <v>NO</v>
      </c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inlineStr">
        <is>
          <t>ACIC</t>
        </is>
      </c>
      <c r="AK246" s="9" t="inlineStr">
        <is>
          <t>16AWG</t>
        </is>
      </c>
      <c r="AL246" s="9" t="inlineStr">
        <is>
          <t>Levy Ostrup</t>
        </is>
      </c>
      <c r="AM246" s="9" t="n"/>
      <c r="AN246" s="9" t="n"/>
    </row>
    <row r="247">
      <c r="A247" s="9" t="inlineStr">
        <is>
          <t>RTD Cable</t>
        </is>
      </c>
      <c r="B247" s="9" t="inlineStr">
        <is>
          <t>29103-ET-PE2302-1-R-1</t>
        </is>
      </c>
      <c r="C247" s="9" t="inlineStr">
        <is>
          <t>29103-ET-PE2302-1</t>
        </is>
      </c>
      <c r="D247" s="9" t="inlineStr">
        <is>
          <t>29103-HTP-004 HTC-06</t>
        </is>
      </c>
      <c r="E247" s="9" t="inlineStr">
        <is>
          <t>29103-HTP-004</t>
        </is>
      </c>
      <c r="F247" s="9" t="inlineStr"/>
      <c r="G247" s="9" t="inlineStr">
        <is>
          <t>113</t>
        </is>
      </c>
      <c r="H247" s="9" t="inlineStr">
        <is>
          <t>29103-ET-PE2302-1-R-1.pdf</t>
        </is>
      </c>
      <c r="I247" s="4" t="str">
        <f>IF($H247&lt;&gt;"","YES","NO")</f>
        <v>YES</v>
      </c>
      <c r="J247" s="4" t="str">
        <f>IF(N($T247)&gt;0,"YES","NO")</f>
        <v>NO</v>
      </c>
      <c r="K247" s="4" t="str">
        <f>IF(OR($A247="EHT Trace"),IF(AND($U247&lt;&gt;"",$V247&lt;&gt;""),"YES","NO"),"N/A")</f>
        <v>N/A</v>
      </c>
      <c r="L247" s="4" t="str">
        <f>IF(OR($A247="EHT Trace"),IF(AND($X247&lt;&gt;"",$Y247&lt;&gt;""),"YES","NO"),"N/A")</f>
        <v>N/A</v>
      </c>
      <c r="M247" s="4" t="str">
        <f>IF(OR($A247="EHT Trace"),IF(AND($AA247&lt;&gt;"",$AB247&lt;&gt;""),"YES","NO"),"N/A")</f>
        <v>N/A</v>
      </c>
      <c r="N247" s="4" t="str">
        <f>IF(OR($A247="Power Cable"),IF(AND($AD247&lt;&gt;""),"YES","NO"),"N/A")</f>
        <v>N/A</v>
      </c>
      <c r="O247" s="4" t="str">
        <f>IF(OR($A247="Power Cable",$A247="RTD Cable",$A247="Fieldbus Cable"),IF(AND($AE247&lt;&gt;""),"YES","NO"),"N/A")</f>
        <v>NO</v>
      </c>
      <c r="P247" s="4" t="str">
        <f>IF(OR($A247="RTD"),IF(AND($AH247&lt;&gt;""),"YES","NO"),"N/A")</f>
        <v>N/A</v>
      </c>
      <c r="Q247" s="4" t="str">
        <f>IF(OR($A247="RTD"),IF(AND($AI247&lt;&gt;""),"YES","NO"),"N/A")</f>
        <v>N/A</v>
      </c>
      <c r="R247" s="4" t="str">
        <f>IF(OR($AM247&lt;&gt;"",$Z247&lt;&gt;"",$AC247&lt;&gt;""),"YES","NO")</f>
        <v>NO</v>
      </c>
      <c r="S247" s="4" t="str">
        <f>IF(COUNTIF(I247:R247,"NO")=0,"YES","NO")</f>
        <v>NO</v>
      </c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inlineStr">
        <is>
          <t>ACIC</t>
        </is>
      </c>
      <c r="AK247" s="9" t="inlineStr">
        <is>
          <t>16AWG</t>
        </is>
      </c>
      <c r="AL247" s="9" t="inlineStr">
        <is>
          <t>Levy Ostrup</t>
        </is>
      </c>
      <c r="AM247" s="9" t="n"/>
      <c r="AN247" s="9" t="n"/>
    </row>
    <row r="248">
      <c r="A248" s="9" t="inlineStr">
        <is>
          <t>RTD Cable</t>
        </is>
      </c>
      <c r="B248" s="9" t="inlineStr">
        <is>
          <t>29103-ET-PE2302-1-R-2</t>
        </is>
      </c>
      <c r="C248" s="9" t="inlineStr">
        <is>
          <t>29103-ET-PE2302-1</t>
        </is>
      </c>
      <c r="D248" s="9" t="inlineStr">
        <is>
          <t>29103-HTP-004 I/O-2-3</t>
        </is>
      </c>
      <c r="E248" s="9" t="inlineStr">
        <is>
          <t>29103-HTP-004</t>
        </is>
      </c>
      <c r="F248" s="9" t="inlineStr"/>
      <c r="G248" s="9" t="inlineStr">
        <is>
          <t>113</t>
        </is>
      </c>
      <c r="H248" s="9" t="inlineStr">
        <is>
          <t>29103-ET-PE2302-1-R-2.pdf</t>
        </is>
      </c>
      <c r="I248" s="4" t="str">
        <f>IF($H248&lt;&gt;"","YES","NO")</f>
        <v>YES</v>
      </c>
      <c r="J248" s="4" t="str">
        <f>IF(N($T248)&gt;0,"YES","NO")</f>
        <v>NO</v>
      </c>
      <c r="K248" s="4" t="str">
        <f>IF(OR($A248="EHT Trace"),IF(AND($U248&lt;&gt;"",$V248&lt;&gt;""),"YES","NO"),"N/A")</f>
        <v>N/A</v>
      </c>
      <c r="L248" s="4" t="str">
        <f>IF(OR($A248="EHT Trace"),IF(AND($X248&lt;&gt;"",$Y248&lt;&gt;""),"YES","NO"),"N/A")</f>
        <v>N/A</v>
      </c>
      <c r="M248" s="4" t="str">
        <f>IF(OR($A248="EHT Trace"),IF(AND($AA248&lt;&gt;"",$AB248&lt;&gt;""),"YES","NO"),"N/A")</f>
        <v>N/A</v>
      </c>
      <c r="N248" s="4" t="str">
        <f>IF(OR($A248="Power Cable"),IF(AND($AD248&lt;&gt;""),"YES","NO"),"N/A")</f>
        <v>N/A</v>
      </c>
      <c r="O248" s="4" t="str">
        <f>IF(OR($A248="Power Cable",$A248="RTD Cable",$A248="Fieldbus Cable"),IF(AND($AE248&lt;&gt;""),"YES","NO"),"N/A")</f>
        <v>NO</v>
      </c>
      <c r="P248" s="4" t="str">
        <f>IF(OR($A248="RTD"),IF(AND($AH248&lt;&gt;""),"YES","NO"),"N/A")</f>
        <v>N/A</v>
      </c>
      <c r="Q248" s="4" t="str">
        <f>IF(OR($A248="RTD"),IF(AND($AI248&lt;&gt;""),"YES","NO"),"N/A")</f>
        <v>N/A</v>
      </c>
      <c r="R248" s="4" t="str">
        <f>IF(OR($AM248&lt;&gt;"",$Z248&lt;&gt;"",$AC248&lt;&gt;""),"YES","NO")</f>
        <v>NO</v>
      </c>
      <c r="S248" s="4" t="str">
        <f>IF(COUNTIF(I248:R248,"NO")=0,"YES","NO")</f>
        <v>NO</v>
      </c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inlineStr">
        <is>
          <t>ACIC</t>
        </is>
      </c>
      <c r="AK248" s="9" t="inlineStr">
        <is>
          <t>16AWG</t>
        </is>
      </c>
      <c r="AL248" s="9" t="inlineStr">
        <is>
          <t>Levy Ostrup</t>
        </is>
      </c>
      <c r="AM248" s="9" t="n"/>
      <c r="AN248" s="9" t="n"/>
    </row>
    <row r="249">
      <c r="A249" s="9" t="inlineStr">
        <is>
          <t>RTD Cable</t>
        </is>
      </c>
      <c r="B249" s="9" t="inlineStr">
        <is>
          <t>29103-ET-PE2401-2-R-2</t>
        </is>
      </c>
      <c r="C249" s="9" t="inlineStr">
        <is>
          <t>29103-ET-PE2401-2</t>
        </is>
      </c>
      <c r="D249" s="9" t="inlineStr">
        <is>
          <t>29103-HTP-004 HTC-59</t>
        </is>
      </c>
      <c r="E249" s="9" t="inlineStr">
        <is>
          <t>29103-HTP-004</t>
        </is>
      </c>
      <c r="F249" s="9" t="inlineStr"/>
      <c r="G249" s="9" t="inlineStr">
        <is>
          <t>113</t>
        </is>
      </c>
      <c r="H249" s="9" t="inlineStr">
        <is>
          <t>29103-ET-PE2401-2-R-2.pdf</t>
        </is>
      </c>
      <c r="I249" s="4" t="str">
        <f>IF($H249&lt;&gt;"","YES","NO")</f>
        <v>YES</v>
      </c>
      <c r="J249" s="4" t="str">
        <f>IF(N($T249)&gt;0,"YES","NO")</f>
        <v>NO</v>
      </c>
      <c r="K249" s="4" t="str">
        <f>IF(OR($A249="EHT Trace"),IF(AND($U249&lt;&gt;"",$V249&lt;&gt;""),"YES","NO"),"N/A")</f>
        <v>N/A</v>
      </c>
      <c r="L249" s="4" t="str">
        <f>IF(OR($A249="EHT Trace"),IF(AND($X249&lt;&gt;"",$Y249&lt;&gt;""),"YES","NO"),"N/A")</f>
        <v>N/A</v>
      </c>
      <c r="M249" s="4" t="str">
        <f>IF(OR($A249="EHT Trace"),IF(AND($AA249&lt;&gt;"",$AB249&lt;&gt;""),"YES","NO"),"N/A")</f>
        <v>N/A</v>
      </c>
      <c r="N249" s="4" t="str">
        <f>IF(OR($A249="Power Cable"),IF(AND($AD249&lt;&gt;""),"YES","NO"),"N/A")</f>
        <v>N/A</v>
      </c>
      <c r="O249" s="4" t="str">
        <f>IF(OR($A249="Power Cable",$A249="RTD Cable",$A249="Fieldbus Cable"),IF(AND($AE249&lt;&gt;""),"YES","NO"),"N/A")</f>
        <v>NO</v>
      </c>
      <c r="P249" s="4" t="str">
        <f>IF(OR($A249="RTD"),IF(AND($AH249&lt;&gt;""),"YES","NO"),"N/A")</f>
        <v>N/A</v>
      </c>
      <c r="Q249" s="4" t="str">
        <f>IF(OR($A249="RTD"),IF(AND($AI249&lt;&gt;""),"YES","NO"),"N/A")</f>
        <v>N/A</v>
      </c>
      <c r="R249" s="4" t="str">
        <f>IF(OR($AM249&lt;&gt;"",$Z249&lt;&gt;"",$AC249&lt;&gt;""),"YES","NO")</f>
        <v>NO</v>
      </c>
      <c r="S249" s="4" t="str">
        <f>IF(COUNTIF(I249:R249,"NO")=0,"YES","NO")</f>
        <v>NO</v>
      </c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inlineStr">
        <is>
          <t>ACIC</t>
        </is>
      </c>
      <c r="AK249" s="9" t="inlineStr">
        <is>
          <t>16AWG</t>
        </is>
      </c>
      <c r="AL249" s="9" t="inlineStr">
        <is>
          <t>Levy Ostrup</t>
        </is>
      </c>
      <c r="AM249" s="9" t="n"/>
      <c r="AN249" s="9" t="n"/>
    </row>
    <row r="250">
      <c r="A250" s="9" t="inlineStr">
        <is>
          <t>RTD Cable</t>
        </is>
      </c>
      <c r="B250" s="9" t="inlineStr">
        <is>
          <t>29103-ET-PE2402-1-R-1</t>
        </is>
      </c>
      <c r="C250" s="9" t="inlineStr">
        <is>
          <t>29103-ET-PE2402-1</t>
        </is>
      </c>
      <c r="D250" s="9" t="inlineStr">
        <is>
          <t>29103-HTP-004 HTC-35</t>
        </is>
      </c>
      <c r="E250" s="9" t="inlineStr">
        <is>
          <t>29103-HTP-004</t>
        </is>
      </c>
      <c r="F250" s="9" t="inlineStr"/>
      <c r="G250" s="9" t="inlineStr">
        <is>
          <t>113</t>
        </is>
      </c>
      <c r="H250" s="9" t="inlineStr">
        <is>
          <t>29103-ET-PE2402-1-R-1.pdf</t>
        </is>
      </c>
      <c r="I250" s="4" t="str">
        <f>IF($H250&lt;&gt;"","YES","NO")</f>
        <v>YES</v>
      </c>
      <c r="J250" s="4" t="str">
        <f>IF(N($T250)&gt;0,"YES","NO")</f>
        <v>NO</v>
      </c>
      <c r="K250" s="4" t="str">
        <f>IF(OR($A250="EHT Trace"),IF(AND($U250&lt;&gt;"",$V250&lt;&gt;""),"YES","NO"),"N/A")</f>
        <v>N/A</v>
      </c>
      <c r="L250" s="4" t="str">
        <f>IF(OR($A250="EHT Trace"),IF(AND($X250&lt;&gt;"",$Y250&lt;&gt;""),"YES","NO"),"N/A")</f>
        <v>N/A</v>
      </c>
      <c r="M250" s="4" t="str">
        <f>IF(OR($A250="EHT Trace"),IF(AND($AA250&lt;&gt;"",$AB250&lt;&gt;""),"YES","NO"),"N/A")</f>
        <v>N/A</v>
      </c>
      <c r="N250" s="4" t="str">
        <f>IF(OR($A250="Power Cable"),IF(AND($AD250&lt;&gt;""),"YES","NO"),"N/A")</f>
        <v>N/A</v>
      </c>
      <c r="O250" s="4" t="str">
        <f>IF(OR($A250="Power Cable",$A250="RTD Cable",$A250="Fieldbus Cable"),IF(AND($AE250&lt;&gt;""),"YES","NO"),"N/A")</f>
        <v>NO</v>
      </c>
      <c r="P250" s="4" t="str">
        <f>IF(OR($A250="RTD"),IF(AND($AH250&lt;&gt;""),"YES","NO"),"N/A")</f>
        <v>N/A</v>
      </c>
      <c r="Q250" s="4" t="str">
        <f>IF(OR($A250="RTD"),IF(AND($AI250&lt;&gt;""),"YES","NO"),"N/A")</f>
        <v>N/A</v>
      </c>
      <c r="R250" s="4" t="str">
        <f>IF(OR($AM250&lt;&gt;"",$Z250&lt;&gt;"",$AC250&lt;&gt;""),"YES","NO")</f>
        <v>NO</v>
      </c>
      <c r="S250" s="4" t="str">
        <f>IF(COUNTIF(I250:R250,"NO")=0,"YES","NO")</f>
        <v>NO</v>
      </c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inlineStr">
        <is>
          <t>ACIC</t>
        </is>
      </c>
      <c r="AK250" s="9" t="inlineStr">
        <is>
          <t>16AWG</t>
        </is>
      </c>
      <c r="AL250" s="9" t="inlineStr">
        <is>
          <t>Levy Ostrup</t>
        </is>
      </c>
      <c r="AM250" s="9" t="n"/>
      <c r="AN250" s="9" t="n"/>
    </row>
    <row r="251">
      <c r="A251" s="9" t="inlineStr">
        <is>
          <t>RTD Cable</t>
        </is>
      </c>
      <c r="B251" s="9" t="inlineStr">
        <is>
          <t>29103-ET-PE2402-1-R-2</t>
        </is>
      </c>
      <c r="C251" s="9" t="inlineStr">
        <is>
          <t>29103-ET-PE2402-1</t>
        </is>
      </c>
      <c r="D251" s="9" t="inlineStr">
        <is>
          <t>29103-HTP-004 HTC-60</t>
        </is>
      </c>
      <c r="E251" s="9" t="inlineStr">
        <is>
          <t>29103-HTP-004</t>
        </is>
      </c>
      <c r="F251" s="9" t="inlineStr"/>
      <c r="G251" s="9" t="inlineStr">
        <is>
          <t>113</t>
        </is>
      </c>
      <c r="H251" s="9" t="inlineStr">
        <is>
          <t>29103-ET-PE2402-1-R-2.pdf</t>
        </is>
      </c>
      <c r="I251" s="4" t="str">
        <f>IF($H251&lt;&gt;"","YES","NO")</f>
        <v>YES</v>
      </c>
      <c r="J251" s="4" t="str">
        <f>IF(N($T251)&gt;0,"YES","NO")</f>
        <v>NO</v>
      </c>
      <c r="K251" s="4" t="str">
        <f>IF(OR($A251="EHT Trace"),IF(AND($U251&lt;&gt;"",$V251&lt;&gt;""),"YES","NO"),"N/A")</f>
        <v>N/A</v>
      </c>
      <c r="L251" s="4" t="str">
        <f>IF(OR($A251="EHT Trace"),IF(AND($X251&lt;&gt;"",$Y251&lt;&gt;""),"YES","NO"),"N/A")</f>
        <v>N/A</v>
      </c>
      <c r="M251" s="4" t="str">
        <f>IF(OR($A251="EHT Trace"),IF(AND($AA251&lt;&gt;"",$AB251&lt;&gt;""),"YES","NO"),"N/A")</f>
        <v>N/A</v>
      </c>
      <c r="N251" s="4" t="str">
        <f>IF(OR($A251="Power Cable"),IF(AND($AD251&lt;&gt;""),"YES","NO"),"N/A")</f>
        <v>N/A</v>
      </c>
      <c r="O251" s="4" t="str">
        <f>IF(OR($A251="Power Cable",$A251="RTD Cable",$A251="Fieldbus Cable"),IF(AND($AE251&lt;&gt;""),"YES","NO"),"N/A")</f>
        <v>NO</v>
      </c>
      <c r="P251" s="4" t="str">
        <f>IF(OR($A251="RTD"),IF(AND($AH251&lt;&gt;""),"YES","NO"),"N/A")</f>
        <v>N/A</v>
      </c>
      <c r="Q251" s="4" t="str">
        <f>IF(OR($A251="RTD"),IF(AND($AI251&lt;&gt;""),"YES","NO"),"N/A")</f>
        <v>N/A</v>
      </c>
      <c r="R251" s="4" t="str">
        <f>IF(OR($AM251&lt;&gt;"",$Z251&lt;&gt;"",$AC251&lt;&gt;""),"YES","NO")</f>
        <v>NO</v>
      </c>
      <c r="S251" s="4" t="str">
        <f>IF(COUNTIF(I251:R251,"NO")=0,"YES","NO")</f>
        <v>NO</v>
      </c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inlineStr">
        <is>
          <t>ACIC</t>
        </is>
      </c>
      <c r="AK251" s="9" t="inlineStr">
        <is>
          <t>16AWG</t>
        </is>
      </c>
      <c r="AL251" s="9" t="inlineStr">
        <is>
          <t>Levy Ostrup</t>
        </is>
      </c>
      <c r="AM251" s="9" t="n"/>
      <c r="AN251" s="9" t="n"/>
    </row>
    <row r="252">
      <c r="A252" s="9" t="inlineStr">
        <is>
          <t>RTD Cable</t>
        </is>
      </c>
      <c r="B252" s="9" t="inlineStr">
        <is>
          <t>29103-ET-PE2803-2-R-1</t>
        </is>
      </c>
      <c r="C252" s="9" t="inlineStr">
        <is>
          <t>29103-ET-PE2803-2</t>
        </is>
      </c>
      <c r="D252" s="9" t="inlineStr">
        <is>
          <t>29103-HTP-004 HTC-29</t>
        </is>
      </c>
      <c r="E252" s="9" t="inlineStr">
        <is>
          <t>29103-HTP-004</t>
        </is>
      </c>
      <c r="F252" s="9" t="inlineStr"/>
      <c r="G252" s="9" t="inlineStr">
        <is>
          <t>113</t>
        </is>
      </c>
      <c r="H252" s="9" t="inlineStr">
        <is>
          <t>29103-ET-PE2803-2-R-1.pdf</t>
        </is>
      </c>
      <c r="I252" s="4" t="str">
        <f>IF($H252&lt;&gt;"","YES","NO")</f>
        <v>YES</v>
      </c>
      <c r="J252" s="4" t="str">
        <f>IF(N($T252)&gt;0,"YES","NO")</f>
        <v>NO</v>
      </c>
      <c r="K252" s="4" t="str">
        <f>IF(OR($A252="EHT Trace"),IF(AND($U252&lt;&gt;"",$V252&lt;&gt;""),"YES","NO"),"N/A")</f>
        <v>N/A</v>
      </c>
      <c r="L252" s="4" t="str">
        <f>IF(OR($A252="EHT Trace"),IF(AND($X252&lt;&gt;"",$Y252&lt;&gt;""),"YES","NO"),"N/A")</f>
        <v>N/A</v>
      </c>
      <c r="M252" s="4" t="str">
        <f>IF(OR($A252="EHT Trace"),IF(AND($AA252&lt;&gt;"",$AB252&lt;&gt;""),"YES","NO"),"N/A")</f>
        <v>N/A</v>
      </c>
      <c r="N252" s="4" t="str">
        <f>IF(OR($A252="Power Cable"),IF(AND($AD252&lt;&gt;""),"YES","NO"),"N/A")</f>
        <v>N/A</v>
      </c>
      <c r="O252" s="4" t="str">
        <f>IF(OR($A252="Power Cable",$A252="RTD Cable",$A252="Fieldbus Cable"),IF(AND($AE252&lt;&gt;""),"YES","NO"),"N/A")</f>
        <v>NO</v>
      </c>
      <c r="P252" s="4" t="str">
        <f>IF(OR($A252="RTD"),IF(AND($AH252&lt;&gt;""),"YES","NO"),"N/A")</f>
        <v>N/A</v>
      </c>
      <c r="Q252" s="4" t="str">
        <f>IF(OR($A252="RTD"),IF(AND($AI252&lt;&gt;""),"YES","NO"),"N/A")</f>
        <v>N/A</v>
      </c>
      <c r="R252" s="4" t="str">
        <f>IF(OR($AM252&lt;&gt;"",$Z252&lt;&gt;"",$AC252&lt;&gt;""),"YES","NO")</f>
        <v>NO</v>
      </c>
      <c r="S252" s="4" t="str">
        <f>IF(COUNTIF(I252:R252,"NO")=0,"YES","NO")</f>
        <v>NO</v>
      </c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inlineStr">
        <is>
          <t>ACIC</t>
        </is>
      </c>
      <c r="AK252" s="9" t="inlineStr">
        <is>
          <t>16AWG</t>
        </is>
      </c>
      <c r="AL252" s="9" t="inlineStr">
        <is>
          <t>Levy Ostrup</t>
        </is>
      </c>
      <c r="AM252" s="9" t="n"/>
      <c r="AN252" s="9" t="n"/>
    </row>
    <row r="253">
      <c r="A253" s="9" t="inlineStr">
        <is>
          <t>RTD Cable</t>
        </is>
      </c>
      <c r="B253" s="9" t="inlineStr">
        <is>
          <t>29103-ET-PG2101-1-R-1</t>
        </is>
      </c>
      <c r="C253" s="9" t="inlineStr">
        <is>
          <t>29103-ET-PG2101-1</t>
        </is>
      </c>
      <c r="D253" s="9" t="inlineStr">
        <is>
          <t>29103-HTP-004 HTC-21</t>
        </is>
      </c>
      <c r="E253" s="9" t="inlineStr">
        <is>
          <t>29103-HTP-004</t>
        </is>
      </c>
      <c r="F253" s="9" t="inlineStr"/>
      <c r="G253" s="9" t="inlineStr">
        <is>
          <t>113</t>
        </is>
      </c>
      <c r="H253" s="9" t="inlineStr">
        <is>
          <t>29103-ET-PG2101-1-R-1.pdf</t>
        </is>
      </c>
      <c r="I253" s="4" t="str">
        <f>IF($H253&lt;&gt;"","YES","NO")</f>
        <v>YES</v>
      </c>
      <c r="J253" s="4" t="str">
        <f>IF(N($T253)&gt;0,"YES","NO")</f>
        <v>NO</v>
      </c>
      <c r="K253" s="4" t="str">
        <f>IF(OR($A253="EHT Trace"),IF(AND($U253&lt;&gt;"",$V253&lt;&gt;""),"YES","NO"),"N/A")</f>
        <v>N/A</v>
      </c>
      <c r="L253" s="4" t="str">
        <f>IF(OR($A253="EHT Trace"),IF(AND($X253&lt;&gt;"",$Y253&lt;&gt;""),"YES","NO"),"N/A")</f>
        <v>N/A</v>
      </c>
      <c r="M253" s="4" t="str">
        <f>IF(OR($A253="EHT Trace"),IF(AND($AA253&lt;&gt;"",$AB253&lt;&gt;""),"YES","NO"),"N/A")</f>
        <v>N/A</v>
      </c>
      <c r="N253" s="4" t="str">
        <f>IF(OR($A253="Power Cable"),IF(AND($AD253&lt;&gt;""),"YES","NO"),"N/A")</f>
        <v>N/A</v>
      </c>
      <c r="O253" s="4" t="str">
        <f>IF(OR($A253="Power Cable",$A253="RTD Cable",$A253="Fieldbus Cable"),IF(AND($AE253&lt;&gt;""),"YES","NO"),"N/A")</f>
        <v>NO</v>
      </c>
      <c r="P253" s="4" t="str">
        <f>IF(OR($A253="RTD"),IF(AND($AH253&lt;&gt;""),"YES","NO"),"N/A")</f>
        <v>N/A</v>
      </c>
      <c r="Q253" s="4" t="str">
        <f>IF(OR($A253="RTD"),IF(AND($AI253&lt;&gt;""),"YES","NO"),"N/A")</f>
        <v>N/A</v>
      </c>
      <c r="R253" s="4" t="str">
        <f>IF(OR($AM253&lt;&gt;"",$Z253&lt;&gt;"",$AC253&lt;&gt;""),"YES","NO")</f>
        <v>NO</v>
      </c>
      <c r="S253" s="4" t="str">
        <f>IF(COUNTIF(I253:R253,"NO")=0,"YES","NO")</f>
        <v>NO</v>
      </c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inlineStr">
        <is>
          <t>ACIC</t>
        </is>
      </c>
      <c r="AK253" s="9" t="inlineStr">
        <is>
          <t>16AWG</t>
        </is>
      </c>
      <c r="AL253" s="9" t="inlineStr">
        <is>
          <t>Levy Ostrup</t>
        </is>
      </c>
      <c r="AM253" s="9" t="n"/>
      <c r="AN253" s="9" t="n"/>
    </row>
    <row r="254">
      <c r="A254" s="9" t="inlineStr">
        <is>
          <t>RTD Cable</t>
        </is>
      </c>
      <c r="B254" s="9" t="inlineStr">
        <is>
          <t>29103-ET-PG2101-1-R-2</t>
        </is>
      </c>
      <c r="C254" s="9" t="inlineStr">
        <is>
          <t>29103-ET-PG2101-1</t>
        </is>
      </c>
      <c r="D254" s="9" t="inlineStr">
        <is>
          <t>29103-HTP-004 I/O-4-2</t>
        </is>
      </c>
      <c r="E254" s="9" t="inlineStr">
        <is>
          <t>29103-HTP-004</t>
        </is>
      </c>
      <c r="F254" s="9" t="inlineStr"/>
      <c r="G254" s="9" t="inlineStr">
        <is>
          <t>113</t>
        </is>
      </c>
      <c r="H254" s="9" t="inlineStr">
        <is>
          <t>29103-ET-PG2101-1-R-2.pdf</t>
        </is>
      </c>
      <c r="I254" s="4" t="str">
        <f>IF($H254&lt;&gt;"","YES","NO")</f>
        <v>YES</v>
      </c>
      <c r="J254" s="4" t="str">
        <f>IF(N($T254)&gt;0,"YES","NO")</f>
        <v>NO</v>
      </c>
      <c r="K254" s="4" t="str">
        <f>IF(OR($A254="EHT Trace"),IF(AND($U254&lt;&gt;"",$V254&lt;&gt;""),"YES","NO"),"N/A")</f>
        <v>N/A</v>
      </c>
      <c r="L254" s="4" t="str">
        <f>IF(OR($A254="EHT Trace"),IF(AND($X254&lt;&gt;"",$Y254&lt;&gt;""),"YES","NO"),"N/A")</f>
        <v>N/A</v>
      </c>
      <c r="M254" s="4" t="str">
        <f>IF(OR($A254="EHT Trace"),IF(AND($AA254&lt;&gt;"",$AB254&lt;&gt;""),"YES","NO"),"N/A")</f>
        <v>N/A</v>
      </c>
      <c r="N254" s="4" t="str">
        <f>IF(OR($A254="Power Cable"),IF(AND($AD254&lt;&gt;""),"YES","NO"),"N/A")</f>
        <v>N/A</v>
      </c>
      <c r="O254" s="4" t="str">
        <f>IF(OR($A254="Power Cable",$A254="RTD Cable",$A254="Fieldbus Cable"),IF(AND($AE254&lt;&gt;""),"YES","NO"),"N/A")</f>
        <v>NO</v>
      </c>
      <c r="P254" s="4" t="str">
        <f>IF(OR($A254="RTD"),IF(AND($AH254&lt;&gt;""),"YES","NO"),"N/A")</f>
        <v>N/A</v>
      </c>
      <c r="Q254" s="4" t="str">
        <f>IF(OR($A254="RTD"),IF(AND($AI254&lt;&gt;""),"YES","NO"),"N/A")</f>
        <v>N/A</v>
      </c>
      <c r="R254" s="4" t="str">
        <f>IF(OR($AM254&lt;&gt;"",$Z254&lt;&gt;"",$AC254&lt;&gt;""),"YES","NO")</f>
        <v>NO</v>
      </c>
      <c r="S254" s="4" t="str">
        <f>IF(COUNTIF(I254:R254,"NO")=0,"YES","NO")</f>
        <v>NO</v>
      </c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inlineStr">
        <is>
          <t>ACIC</t>
        </is>
      </c>
      <c r="AK254" s="9" t="inlineStr">
        <is>
          <t>16AWG</t>
        </is>
      </c>
      <c r="AL254" s="9" t="inlineStr">
        <is>
          <t>Levy Ostrup</t>
        </is>
      </c>
      <c r="AM254" s="9" t="n"/>
      <c r="AN254" s="9" t="n"/>
    </row>
    <row r="255">
      <c r="A255" s="9" t="inlineStr">
        <is>
          <t>RTD Cable</t>
        </is>
      </c>
      <c r="B255" s="9" t="inlineStr">
        <is>
          <t>29103-ET-PG2101-2-R-1</t>
        </is>
      </c>
      <c r="C255" s="9" t="inlineStr">
        <is>
          <t>29103-ET-PG2101-2</t>
        </is>
      </c>
      <c r="D255" s="9" t="inlineStr">
        <is>
          <t>29103-HTP-004 HTC-22</t>
        </is>
      </c>
      <c r="E255" s="9" t="inlineStr">
        <is>
          <t>29103-HTP-004</t>
        </is>
      </c>
      <c r="F255" s="9" t="inlineStr"/>
      <c r="G255" s="9" t="inlineStr">
        <is>
          <t>113</t>
        </is>
      </c>
      <c r="H255" s="9" t="inlineStr">
        <is>
          <t>29103-ET-PG2101-2-R-1.pdf</t>
        </is>
      </c>
      <c r="I255" s="4" t="str">
        <f>IF($H255&lt;&gt;"","YES","NO")</f>
        <v>YES</v>
      </c>
      <c r="J255" s="4" t="str">
        <f>IF(N($T255)&gt;0,"YES","NO")</f>
        <v>NO</v>
      </c>
      <c r="K255" s="4" t="str">
        <f>IF(OR($A255="EHT Trace"),IF(AND($U255&lt;&gt;"",$V255&lt;&gt;""),"YES","NO"),"N/A")</f>
        <v>N/A</v>
      </c>
      <c r="L255" s="4" t="str">
        <f>IF(OR($A255="EHT Trace"),IF(AND($X255&lt;&gt;"",$Y255&lt;&gt;""),"YES","NO"),"N/A")</f>
        <v>N/A</v>
      </c>
      <c r="M255" s="4" t="str">
        <f>IF(OR($A255="EHT Trace"),IF(AND($AA255&lt;&gt;"",$AB255&lt;&gt;""),"YES","NO"),"N/A")</f>
        <v>N/A</v>
      </c>
      <c r="N255" s="4" t="str">
        <f>IF(OR($A255="Power Cable"),IF(AND($AD255&lt;&gt;""),"YES","NO"),"N/A")</f>
        <v>N/A</v>
      </c>
      <c r="O255" s="4" t="str">
        <f>IF(OR($A255="Power Cable",$A255="RTD Cable",$A255="Fieldbus Cable"),IF(AND($AE255&lt;&gt;""),"YES","NO"),"N/A")</f>
        <v>NO</v>
      </c>
      <c r="P255" s="4" t="str">
        <f>IF(OR($A255="RTD"),IF(AND($AH255&lt;&gt;""),"YES","NO"),"N/A")</f>
        <v>N/A</v>
      </c>
      <c r="Q255" s="4" t="str">
        <f>IF(OR($A255="RTD"),IF(AND($AI255&lt;&gt;""),"YES","NO"),"N/A")</f>
        <v>N/A</v>
      </c>
      <c r="R255" s="4" t="str">
        <f>IF(OR($AM255&lt;&gt;"",$Z255&lt;&gt;"",$AC255&lt;&gt;""),"YES","NO")</f>
        <v>NO</v>
      </c>
      <c r="S255" s="4" t="str">
        <f>IF(COUNTIF(I255:R255,"NO")=0,"YES","NO")</f>
        <v>NO</v>
      </c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inlineStr">
        <is>
          <t>ACIC</t>
        </is>
      </c>
      <c r="AK255" s="9" t="inlineStr">
        <is>
          <t>16AWG</t>
        </is>
      </c>
      <c r="AL255" s="9" t="inlineStr">
        <is>
          <t>Levy Ostrup</t>
        </is>
      </c>
      <c r="AM255" s="9" t="n"/>
      <c r="AN255" s="9" t="n"/>
    </row>
    <row r="256">
      <c r="A256" s="9" t="inlineStr">
        <is>
          <t>RTD Cable</t>
        </is>
      </c>
      <c r="B256" s="9" t="inlineStr">
        <is>
          <t>29103-ET-PG2201-1-R-1</t>
        </is>
      </c>
      <c r="C256" s="9" t="inlineStr">
        <is>
          <t>29103-ET-PG2201-1</t>
        </is>
      </c>
      <c r="D256" s="9" t="inlineStr">
        <is>
          <t>29103-HTP-004 HTC-14</t>
        </is>
      </c>
      <c r="E256" s="9" t="inlineStr">
        <is>
          <t>29103-HTP-004</t>
        </is>
      </c>
      <c r="F256" s="9" t="inlineStr"/>
      <c r="G256" s="9" t="inlineStr">
        <is>
          <t>113</t>
        </is>
      </c>
      <c r="H256" s="9" t="inlineStr">
        <is>
          <t>29103-ET-PG2201-1-R-1.pdf</t>
        </is>
      </c>
      <c r="I256" s="4" t="str">
        <f>IF($H256&lt;&gt;"","YES","NO")</f>
        <v>YES</v>
      </c>
      <c r="J256" s="4" t="str">
        <f>IF(N($T256)&gt;0,"YES","NO")</f>
        <v>NO</v>
      </c>
      <c r="K256" s="4" t="str">
        <f>IF(OR($A256="EHT Trace"),IF(AND($U256&lt;&gt;"",$V256&lt;&gt;""),"YES","NO"),"N/A")</f>
        <v>N/A</v>
      </c>
      <c r="L256" s="4" t="str">
        <f>IF(OR($A256="EHT Trace"),IF(AND($X256&lt;&gt;"",$Y256&lt;&gt;""),"YES","NO"),"N/A")</f>
        <v>N/A</v>
      </c>
      <c r="M256" s="4" t="str">
        <f>IF(OR($A256="EHT Trace"),IF(AND($AA256&lt;&gt;"",$AB256&lt;&gt;""),"YES","NO"),"N/A")</f>
        <v>N/A</v>
      </c>
      <c r="N256" s="4" t="str">
        <f>IF(OR($A256="Power Cable"),IF(AND($AD256&lt;&gt;""),"YES","NO"),"N/A")</f>
        <v>N/A</v>
      </c>
      <c r="O256" s="4" t="str">
        <f>IF(OR($A256="Power Cable",$A256="RTD Cable",$A256="Fieldbus Cable"),IF(AND($AE256&lt;&gt;""),"YES","NO"),"N/A")</f>
        <v>NO</v>
      </c>
      <c r="P256" s="4" t="str">
        <f>IF(OR($A256="RTD"),IF(AND($AH256&lt;&gt;""),"YES","NO"),"N/A")</f>
        <v>N/A</v>
      </c>
      <c r="Q256" s="4" t="str">
        <f>IF(OR($A256="RTD"),IF(AND($AI256&lt;&gt;""),"YES","NO"),"N/A")</f>
        <v>N/A</v>
      </c>
      <c r="R256" s="4" t="str">
        <f>IF(OR($AM256&lt;&gt;"",$Z256&lt;&gt;"",$AC256&lt;&gt;""),"YES","NO")</f>
        <v>NO</v>
      </c>
      <c r="S256" s="4" t="str">
        <f>IF(COUNTIF(I256:R256,"NO")=0,"YES","NO")</f>
        <v>NO</v>
      </c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inlineStr">
        <is>
          <t>ACIC</t>
        </is>
      </c>
      <c r="AK256" s="9" t="inlineStr">
        <is>
          <t>16AWG</t>
        </is>
      </c>
      <c r="AL256" s="9" t="inlineStr">
        <is>
          <t>Levy Ostrup</t>
        </is>
      </c>
      <c r="AM256" s="9" t="n"/>
      <c r="AN256" s="9" t="n"/>
    </row>
    <row r="257">
      <c r="A257" s="9" t="inlineStr">
        <is>
          <t>RTD Cable</t>
        </is>
      </c>
      <c r="B257" s="9" t="inlineStr">
        <is>
          <t>29103-ET-PG2201-1-R-2</t>
        </is>
      </c>
      <c r="C257" s="9" t="inlineStr">
        <is>
          <t>29103-ET-PG2201-1</t>
        </is>
      </c>
      <c r="D257" s="9" t="inlineStr">
        <is>
          <t>29103-HTP-004 I/O-4-1</t>
        </is>
      </c>
      <c r="E257" s="9" t="inlineStr">
        <is>
          <t>29103-HTP-004</t>
        </is>
      </c>
      <c r="F257" s="9" t="inlineStr"/>
      <c r="G257" s="9" t="inlineStr">
        <is>
          <t>113</t>
        </is>
      </c>
      <c r="H257" s="9" t="inlineStr">
        <is>
          <t>29103-ET-PG2201-1-R-2.pdf</t>
        </is>
      </c>
      <c r="I257" s="4" t="str">
        <f>IF($H257&lt;&gt;"","YES","NO")</f>
        <v>YES</v>
      </c>
      <c r="J257" s="4" t="str">
        <f>IF(N($T257)&gt;0,"YES","NO")</f>
        <v>NO</v>
      </c>
      <c r="K257" s="4" t="str">
        <f>IF(OR($A257="EHT Trace"),IF(AND($U257&lt;&gt;"",$V257&lt;&gt;""),"YES","NO"),"N/A")</f>
        <v>N/A</v>
      </c>
      <c r="L257" s="4" t="str">
        <f>IF(OR($A257="EHT Trace"),IF(AND($X257&lt;&gt;"",$Y257&lt;&gt;""),"YES","NO"),"N/A")</f>
        <v>N/A</v>
      </c>
      <c r="M257" s="4" t="str">
        <f>IF(OR($A257="EHT Trace"),IF(AND($AA257&lt;&gt;"",$AB257&lt;&gt;""),"YES","NO"),"N/A")</f>
        <v>N/A</v>
      </c>
      <c r="N257" s="4" t="str">
        <f>IF(OR($A257="Power Cable"),IF(AND($AD257&lt;&gt;""),"YES","NO"),"N/A")</f>
        <v>N/A</v>
      </c>
      <c r="O257" s="4" t="str">
        <f>IF(OR($A257="Power Cable",$A257="RTD Cable",$A257="Fieldbus Cable"),IF(AND($AE257&lt;&gt;""),"YES","NO"),"N/A")</f>
        <v>NO</v>
      </c>
      <c r="P257" s="4" t="str">
        <f>IF(OR($A257="RTD"),IF(AND($AH257&lt;&gt;""),"YES","NO"),"N/A")</f>
        <v>N/A</v>
      </c>
      <c r="Q257" s="4" t="str">
        <f>IF(OR($A257="RTD"),IF(AND($AI257&lt;&gt;""),"YES","NO"),"N/A")</f>
        <v>N/A</v>
      </c>
      <c r="R257" s="4" t="str">
        <f>IF(OR($AM257&lt;&gt;"",$Z257&lt;&gt;"",$AC257&lt;&gt;""),"YES","NO")</f>
        <v>NO</v>
      </c>
      <c r="S257" s="4" t="str">
        <f>IF(COUNTIF(I257:R257,"NO")=0,"YES","NO")</f>
        <v>NO</v>
      </c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inlineStr">
        <is>
          <t>ACIC</t>
        </is>
      </c>
      <c r="AK257" s="9" t="inlineStr">
        <is>
          <t>16AWG</t>
        </is>
      </c>
      <c r="AL257" s="9" t="inlineStr">
        <is>
          <t>Levy Ostrup</t>
        </is>
      </c>
      <c r="AM257" s="9" t="n"/>
      <c r="AN257" s="9" t="n"/>
    </row>
    <row r="258">
      <c r="A258" s="9" t="inlineStr">
        <is>
          <t>RTD Cable</t>
        </is>
      </c>
      <c r="B258" s="9" t="inlineStr">
        <is>
          <t>29103-ET-PG2201-2-R-1</t>
        </is>
      </c>
      <c r="C258" s="9" t="inlineStr">
        <is>
          <t>29103-ET-PG2201-2</t>
        </is>
      </c>
      <c r="D258" s="9" t="inlineStr">
        <is>
          <t>29103-HTP-004 HTC-17</t>
        </is>
      </c>
      <c r="E258" s="9" t="inlineStr">
        <is>
          <t>29103-HTP-004</t>
        </is>
      </c>
      <c r="F258" s="9" t="inlineStr"/>
      <c r="G258" s="9" t="inlineStr">
        <is>
          <t>113</t>
        </is>
      </c>
      <c r="H258" s="9" t="inlineStr">
        <is>
          <t>29103-ET-PG2201-2-R-1.pdf</t>
        </is>
      </c>
      <c r="I258" s="4" t="str">
        <f>IF($H258&lt;&gt;"","YES","NO")</f>
        <v>YES</v>
      </c>
      <c r="J258" s="4" t="str">
        <f>IF(N($T258)&gt;0,"YES","NO")</f>
        <v>NO</v>
      </c>
      <c r="K258" s="4" t="str">
        <f>IF(OR($A258="EHT Trace"),IF(AND($U258&lt;&gt;"",$V258&lt;&gt;""),"YES","NO"),"N/A")</f>
        <v>N/A</v>
      </c>
      <c r="L258" s="4" t="str">
        <f>IF(OR($A258="EHT Trace"),IF(AND($X258&lt;&gt;"",$Y258&lt;&gt;""),"YES","NO"),"N/A")</f>
        <v>N/A</v>
      </c>
      <c r="M258" s="4" t="str">
        <f>IF(OR($A258="EHT Trace"),IF(AND($AA258&lt;&gt;"",$AB258&lt;&gt;""),"YES","NO"),"N/A")</f>
        <v>N/A</v>
      </c>
      <c r="N258" s="4" t="str">
        <f>IF(OR($A258="Power Cable"),IF(AND($AD258&lt;&gt;""),"YES","NO"),"N/A")</f>
        <v>N/A</v>
      </c>
      <c r="O258" s="4" t="str">
        <f>IF(OR($A258="Power Cable",$A258="RTD Cable",$A258="Fieldbus Cable"),IF(AND($AE258&lt;&gt;""),"YES","NO"),"N/A")</f>
        <v>NO</v>
      </c>
      <c r="P258" s="4" t="str">
        <f>IF(OR($A258="RTD"),IF(AND($AH258&lt;&gt;""),"YES","NO"),"N/A")</f>
        <v>N/A</v>
      </c>
      <c r="Q258" s="4" t="str">
        <f>IF(OR($A258="RTD"),IF(AND($AI258&lt;&gt;""),"YES","NO"),"N/A")</f>
        <v>N/A</v>
      </c>
      <c r="R258" s="4" t="str">
        <f>IF(OR($AM258&lt;&gt;"",$Z258&lt;&gt;"",$AC258&lt;&gt;""),"YES","NO")</f>
        <v>NO</v>
      </c>
      <c r="S258" s="4" t="str">
        <f>IF(COUNTIF(I258:R258,"NO")=0,"YES","NO")</f>
        <v>NO</v>
      </c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inlineStr">
        <is>
          <t>ACIC</t>
        </is>
      </c>
      <c r="AK258" s="9" t="inlineStr">
        <is>
          <t>16AWG</t>
        </is>
      </c>
      <c r="AL258" s="9" t="inlineStr">
        <is>
          <t>Levy Ostrup</t>
        </is>
      </c>
      <c r="AM258" s="9" t="n"/>
      <c r="AN258" s="9" t="n"/>
    </row>
    <row r="259">
      <c r="A259" s="9" t="inlineStr">
        <is>
          <t>RTD Cable</t>
        </is>
      </c>
      <c r="B259" s="9" t="inlineStr">
        <is>
          <t>29103-ET-PG2301-1-R-1</t>
        </is>
      </c>
      <c r="C259" s="9" t="inlineStr">
        <is>
          <t>29103-ET-PG2301-1</t>
        </is>
      </c>
      <c r="D259" s="9" t="inlineStr">
        <is>
          <t>29103-HTP-004 HTC-11</t>
        </is>
      </c>
      <c r="E259" s="9" t="inlineStr">
        <is>
          <t>29103-HTP-004</t>
        </is>
      </c>
      <c r="F259" s="9" t="inlineStr"/>
      <c r="G259" s="9" t="inlineStr">
        <is>
          <t>113</t>
        </is>
      </c>
      <c r="H259" s="9" t="inlineStr">
        <is>
          <t>29103-ET-PG2301-1-R-1.pdf</t>
        </is>
      </c>
      <c r="I259" s="4" t="str">
        <f>IF($H259&lt;&gt;"","YES","NO")</f>
        <v>YES</v>
      </c>
      <c r="J259" s="4" t="str">
        <f>IF(N($T259)&gt;0,"YES","NO")</f>
        <v>NO</v>
      </c>
      <c r="K259" s="4" t="str">
        <f>IF(OR($A259="EHT Trace"),IF(AND($U259&lt;&gt;"",$V259&lt;&gt;""),"YES","NO"),"N/A")</f>
        <v>N/A</v>
      </c>
      <c r="L259" s="4" t="str">
        <f>IF(OR($A259="EHT Trace"),IF(AND($X259&lt;&gt;"",$Y259&lt;&gt;""),"YES","NO"),"N/A")</f>
        <v>N/A</v>
      </c>
      <c r="M259" s="4" t="str">
        <f>IF(OR($A259="EHT Trace"),IF(AND($AA259&lt;&gt;"",$AB259&lt;&gt;""),"YES","NO"),"N/A")</f>
        <v>N/A</v>
      </c>
      <c r="N259" s="4" t="str">
        <f>IF(OR($A259="Power Cable"),IF(AND($AD259&lt;&gt;""),"YES","NO"),"N/A")</f>
        <v>N/A</v>
      </c>
      <c r="O259" s="4" t="str">
        <f>IF(OR($A259="Power Cable",$A259="RTD Cable",$A259="Fieldbus Cable"),IF(AND($AE259&lt;&gt;""),"YES","NO"),"N/A")</f>
        <v>NO</v>
      </c>
      <c r="P259" s="4" t="str">
        <f>IF(OR($A259="RTD"),IF(AND($AH259&lt;&gt;""),"YES","NO"),"N/A")</f>
        <v>N/A</v>
      </c>
      <c r="Q259" s="4" t="str">
        <f>IF(OR($A259="RTD"),IF(AND($AI259&lt;&gt;""),"YES","NO"),"N/A")</f>
        <v>N/A</v>
      </c>
      <c r="R259" s="4" t="str">
        <f>IF(OR($AM259&lt;&gt;"",$Z259&lt;&gt;"",$AC259&lt;&gt;""),"YES","NO")</f>
        <v>NO</v>
      </c>
      <c r="S259" s="4" t="str">
        <f>IF(COUNTIF(I259:R259,"NO")=0,"YES","NO")</f>
        <v>NO</v>
      </c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inlineStr">
        <is>
          <t>ACIC</t>
        </is>
      </c>
      <c r="AK259" s="9" t="inlineStr">
        <is>
          <t>16AWG</t>
        </is>
      </c>
      <c r="AL259" s="9" t="inlineStr">
        <is>
          <t>Levy Ostrup</t>
        </is>
      </c>
      <c r="AM259" s="9" t="n"/>
      <c r="AN259" s="9" t="n"/>
    </row>
    <row r="260">
      <c r="A260" s="9" t="inlineStr">
        <is>
          <t>RTD Cable</t>
        </is>
      </c>
      <c r="B260" s="9" t="inlineStr">
        <is>
          <t>29103-ET-PG2301-1-R-2</t>
        </is>
      </c>
      <c r="C260" s="9" t="inlineStr">
        <is>
          <t>29103-ET-PG2301-1</t>
        </is>
      </c>
      <c r="D260" s="9" t="inlineStr">
        <is>
          <t>29103-HTP-004 I/O-3-4</t>
        </is>
      </c>
      <c r="E260" s="9" t="inlineStr">
        <is>
          <t>29103-HTP-004</t>
        </is>
      </c>
      <c r="F260" s="9" t="inlineStr"/>
      <c r="G260" s="9" t="inlineStr">
        <is>
          <t>113</t>
        </is>
      </c>
      <c r="H260" s="9" t="inlineStr">
        <is>
          <t>29103-ET-PG2301-1-R-2.pdf</t>
        </is>
      </c>
      <c r="I260" s="4" t="str">
        <f>IF($H260&lt;&gt;"","YES","NO")</f>
        <v>YES</v>
      </c>
      <c r="J260" s="4" t="str">
        <f>IF(N($T260)&gt;0,"YES","NO")</f>
        <v>NO</v>
      </c>
      <c r="K260" s="4" t="str">
        <f>IF(OR($A260="EHT Trace"),IF(AND($U260&lt;&gt;"",$V260&lt;&gt;""),"YES","NO"),"N/A")</f>
        <v>N/A</v>
      </c>
      <c r="L260" s="4" t="str">
        <f>IF(OR($A260="EHT Trace"),IF(AND($X260&lt;&gt;"",$Y260&lt;&gt;""),"YES","NO"),"N/A")</f>
        <v>N/A</v>
      </c>
      <c r="M260" s="4" t="str">
        <f>IF(OR($A260="EHT Trace"),IF(AND($AA260&lt;&gt;"",$AB260&lt;&gt;""),"YES","NO"),"N/A")</f>
        <v>N/A</v>
      </c>
      <c r="N260" s="4" t="str">
        <f>IF(OR($A260="Power Cable"),IF(AND($AD260&lt;&gt;""),"YES","NO"),"N/A")</f>
        <v>N/A</v>
      </c>
      <c r="O260" s="4" t="str">
        <f>IF(OR($A260="Power Cable",$A260="RTD Cable",$A260="Fieldbus Cable"),IF(AND($AE260&lt;&gt;""),"YES","NO"),"N/A")</f>
        <v>NO</v>
      </c>
      <c r="P260" s="4" t="str">
        <f>IF(OR($A260="RTD"),IF(AND($AH260&lt;&gt;""),"YES","NO"),"N/A")</f>
        <v>N/A</v>
      </c>
      <c r="Q260" s="4" t="str">
        <f>IF(OR($A260="RTD"),IF(AND($AI260&lt;&gt;""),"YES","NO"),"N/A")</f>
        <v>N/A</v>
      </c>
      <c r="R260" s="4" t="str">
        <f>IF(OR($AM260&lt;&gt;"",$Z260&lt;&gt;"",$AC260&lt;&gt;""),"YES","NO")</f>
        <v>NO</v>
      </c>
      <c r="S260" s="4" t="str">
        <f>IF(COUNTIF(I260:R260,"NO")=0,"YES","NO")</f>
        <v>NO</v>
      </c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inlineStr">
        <is>
          <t>ACIC</t>
        </is>
      </c>
      <c r="AK260" s="9" t="inlineStr">
        <is>
          <t>16AWG</t>
        </is>
      </c>
      <c r="AL260" s="9" t="inlineStr">
        <is>
          <t>Levy Ostrup</t>
        </is>
      </c>
      <c r="AM260" s="9" t="n"/>
      <c r="AN260" s="9" t="n"/>
    </row>
    <row r="261">
      <c r="A261" s="9" t="inlineStr">
        <is>
          <t>RTD Cable</t>
        </is>
      </c>
      <c r="B261" s="9" t="inlineStr">
        <is>
          <t>29103-ET-PG2301-2-R-1</t>
        </is>
      </c>
      <c r="C261" s="9" t="inlineStr">
        <is>
          <t>29103-ET-PG2301-2</t>
        </is>
      </c>
      <c r="D261" s="9" t="inlineStr">
        <is>
          <t>29103-HTP-004 HTC-13</t>
        </is>
      </c>
      <c r="E261" s="9" t="inlineStr">
        <is>
          <t>29103-HTP-004</t>
        </is>
      </c>
      <c r="F261" s="9" t="inlineStr"/>
      <c r="G261" s="9" t="inlineStr">
        <is>
          <t>113</t>
        </is>
      </c>
      <c r="H261" s="9" t="inlineStr">
        <is>
          <t>29103-ET-PG2301-2-R-1.pdf</t>
        </is>
      </c>
      <c r="I261" s="4" t="str">
        <f>IF($H261&lt;&gt;"","YES","NO")</f>
        <v>YES</v>
      </c>
      <c r="J261" s="4" t="str">
        <f>IF(N($T261)&gt;0,"YES","NO")</f>
        <v>NO</v>
      </c>
      <c r="K261" s="4" t="str">
        <f>IF(OR($A261="EHT Trace"),IF(AND($U261&lt;&gt;"",$V261&lt;&gt;""),"YES","NO"),"N/A")</f>
        <v>N/A</v>
      </c>
      <c r="L261" s="4" t="str">
        <f>IF(OR($A261="EHT Trace"),IF(AND($X261&lt;&gt;"",$Y261&lt;&gt;""),"YES","NO"),"N/A")</f>
        <v>N/A</v>
      </c>
      <c r="M261" s="4" t="str">
        <f>IF(OR($A261="EHT Trace"),IF(AND($AA261&lt;&gt;"",$AB261&lt;&gt;""),"YES","NO"),"N/A")</f>
        <v>N/A</v>
      </c>
      <c r="N261" s="4" t="str">
        <f>IF(OR($A261="Power Cable"),IF(AND($AD261&lt;&gt;""),"YES","NO"),"N/A")</f>
        <v>N/A</v>
      </c>
      <c r="O261" s="4" t="str">
        <f>IF(OR($A261="Power Cable",$A261="RTD Cable",$A261="Fieldbus Cable"),IF(AND($AE261&lt;&gt;""),"YES","NO"),"N/A")</f>
        <v>NO</v>
      </c>
      <c r="P261" s="4" t="str">
        <f>IF(OR($A261="RTD"),IF(AND($AH261&lt;&gt;""),"YES","NO"),"N/A")</f>
        <v>N/A</v>
      </c>
      <c r="Q261" s="4" t="str">
        <f>IF(OR($A261="RTD"),IF(AND($AI261&lt;&gt;""),"YES","NO"),"N/A")</f>
        <v>N/A</v>
      </c>
      <c r="R261" s="4" t="str">
        <f>IF(OR($AM261&lt;&gt;"",$Z261&lt;&gt;"",$AC261&lt;&gt;""),"YES","NO")</f>
        <v>NO</v>
      </c>
      <c r="S261" s="4" t="str">
        <f>IF(COUNTIF(I261:R261,"NO")=0,"YES","NO")</f>
        <v>NO</v>
      </c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inlineStr">
        <is>
          <t>ACIC</t>
        </is>
      </c>
      <c r="AK261" s="9" t="inlineStr">
        <is>
          <t>16AWG</t>
        </is>
      </c>
      <c r="AL261" s="9" t="inlineStr">
        <is>
          <t>Levy Ostrup</t>
        </is>
      </c>
      <c r="AM261" s="9" t="n"/>
      <c r="AN261" s="9" t="n"/>
    </row>
    <row r="262">
      <c r="A262" s="9" t="inlineStr">
        <is>
          <t>RTD Cable</t>
        </is>
      </c>
      <c r="B262" s="9" t="inlineStr">
        <is>
          <t>29103-ET-PG2401-2-R-1</t>
        </is>
      </c>
      <c r="C262" s="9" t="inlineStr">
        <is>
          <t>29103-ET-PG2401-2</t>
        </is>
      </c>
      <c r="D262" s="9" t="inlineStr">
        <is>
          <t>29103-HTP-004 HTC-36</t>
        </is>
      </c>
      <c r="E262" s="9" t="inlineStr">
        <is>
          <t>29103-HTP-004</t>
        </is>
      </c>
      <c r="F262" s="9" t="inlineStr"/>
      <c r="G262" s="9" t="inlineStr">
        <is>
          <t>113</t>
        </is>
      </c>
      <c r="H262" s="9" t="inlineStr">
        <is>
          <t>29103-ET-PG2401-2-R-1.pdf</t>
        </is>
      </c>
      <c r="I262" s="4" t="str">
        <f>IF($H262&lt;&gt;"","YES","NO")</f>
        <v>YES</v>
      </c>
      <c r="J262" s="4" t="str">
        <f>IF(N($T262)&gt;0,"YES","NO")</f>
        <v>NO</v>
      </c>
      <c r="K262" s="4" t="str">
        <f>IF(OR($A262="EHT Trace"),IF(AND($U262&lt;&gt;"",$V262&lt;&gt;""),"YES","NO"),"N/A")</f>
        <v>N/A</v>
      </c>
      <c r="L262" s="4" t="str">
        <f>IF(OR($A262="EHT Trace"),IF(AND($X262&lt;&gt;"",$Y262&lt;&gt;""),"YES","NO"),"N/A")</f>
        <v>N/A</v>
      </c>
      <c r="M262" s="4" t="str">
        <f>IF(OR($A262="EHT Trace"),IF(AND($AA262&lt;&gt;"",$AB262&lt;&gt;""),"YES","NO"),"N/A")</f>
        <v>N/A</v>
      </c>
      <c r="N262" s="4" t="str">
        <f>IF(OR($A262="Power Cable"),IF(AND($AD262&lt;&gt;""),"YES","NO"),"N/A")</f>
        <v>N/A</v>
      </c>
      <c r="O262" s="4" t="str">
        <f>IF(OR($A262="Power Cable",$A262="RTD Cable",$A262="Fieldbus Cable"),IF(AND($AE262&lt;&gt;""),"YES","NO"),"N/A")</f>
        <v>NO</v>
      </c>
      <c r="P262" s="4" t="str">
        <f>IF(OR($A262="RTD"),IF(AND($AH262&lt;&gt;""),"YES","NO"),"N/A")</f>
        <v>N/A</v>
      </c>
      <c r="Q262" s="4" t="str">
        <f>IF(OR($A262="RTD"),IF(AND($AI262&lt;&gt;""),"YES","NO"),"N/A")</f>
        <v>N/A</v>
      </c>
      <c r="R262" s="4" t="str">
        <f>IF(OR($AM262&lt;&gt;"",$Z262&lt;&gt;"",$AC262&lt;&gt;""),"YES","NO")</f>
        <v>NO</v>
      </c>
      <c r="S262" s="4" t="str">
        <f>IF(COUNTIF(I262:R262,"NO")=0,"YES","NO")</f>
        <v>NO</v>
      </c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inlineStr">
        <is>
          <t>ACIC</t>
        </is>
      </c>
      <c r="AK262" s="9" t="inlineStr">
        <is>
          <t>16AWG</t>
        </is>
      </c>
      <c r="AL262" s="9" t="inlineStr">
        <is>
          <t>Levy Ostrup</t>
        </is>
      </c>
      <c r="AM262" s="9" t="n"/>
      <c r="AN262" s="9" t="n"/>
    </row>
    <row r="263">
      <c r="A263" s="9" t="inlineStr">
        <is>
          <t>RTD Cable</t>
        </is>
      </c>
      <c r="B263" s="9" t="inlineStr">
        <is>
          <t>29103-RJB-008</t>
        </is>
      </c>
      <c r="C263" s="9" t="inlineStr"/>
      <c r="D263" s="9" t="inlineStr">
        <is>
          <t>29103-HTP-004 HTC-16</t>
        </is>
      </c>
      <c r="E263" s="9" t="inlineStr">
        <is>
          <t>29103-HTP-004</t>
        </is>
      </c>
      <c r="F263" s="9" t="inlineStr"/>
      <c r="G263" s="9" t="inlineStr">
        <is>
          <t>113</t>
        </is>
      </c>
      <c r="H263" s="9" t="inlineStr">
        <is>
          <t>29103-RJB-008.pdf</t>
        </is>
      </c>
      <c r="I263" s="4" t="str">
        <f>IF($H263&lt;&gt;"","YES","NO")</f>
        <v>YES</v>
      </c>
      <c r="J263" s="4" t="str">
        <f>IF(N($T263)&gt;0,"YES","NO")</f>
        <v>NO</v>
      </c>
      <c r="K263" s="4" t="str">
        <f>IF(OR($A263="EHT Trace"),IF(AND($U263&lt;&gt;"",$V263&lt;&gt;""),"YES","NO"),"N/A")</f>
        <v>N/A</v>
      </c>
      <c r="L263" s="4" t="str">
        <f>IF(OR($A263="EHT Trace"),IF(AND($X263&lt;&gt;"",$Y263&lt;&gt;""),"YES","NO"),"N/A")</f>
        <v>N/A</v>
      </c>
      <c r="M263" s="4" t="str">
        <f>IF(OR($A263="EHT Trace"),IF(AND($AA263&lt;&gt;"",$AB263&lt;&gt;""),"YES","NO"),"N/A")</f>
        <v>N/A</v>
      </c>
      <c r="N263" s="4" t="str">
        <f>IF(OR($A263="Power Cable"),IF(AND($AD263&lt;&gt;""),"YES","NO"),"N/A")</f>
        <v>N/A</v>
      </c>
      <c r="O263" s="4" t="str">
        <f>IF(OR($A263="Power Cable",$A263="RTD Cable",$A263="Fieldbus Cable"),IF(AND($AE263&lt;&gt;""),"YES","NO"),"N/A")</f>
        <v>NO</v>
      </c>
      <c r="P263" s="4" t="str">
        <f>IF(OR($A263="RTD"),IF(AND($AH263&lt;&gt;""),"YES","NO"),"N/A")</f>
        <v>N/A</v>
      </c>
      <c r="Q263" s="4" t="str">
        <f>IF(OR($A263="RTD"),IF(AND($AI263&lt;&gt;""),"YES","NO"),"N/A")</f>
        <v>N/A</v>
      </c>
      <c r="R263" s="4" t="str">
        <f>IF(OR($AM263&lt;&gt;"",$Z263&lt;&gt;"",$AC263&lt;&gt;""),"YES","NO")</f>
        <v>NO</v>
      </c>
      <c r="S263" s="4" t="str">
        <f>IF(COUNTIF(I263:R263,"NO")=0,"YES","NO")</f>
        <v>NO</v>
      </c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inlineStr">
        <is>
          <t>ACIC</t>
        </is>
      </c>
      <c r="AK263" s="9" t="inlineStr">
        <is>
          <t>16AWG</t>
        </is>
      </c>
      <c r="AL263" s="9" t="inlineStr">
        <is>
          <t>Levy Ostrup</t>
        </is>
      </c>
      <c r="AM263" s="9" t="n"/>
      <c r="AN263" s="9" t="n"/>
    </row>
    <row r="264">
      <c r="A264" s="9" t="inlineStr">
        <is>
          <t>RTD Cable</t>
        </is>
      </c>
      <c r="B264" s="9" t="inlineStr">
        <is>
          <t>29103-RJB-009</t>
        </is>
      </c>
      <c r="C264" s="9" t="inlineStr"/>
      <c r="D264" s="9" t="inlineStr">
        <is>
          <t>29103-HTP-004 HTC-12</t>
        </is>
      </c>
      <c r="E264" s="9" t="inlineStr">
        <is>
          <t>29103-HTP-004</t>
        </is>
      </c>
      <c r="F264" s="9" t="inlineStr"/>
      <c r="G264" s="9" t="inlineStr">
        <is>
          <t>113</t>
        </is>
      </c>
      <c r="H264" s="9" t="inlineStr">
        <is>
          <t>29103-RJB-009.pdf</t>
        </is>
      </c>
      <c r="I264" s="4" t="str">
        <f>IF($H264&lt;&gt;"","YES","NO")</f>
        <v>YES</v>
      </c>
      <c r="J264" s="4" t="str">
        <f>IF(N($T264)&gt;0,"YES","NO")</f>
        <v>NO</v>
      </c>
      <c r="K264" s="4" t="str">
        <f>IF(OR($A264="EHT Trace"),IF(AND($U264&lt;&gt;"",$V264&lt;&gt;""),"YES","NO"),"N/A")</f>
        <v>N/A</v>
      </c>
      <c r="L264" s="4" t="str">
        <f>IF(OR($A264="EHT Trace"),IF(AND($X264&lt;&gt;"",$Y264&lt;&gt;""),"YES","NO"),"N/A")</f>
        <v>N/A</v>
      </c>
      <c r="M264" s="4" t="str">
        <f>IF(OR($A264="EHT Trace"),IF(AND($AA264&lt;&gt;"",$AB264&lt;&gt;""),"YES","NO"),"N/A")</f>
        <v>N/A</v>
      </c>
      <c r="N264" s="4" t="str">
        <f>IF(OR($A264="Power Cable"),IF(AND($AD264&lt;&gt;""),"YES","NO"),"N/A")</f>
        <v>N/A</v>
      </c>
      <c r="O264" s="4" t="str">
        <f>IF(OR($A264="Power Cable",$A264="RTD Cable",$A264="Fieldbus Cable"),IF(AND($AE264&lt;&gt;""),"YES","NO"),"N/A")</f>
        <v>NO</v>
      </c>
      <c r="P264" s="4" t="str">
        <f>IF(OR($A264="RTD"),IF(AND($AH264&lt;&gt;""),"YES","NO"),"N/A")</f>
        <v>N/A</v>
      </c>
      <c r="Q264" s="4" t="str">
        <f>IF(OR($A264="RTD"),IF(AND($AI264&lt;&gt;""),"YES","NO"),"N/A")</f>
        <v>N/A</v>
      </c>
      <c r="R264" s="4" t="str">
        <f>IF(OR($AM264&lt;&gt;"",$Z264&lt;&gt;"",$AC264&lt;&gt;""),"YES","NO")</f>
        <v>NO</v>
      </c>
      <c r="S264" s="4" t="str">
        <f>IF(COUNTIF(I264:R264,"NO")=0,"YES","NO")</f>
        <v>NO</v>
      </c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inlineStr">
        <is>
          <t>ACIC</t>
        </is>
      </c>
      <c r="AK264" s="9" t="inlineStr">
        <is>
          <t>16AWG</t>
        </is>
      </c>
      <c r="AL264" s="9" t="inlineStr">
        <is>
          <t>Levy Ostrup</t>
        </is>
      </c>
      <c r="AM264" s="9" t="n"/>
      <c r="AN264" s="9" t="n"/>
    </row>
    <row r="265">
      <c r="A265" s="9" t="inlineStr">
        <is>
          <t>RTD Cable</t>
        </is>
      </c>
      <c r="B265" s="9" t="inlineStr">
        <is>
          <t>29103-RJB-010</t>
        </is>
      </c>
      <c r="C265" s="9" t="inlineStr"/>
      <c r="D265" s="9" t="inlineStr">
        <is>
          <t>29103-HTP-004 HTC-07</t>
        </is>
      </c>
      <c r="E265" s="9" t="inlineStr">
        <is>
          <t>29103-HTP-004</t>
        </is>
      </c>
      <c r="F265" s="9" t="inlineStr"/>
      <c r="G265" s="9" t="inlineStr">
        <is>
          <t>113</t>
        </is>
      </c>
      <c r="H265" s="9" t="inlineStr">
        <is>
          <t>29103-RJB-010.pdf</t>
        </is>
      </c>
      <c r="I265" s="4" t="str">
        <f>IF($H265&lt;&gt;"","YES","NO")</f>
        <v>YES</v>
      </c>
      <c r="J265" s="4" t="str">
        <f>IF(N($T265)&gt;0,"YES","NO")</f>
        <v>NO</v>
      </c>
      <c r="K265" s="4" t="str">
        <f>IF(OR($A265="EHT Trace"),IF(AND($U265&lt;&gt;"",$V265&lt;&gt;""),"YES","NO"),"N/A")</f>
        <v>N/A</v>
      </c>
      <c r="L265" s="4" t="str">
        <f>IF(OR($A265="EHT Trace"),IF(AND($X265&lt;&gt;"",$Y265&lt;&gt;""),"YES","NO"),"N/A")</f>
        <v>N/A</v>
      </c>
      <c r="M265" s="4" t="str">
        <f>IF(OR($A265="EHT Trace"),IF(AND($AA265&lt;&gt;"",$AB265&lt;&gt;""),"YES","NO"),"N/A")</f>
        <v>N/A</v>
      </c>
      <c r="N265" s="4" t="str">
        <f>IF(OR($A265="Power Cable"),IF(AND($AD265&lt;&gt;""),"YES","NO"),"N/A")</f>
        <v>N/A</v>
      </c>
      <c r="O265" s="4" t="str">
        <f>IF(OR($A265="Power Cable",$A265="RTD Cable",$A265="Fieldbus Cable"),IF(AND($AE265&lt;&gt;""),"YES","NO"),"N/A")</f>
        <v>NO</v>
      </c>
      <c r="P265" s="4" t="str">
        <f>IF(OR($A265="RTD"),IF(AND($AH265&lt;&gt;""),"YES","NO"),"N/A")</f>
        <v>N/A</v>
      </c>
      <c r="Q265" s="4" t="str">
        <f>IF(OR($A265="RTD"),IF(AND($AI265&lt;&gt;""),"YES","NO"),"N/A")</f>
        <v>N/A</v>
      </c>
      <c r="R265" s="4" t="str">
        <f>IF(OR($AM265&lt;&gt;"",$Z265&lt;&gt;"",$AC265&lt;&gt;""),"YES","NO")</f>
        <v>NO</v>
      </c>
      <c r="S265" s="4" t="str">
        <f>IF(COUNTIF(I265:R265,"NO")=0,"YES","NO")</f>
        <v>NO</v>
      </c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inlineStr">
        <is>
          <t>ACIC</t>
        </is>
      </c>
      <c r="AK265" s="9" t="inlineStr">
        <is>
          <t>16AWG</t>
        </is>
      </c>
      <c r="AL265" s="9" t="inlineStr">
        <is>
          <t>Levy Ostrup</t>
        </is>
      </c>
      <c r="AM265" s="9" t="n"/>
      <c r="AN265" s="9" t="n"/>
    </row>
    <row r="266">
      <c r="A266" s="9" t="inlineStr">
        <is>
          <t>RTD Cable</t>
        </is>
      </c>
      <c r="B266" s="9" t="inlineStr">
        <is>
          <t>29103-RJB-011</t>
        </is>
      </c>
      <c r="C266" s="9" t="inlineStr"/>
      <c r="D266" s="9" t="inlineStr">
        <is>
          <t>29103-HTP-004 HTC-33</t>
        </is>
      </c>
      <c r="E266" s="9" t="inlineStr">
        <is>
          <t>29103-HTP-004</t>
        </is>
      </c>
      <c r="F266" s="9" t="inlineStr"/>
      <c r="G266" s="9" t="inlineStr">
        <is>
          <t>113</t>
        </is>
      </c>
      <c r="H266" s="9" t="inlineStr">
        <is>
          <t>29103-RJB-011.pdf</t>
        </is>
      </c>
      <c r="I266" s="4" t="str">
        <f>IF($H266&lt;&gt;"","YES","NO")</f>
        <v>YES</v>
      </c>
      <c r="J266" s="4" t="str">
        <f>IF(N($T266)&gt;0,"YES","NO")</f>
        <v>NO</v>
      </c>
      <c r="K266" s="4" t="str">
        <f>IF(OR($A266="EHT Trace"),IF(AND($U266&lt;&gt;"",$V266&lt;&gt;""),"YES","NO"),"N/A")</f>
        <v>N/A</v>
      </c>
      <c r="L266" s="4" t="str">
        <f>IF(OR($A266="EHT Trace"),IF(AND($X266&lt;&gt;"",$Y266&lt;&gt;""),"YES","NO"),"N/A")</f>
        <v>N/A</v>
      </c>
      <c r="M266" s="4" t="str">
        <f>IF(OR($A266="EHT Trace"),IF(AND($AA266&lt;&gt;"",$AB266&lt;&gt;""),"YES","NO"),"N/A")</f>
        <v>N/A</v>
      </c>
      <c r="N266" s="4" t="str">
        <f>IF(OR($A266="Power Cable"),IF(AND($AD266&lt;&gt;""),"YES","NO"),"N/A")</f>
        <v>N/A</v>
      </c>
      <c r="O266" s="4" t="str">
        <f>IF(OR($A266="Power Cable",$A266="RTD Cable",$A266="Fieldbus Cable"),IF(AND($AE266&lt;&gt;""),"YES","NO"),"N/A")</f>
        <v>NO</v>
      </c>
      <c r="P266" s="4" t="str">
        <f>IF(OR($A266="RTD"),IF(AND($AH266&lt;&gt;""),"YES","NO"),"N/A")</f>
        <v>N/A</v>
      </c>
      <c r="Q266" s="4" t="str">
        <f>IF(OR($A266="RTD"),IF(AND($AI266&lt;&gt;""),"YES","NO"),"N/A")</f>
        <v>N/A</v>
      </c>
      <c r="R266" s="4" t="str">
        <f>IF(OR($AM266&lt;&gt;"",$Z266&lt;&gt;"",$AC266&lt;&gt;""),"YES","NO")</f>
        <v>NO</v>
      </c>
      <c r="S266" s="4" t="str">
        <f>IF(COUNTIF(I266:R266,"NO")=0,"YES","NO")</f>
        <v>NO</v>
      </c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inlineStr">
        <is>
          <t>ACIC</t>
        </is>
      </c>
      <c r="AK266" s="9" t="inlineStr">
        <is>
          <t>16AWG</t>
        </is>
      </c>
      <c r="AL266" s="9" t="inlineStr">
        <is>
          <t>Levy Ostrup</t>
        </is>
      </c>
      <c r="AM266" s="9" t="n"/>
      <c r="AN266" s="9" t="n"/>
    </row>
  </sheetData>
  <autoFilter ref="A4:AN266"/>
  <mergeCells count="3">
    <mergeCell ref="A3:H3"/>
    <mergeCell ref="I3:S3"/>
    <mergeCell ref="T3:AN3"/>
  </mergeCells>
  <conditionalFormatting sqref="I5:S266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"N/A"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2" customWidth="1" min="4" max="4"/>
    <col width="20" customWidth="1" min="5" max="5"/>
    <col width="27" customWidth="1" min="6" max="6"/>
    <col width="6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24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60" customWidth="1" min="40" max="40"/>
  </cols>
  <sheetData>
    <row r="1">
      <c r="A1" s="1" t="inlineStr">
        <is>
          <t>29103-HTP-005</t>
        </is>
      </c>
    </row>
    <row r="3">
      <c r="A3" s="6" t="n"/>
      <c r="I3" s="7" t="inlineStr">
        <is>
          <t>CHECKSHEETS</t>
        </is>
      </c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7" t="inlineStr">
        <is>
          <t>TEST RESULTS</t>
        </is>
      </c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</row>
    <row r="4" ht="30" customHeight="1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9" t="inlineStr">
        <is>
          <t>EHT Trace</t>
        </is>
      </c>
      <c r="B5" s="9" t="inlineStr">
        <is>
          <t>29103-ET-FG2401-1-1</t>
        </is>
      </c>
      <c r="C5" s="9" t="inlineStr">
        <is>
          <t>29103-ET-FG2401-1</t>
        </is>
      </c>
      <c r="D5" s="9" t="inlineStr">
        <is>
          <t>29103-AMB-009</t>
        </is>
      </c>
      <c r="E5" s="9" t="inlineStr">
        <is>
          <t>29103-FG-2401</t>
        </is>
      </c>
      <c r="F5" s="9" t="inlineStr">
        <is>
          <t>29103-65R-ET-FG2401-01-01</t>
        </is>
      </c>
      <c r="G5" s="9" t="inlineStr">
        <is>
          <t>13.1</t>
        </is>
      </c>
      <c r="H5" s="9" t="inlineStr">
        <is>
          <t>29103-ET-FG2401-1-1.pdf</t>
        </is>
      </c>
      <c r="I5" s="4" t="str">
        <f>IF($H5&lt;&gt;"","YES","NO")</f>
        <v>YES</v>
      </c>
      <c r="J5" s="4" t="str">
        <f>IF(N($T5)&gt;0,"YES","NO")</f>
        <v>NO</v>
      </c>
      <c r="K5" s="4" t="str">
        <f>IF(OR($A5="EHT Trace"),IF(AND($U5&lt;&gt;"",$V5&lt;&gt;""),"YES","NO"),"N/A")</f>
        <v>NO</v>
      </c>
      <c r="L5" s="4" t="str">
        <f>IF(OR($A5="EHT Trace"),IF(AND($X5&lt;&gt;"",$Y5&lt;&gt;""),"YES","NO"),"N/A")</f>
        <v>NO</v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NO</v>
      </c>
      <c r="S5" s="4" t="str">
        <f>IF(COUNTIF(I5:R5,"NO")=0,"YES","NO")</f>
        <v>NO</v>
      </c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inlineStr">
        <is>
          <t>5XTVR2-CT</t>
        </is>
      </c>
      <c r="AK5" s="9" t="inlineStr">
        <is>
          <t>23.5 m m</t>
        </is>
      </c>
      <c r="AL5" s="9" t="inlineStr">
        <is>
          <t>Levy Ostrup</t>
        </is>
      </c>
      <c r="AM5" s="9" t="n"/>
      <c r="AN5" s="9" t="n"/>
    </row>
    <row r="6">
      <c r="A6" s="9" t="inlineStr">
        <is>
          <t>EHT Trace</t>
        </is>
      </c>
      <c r="B6" s="9" t="inlineStr">
        <is>
          <t>29103-ET-FG2401-1-2</t>
        </is>
      </c>
      <c r="C6" s="9" t="inlineStr">
        <is>
          <t>29103-ET-FG2401-1</t>
        </is>
      </c>
      <c r="D6" s="9" t="inlineStr">
        <is>
          <t>29103-AMB-009</t>
        </is>
      </c>
      <c r="E6" s="9" t="inlineStr"/>
      <c r="F6" s="9" t="inlineStr">
        <is>
          <t>29103-65R-ET-FG2401-01-01</t>
        </is>
      </c>
      <c r="G6" s="9" t="inlineStr">
        <is>
          <t>13.1</t>
        </is>
      </c>
      <c r="H6" s="9" t="inlineStr">
        <is>
          <t>29103-ET-FG2401-1-2.pdf</t>
        </is>
      </c>
      <c r="I6" s="4" t="str">
        <f>IF($H6&lt;&gt;"","YES","NO")</f>
        <v>YES</v>
      </c>
      <c r="J6" s="4" t="str">
        <f>IF(N($T6)&gt;0,"YES","NO")</f>
        <v>NO</v>
      </c>
      <c r="K6" s="4" t="str">
        <f>IF(OR($A6="EHT Trace"),IF(AND($U6&lt;&gt;"",$V6&lt;&gt;""),"YES","NO"),"N/A")</f>
        <v>NO</v>
      </c>
      <c r="L6" s="4" t="str">
        <f>IF(OR($A6="EHT Trace"),IF(AND($X6&lt;&gt;"",$Y6&lt;&gt;""),"YES","NO"),"N/A")</f>
        <v>NO</v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inlineStr">
        <is>
          <t>5XTVR2-CT</t>
        </is>
      </c>
      <c r="AK6" s="9" t="inlineStr">
        <is>
          <t>1.2 m m</t>
        </is>
      </c>
      <c r="AL6" s="9" t="inlineStr">
        <is>
          <t>Levy Ostrup</t>
        </is>
      </c>
      <c r="AM6" s="9" t="n"/>
      <c r="AN6" s="9" t="n"/>
    </row>
    <row r="7">
      <c r="A7" s="9" t="inlineStr">
        <is>
          <t>EHT Trace</t>
        </is>
      </c>
      <c r="B7" s="9" t="inlineStr">
        <is>
          <t>29103-ET-FG2403-1-1</t>
        </is>
      </c>
      <c r="C7" s="9" t="inlineStr">
        <is>
          <t>29103-ET-FG2403-1</t>
        </is>
      </c>
      <c r="D7" s="9" t="inlineStr">
        <is>
          <t>29103-AMB-009</t>
        </is>
      </c>
      <c r="E7" s="9" t="inlineStr">
        <is>
          <t>29103-FG-2403</t>
        </is>
      </c>
      <c r="F7" s="9" t="inlineStr">
        <is>
          <t>29103-65R-ET-FG2403-01-01</t>
        </is>
      </c>
      <c r="G7" s="9" t="inlineStr">
        <is>
          <t>13.1</t>
        </is>
      </c>
      <c r="H7" s="9" t="inlineStr">
        <is>
          <t>29103-ET-FG2403-1-1.pdf</t>
        </is>
      </c>
      <c r="I7" s="4" t="str">
        <f>IF($H7&lt;&gt;"","YES","NO")</f>
        <v>YES</v>
      </c>
      <c r="J7" s="4" t="str">
        <f>IF(N($T7)&gt;0,"YES","NO")</f>
        <v>NO</v>
      </c>
      <c r="K7" s="4" t="str">
        <f>IF(OR($A7="EHT Trace"),IF(AND($U7&lt;&gt;"",$V7&lt;&gt;""),"YES","NO"),"N/A")</f>
        <v>NO</v>
      </c>
      <c r="L7" s="4" t="str">
        <f>IF(OR($A7="EHT Trace"),IF(AND($X7&lt;&gt;"",$Y7&lt;&gt;""),"YES","NO"),"N/A")</f>
        <v>NO</v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inlineStr">
        <is>
          <t>5XTVR2-CT</t>
        </is>
      </c>
      <c r="AK7" s="9" t="inlineStr">
        <is>
          <t>11.4 m m</t>
        </is>
      </c>
      <c r="AL7" s="9" t="inlineStr">
        <is>
          <t>Levy Ostrup</t>
        </is>
      </c>
      <c r="AM7" s="9" t="n"/>
      <c r="AN7" s="9" t="n"/>
    </row>
    <row r="8">
      <c r="A8" s="9" t="inlineStr">
        <is>
          <t>EHT Trace</t>
        </is>
      </c>
      <c r="B8" s="9" t="inlineStr">
        <is>
          <t>29103-ET-FG2403-1-2</t>
        </is>
      </c>
      <c r="C8" s="9" t="inlineStr">
        <is>
          <t>29103-ET-FG2403-1</t>
        </is>
      </c>
      <c r="D8" s="9" t="inlineStr">
        <is>
          <t>29103-AMB-009</t>
        </is>
      </c>
      <c r="E8" s="9" t="inlineStr">
        <is>
          <t>29103-FG-2403</t>
        </is>
      </c>
      <c r="F8" s="9" t="inlineStr">
        <is>
          <t>29103-65R-ET-FG2403-01-01</t>
        </is>
      </c>
      <c r="G8" s="9" t="inlineStr">
        <is>
          <t>13.1</t>
        </is>
      </c>
      <c r="H8" s="9" t="inlineStr">
        <is>
          <t>29103-ET-FG2403-1-2.pdf</t>
        </is>
      </c>
      <c r="I8" s="4" t="str">
        <f>IF($H8&lt;&gt;"","YES","NO")</f>
        <v>YES</v>
      </c>
      <c r="J8" s="4" t="str">
        <f>IF(N($T8)&gt;0,"YES","NO")</f>
        <v>NO</v>
      </c>
      <c r="K8" s="4" t="str">
        <f>IF(OR($A8="EHT Trace"),IF(AND($U8&lt;&gt;"",$V8&lt;&gt;""),"YES","NO"),"N/A")</f>
        <v>NO</v>
      </c>
      <c r="L8" s="4" t="str">
        <f>IF(OR($A8="EHT Trace"),IF(AND($X8&lt;&gt;"",$Y8&lt;&gt;""),"YES","NO"),"N/A")</f>
        <v>NO</v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NO</v>
      </c>
      <c r="S8" s="4" t="str">
        <f>IF(COUNTIF(I8:R8,"NO")=0,"YES","NO")</f>
        <v>NO</v>
      </c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inlineStr">
        <is>
          <t>5XTVR2-CT</t>
        </is>
      </c>
      <c r="AK8" s="9" t="inlineStr">
        <is>
          <t>12.9 m m</t>
        </is>
      </c>
      <c r="AL8" s="9" t="inlineStr">
        <is>
          <t>Levy Ostrup</t>
        </is>
      </c>
      <c r="AM8" s="9" t="n"/>
      <c r="AN8" s="9" t="n"/>
    </row>
    <row r="9">
      <c r="A9" s="9" t="inlineStr">
        <is>
          <t>EHT Trace</t>
        </is>
      </c>
      <c r="B9" s="9" t="inlineStr">
        <is>
          <t>29103-ET-FG2403-1-3</t>
        </is>
      </c>
      <c r="C9" s="9" t="inlineStr">
        <is>
          <t>29103-ET-FG2403-1</t>
        </is>
      </c>
      <c r="D9" s="9" t="inlineStr">
        <is>
          <t>29103-AMB-009</t>
        </is>
      </c>
      <c r="E9" s="9" t="inlineStr"/>
      <c r="F9" s="9" t="inlineStr">
        <is>
          <t>29103-65R-ET-FG2403-01-01</t>
        </is>
      </c>
      <c r="G9" s="9" t="inlineStr">
        <is>
          <t>13.1</t>
        </is>
      </c>
      <c r="H9" s="9" t="inlineStr">
        <is>
          <t>29103-ET-FG2403-1-3.pdf</t>
        </is>
      </c>
      <c r="I9" s="4" t="str">
        <f>IF($H9&lt;&gt;"","YES","NO")</f>
        <v>YES</v>
      </c>
      <c r="J9" s="4" t="str">
        <f>IF(N($T9)&gt;0,"YES","NO")</f>
        <v>NO</v>
      </c>
      <c r="K9" s="4" t="str">
        <f>IF(OR($A9="EHT Trace"),IF(AND($U9&lt;&gt;"",$V9&lt;&gt;""),"YES","NO"),"N/A")</f>
        <v>NO</v>
      </c>
      <c r="L9" s="4" t="str">
        <f>IF(OR($A9="EHT Trace"),IF(AND($X9&lt;&gt;"",$Y9&lt;&gt;""),"YES","NO"),"N/A")</f>
        <v>NO</v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NO</v>
      </c>
      <c r="S9" s="4" t="str">
        <f>IF(COUNTIF(I9:R9,"NO")=0,"YES","NO")</f>
        <v>NO</v>
      </c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inlineStr">
        <is>
          <t>5XTVR2-CT</t>
        </is>
      </c>
      <c r="AK9" s="9" t="inlineStr">
        <is>
          <t>6.1 m m</t>
        </is>
      </c>
      <c r="AL9" s="9" t="inlineStr">
        <is>
          <t>Levy Ostrup</t>
        </is>
      </c>
      <c r="AM9" s="9" t="n"/>
      <c r="AN9" s="9" t="n"/>
    </row>
    <row r="10">
      <c r="A10" s="9" t="inlineStr">
        <is>
          <t>EHT Trace</t>
        </is>
      </c>
      <c r="B10" s="9" t="inlineStr">
        <is>
          <t>29103-ET-FG2403-1-4</t>
        </is>
      </c>
      <c r="C10" s="9" t="inlineStr">
        <is>
          <t>29103-ET-FG2403-1</t>
        </is>
      </c>
      <c r="D10" s="9" t="inlineStr">
        <is>
          <t>29103-AMB-009</t>
        </is>
      </c>
      <c r="E10" s="9" t="inlineStr"/>
      <c r="F10" s="9" t="inlineStr">
        <is>
          <t>29103-65R-ET-FG2403-01-01</t>
        </is>
      </c>
      <c r="G10" s="9" t="inlineStr">
        <is>
          <t>13.1</t>
        </is>
      </c>
      <c r="H10" s="9" t="inlineStr">
        <is>
          <t>29103-ET-FG2403-1-4.pdf</t>
        </is>
      </c>
      <c r="I10" s="4" t="str">
        <f>IF($H10&lt;&gt;"","YES","NO")</f>
        <v>YES</v>
      </c>
      <c r="J10" s="4" t="str">
        <f>IF(N($T10)&gt;0,"YES","NO")</f>
        <v>NO</v>
      </c>
      <c r="K10" s="4" t="str">
        <f>IF(OR($A10="EHT Trace"),IF(AND($U10&lt;&gt;"",$V10&lt;&gt;""),"YES","NO"),"N/A")</f>
        <v>NO</v>
      </c>
      <c r="L10" s="4" t="str">
        <f>IF(OR($A10="EHT Trace"),IF(AND($X10&lt;&gt;"",$Y10&lt;&gt;""),"YES","NO"),"N/A")</f>
        <v>NO</v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inlineStr">
        <is>
          <t>5XTVR2-CT</t>
        </is>
      </c>
      <c r="AK10" s="9" t="inlineStr">
        <is>
          <t>13.2 m m</t>
        </is>
      </c>
      <c r="AL10" s="9" t="inlineStr">
        <is>
          <t>Levy Ostrup</t>
        </is>
      </c>
      <c r="AM10" s="9" t="n"/>
      <c r="AN10" s="9" t="n"/>
    </row>
    <row r="11">
      <c r="A11" s="9" t="inlineStr">
        <is>
          <t>EHT Trace</t>
        </is>
      </c>
      <c r="B11" s="9" t="inlineStr">
        <is>
          <t>29103-ET-FG2501-1-1</t>
        </is>
      </c>
      <c r="C11" s="9" t="inlineStr">
        <is>
          <t>29103-ET-FG2501-1</t>
        </is>
      </c>
      <c r="D11" s="9" t="inlineStr">
        <is>
          <t>29103-AMB-009</t>
        </is>
      </c>
      <c r="E11" s="9" t="inlineStr">
        <is>
          <t>29103-FG-2501</t>
        </is>
      </c>
      <c r="F11" s="9" t="inlineStr">
        <is>
          <t>29103-65R-ET-FG2501-01-01</t>
        </is>
      </c>
      <c r="G11" s="9" t="inlineStr">
        <is>
          <t>13.1</t>
        </is>
      </c>
      <c r="H11" s="9" t="inlineStr">
        <is>
          <t>29103-ET-FG2501-1-1.pdf</t>
        </is>
      </c>
      <c r="I11" s="4" t="str">
        <f>IF($H11&lt;&gt;"","YES","NO")</f>
        <v>YES</v>
      </c>
      <c r="J11" s="4" t="str">
        <f>IF(N($T11)&gt;0,"YES","NO")</f>
        <v>NO</v>
      </c>
      <c r="K11" s="4" t="str">
        <f>IF(OR($A11="EHT Trace"),IF(AND($U11&lt;&gt;"",$V11&lt;&gt;""),"YES","NO"),"N/A")</f>
        <v>NO</v>
      </c>
      <c r="L11" s="4" t="str">
        <f>IF(OR($A11="EHT Trace"),IF(AND($X11&lt;&gt;"",$Y11&lt;&gt;""),"YES","NO"),"N/A")</f>
        <v>NO</v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inlineStr">
        <is>
          <t>5XTVR2-CT</t>
        </is>
      </c>
      <c r="AK11" s="9" t="inlineStr">
        <is>
          <t>22.8 m m</t>
        </is>
      </c>
      <c r="AL11" s="9" t="inlineStr">
        <is>
          <t>Levy Ostrup</t>
        </is>
      </c>
      <c r="AM11" s="9" t="n"/>
      <c r="AN11" s="9" t="n"/>
    </row>
    <row r="12">
      <c r="A12" s="9" t="inlineStr">
        <is>
          <t>EHT Trace</t>
        </is>
      </c>
      <c r="B12" s="9" t="inlineStr">
        <is>
          <t>29103-ET-FG2503-1-1</t>
        </is>
      </c>
      <c r="C12" s="9" t="inlineStr">
        <is>
          <t>29103-ET-FG2503-1</t>
        </is>
      </c>
      <c r="D12" s="9" t="inlineStr">
        <is>
          <t>29103-AMB-009</t>
        </is>
      </c>
      <c r="E12" s="9" t="inlineStr">
        <is>
          <t>29103-FG-2503</t>
        </is>
      </c>
      <c r="F12" s="9" t="inlineStr">
        <is>
          <t>29103-65R-ET-FG2503-01-01</t>
        </is>
      </c>
      <c r="G12" s="9" t="inlineStr">
        <is>
          <t>13.1</t>
        </is>
      </c>
      <c r="H12" s="9" t="inlineStr">
        <is>
          <t>29103-ET-FG2503-1-1.pdf</t>
        </is>
      </c>
      <c r="I12" s="4" t="str">
        <f>IF($H12&lt;&gt;"","YES","NO")</f>
        <v>YES</v>
      </c>
      <c r="J12" s="4" t="str">
        <f>IF(N($T12)&gt;0,"YES","NO")</f>
        <v>NO</v>
      </c>
      <c r="K12" s="4" t="str">
        <f>IF(OR($A12="EHT Trace"),IF(AND($U12&lt;&gt;"",$V12&lt;&gt;""),"YES","NO"),"N/A")</f>
        <v>NO</v>
      </c>
      <c r="L12" s="4" t="str">
        <f>IF(OR($A12="EHT Trace"),IF(AND($X12&lt;&gt;"",$Y12&lt;&gt;""),"YES","NO"),"N/A")</f>
        <v>NO</v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NO</v>
      </c>
      <c r="S12" s="4" t="str">
        <f>IF(COUNTIF(I12:R12,"NO")=0,"YES","NO")</f>
        <v>NO</v>
      </c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inlineStr">
        <is>
          <t>5XTVR2-CT</t>
        </is>
      </c>
      <c r="AK12" s="9" t="inlineStr">
        <is>
          <t>14 m m</t>
        </is>
      </c>
      <c r="AL12" s="9" t="inlineStr">
        <is>
          <t>Levy Ostrup</t>
        </is>
      </c>
      <c r="AM12" s="9" t="n"/>
      <c r="AN12" s="9" t="n"/>
    </row>
    <row r="13">
      <c r="A13" s="9" t="inlineStr">
        <is>
          <t>EHT Trace</t>
        </is>
      </c>
      <c r="B13" s="9" t="inlineStr">
        <is>
          <t>29103-ET-FG2503-1-2</t>
        </is>
      </c>
      <c r="C13" s="9" t="inlineStr">
        <is>
          <t>29103-ET-FG2503-1</t>
        </is>
      </c>
      <c r="D13" s="9" t="inlineStr">
        <is>
          <t>29103-AMB-009</t>
        </is>
      </c>
      <c r="E13" s="9" t="inlineStr">
        <is>
          <t>29103-FG-2503</t>
        </is>
      </c>
      <c r="F13" s="9" t="inlineStr">
        <is>
          <t>29103-65R-ET-FG2503-01-01</t>
        </is>
      </c>
      <c r="G13" s="9" t="inlineStr">
        <is>
          <t>13.1</t>
        </is>
      </c>
      <c r="H13" s="9" t="inlineStr">
        <is>
          <t>29103-ET-FG2503-1-2.pdf</t>
        </is>
      </c>
      <c r="I13" s="4" t="str">
        <f>IF($H13&lt;&gt;"","YES","NO")</f>
        <v>YES</v>
      </c>
      <c r="J13" s="4" t="str">
        <f>IF(N($T13)&gt;0,"YES","NO")</f>
        <v>NO</v>
      </c>
      <c r="K13" s="4" t="str">
        <f>IF(OR($A13="EHT Trace"),IF(AND($U13&lt;&gt;"",$V13&lt;&gt;""),"YES","NO"),"N/A")</f>
        <v>NO</v>
      </c>
      <c r="L13" s="4" t="str">
        <f>IF(OR($A13="EHT Trace"),IF(AND($X13&lt;&gt;"",$Y13&lt;&gt;""),"YES","NO"),"N/A")</f>
        <v>NO</v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NO</v>
      </c>
      <c r="S13" s="4" t="str">
        <f>IF(COUNTIF(I13:R13,"NO")=0,"YES","NO")</f>
        <v>NO</v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inlineStr">
        <is>
          <t>5XTVR2-CT</t>
        </is>
      </c>
      <c r="AK13" s="9" t="inlineStr">
        <is>
          <t>15.4 m m</t>
        </is>
      </c>
      <c r="AL13" s="9" t="inlineStr">
        <is>
          <t>Levy Ostrup</t>
        </is>
      </c>
      <c r="AM13" s="9" t="n"/>
      <c r="AN13" s="9" t="n"/>
    </row>
    <row r="14">
      <c r="A14" s="9" t="inlineStr">
        <is>
          <t>EHT Trace</t>
        </is>
      </c>
      <c r="B14" s="9" t="inlineStr">
        <is>
          <t>29103-ET-FG2503-1-3</t>
        </is>
      </c>
      <c r="C14" s="9" t="inlineStr">
        <is>
          <t>29103-ET-FG2503-1</t>
        </is>
      </c>
      <c r="D14" s="9" t="inlineStr">
        <is>
          <t>29103-AMB-009</t>
        </is>
      </c>
      <c r="E14" s="9" t="inlineStr"/>
      <c r="F14" s="9" t="inlineStr">
        <is>
          <t>29103-65R-ET-FG2503-01-01</t>
        </is>
      </c>
      <c r="G14" s="9" t="inlineStr">
        <is>
          <t>13.1</t>
        </is>
      </c>
      <c r="H14" s="9" t="inlineStr">
        <is>
          <t>29103-ET-FG2503-1-3.pdf</t>
        </is>
      </c>
      <c r="I14" s="4" t="str">
        <f>IF($H14&lt;&gt;"","YES","NO")</f>
        <v>YES</v>
      </c>
      <c r="J14" s="4" t="str">
        <f>IF(N($T14)&gt;0,"YES","NO")</f>
        <v>NO</v>
      </c>
      <c r="K14" s="4" t="str">
        <f>IF(OR($A14="EHT Trace"),IF(AND($U14&lt;&gt;"",$V14&lt;&gt;""),"YES","NO"),"N/A")</f>
        <v>NO</v>
      </c>
      <c r="L14" s="4" t="str">
        <f>IF(OR($A14="EHT Trace"),IF(AND($X14&lt;&gt;"",$Y14&lt;&gt;""),"YES","NO"),"N/A")</f>
        <v>NO</v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inlineStr">
        <is>
          <t>5XTVR2-CT</t>
        </is>
      </c>
      <c r="AK14" s="9" t="inlineStr">
        <is>
          <t>6.5 m m</t>
        </is>
      </c>
      <c r="AL14" s="9" t="inlineStr">
        <is>
          <t>Levy Ostrup</t>
        </is>
      </c>
      <c r="AM14" s="9" t="n"/>
      <c r="AN14" s="9" t="n"/>
    </row>
    <row r="15">
      <c r="A15" s="9" t="inlineStr">
        <is>
          <t>EHT Trace</t>
        </is>
      </c>
      <c r="B15" s="9" t="inlineStr">
        <is>
          <t>29103-ET-FG2503-1-4</t>
        </is>
      </c>
      <c r="C15" s="9" t="inlineStr">
        <is>
          <t>29103-ET-FG2503-1</t>
        </is>
      </c>
      <c r="D15" s="9" t="inlineStr">
        <is>
          <t>29103-AMB-009</t>
        </is>
      </c>
      <c r="E15" s="9" t="inlineStr"/>
      <c r="F15" s="9" t="inlineStr">
        <is>
          <t>29103-65R-ET-FG2503-01-01</t>
        </is>
      </c>
      <c r="G15" s="9" t="inlineStr">
        <is>
          <t>13.1</t>
        </is>
      </c>
      <c r="H15" s="9" t="inlineStr">
        <is>
          <t>29103-ET-FG2503-1-4.pdf</t>
        </is>
      </c>
      <c r="I15" s="4" t="str">
        <f>IF($H15&lt;&gt;"","YES","NO")</f>
        <v>YES</v>
      </c>
      <c r="J15" s="4" t="str">
        <f>IF(N($T15)&gt;0,"YES","NO")</f>
        <v>NO</v>
      </c>
      <c r="K15" s="4" t="str">
        <f>IF(OR($A15="EHT Trace"),IF(AND($U15&lt;&gt;"",$V15&lt;&gt;""),"YES","NO"),"N/A")</f>
        <v>NO</v>
      </c>
      <c r="L15" s="4" t="str">
        <f>IF(OR($A15="EHT Trace"),IF(AND($X15&lt;&gt;"",$Y15&lt;&gt;""),"YES","NO"),"N/A")</f>
        <v>NO</v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inlineStr">
        <is>
          <t>5XTVR2-CT</t>
        </is>
      </c>
      <c r="AK15" s="9" t="inlineStr">
        <is>
          <t>13.1 m m</t>
        </is>
      </c>
      <c r="AL15" s="9" t="inlineStr">
        <is>
          <t>Levy Ostrup</t>
        </is>
      </c>
      <c r="AM15" s="9" t="n"/>
      <c r="AN15" s="9" t="n"/>
    </row>
    <row r="16">
      <c r="A16" s="9" t="inlineStr">
        <is>
          <t>EHT Trace</t>
        </is>
      </c>
      <c r="B16" s="9" t="inlineStr">
        <is>
          <t>29103-ET-FG2601-1-1</t>
        </is>
      </c>
      <c r="C16" s="9" t="inlineStr">
        <is>
          <t>29103-ET-FG2601-1</t>
        </is>
      </c>
      <c r="D16" s="9" t="inlineStr">
        <is>
          <t>29103-AMB-011</t>
        </is>
      </c>
      <c r="E16" s="9" t="inlineStr">
        <is>
          <t>29103-FG-2601</t>
        </is>
      </c>
      <c r="F16" s="9" t="inlineStr">
        <is>
          <t>29103-65R-ET-FG2601-01-01</t>
        </is>
      </c>
      <c r="G16" s="9" t="inlineStr">
        <is>
          <t>13.1</t>
        </is>
      </c>
      <c r="H16" s="9" t="inlineStr">
        <is>
          <t>29103-ET-FG2601-1-1.pdf</t>
        </is>
      </c>
      <c r="I16" s="4" t="str">
        <f>IF($H16&lt;&gt;"","YES","NO")</f>
        <v>YES</v>
      </c>
      <c r="J16" s="4" t="str">
        <f>IF(N($T16)&gt;0,"YES","NO")</f>
        <v>NO</v>
      </c>
      <c r="K16" s="4" t="str">
        <f>IF(OR($A16="EHT Trace"),IF(AND($U16&lt;&gt;"",$V16&lt;&gt;""),"YES","NO"),"N/A")</f>
        <v>NO</v>
      </c>
      <c r="L16" s="4" t="str">
        <f>IF(OR($A16="EHT Trace"),IF(AND($X16&lt;&gt;"",$Y16&lt;&gt;""),"YES","NO"),"N/A")</f>
        <v>NO</v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inlineStr">
        <is>
          <t>5XTVR2-CT</t>
        </is>
      </c>
      <c r="AK16" s="9" t="inlineStr">
        <is>
          <t>23.6 m m</t>
        </is>
      </c>
      <c r="AL16" s="9" t="inlineStr">
        <is>
          <t>Levy Ostrup</t>
        </is>
      </c>
      <c r="AM16" s="9" t="n"/>
      <c r="AN16" s="9" t="n"/>
    </row>
    <row r="17">
      <c r="A17" s="9" t="inlineStr">
        <is>
          <t>EHT Trace</t>
        </is>
      </c>
      <c r="B17" s="9" t="inlineStr">
        <is>
          <t>29103-ET-FG2603-1-1</t>
        </is>
      </c>
      <c r="C17" s="9" t="inlineStr">
        <is>
          <t>29103-ET-FG2603-1</t>
        </is>
      </c>
      <c r="D17" s="9" t="inlineStr">
        <is>
          <t>29103-AMB-011</t>
        </is>
      </c>
      <c r="E17" s="9" t="inlineStr">
        <is>
          <t>29103-FG-2603</t>
        </is>
      </c>
      <c r="F17" s="9" t="inlineStr">
        <is>
          <t>29103-65R-ET-FG2603-01-01</t>
        </is>
      </c>
      <c r="G17" s="9" t="inlineStr">
        <is>
          <t>13.1</t>
        </is>
      </c>
      <c r="H17" s="9" t="inlineStr">
        <is>
          <t>29103-ET-FG2603-1-1.pdf</t>
        </is>
      </c>
      <c r="I17" s="4" t="str">
        <f>IF($H17&lt;&gt;"","YES","NO")</f>
        <v>YES</v>
      </c>
      <c r="J17" s="4" t="str">
        <f>IF(N($T17)&gt;0,"YES","NO")</f>
        <v>NO</v>
      </c>
      <c r="K17" s="4" t="str">
        <f>IF(OR($A17="EHT Trace"),IF(AND($U17&lt;&gt;"",$V17&lt;&gt;""),"YES","NO"),"N/A")</f>
        <v>NO</v>
      </c>
      <c r="L17" s="4" t="str">
        <f>IF(OR($A17="EHT Trace"),IF(AND($X17&lt;&gt;"",$Y17&lt;&gt;""),"YES","NO"),"N/A")</f>
        <v>NO</v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inlineStr">
        <is>
          <t>5XTVR2-CT</t>
        </is>
      </c>
      <c r="AK17" s="9" t="inlineStr">
        <is>
          <t>11.3 m m</t>
        </is>
      </c>
      <c r="AL17" s="9" t="inlineStr">
        <is>
          <t>Levy Ostrup</t>
        </is>
      </c>
      <c r="AM17" s="9" t="n"/>
      <c r="AN17" s="9" t="n"/>
    </row>
    <row r="18">
      <c r="A18" s="9" t="inlineStr">
        <is>
          <t>EHT Trace</t>
        </is>
      </c>
      <c r="B18" s="9" t="inlineStr">
        <is>
          <t>29103-ET-FG2603-1-2</t>
        </is>
      </c>
      <c r="C18" s="9" t="inlineStr">
        <is>
          <t>29103-ET-FG2603-1</t>
        </is>
      </c>
      <c r="D18" s="9" t="inlineStr">
        <is>
          <t>29103-AMB-011</t>
        </is>
      </c>
      <c r="E18" s="9" t="inlineStr">
        <is>
          <t>29103-FG-2603</t>
        </is>
      </c>
      <c r="F18" s="9" t="inlineStr">
        <is>
          <t>29103-65R-ET-FG2603-01-01</t>
        </is>
      </c>
      <c r="G18" s="9" t="inlineStr">
        <is>
          <t>13.1</t>
        </is>
      </c>
      <c r="H18" s="9" t="inlineStr">
        <is>
          <t>29103-ET-FG2603-1-2.pdf</t>
        </is>
      </c>
      <c r="I18" s="4" t="str">
        <f>IF($H18&lt;&gt;"","YES","NO")</f>
        <v>YES</v>
      </c>
      <c r="J18" s="4" t="str">
        <f>IF(N($T18)&gt;0,"YES","NO")</f>
        <v>NO</v>
      </c>
      <c r="K18" s="4" t="str">
        <f>IF(OR($A18="EHT Trace"),IF(AND($U18&lt;&gt;"",$V18&lt;&gt;""),"YES","NO"),"N/A")</f>
        <v>NO</v>
      </c>
      <c r="L18" s="4" t="str">
        <f>IF(OR($A18="EHT Trace"),IF(AND($X18&lt;&gt;"",$Y18&lt;&gt;""),"YES","NO"),"N/A")</f>
        <v>NO</v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inlineStr">
        <is>
          <t>5XTVR2-CT</t>
        </is>
      </c>
      <c r="AK18" s="9" t="inlineStr">
        <is>
          <t>12.9 m m</t>
        </is>
      </c>
      <c r="AL18" s="9" t="inlineStr">
        <is>
          <t>Levy Ostrup</t>
        </is>
      </c>
      <c r="AM18" s="9" t="n"/>
      <c r="AN18" s="9" t="n"/>
    </row>
    <row r="19">
      <c r="A19" s="9" t="inlineStr">
        <is>
          <t>EHT Trace</t>
        </is>
      </c>
      <c r="B19" s="9" t="inlineStr">
        <is>
          <t>29103-ET-FG2603-1-3</t>
        </is>
      </c>
      <c r="C19" s="9" t="inlineStr">
        <is>
          <t>29103-ET-FG2603-1</t>
        </is>
      </c>
      <c r="D19" s="9" t="inlineStr">
        <is>
          <t>29103-AMB-011</t>
        </is>
      </c>
      <c r="E19" s="9" t="inlineStr"/>
      <c r="F19" s="9" t="inlineStr">
        <is>
          <t>29103-65R-ET-FG2603-01-01</t>
        </is>
      </c>
      <c r="G19" s="9" t="inlineStr">
        <is>
          <t>13.1</t>
        </is>
      </c>
      <c r="H19" s="9" t="inlineStr">
        <is>
          <t>29103-ET-FG2603-1-3.pdf</t>
        </is>
      </c>
      <c r="I19" s="4" t="str">
        <f>IF($H19&lt;&gt;"","YES","NO")</f>
        <v>YES</v>
      </c>
      <c r="J19" s="4" t="str">
        <f>IF(N($T19)&gt;0,"YES","NO")</f>
        <v>NO</v>
      </c>
      <c r="K19" s="4" t="str">
        <f>IF(OR($A19="EHT Trace"),IF(AND($U19&lt;&gt;"",$V19&lt;&gt;""),"YES","NO"),"N/A")</f>
        <v>NO</v>
      </c>
      <c r="L19" s="4" t="str">
        <f>IF(OR($A19="EHT Trace"),IF(AND($X19&lt;&gt;"",$Y19&lt;&gt;""),"YES","NO"),"N/A")</f>
        <v>NO</v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inlineStr">
        <is>
          <t>5XTVR2-CT</t>
        </is>
      </c>
      <c r="AK19" s="9" t="inlineStr">
        <is>
          <t>6.1 m m</t>
        </is>
      </c>
      <c r="AL19" s="9" t="inlineStr">
        <is>
          <t>Levy Ostrup</t>
        </is>
      </c>
      <c r="AM19" s="9" t="n"/>
      <c r="AN19" s="9" t="n"/>
    </row>
    <row r="20">
      <c r="A20" s="9" t="inlineStr">
        <is>
          <t>EHT Trace</t>
        </is>
      </c>
      <c r="B20" s="9" t="inlineStr">
        <is>
          <t>29103-ET-FG2603-1-4</t>
        </is>
      </c>
      <c r="C20" s="9" t="inlineStr">
        <is>
          <t>29103-ET-FG2603-1</t>
        </is>
      </c>
      <c r="D20" s="9" t="inlineStr">
        <is>
          <t>29103-AMB-011</t>
        </is>
      </c>
      <c r="E20" s="9" t="inlineStr"/>
      <c r="F20" s="9" t="inlineStr">
        <is>
          <t>29103-65R-ET-FG2603-01-01</t>
        </is>
      </c>
      <c r="G20" s="9" t="inlineStr">
        <is>
          <t>13.1</t>
        </is>
      </c>
      <c r="H20" s="9" t="inlineStr">
        <is>
          <t>29103-ET-FG2603-1-4.pdf</t>
        </is>
      </c>
      <c r="I20" s="4" t="str">
        <f>IF($H20&lt;&gt;"","YES","NO")</f>
        <v>YES</v>
      </c>
      <c r="J20" s="4" t="str">
        <f>IF(N($T20)&gt;0,"YES","NO")</f>
        <v>NO</v>
      </c>
      <c r="K20" s="4" t="str">
        <f>IF(OR($A20="EHT Trace"),IF(AND($U20&lt;&gt;"",$V20&lt;&gt;""),"YES","NO"),"N/A")</f>
        <v>NO</v>
      </c>
      <c r="L20" s="4" t="str">
        <f>IF(OR($A20="EHT Trace"),IF(AND($X20&lt;&gt;"",$Y20&lt;&gt;""),"YES","NO"),"N/A")</f>
        <v>NO</v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inlineStr">
        <is>
          <t>5XTVR2-CT</t>
        </is>
      </c>
      <c r="AK20" s="9" t="inlineStr">
        <is>
          <t>13.2 m m</t>
        </is>
      </c>
      <c r="AL20" s="9" t="inlineStr">
        <is>
          <t>Levy Ostrup</t>
        </is>
      </c>
      <c r="AM20" s="9" t="n"/>
      <c r="AN20" s="9" t="n"/>
    </row>
    <row r="21">
      <c r="A21" s="9" t="inlineStr">
        <is>
          <t>EHT Trace</t>
        </is>
      </c>
      <c r="B21" s="9" t="inlineStr">
        <is>
          <t>29103-ET-FG2605-1-1</t>
        </is>
      </c>
      <c r="C21" s="9" t="inlineStr">
        <is>
          <t>29103-ET-FG2605-1</t>
        </is>
      </c>
      <c r="D21" s="9" t="inlineStr">
        <is>
          <t>29103-AMB-012</t>
        </is>
      </c>
      <c r="E21" s="9" t="inlineStr">
        <is>
          <t>29103-FG-2606, 29103-FG-2605</t>
        </is>
      </c>
      <c r="F21" s="9" t="inlineStr">
        <is>
          <t>29103-65R-ET-FG2605-01-01</t>
        </is>
      </c>
      <c r="G21" s="9" t="inlineStr">
        <is>
          <t>13.1</t>
        </is>
      </c>
      <c r="H21" s="9" t="inlineStr">
        <is>
          <t>29103-ET-FG2605-1-1.pdf</t>
        </is>
      </c>
      <c r="I21" s="4" t="str">
        <f>IF($H21&lt;&gt;"","YES","NO")</f>
        <v>YES</v>
      </c>
      <c r="J21" s="4" t="str">
        <f>IF(N($T21)&gt;0,"YES","NO")</f>
        <v>NO</v>
      </c>
      <c r="K21" s="4" t="str">
        <f>IF(OR($A21="EHT Trace"),IF(AND($U21&lt;&gt;"",$V21&lt;&gt;""),"YES","NO"),"N/A")</f>
        <v>YES</v>
      </c>
      <c r="L21" s="4" t="str">
        <f>IF(OR($A21="EHT Trace"),IF(AND($X21&lt;&gt;"",$Y21&lt;&gt;""),"YES","NO"),"N/A")</f>
        <v>NO</v>
      </c>
      <c r="M21" s="4" t="str">
        <f>IF(OR($A21="EHT Trace"),IF(AND($AA21&lt;&gt;"",$AB21&lt;&gt;""),"YES","NO"),"N/A")</f>
        <v>NO</v>
      </c>
      <c r="N21" s="4" t="str">
        <f>IF(OR($A21="Power Cable"),IF(AND($AD21&lt;&gt;""),"YES","NO"),"N/A")</f>
        <v>N/A</v>
      </c>
      <c r="O21" s="4" t="str">
        <f>IF(OR($A21="Power Cable",$A21="RTD Cable",$A21="Fieldbus Cable"),IF(AND($AE21&lt;&gt;""),"YES","NO"),"N/A")</f>
        <v>N/A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str">
        <f>IF(OR($AM21&lt;&gt;"",$Z21&lt;&gt;"",$AC21&lt;&gt;""),"YES","NO")</f>
        <v>NO</v>
      </c>
      <c r="S21" s="4" t="str">
        <f>IF(COUNTIF(I21:R21,"NO")=0,"YES","NO")</f>
        <v>NO</v>
      </c>
      <c r="T21" s="9" t="n"/>
      <c r="U21" s="9" t="inlineStr">
        <is>
          <t>&gt;2.2 GΩ</t>
        </is>
      </c>
      <c r="V21" s="9" t="inlineStr">
        <is>
          <t>324.5 Ω</t>
        </is>
      </c>
      <c r="W21" s="9" t="inlineStr">
        <is>
          <t>2026-05-17</t>
        </is>
      </c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inlineStr">
        <is>
          <t>D/32SA2600/16M/243/277/1.2M/LS23A/X/N12</t>
        </is>
      </c>
      <c r="AK21" s="9" t="inlineStr">
        <is>
          <t>16 m m</t>
        </is>
      </c>
      <c r="AL21" s="9" t="inlineStr">
        <is>
          <t>Levy Ostrup</t>
        </is>
      </c>
      <c r="AM21" s="9" t="n"/>
      <c r="AN21" s="9" t="n"/>
    </row>
    <row r="22">
      <c r="A22" s="9" t="inlineStr">
        <is>
          <t>EHT Trace</t>
        </is>
      </c>
      <c r="B22" s="9" t="inlineStr">
        <is>
          <t>29103-ET-FG2701-1-1</t>
        </is>
      </c>
      <c r="C22" s="9" t="inlineStr">
        <is>
          <t>29103-ET-FG2701-1</t>
        </is>
      </c>
      <c r="D22" s="9" t="inlineStr">
        <is>
          <t>29103-AMB-011</t>
        </is>
      </c>
      <c r="E22" s="9" t="inlineStr">
        <is>
          <t>29103-FG-2701</t>
        </is>
      </c>
      <c r="F22" s="9" t="inlineStr">
        <is>
          <t>29103-65R-ET-FG2701-01-01</t>
        </is>
      </c>
      <c r="G22" s="9" t="inlineStr">
        <is>
          <t>13.1</t>
        </is>
      </c>
      <c r="H22" s="9" t="inlineStr">
        <is>
          <t>29103-ET-FG2701-1-1.pdf</t>
        </is>
      </c>
      <c r="I22" s="4" t="str">
        <f>IF($H22&lt;&gt;"","YES","NO")</f>
        <v>YES</v>
      </c>
      <c r="J22" s="4" t="str">
        <f>IF(N($T22)&gt;0,"YES","NO")</f>
        <v>NO</v>
      </c>
      <c r="K22" s="4" t="str">
        <f>IF(OR($A22="EHT Trace"),IF(AND($U22&lt;&gt;"",$V22&lt;&gt;""),"YES","NO"),"N/A")</f>
        <v>NO</v>
      </c>
      <c r="L22" s="4" t="str">
        <f>IF(OR($A22="EHT Trace"),IF(AND($X22&lt;&gt;"",$Y22&lt;&gt;""),"YES","NO"),"N/A")</f>
        <v>NO</v>
      </c>
      <c r="M22" s="4" t="str">
        <f>IF(OR($A22="EHT Trace"),IF(AND($AA22&lt;&gt;"",$AB22&lt;&gt;""),"YES","NO"),"N/A")</f>
        <v>NO</v>
      </c>
      <c r="N22" s="4" t="str">
        <f>IF(OR($A22="Power Cable"),IF(AND($AD22&lt;&gt;""),"YES","NO"),"N/A")</f>
        <v>N/A</v>
      </c>
      <c r="O22" s="4" t="str">
        <f>IF(OR($A22="Power Cable",$A22="RTD Cable",$A22="Fieldbus Cable"),IF(AND($AE22&lt;&gt;""),"YES","NO"),"N/A")</f>
        <v>N/A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str">
        <f>IF(OR($AM22&lt;&gt;"",$Z22&lt;&gt;"",$AC22&lt;&gt;""),"YES","NO")</f>
        <v>NO</v>
      </c>
      <c r="S22" s="4" t="str">
        <f>IF(COUNTIF(I22:R22,"NO")=0,"YES","NO")</f>
        <v>NO</v>
      </c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inlineStr">
        <is>
          <t>5XTVR2-CT</t>
        </is>
      </c>
      <c r="AK22" s="9" t="inlineStr">
        <is>
          <t>22.9 m m</t>
        </is>
      </c>
      <c r="AL22" s="9" t="inlineStr">
        <is>
          <t>Levy Ostrup</t>
        </is>
      </c>
      <c r="AM22" s="9" t="n"/>
      <c r="AN22" s="9" t="n"/>
    </row>
    <row r="23">
      <c r="A23" s="9" t="inlineStr">
        <is>
          <t>EHT Trace</t>
        </is>
      </c>
      <c r="B23" s="9" t="inlineStr">
        <is>
          <t>29103-ET-FG2703-1-1</t>
        </is>
      </c>
      <c r="C23" s="9" t="inlineStr">
        <is>
          <t>29103-ET-FG2703-1</t>
        </is>
      </c>
      <c r="D23" s="9" t="inlineStr">
        <is>
          <t>29103-AMB-011</t>
        </is>
      </c>
      <c r="E23" s="9" t="inlineStr">
        <is>
          <t>29103-FG-2703</t>
        </is>
      </c>
      <c r="F23" s="9" t="inlineStr">
        <is>
          <t>29103-65R-ET-FG2703-01-01</t>
        </is>
      </c>
      <c r="G23" s="9" t="inlineStr">
        <is>
          <t>13.1</t>
        </is>
      </c>
      <c r="H23" s="9" t="inlineStr">
        <is>
          <t>29103-ET-FG2703-1-1.pdf</t>
        </is>
      </c>
      <c r="I23" s="4" t="str">
        <f>IF($H23&lt;&gt;"","YES","NO")</f>
        <v>YES</v>
      </c>
      <c r="J23" s="4" t="str">
        <f>IF(N($T23)&gt;0,"YES","NO")</f>
        <v>NO</v>
      </c>
      <c r="K23" s="4" t="str">
        <f>IF(OR($A23="EHT Trace"),IF(AND($U23&lt;&gt;"",$V23&lt;&gt;""),"YES","NO"),"N/A")</f>
        <v>NO</v>
      </c>
      <c r="L23" s="4" t="str">
        <f>IF(OR($A23="EHT Trace"),IF(AND($X23&lt;&gt;"",$Y23&lt;&gt;""),"YES","NO"),"N/A")</f>
        <v>NO</v>
      </c>
      <c r="M23" s="4" t="str">
        <f>IF(OR($A23="EHT Trace"),IF(AND($AA23&lt;&gt;"",$AB23&lt;&gt;""),"YES","NO"),"N/A")</f>
        <v>NO</v>
      </c>
      <c r="N23" s="4" t="str">
        <f>IF(OR($A23="Power Cable"),IF(AND($AD23&lt;&gt;""),"YES","NO"),"N/A")</f>
        <v>N/A</v>
      </c>
      <c r="O23" s="4" t="str">
        <f>IF(OR($A23="Power Cable",$A23="RTD Cable",$A23="Fieldbus Cable"),IF(AND($AE23&lt;&gt;""),"YES","NO"),"N/A")</f>
        <v>N/A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str">
        <f>IF(OR($AM23&lt;&gt;"",$Z23&lt;&gt;"",$AC23&lt;&gt;""),"YES","NO")</f>
        <v>NO</v>
      </c>
      <c r="S23" s="4" t="str">
        <f>IF(COUNTIF(I23:R23,"NO")=0,"YES","NO")</f>
        <v>NO</v>
      </c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inlineStr">
        <is>
          <t>5XTVR2-CT</t>
        </is>
      </c>
      <c r="AK23" s="9" t="inlineStr">
        <is>
          <t>13.9 m m</t>
        </is>
      </c>
      <c r="AL23" s="9" t="inlineStr">
        <is>
          <t>Levy Ostrup</t>
        </is>
      </c>
      <c r="AM23" s="9" t="n"/>
      <c r="AN23" s="9" t="n"/>
    </row>
    <row r="24">
      <c r="A24" s="9" t="inlineStr">
        <is>
          <t>EHT Trace</t>
        </is>
      </c>
      <c r="B24" s="9" t="inlineStr">
        <is>
          <t>29103-ET-FG2703-1-2</t>
        </is>
      </c>
      <c r="C24" s="9" t="inlineStr">
        <is>
          <t>29103-ET-FG2703-1</t>
        </is>
      </c>
      <c r="D24" s="9" t="inlineStr">
        <is>
          <t>29103-AMB-011</t>
        </is>
      </c>
      <c r="E24" s="9" t="inlineStr">
        <is>
          <t>29103-FG-2703</t>
        </is>
      </c>
      <c r="F24" s="9" t="inlineStr">
        <is>
          <t>29103-65R-ET-FG2703-01-01</t>
        </is>
      </c>
      <c r="G24" s="9" t="inlineStr">
        <is>
          <t>13.1</t>
        </is>
      </c>
      <c r="H24" s="9" t="inlineStr">
        <is>
          <t>29103-ET-FG2703-1-2.pdf</t>
        </is>
      </c>
      <c r="I24" s="4" t="str">
        <f>IF($H24&lt;&gt;"","YES","NO")</f>
        <v>YES</v>
      </c>
      <c r="J24" s="4" t="str">
        <f>IF(N($T24)&gt;0,"YES","NO")</f>
        <v>NO</v>
      </c>
      <c r="K24" s="4" t="str">
        <f>IF(OR($A24="EHT Trace"),IF(AND($U24&lt;&gt;"",$V24&lt;&gt;""),"YES","NO"),"N/A")</f>
        <v>NO</v>
      </c>
      <c r="L24" s="4" t="str">
        <f>IF(OR($A24="EHT Trace"),IF(AND($X24&lt;&gt;"",$Y24&lt;&gt;""),"YES","NO"),"N/A")</f>
        <v>NO</v>
      </c>
      <c r="M24" s="4" t="str">
        <f>IF(OR($A24="EHT Trace"),IF(AND($AA24&lt;&gt;"",$AB24&lt;&gt;""),"YES","NO"),"N/A")</f>
        <v>NO</v>
      </c>
      <c r="N24" s="4" t="str">
        <f>IF(OR($A24="Power Cable"),IF(AND($AD24&lt;&gt;""),"YES","NO"),"N/A")</f>
        <v>N/A</v>
      </c>
      <c r="O24" s="4" t="str">
        <f>IF(OR($A24="Power Cable",$A24="RTD Cable",$A24="Fieldbus Cable"),IF(AND($AE24&lt;&gt;""),"YES","NO"),"N/A")</f>
        <v>N/A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str">
        <f>IF(OR($AM24&lt;&gt;"",$Z24&lt;&gt;"",$AC24&lt;&gt;""),"YES","NO")</f>
        <v>NO</v>
      </c>
      <c r="S24" s="4" t="str">
        <f>IF(COUNTIF(I24:R24,"NO")=0,"YES","NO")</f>
        <v>NO</v>
      </c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inlineStr">
        <is>
          <t>5XTVR2-CT</t>
        </is>
      </c>
      <c r="AK24" s="9" t="inlineStr">
        <is>
          <t>17.4 m m</t>
        </is>
      </c>
      <c r="AL24" s="9" t="inlineStr">
        <is>
          <t>Levy Ostrup</t>
        </is>
      </c>
      <c r="AM24" s="9" t="n"/>
      <c r="AN24" s="9" t="n"/>
    </row>
    <row r="25">
      <c r="A25" s="9" t="inlineStr">
        <is>
          <t>EHT Trace</t>
        </is>
      </c>
      <c r="B25" s="9" t="inlineStr">
        <is>
          <t>29103-ET-FG2703-1-3</t>
        </is>
      </c>
      <c r="C25" s="9" t="inlineStr">
        <is>
          <t>29103-ET-FG2703-1</t>
        </is>
      </c>
      <c r="D25" s="9" t="inlineStr">
        <is>
          <t>29103-AMB-011</t>
        </is>
      </c>
      <c r="E25" s="9" t="inlineStr"/>
      <c r="F25" s="9" t="inlineStr">
        <is>
          <t>29103-65R-ET-FG2703-01-01</t>
        </is>
      </c>
      <c r="G25" s="9" t="inlineStr">
        <is>
          <t>13.1</t>
        </is>
      </c>
      <c r="H25" s="9" t="inlineStr">
        <is>
          <t>29103-ET-FG2703-1-3.pdf</t>
        </is>
      </c>
      <c r="I25" s="4" t="str">
        <f>IF($H25&lt;&gt;"","YES","NO")</f>
        <v>YES</v>
      </c>
      <c r="J25" s="4" t="str">
        <f>IF(N($T25)&gt;0,"YES","NO")</f>
        <v>NO</v>
      </c>
      <c r="K25" s="4" t="str">
        <f>IF(OR($A25="EHT Trace"),IF(AND($U25&lt;&gt;"",$V25&lt;&gt;""),"YES","NO"),"N/A")</f>
        <v>NO</v>
      </c>
      <c r="L25" s="4" t="str">
        <f>IF(OR($A25="EHT Trace"),IF(AND($X25&lt;&gt;"",$Y25&lt;&gt;""),"YES","NO"),"N/A")</f>
        <v>NO</v>
      </c>
      <c r="M25" s="4" t="str">
        <f>IF(OR($A25="EHT Trace"),IF(AND($AA25&lt;&gt;"",$AB25&lt;&gt;""),"YES","NO"),"N/A")</f>
        <v>NO</v>
      </c>
      <c r="N25" s="4" t="str">
        <f>IF(OR($A25="Power Cable"),IF(AND($AD25&lt;&gt;""),"YES","NO"),"N/A")</f>
        <v>N/A</v>
      </c>
      <c r="O25" s="4" t="str">
        <f>IF(OR($A25="Power Cable",$A25="RTD Cable",$A25="Fieldbus Cable"),IF(AND($AE25&lt;&gt;""),"YES","NO"),"N/A")</f>
        <v>N/A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str">
        <f>IF(OR($AM25&lt;&gt;"",$Z25&lt;&gt;"",$AC25&lt;&gt;""),"YES","NO")</f>
        <v>NO</v>
      </c>
      <c r="S25" s="4" t="str">
        <f>IF(COUNTIF(I25:R25,"NO")=0,"YES","NO")</f>
        <v>NO</v>
      </c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inlineStr">
        <is>
          <t>5XTVR2-CT</t>
        </is>
      </c>
      <c r="AK25" s="9" t="inlineStr">
        <is>
          <t>6.5 m m</t>
        </is>
      </c>
      <c r="AL25" s="9" t="inlineStr">
        <is>
          <t>Levy Ostrup</t>
        </is>
      </c>
      <c r="AM25" s="9" t="n"/>
      <c r="AN25" s="9" t="n"/>
    </row>
    <row r="26">
      <c r="A26" s="9" t="inlineStr">
        <is>
          <t>EHT Trace</t>
        </is>
      </c>
      <c r="B26" s="9" t="inlineStr">
        <is>
          <t>29103-ET-FG2703-1-4</t>
        </is>
      </c>
      <c r="C26" s="9" t="inlineStr">
        <is>
          <t>29103-ET-FG2703-1</t>
        </is>
      </c>
      <c r="D26" s="9" t="inlineStr">
        <is>
          <t>29103-AMB-011</t>
        </is>
      </c>
      <c r="E26" s="9" t="inlineStr"/>
      <c r="F26" s="9" t="inlineStr">
        <is>
          <t>29103-65R-ET-FG2703-01-01</t>
        </is>
      </c>
      <c r="G26" s="9" t="inlineStr">
        <is>
          <t>13.1</t>
        </is>
      </c>
      <c r="H26" s="9" t="inlineStr">
        <is>
          <t>29103-ET-FG2703-1-4.pdf</t>
        </is>
      </c>
      <c r="I26" s="4" t="str">
        <f>IF($H26&lt;&gt;"","YES","NO")</f>
        <v>YES</v>
      </c>
      <c r="J26" s="4" t="str">
        <f>IF(N($T26)&gt;0,"YES","NO")</f>
        <v>NO</v>
      </c>
      <c r="K26" s="4" t="str">
        <f>IF(OR($A26="EHT Trace"),IF(AND($U26&lt;&gt;"",$V26&lt;&gt;""),"YES","NO"),"N/A")</f>
        <v>NO</v>
      </c>
      <c r="L26" s="4" t="str">
        <f>IF(OR($A26="EHT Trace"),IF(AND($X26&lt;&gt;"",$Y26&lt;&gt;""),"YES","NO"),"N/A")</f>
        <v>NO</v>
      </c>
      <c r="M26" s="4" t="str">
        <f>IF(OR($A26="EHT Trace"),IF(AND($AA26&lt;&gt;"",$AB26&lt;&gt;""),"YES","NO"),"N/A")</f>
        <v>NO</v>
      </c>
      <c r="N26" s="4" t="str">
        <f>IF(OR($A26="Power Cable"),IF(AND($AD26&lt;&gt;""),"YES","NO"),"N/A")</f>
        <v>N/A</v>
      </c>
      <c r="O26" s="4" t="str">
        <f>IF(OR($A26="Power Cable",$A26="RTD Cable",$A26="Fieldbus Cable"),IF(AND($AE26&lt;&gt;""),"YES","NO"),"N/A")</f>
        <v>N/A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str">
        <f>IF(OR($AM26&lt;&gt;"",$Z26&lt;&gt;"",$AC26&lt;&gt;""),"YES","NO")</f>
        <v>NO</v>
      </c>
      <c r="S26" s="4" t="str">
        <f>IF(COUNTIF(I26:R26,"NO")=0,"YES","NO")</f>
        <v>NO</v>
      </c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inlineStr">
        <is>
          <t>5XTVR2-CT</t>
        </is>
      </c>
      <c r="AK26" s="9" t="inlineStr">
        <is>
          <t>13.1 m m</t>
        </is>
      </c>
      <c r="AL26" s="9" t="inlineStr">
        <is>
          <t>Levy Ostrup</t>
        </is>
      </c>
      <c r="AM26" s="9" t="n"/>
      <c r="AN26" s="9" t="n"/>
    </row>
    <row r="27">
      <c r="A27" s="9" t="inlineStr">
        <is>
          <t>EHT Trace</t>
        </is>
      </c>
      <c r="B27" s="9" t="inlineStr">
        <is>
          <t>29103-ET-P2401-1-1</t>
        </is>
      </c>
      <c r="C27" s="9" t="inlineStr">
        <is>
          <t>29103-ET-P2401-1</t>
        </is>
      </c>
      <c r="D27" s="9" t="inlineStr">
        <is>
          <t>HTC-05 / CB-05</t>
        </is>
      </c>
      <c r="E27" s="9" t="inlineStr">
        <is>
          <t>29103-P-2401</t>
        </is>
      </c>
      <c r="F27" s="9" t="inlineStr">
        <is>
          <t>29103-65R-ET-P2401-01-01</t>
        </is>
      </c>
      <c r="G27" s="9" t="inlineStr">
        <is>
          <t>13.1</t>
        </is>
      </c>
      <c r="H27" s="9" t="inlineStr">
        <is>
          <t>29103-ET-P2401-1-1.pdf</t>
        </is>
      </c>
      <c r="I27" s="4" t="str">
        <f>IF($H27&lt;&gt;"","YES","NO")</f>
        <v>YES</v>
      </c>
      <c r="J27" s="4" t="str">
        <f>IF(N($T27)&gt;0,"YES","NO")</f>
        <v>NO</v>
      </c>
      <c r="K27" s="4" t="str">
        <f>IF(OR($A27="EHT Trace"),IF(AND($U27&lt;&gt;"",$V27&lt;&gt;""),"YES","NO"),"N/A")</f>
        <v>NO</v>
      </c>
      <c r="L27" s="4" t="str">
        <f>IF(OR($A27="EHT Trace"),IF(AND($X27&lt;&gt;"",$Y27&lt;&gt;""),"YES","NO"),"N/A")</f>
        <v>NO</v>
      </c>
      <c r="M27" s="4" t="str">
        <f>IF(OR($A27="EHT Trace"),IF(AND($AA27&lt;&gt;"",$AB27&lt;&gt;""),"YES","NO"),"N/A")</f>
        <v>NO</v>
      </c>
      <c r="N27" s="4" t="str">
        <f>IF(OR($A27="Power Cable"),IF(AND($AD27&lt;&gt;""),"YES","NO"),"N/A")</f>
        <v>N/A</v>
      </c>
      <c r="O27" s="4" t="str">
        <f>IF(OR($A27="Power Cable",$A27="RTD Cable",$A27="Fieldbus Cable"),IF(AND($AE27&lt;&gt;""),"YES","NO"),"N/A")</f>
        <v>N/A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str">
        <f>IF(OR($AM27&lt;&gt;"",$Z27&lt;&gt;"",$AC27&lt;&gt;""),"YES","NO")</f>
        <v>NO</v>
      </c>
      <c r="S27" s="4" t="str">
        <f>IF(COUNTIF(I27:R27,"NO")=0,"YES","NO")</f>
        <v>NO</v>
      </c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inlineStr">
        <is>
          <t>E/32SQ3374/20.6M/1001/165/1.2M/LS23A/X/N12/XNF</t>
        </is>
      </c>
      <c r="AK27" s="9" t="inlineStr">
        <is>
          <t>20.6 m m</t>
        </is>
      </c>
      <c r="AL27" s="9" t="inlineStr">
        <is>
          <t>Levy Ostrup</t>
        </is>
      </c>
      <c r="AM27" s="9" t="n"/>
      <c r="AN27" s="9" t="n"/>
    </row>
    <row r="28">
      <c r="A28" s="9" t="inlineStr">
        <is>
          <t>EHT Trace</t>
        </is>
      </c>
      <c r="B28" s="9" t="inlineStr">
        <is>
          <t>29103-ET-P2401-1-2</t>
        </is>
      </c>
      <c r="C28" s="9" t="inlineStr">
        <is>
          <t>29103-ET-P2401-1</t>
        </is>
      </c>
      <c r="D28" s="9" t="inlineStr">
        <is>
          <t>HTC-05 / CB-05</t>
        </is>
      </c>
      <c r="E28" s="9" t="inlineStr">
        <is>
          <t>29103-P-2401</t>
        </is>
      </c>
      <c r="F28" s="9" t="inlineStr">
        <is>
          <t>29103-65R-ET-P2401-01-01</t>
        </is>
      </c>
      <c r="G28" s="9" t="inlineStr">
        <is>
          <t>13.1</t>
        </is>
      </c>
      <c r="H28" s="9" t="inlineStr">
        <is>
          <t>29103-ET-P2401-1-2.pdf</t>
        </is>
      </c>
      <c r="I28" s="4" t="str">
        <f>IF($H28&lt;&gt;"","YES","NO")</f>
        <v>YES</v>
      </c>
      <c r="J28" s="4" t="str">
        <f>IF(N($T28)&gt;0,"YES","NO")</f>
        <v>NO</v>
      </c>
      <c r="K28" s="4" t="str">
        <f>IF(OR($A28="EHT Trace"),IF(AND($U28&lt;&gt;"",$V28&lt;&gt;""),"YES","NO"),"N/A")</f>
        <v>NO</v>
      </c>
      <c r="L28" s="4" t="str">
        <f>IF(OR($A28="EHT Trace"),IF(AND($X28&lt;&gt;"",$Y28&lt;&gt;""),"YES","NO"),"N/A")</f>
        <v>NO</v>
      </c>
      <c r="M28" s="4" t="str">
        <f>IF(OR($A28="EHT Trace"),IF(AND($AA28&lt;&gt;"",$AB28&lt;&gt;""),"YES","NO"),"N/A")</f>
        <v>NO</v>
      </c>
      <c r="N28" s="4" t="str">
        <f>IF(OR($A28="Power Cable"),IF(AND($AD28&lt;&gt;""),"YES","NO"),"N/A")</f>
        <v>N/A</v>
      </c>
      <c r="O28" s="4" t="str">
        <f>IF(OR($A28="Power Cable",$A28="RTD Cable",$A28="Fieldbus Cable"),IF(AND($AE28&lt;&gt;""),"YES","NO"),"N/A")</f>
        <v>N/A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str">
        <f>IF(OR($AM28&lt;&gt;"",$Z28&lt;&gt;"",$AC28&lt;&gt;""),"YES","NO")</f>
        <v>NO</v>
      </c>
      <c r="S28" s="4" t="str">
        <f>IF(COUNTIF(I28:R28,"NO")=0,"YES","NO")</f>
        <v>NO</v>
      </c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inlineStr">
        <is>
          <t>D/32SQ3374/13.9M/676/112/1.2M/LS23A/X/N12/XMN</t>
        </is>
      </c>
      <c r="AK28" s="9" t="inlineStr">
        <is>
          <t>13.9 m m</t>
        </is>
      </c>
      <c r="AL28" s="9" t="inlineStr">
        <is>
          <t>Levy Ostrup</t>
        </is>
      </c>
      <c r="AM28" s="9" t="n"/>
      <c r="AN28" s="9" t="n"/>
    </row>
    <row r="29">
      <c r="A29" s="9" t="inlineStr">
        <is>
          <t>EHT Trace</t>
        </is>
      </c>
      <c r="B29" s="9" t="inlineStr">
        <is>
          <t>29103-ET-P2501-1-1</t>
        </is>
      </c>
      <c r="C29" s="9" t="inlineStr">
        <is>
          <t>29103-ET-P2501-1</t>
        </is>
      </c>
      <c r="D29" s="9" t="inlineStr">
        <is>
          <t>HTC-04 / CB-04</t>
        </is>
      </c>
      <c r="E29" s="9" t="inlineStr">
        <is>
          <t>29103-P-2501</t>
        </is>
      </c>
      <c r="F29" s="9" t="inlineStr">
        <is>
          <t>29103-65R-ET-P2501-01-01</t>
        </is>
      </c>
      <c r="G29" s="9" t="inlineStr">
        <is>
          <t>13.1</t>
        </is>
      </c>
      <c r="H29" s="9" t="inlineStr">
        <is>
          <t>29103-ET-P2501-1-1.pdf</t>
        </is>
      </c>
      <c r="I29" s="4" t="str">
        <f>IF($H29&lt;&gt;"","YES","NO")</f>
        <v>YES</v>
      </c>
      <c r="J29" s="4" t="str">
        <f>IF(N($T29)&gt;0,"YES","NO")</f>
        <v>NO</v>
      </c>
      <c r="K29" s="4" t="str">
        <f>IF(OR($A29="EHT Trace"),IF(AND($U29&lt;&gt;"",$V29&lt;&gt;""),"YES","NO"),"N/A")</f>
        <v>NO</v>
      </c>
      <c r="L29" s="4" t="str">
        <f>IF(OR($A29="EHT Trace"),IF(AND($X29&lt;&gt;"",$Y29&lt;&gt;""),"YES","NO"),"N/A")</f>
        <v>NO</v>
      </c>
      <c r="M29" s="4" t="str">
        <f>IF(OR($A29="EHT Trace"),IF(AND($AA29&lt;&gt;"",$AB29&lt;&gt;""),"YES","NO"),"N/A")</f>
        <v>NO</v>
      </c>
      <c r="N29" s="4" t="str">
        <f>IF(OR($A29="Power Cable"),IF(AND($AD29&lt;&gt;""),"YES","NO"),"N/A")</f>
        <v>N/A</v>
      </c>
      <c r="O29" s="4" t="str">
        <f>IF(OR($A29="Power Cable",$A29="RTD Cable",$A29="Fieldbus Cable"),IF(AND($AE29&lt;&gt;""),"YES","NO"),"N/A")</f>
        <v>N/A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str">
        <f>IF(OR($AM29&lt;&gt;"",$Z29&lt;&gt;"",$AC29&lt;&gt;""),"YES","NO")</f>
        <v>NO</v>
      </c>
      <c r="S29" s="4" t="str">
        <f>IF(COUNTIF(I29:R29,"NO")=0,"YES","NO")</f>
        <v>NO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inlineStr">
        <is>
          <t>E/32SQ3374/20.5M/1007/166/1.2M/LS23A/X/N12/XNF</t>
        </is>
      </c>
      <c r="AK29" s="9" t="inlineStr">
        <is>
          <t>20.5 m m</t>
        </is>
      </c>
      <c r="AL29" s="9" t="inlineStr">
        <is>
          <t>Levy Ostrup</t>
        </is>
      </c>
      <c r="AM29" s="9" t="n"/>
      <c r="AN29" s="9" t="n"/>
    </row>
    <row r="30">
      <c r="A30" s="9" t="inlineStr">
        <is>
          <t>EHT Trace</t>
        </is>
      </c>
      <c r="B30" s="9" t="inlineStr">
        <is>
          <t>29103-ET-P2501-1-2</t>
        </is>
      </c>
      <c r="C30" s="9" t="inlineStr">
        <is>
          <t>29103-ET-P2501-1</t>
        </is>
      </c>
      <c r="D30" s="9" t="inlineStr">
        <is>
          <t>HTC-04 / CB-04</t>
        </is>
      </c>
      <c r="E30" s="9" t="inlineStr">
        <is>
          <t>29103-P-2501</t>
        </is>
      </c>
      <c r="F30" s="9" t="inlineStr">
        <is>
          <t>29103-65R-ET-P2501-01-01</t>
        </is>
      </c>
      <c r="G30" s="9" t="inlineStr">
        <is>
          <t>13.1</t>
        </is>
      </c>
      <c r="H30" s="9" t="inlineStr">
        <is>
          <t>29103-ET-P2501-1-2.pdf</t>
        </is>
      </c>
      <c r="I30" s="4" t="str">
        <f>IF($H30&lt;&gt;"","YES","NO")</f>
        <v>YES</v>
      </c>
      <c r="J30" s="4" t="str">
        <f>IF(N($T30)&gt;0,"YES","NO")</f>
        <v>NO</v>
      </c>
      <c r="K30" s="4" t="str">
        <f>IF(OR($A30="EHT Trace"),IF(AND($U30&lt;&gt;"",$V30&lt;&gt;""),"YES","NO"),"N/A")</f>
        <v>NO</v>
      </c>
      <c r="L30" s="4" t="str">
        <f>IF(OR($A30="EHT Trace"),IF(AND($X30&lt;&gt;"",$Y30&lt;&gt;""),"YES","NO"),"N/A")</f>
        <v>NO</v>
      </c>
      <c r="M30" s="4" t="str">
        <f>IF(OR($A30="EHT Trace"),IF(AND($AA30&lt;&gt;"",$AB30&lt;&gt;""),"YES","NO"),"N/A")</f>
        <v>NO</v>
      </c>
      <c r="N30" s="4" t="str">
        <f>IF(OR($A30="Power Cable"),IF(AND($AD30&lt;&gt;""),"YES","NO"),"N/A")</f>
        <v>N/A</v>
      </c>
      <c r="O30" s="4" t="str">
        <f>IF(OR($A30="Power Cable",$A30="RTD Cable",$A30="Fieldbus Cable"),IF(AND($AE30&lt;&gt;""),"YES","NO"),"N/A")</f>
        <v>N/A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str">
        <f>IF(OR($AM30&lt;&gt;"",$Z30&lt;&gt;"",$AC30&lt;&gt;""),"YES","NO")</f>
        <v>NO</v>
      </c>
      <c r="S30" s="4" t="str">
        <f>IF(COUNTIF(I30:R30,"NO")=0,"YES","NO")</f>
        <v>NO</v>
      </c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inlineStr">
        <is>
          <t>D/32SQ3374/13.8M/678/111/1.2M/LS23A/X/N12/XMN</t>
        </is>
      </c>
      <c r="AK30" s="9" t="inlineStr">
        <is>
          <t>13.8 m m</t>
        </is>
      </c>
      <c r="AL30" s="9" t="inlineStr">
        <is>
          <t>Levy Ostrup</t>
        </is>
      </c>
      <c r="AM30" s="9" t="n"/>
      <c r="AN30" s="9" t="n"/>
    </row>
    <row r="31">
      <c r="A31" s="9" t="inlineStr">
        <is>
          <t>EHT Trace</t>
        </is>
      </c>
      <c r="B31" s="9" t="inlineStr">
        <is>
          <t>29103-ET-P2504-1-1</t>
        </is>
      </c>
      <c r="C31" s="9" t="inlineStr">
        <is>
          <t>29103-ET-P2504-1</t>
        </is>
      </c>
      <c r="D31" s="9" t="inlineStr">
        <is>
          <t>HTC-09 / CB-09</t>
        </is>
      </c>
      <c r="E31" s="9" t="inlineStr">
        <is>
          <t>29103-PE-2501, 29103-P-2504</t>
        </is>
      </c>
      <c r="F31" s="9" t="inlineStr">
        <is>
          <t>29103-65R-ET-P2504-01-01</t>
        </is>
      </c>
      <c r="G31" s="9" t="inlineStr">
        <is>
          <t>13.1</t>
        </is>
      </c>
      <c r="H31" s="9" t="inlineStr">
        <is>
          <t>29103-ET-P2504-1-1.pdf</t>
        </is>
      </c>
      <c r="I31" s="4" t="str">
        <f>IF($H31&lt;&gt;"","YES","NO")</f>
        <v>YES</v>
      </c>
      <c r="J31" s="4" t="str">
        <f>IF(N($T31)&gt;0,"YES","NO")</f>
        <v>NO</v>
      </c>
      <c r="K31" s="4" t="str">
        <f>IF(OR($A31="EHT Trace"),IF(AND($U31&lt;&gt;"",$V31&lt;&gt;""),"YES","NO"),"N/A")</f>
        <v>NO</v>
      </c>
      <c r="L31" s="4" t="str">
        <f>IF(OR($A31="EHT Trace"),IF(AND($X31&lt;&gt;"",$Y31&lt;&gt;""),"YES","NO"),"N/A")</f>
        <v>NO</v>
      </c>
      <c r="M31" s="4" t="str">
        <f>IF(OR($A31="EHT Trace"),IF(AND($AA31&lt;&gt;"",$AB31&lt;&gt;""),"YES","NO"),"N/A")</f>
        <v>NO</v>
      </c>
      <c r="N31" s="4" t="str">
        <f>IF(OR($A31="Power Cable"),IF(AND($AD31&lt;&gt;""),"YES","NO"),"N/A")</f>
        <v>N/A</v>
      </c>
      <c r="O31" s="4" t="str">
        <f>IF(OR($A31="Power Cable",$A31="RTD Cable",$A31="Fieldbus Cable"),IF(AND($AE31&lt;&gt;""),"YES","NO"),"N/A")</f>
        <v>N/A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str">
        <f>IF(OR($AM31&lt;&gt;"",$Z31&lt;&gt;"",$AC31&lt;&gt;""),"YES","NO")</f>
        <v>NO</v>
      </c>
      <c r="S31" s="4" t="str">
        <f>IF(COUNTIF(I31:R31,"NO")=0,"YES","NO")</f>
        <v>NO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inlineStr">
        <is>
          <t>D/32SA2200/20.9M/554/277/1.2M/LS23A/X/N12</t>
        </is>
      </c>
      <c r="AK31" s="9" t="inlineStr">
        <is>
          <t>20.9 m m</t>
        </is>
      </c>
      <c r="AL31" s="9" t="inlineStr">
        <is>
          <t>Levy Ostrup</t>
        </is>
      </c>
      <c r="AM31" s="9" t="n"/>
      <c r="AN31" s="9" t="n"/>
    </row>
    <row r="32">
      <c r="A32" s="9" t="inlineStr">
        <is>
          <t>EHT Trace</t>
        </is>
      </c>
      <c r="B32" s="9" t="inlineStr">
        <is>
          <t>29103-ET-P2504-1-2</t>
        </is>
      </c>
      <c r="C32" s="9" t="inlineStr">
        <is>
          <t>29103-ET-P2504-1</t>
        </is>
      </c>
      <c r="D32" s="9" t="inlineStr">
        <is>
          <t>HTC-09 / CB-09</t>
        </is>
      </c>
      <c r="E32" s="9" t="inlineStr">
        <is>
          <t>29103-P-2504</t>
        </is>
      </c>
      <c r="F32" s="9" t="inlineStr">
        <is>
          <t>29103-65R-ET-P2504-01-01</t>
        </is>
      </c>
      <c r="G32" s="9" t="inlineStr">
        <is>
          <t>13.1</t>
        </is>
      </c>
      <c r="H32" s="9" t="inlineStr">
        <is>
          <t>29103-ET-P2504-1-2.pdf</t>
        </is>
      </c>
      <c r="I32" s="4" t="str">
        <f>IF($H32&lt;&gt;"","YES","NO")</f>
        <v>YES</v>
      </c>
      <c r="J32" s="4" t="str">
        <f>IF(N($T32)&gt;0,"YES","NO")</f>
        <v>NO</v>
      </c>
      <c r="K32" s="4" t="str">
        <f>IF(OR($A32="EHT Trace"),IF(AND($U32&lt;&gt;"",$V32&lt;&gt;""),"YES","NO"),"N/A")</f>
        <v>YES</v>
      </c>
      <c r="L32" s="4" t="str">
        <f>IF(OR($A32="EHT Trace"),IF(AND($X32&lt;&gt;"",$Y32&lt;&gt;""),"YES","NO"),"N/A")</f>
        <v>NO</v>
      </c>
      <c r="M32" s="4" t="str">
        <f>IF(OR($A32="EHT Trace"),IF(AND($AA32&lt;&gt;"",$AB32&lt;&gt;""),"YES","NO"),"N/A")</f>
        <v>NO</v>
      </c>
      <c r="N32" s="4" t="str">
        <f>IF(OR($A32="Power Cable"),IF(AND($AD32&lt;&gt;""),"YES","NO"),"N/A")</f>
        <v>N/A</v>
      </c>
      <c r="O32" s="4" t="str">
        <f>IF(OR($A32="Power Cable",$A32="RTD Cable",$A32="Fieldbus Cable"),IF(AND($AE32&lt;&gt;""),"YES","NO"),"N/A")</f>
        <v>N/A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str">
        <f>IF(OR($AM32&lt;&gt;"",$Z32&lt;&gt;"",$AC32&lt;&gt;""),"YES","NO")</f>
        <v>NO</v>
      </c>
      <c r="S32" s="4" t="str">
        <f>IF(COUNTIF(I32:R32,"NO")=0,"YES","NO")</f>
        <v>NO</v>
      </c>
      <c r="T32" s="9" t="n"/>
      <c r="U32" s="9" t="inlineStr">
        <is>
          <t>&gt;2.2 GΩ</t>
        </is>
      </c>
      <c r="V32" s="9" t="inlineStr">
        <is>
          <t>12.7 Ω</t>
        </is>
      </c>
      <c r="W32" s="9" t="inlineStr">
        <is>
          <t>2026-05-17</t>
        </is>
      </c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inlineStr">
        <is>
          <t>E/32SQ3472/8M/461/78.9/1.2M/LS23A/X/N12/XNF</t>
        </is>
      </c>
      <c r="AK32" s="9" t="inlineStr">
        <is>
          <t>8 m m</t>
        </is>
      </c>
      <c r="AL32" s="9" t="inlineStr">
        <is>
          <t>Levy Ostrup</t>
        </is>
      </c>
      <c r="AM32" s="9" t="n"/>
      <c r="AN32" s="9" t="n"/>
    </row>
    <row r="33">
      <c r="A33" s="9" t="inlineStr">
        <is>
          <t>EHT Trace</t>
        </is>
      </c>
      <c r="B33" s="9" t="inlineStr">
        <is>
          <t>29103-ET-P2504-1-3</t>
        </is>
      </c>
      <c r="C33" s="9" t="inlineStr">
        <is>
          <t>29103-ET-P2504-1</t>
        </is>
      </c>
      <c r="D33" s="9" t="inlineStr">
        <is>
          <t>HTC-09 / CB-09</t>
        </is>
      </c>
      <c r="E33" s="9" t="inlineStr">
        <is>
          <t>29103-P-2504</t>
        </is>
      </c>
      <c r="F33" s="9" t="inlineStr">
        <is>
          <t>29103-65R-ET-P2504-01-01</t>
        </is>
      </c>
      <c r="G33" s="9" t="inlineStr">
        <is>
          <t>13.1</t>
        </is>
      </c>
      <c r="H33" s="9" t="inlineStr">
        <is>
          <t>29103-ET-P2504-1-3.pdf</t>
        </is>
      </c>
      <c r="I33" s="4" t="str">
        <f>IF($H33&lt;&gt;"","YES","NO")</f>
        <v>YES</v>
      </c>
      <c r="J33" s="4" t="str">
        <f>IF(N($T33)&gt;0,"YES","NO")</f>
        <v>NO</v>
      </c>
      <c r="K33" s="4" t="str">
        <f>IF(OR($A33="EHT Trace"),IF(AND($U33&lt;&gt;"",$V33&lt;&gt;""),"YES","NO"),"N/A")</f>
        <v>YES</v>
      </c>
      <c r="L33" s="4" t="str">
        <f>IF(OR($A33="EHT Trace"),IF(AND($X33&lt;&gt;"",$Y33&lt;&gt;""),"YES","NO"),"N/A")</f>
        <v>NO</v>
      </c>
      <c r="M33" s="4" t="str">
        <f>IF(OR($A33="EHT Trace"),IF(AND($AA33&lt;&gt;"",$AB33&lt;&gt;""),"YES","NO"),"N/A")</f>
        <v>NO</v>
      </c>
      <c r="N33" s="4" t="str">
        <f>IF(OR($A33="Power Cable"),IF(AND($AD33&lt;&gt;""),"YES","NO"),"N/A")</f>
        <v>N/A</v>
      </c>
      <c r="O33" s="4" t="str">
        <f>IF(OR($A33="Power Cable",$A33="RTD Cable",$A33="Fieldbus Cable"),IF(AND($AE33&lt;&gt;""),"YES","NO"),"N/A")</f>
        <v>N/A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str">
        <f>IF(OR($AM33&lt;&gt;"",$Z33&lt;&gt;"",$AC33&lt;&gt;""),"YES","NO")</f>
        <v>NO</v>
      </c>
      <c r="S33" s="4" t="str">
        <f>IF(COUNTIF(I33:R33,"NO")=0,"YES","NO")</f>
        <v>NO</v>
      </c>
      <c r="T33" s="9" t="n"/>
      <c r="U33" s="9" t="inlineStr">
        <is>
          <t>&gt;2.2 GΩ</t>
        </is>
      </c>
      <c r="V33" s="9" t="inlineStr">
        <is>
          <t>11.4 Ω</t>
        </is>
      </c>
      <c r="W33" s="9" t="inlineStr">
        <is>
          <t>2026-05-17</t>
        </is>
      </c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inlineStr">
        <is>
          <t>E/32SQ3472/7M/403/69/1.2M/LS23A/X/N12/XMF</t>
        </is>
      </c>
      <c r="AK33" s="9" t="inlineStr">
        <is>
          <t>7 m m</t>
        </is>
      </c>
      <c r="AL33" s="9" t="inlineStr">
        <is>
          <t>Levy Ostrup</t>
        </is>
      </c>
      <c r="AM33" s="9" t="n"/>
      <c r="AN33" s="9" t="n"/>
    </row>
    <row r="34">
      <c r="A34" s="9" t="inlineStr">
        <is>
          <t>EHT Trace</t>
        </is>
      </c>
      <c r="B34" s="9" t="inlineStr">
        <is>
          <t>29103-ET-P2504-1-4</t>
        </is>
      </c>
      <c r="C34" s="9" t="inlineStr">
        <is>
          <t>29103-ET-P2504-1</t>
        </is>
      </c>
      <c r="D34" s="9" t="inlineStr">
        <is>
          <t>HTC-09 / CB-09</t>
        </is>
      </c>
      <c r="E34" s="9" t="inlineStr">
        <is>
          <t>29103-P-2504</t>
        </is>
      </c>
      <c r="F34" s="9" t="inlineStr">
        <is>
          <t>29103-65R-ET-P2504-01-01</t>
        </is>
      </c>
      <c r="G34" s="9" t="inlineStr">
        <is>
          <t>13.1</t>
        </is>
      </c>
      <c r="H34" s="9" t="inlineStr">
        <is>
          <t>29103-ET-P2504-1-4.pdf</t>
        </is>
      </c>
      <c r="I34" s="4" t="str">
        <f>IF($H34&lt;&gt;"","YES","NO")</f>
        <v>YES</v>
      </c>
      <c r="J34" s="4" t="str">
        <f>IF(N($T34)&gt;0,"YES","NO")</f>
        <v>NO</v>
      </c>
      <c r="K34" s="4" t="str">
        <f>IF(OR($A34="EHT Trace"),IF(AND($U34&lt;&gt;"",$V34&lt;&gt;""),"YES","NO"),"N/A")</f>
        <v>YES</v>
      </c>
      <c r="L34" s="4" t="str">
        <f>IF(OR($A34="EHT Trace"),IF(AND($X34&lt;&gt;"",$Y34&lt;&gt;""),"YES","NO"),"N/A")</f>
        <v>NO</v>
      </c>
      <c r="M34" s="4" t="str">
        <f>IF(OR($A34="EHT Trace"),IF(AND($AA34&lt;&gt;"",$AB34&lt;&gt;""),"YES","NO"),"N/A")</f>
        <v>NO</v>
      </c>
      <c r="N34" s="4" t="str">
        <f>IF(OR($A34="Power Cable"),IF(AND($AD34&lt;&gt;""),"YES","NO"),"N/A")</f>
        <v>N/A</v>
      </c>
      <c r="O34" s="4" t="str">
        <f>IF(OR($A34="Power Cable",$A34="RTD Cable",$A34="Fieldbus Cable"),IF(AND($AE34&lt;&gt;""),"YES","NO"),"N/A")</f>
        <v>N/A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str">
        <f>IF(OR($AM34&lt;&gt;"",$Z34&lt;&gt;"",$AC34&lt;&gt;""),"YES","NO")</f>
        <v>NO</v>
      </c>
      <c r="S34" s="4" t="str">
        <f>IF(COUNTIF(I34:R34,"NO")=0,"YES","NO")</f>
        <v>NO</v>
      </c>
      <c r="T34" s="9" t="n"/>
      <c r="U34" s="9" t="inlineStr">
        <is>
          <t>&gt;2.2 GΩ</t>
        </is>
      </c>
      <c r="V34" s="9" t="inlineStr">
        <is>
          <t>20.9 Ω</t>
        </is>
      </c>
      <c r="W34" s="9" t="inlineStr">
        <is>
          <t>2026-05-17</t>
        </is>
      </c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inlineStr">
        <is>
          <t>D/32SQ3472/13.1M/755/129/1.2M/LS23A/X/N12/XMN</t>
        </is>
      </c>
      <c r="AK34" s="9" t="inlineStr">
        <is>
          <t>13.1 m m</t>
        </is>
      </c>
      <c r="AL34" s="9" t="inlineStr">
        <is>
          <t>Levy Ostrup</t>
        </is>
      </c>
      <c r="AM34" s="9" t="n"/>
      <c r="AN34" s="9" t="n"/>
    </row>
    <row r="35">
      <c r="A35" s="9" t="inlineStr">
        <is>
          <t>EHT Trace</t>
        </is>
      </c>
      <c r="B35" s="9" t="inlineStr">
        <is>
          <t>29103-ET-P2504-2-1</t>
        </is>
      </c>
      <c r="C35" s="9" t="inlineStr">
        <is>
          <t>29103-ET-P2504-2</t>
        </is>
      </c>
      <c r="D35" s="9" t="inlineStr">
        <is>
          <t>HTC-20 / CB-20</t>
        </is>
      </c>
      <c r="E35" s="9" t="inlineStr">
        <is>
          <t>29103-P-2504, 29103-FG-2502</t>
        </is>
      </c>
      <c r="F35" s="9" t="inlineStr">
        <is>
          <t>29103-65R-ET-P2504-02-01</t>
        </is>
      </c>
      <c r="G35" s="9" t="inlineStr">
        <is>
          <t>13.1</t>
        </is>
      </c>
      <c r="H35" s="9" t="inlineStr">
        <is>
          <t>29103-ET-P2504-2-1.pdf</t>
        </is>
      </c>
      <c r="I35" s="4" t="str">
        <f>IF($H35&lt;&gt;"","YES","NO")</f>
        <v>YES</v>
      </c>
      <c r="J35" s="4" t="str">
        <f>IF(N($T35)&gt;0,"YES","NO")</f>
        <v>NO</v>
      </c>
      <c r="K35" s="4" t="str">
        <f>IF(OR($A35="EHT Trace"),IF(AND($U35&lt;&gt;"",$V35&lt;&gt;""),"YES","NO"),"N/A")</f>
        <v>YES</v>
      </c>
      <c r="L35" s="4" t="str">
        <f>IF(OR($A35="EHT Trace"),IF(AND($X35&lt;&gt;"",$Y35&lt;&gt;""),"YES","NO"),"N/A")</f>
        <v>NO</v>
      </c>
      <c r="M35" s="4" t="str">
        <f>IF(OR($A35="EHT Trace"),IF(AND($AA35&lt;&gt;"",$AB35&lt;&gt;""),"YES","NO"),"N/A")</f>
        <v>NO</v>
      </c>
      <c r="N35" s="4" t="str">
        <f>IF(OR($A35="Power Cable"),IF(AND($AD35&lt;&gt;""),"YES","NO"),"N/A")</f>
        <v>N/A</v>
      </c>
      <c r="O35" s="4" t="str">
        <f>IF(OR($A35="Power Cable",$A35="RTD Cable",$A35="Fieldbus Cable"),IF(AND($AE35&lt;&gt;""),"YES","NO"),"N/A")</f>
        <v>N/A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str">
        <f>IF(OR($AM35&lt;&gt;"",$Z35&lt;&gt;"",$AC35&lt;&gt;""),"YES","NO")</f>
        <v>NO</v>
      </c>
      <c r="S35" s="4" t="str">
        <f>IF(COUNTIF(I35:R35,"NO")=0,"YES","NO")</f>
        <v>NO</v>
      </c>
      <c r="T35" s="9" t="n"/>
      <c r="U35" s="9" t="inlineStr">
        <is>
          <t>&gt;2.2 GΩ</t>
        </is>
      </c>
      <c r="V35" s="9" t="inlineStr">
        <is>
          <t>371.4 Ω</t>
        </is>
      </c>
      <c r="W35" s="9" t="inlineStr">
        <is>
          <t>2026-05-17</t>
        </is>
      </c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inlineStr">
        <is>
          <t>D/32SF1180/6.2M/207/277/1.2M/LS23A/X/N12</t>
        </is>
      </c>
      <c r="AK35" s="9" t="inlineStr">
        <is>
          <t>6.2 m m</t>
        </is>
      </c>
      <c r="AL35" s="9" t="inlineStr">
        <is>
          <t>Levy Ostrup</t>
        </is>
      </c>
      <c r="AM35" s="9" t="n"/>
      <c r="AN35" s="9" t="n"/>
    </row>
    <row r="36">
      <c r="A36" s="9" t="inlineStr">
        <is>
          <t>EHT Trace</t>
        </is>
      </c>
      <c r="B36" s="9" t="inlineStr">
        <is>
          <t>29103-ET-P2601-1-1</t>
        </is>
      </c>
      <c r="C36" s="9" t="inlineStr">
        <is>
          <t>29103-ET-P2601-1</t>
        </is>
      </c>
      <c r="D36" s="9" t="inlineStr">
        <is>
          <t>HTC-35 / CB-35</t>
        </is>
      </c>
      <c r="E36" s="9" t="inlineStr">
        <is>
          <t>29103-P-2601</t>
        </is>
      </c>
      <c r="F36" s="9" t="inlineStr">
        <is>
          <t>29103-65R-ET-P2601-01-01</t>
        </is>
      </c>
      <c r="G36" s="9" t="inlineStr">
        <is>
          <t>13.1</t>
        </is>
      </c>
      <c r="H36" s="9" t="inlineStr">
        <is>
          <t>29103-ET-P2601-1-1.pdf</t>
        </is>
      </c>
      <c r="I36" s="4" t="str">
        <f>IF($H36&lt;&gt;"","YES","NO")</f>
        <v>YES</v>
      </c>
      <c r="J36" s="4" t="str">
        <f>IF(N($T36)&gt;0,"YES","NO")</f>
        <v>NO</v>
      </c>
      <c r="K36" s="4" t="str">
        <f>IF(OR($A36="EHT Trace"),IF(AND($U36&lt;&gt;"",$V36&lt;&gt;""),"YES","NO"),"N/A")</f>
        <v>NO</v>
      </c>
      <c r="L36" s="4" t="str">
        <f>IF(OR($A36="EHT Trace"),IF(AND($X36&lt;&gt;"",$Y36&lt;&gt;""),"YES","NO"),"N/A")</f>
        <v>NO</v>
      </c>
      <c r="M36" s="4" t="str">
        <f>IF(OR($A36="EHT Trace"),IF(AND($AA36&lt;&gt;"",$AB36&lt;&gt;""),"YES","NO"),"N/A")</f>
        <v>NO</v>
      </c>
      <c r="N36" s="4" t="str">
        <f>IF(OR($A36="Power Cable"),IF(AND($AD36&lt;&gt;""),"YES","NO"),"N/A")</f>
        <v>N/A</v>
      </c>
      <c r="O36" s="4" t="str">
        <f>IF(OR($A36="Power Cable",$A36="RTD Cable",$A36="Fieldbus Cable"),IF(AND($AE36&lt;&gt;""),"YES","NO"),"N/A")</f>
        <v>N/A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str">
        <f>IF(OR($AM36&lt;&gt;"",$Z36&lt;&gt;"",$AC36&lt;&gt;""),"YES","NO")</f>
        <v>NO</v>
      </c>
      <c r="S36" s="4" t="str">
        <f>IF(COUNTIF(I36:R36,"NO")=0,"YES","NO")</f>
        <v>NO</v>
      </c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inlineStr">
        <is>
          <t>E/32SQ3374/20.6M/1001/165/1.2M/LS23A/X/N12/XNF</t>
        </is>
      </c>
      <c r="AK36" s="9" t="inlineStr">
        <is>
          <t>20.6 m m</t>
        </is>
      </c>
      <c r="AL36" s="9" t="inlineStr">
        <is>
          <t>Levy Ostrup</t>
        </is>
      </c>
      <c r="AM36" s="9" t="n"/>
      <c r="AN36" s="9" t="n"/>
    </row>
    <row r="37">
      <c r="A37" s="9" t="inlineStr">
        <is>
          <t>EHT Trace</t>
        </is>
      </c>
      <c r="B37" s="9" t="inlineStr">
        <is>
          <t>29103-ET-P2601-1-2</t>
        </is>
      </c>
      <c r="C37" s="9" t="inlineStr">
        <is>
          <t>29103-ET-P2601-1</t>
        </is>
      </c>
      <c r="D37" s="9" t="inlineStr">
        <is>
          <t>HTC-35 / CB-35</t>
        </is>
      </c>
      <c r="E37" s="9" t="inlineStr">
        <is>
          <t>29103-P-2601</t>
        </is>
      </c>
      <c r="F37" s="9" t="inlineStr">
        <is>
          <t>29103-65R-ET-P2601-01-01</t>
        </is>
      </c>
      <c r="G37" s="9" t="inlineStr">
        <is>
          <t>13.1</t>
        </is>
      </c>
      <c r="H37" s="9" t="inlineStr">
        <is>
          <t>29103-ET-P2601-1-2.pdf</t>
        </is>
      </c>
      <c r="I37" s="4" t="str">
        <f>IF($H37&lt;&gt;"","YES","NO")</f>
        <v>YES</v>
      </c>
      <c r="J37" s="4" t="str">
        <f>IF(N($T37)&gt;0,"YES","NO")</f>
        <v>NO</v>
      </c>
      <c r="K37" s="4" t="str">
        <f>IF(OR($A37="EHT Trace"),IF(AND($U37&lt;&gt;"",$V37&lt;&gt;""),"YES","NO"),"N/A")</f>
        <v>NO</v>
      </c>
      <c r="L37" s="4" t="str">
        <f>IF(OR($A37="EHT Trace"),IF(AND($X37&lt;&gt;"",$Y37&lt;&gt;""),"YES","NO"),"N/A")</f>
        <v>NO</v>
      </c>
      <c r="M37" s="4" t="str">
        <f>IF(OR($A37="EHT Trace"),IF(AND($AA37&lt;&gt;"",$AB37&lt;&gt;""),"YES","NO"),"N/A")</f>
        <v>NO</v>
      </c>
      <c r="N37" s="4" t="str">
        <f>IF(OR($A37="Power Cable"),IF(AND($AD37&lt;&gt;""),"YES","NO"),"N/A")</f>
        <v>N/A</v>
      </c>
      <c r="O37" s="4" t="str">
        <f>IF(OR($A37="Power Cable",$A37="RTD Cable",$A37="Fieldbus Cable"),IF(AND($AE37&lt;&gt;""),"YES","NO"),"N/A")</f>
        <v>N/A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str">
        <f>IF(OR($AM37&lt;&gt;"",$Z37&lt;&gt;"",$AC37&lt;&gt;""),"YES","NO")</f>
        <v>NO</v>
      </c>
      <c r="S37" s="4" t="str">
        <f>IF(COUNTIF(I37:R37,"NO")=0,"YES","NO")</f>
        <v>NO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inlineStr">
        <is>
          <t>D/32SQ3374/13.9M/676/112/1.2M/LS23A/X/N12/XMN</t>
        </is>
      </c>
      <c r="AK37" s="9" t="inlineStr">
        <is>
          <t>13.9 m m</t>
        </is>
      </c>
      <c r="AL37" s="9" t="inlineStr">
        <is>
          <t>Levy Ostrup</t>
        </is>
      </c>
      <c r="AM37" s="9" t="n"/>
      <c r="AN37" s="9" t="n"/>
    </row>
    <row r="38">
      <c r="A38" s="9" t="inlineStr">
        <is>
          <t>EHT Trace</t>
        </is>
      </c>
      <c r="B38" s="9" t="inlineStr">
        <is>
          <t>29103-ET-P2604-1-1</t>
        </is>
      </c>
      <c r="C38" s="9" t="inlineStr">
        <is>
          <t>29103-ET-P2604-1</t>
        </is>
      </c>
      <c r="D38" s="9" t="inlineStr">
        <is>
          <t>HTC-32 / CB-32</t>
        </is>
      </c>
      <c r="E38" s="9" t="inlineStr">
        <is>
          <t>29103-PE-2601, 29103-P-2604</t>
        </is>
      </c>
      <c r="F38" s="9" t="inlineStr">
        <is>
          <t>29103-65R-ET-P2604-01-01</t>
        </is>
      </c>
      <c r="G38" s="9" t="inlineStr">
        <is>
          <t>13.1</t>
        </is>
      </c>
      <c r="H38" s="9" t="inlineStr">
        <is>
          <t>29103-ET-P2604-1-1.pdf</t>
        </is>
      </c>
      <c r="I38" s="4" t="str">
        <f>IF($H38&lt;&gt;"","YES","NO")</f>
        <v>YES</v>
      </c>
      <c r="J38" s="4" t="str">
        <f>IF(N($T38)&gt;0,"YES","NO")</f>
        <v>NO</v>
      </c>
      <c r="K38" s="4" t="str">
        <f>IF(OR($A38="EHT Trace"),IF(AND($U38&lt;&gt;"",$V38&lt;&gt;""),"YES","NO"),"N/A")</f>
        <v>NO</v>
      </c>
      <c r="L38" s="4" t="str">
        <f>IF(OR($A38="EHT Trace"),IF(AND($X38&lt;&gt;"",$Y38&lt;&gt;""),"YES","NO"),"N/A")</f>
        <v>NO</v>
      </c>
      <c r="M38" s="4" t="str">
        <f>IF(OR($A38="EHT Trace"),IF(AND($AA38&lt;&gt;"",$AB38&lt;&gt;""),"YES","NO"),"N/A")</f>
        <v>NO</v>
      </c>
      <c r="N38" s="4" t="str">
        <f>IF(OR($A38="Power Cable"),IF(AND($AD38&lt;&gt;""),"YES","NO"),"N/A")</f>
        <v>N/A</v>
      </c>
      <c r="O38" s="4" t="str">
        <f>IF(OR($A38="Power Cable",$A38="RTD Cable",$A38="Fieldbus Cable"),IF(AND($AE38&lt;&gt;""),"YES","NO"),"N/A")</f>
        <v>N/A</v>
      </c>
      <c r="P38" s="4" t="str">
        <f>IF(OR($A38="RTD"),IF(AND($AH38&lt;&gt;""),"YES","NO"),"N/A")</f>
        <v>N/A</v>
      </c>
      <c r="Q38" s="4" t="str">
        <f>IF(OR($A38="RTD"),IF(AND($AI38&lt;&gt;""),"YES","NO"),"N/A")</f>
        <v>N/A</v>
      </c>
      <c r="R38" s="4" t="str">
        <f>IF(OR($AM38&lt;&gt;"",$Z38&lt;&gt;"",$AC38&lt;&gt;""),"YES","NO")</f>
        <v>NO</v>
      </c>
      <c r="S38" s="4" t="str">
        <f>IF(COUNTIF(I38:R38,"NO")=0,"YES","NO")</f>
        <v>NO</v>
      </c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inlineStr">
        <is>
          <t>D/32SA2200/20.9M/554/277/1.2M/LS23A/X/N12</t>
        </is>
      </c>
      <c r="AK38" s="9" t="inlineStr">
        <is>
          <t>20.9 m m</t>
        </is>
      </c>
      <c r="AL38" s="9" t="inlineStr">
        <is>
          <t>Levy Ostrup</t>
        </is>
      </c>
      <c r="AM38" s="9" t="n"/>
      <c r="AN38" s="9" t="n"/>
    </row>
    <row r="39">
      <c r="A39" s="9" t="inlineStr">
        <is>
          <t>EHT Trace</t>
        </is>
      </c>
      <c r="B39" s="9" t="inlineStr">
        <is>
          <t>29103-ET-P2604-1-2</t>
        </is>
      </c>
      <c r="C39" s="9" t="inlineStr">
        <is>
          <t>29103-ET-P2604-1</t>
        </is>
      </c>
      <c r="D39" s="9" t="inlineStr">
        <is>
          <t>HTC-32 / CB-32</t>
        </is>
      </c>
      <c r="E39" s="9" t="inlineStr">
        <is>
          <t>29103-P-2604</t>
        </is>
      </c>
      <c r="F39" s="9" t="inlineStr">
        <is>
          <t>29103-65R-ET-P2604-01-01</t>
        </is>
      </c>
      <c r="G39" s="9" t="inlineStr">
        <is>
          <t>13.1</t>
        </is>
      </c>
      <c r="H39" s="9" t="inlineStr">
        <is>
          <t>29103-ET-P2604-1-2.pdf</t>
        </is>
      </c>
      <c r="I39" s="4" t="str">
        <f>IF($H39&lt;&gt;"","YES","NO")</f>
        <v>YES</v>
      </c>
      <c r="J39" s="4" t="str">
        <f>IF(N($T39)&gt;0,"YES","NO")</f>
        <v>NO</v>
      </c>
      <c r="K39" s="4" t="str">
        <f>IF(OR($A39="EHT Trace"),IF(AND($U39&lt;&gt;"",$V39&lt;&gt;""),"YES","NO"),"N/A")</f>
        <v>YES</v>
      </c>
      <c r="L39" s="4" t="str">
        <f>IF(OR($A39="EHT Trace"),IF(AND($X39&lt;&gt;"",$Y39&lt;&gt;""),"YES","NO"),"N/A")</f>
        <v>NO</v>
      </c>
      <c r="M39" s="4" t="str">
        <f>IF(OR($A39="EHT Trace"),IF(AND($AA39&lt;&gt;"",$AB39&lt;&gt;""),"YES","NO"),"N/A")</f>
        <v>NO</v>
      </c>
      <c r="N39" s="4" t="str">
        <f>IF(OR($A39="Power Cable"),IF(AND($AD39&lt;&gt;""),"YES","NO"),"N/A")</f>
        <v>N/A</v>
      </c>
      <c r="O39" s="4" t="str">
        <f>IF(OR($A39="Power Cable",$A39="RTD Cable",$A39="Fieldbus Cable"),IF(AND($AE39&lt;&gt;""),"YES","NO"),"N/A")</f>
        <v>N/A</v>
      </c>
      <c r="P39" s="4" t="str">
        <f>IF(OR($A39="RTD"),IF(AND($AH39&lt;&gt;""),"YES","NO"),"N/A")</f>
        <v>N/A</v>
      </c>
      <c r="Q39" s="4" t="str">
        <f>IF(OR($A39="RTD"),IF(AND($AI39&lt;&gt;""),"YES","NO"),"N/A")</f>
        <v>N/A</v>
      </c>
      <c r="R39" s="4" t="str">
        <f>IF(OR($AM39&lt;&gt;"",$Z39&lt;&gt;"",$AC39&lt;&gt;""),"YES","NO")</f>
        <v>NO</v>
      </c>
      <c r="S39" s="4" t="str">
        <f>IF(COUNTIF(I39:R39,"NO")=0,"YES","NO")</f>
        <v>NO</v>
      </c>
      <c r="T39" s="9" t="n"/>
      <c r="U39" s="9" t="inlineStr">
        <is>
          <t>&gt;2.2 GΩ</t>
        </is>
      </c>
      <c r="V39" s="9" t="inlineStr">
        <is>
          <t>10.5 Ω</t>
        </is>
      </c>
      <c r="W39" s="9" t="inlineStr">
        <is>
          <t>2026-05-17</t>
        </is>
      </c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inlineStr">
        <is>
          <t>E/32SQ3472/6.5M/416/67.7/1.2M/LS23A/X/N12/XNF</t>
        </is>
      </c>
      <c r="AK39" s="9" t="inlineStr">
        <is>
          <t>6.5 m m</t>
        </is>
      </c>
      <c r="AL39" s="9" t="inlineStr">
        <is>
          <t>Levy Ostrup</t>
        </is>
      </c>
      <c r="AM39" s="9" t="n"/>
      <c r="AN39" s="9" t="n"/>
    </row>
    <row r="40">
      <c r="A40" s="9" t="inlineStr">
        <is>
          <t>EHT Trace</t>
        </is>
      </c>
      <c r="B40" s="9" t="inlineStr">
        <is>
          <t>29103-ET-P2604-1-3</t>
        </is>
      </c>
      <c r="C40" s="9" t="inlineStr">
        <is>
          <t>29103-ET-P2604-1</t>
        </is>
      </c>
      <c r="D40" s="9" t="inlineStr">
        <is>
          <t>HTC-32 / CB-32</t>
        </is>
      </c>
      <c r="E40" s="9" t="inlineStr">
        <is>
          <t>29103-P-2604</t>
        </is>
      </c>
      <c r="F40" s="9" t="inlineStr">
        <is>
          <t>29103-65R-ET-P2604-01-01</t>
        </is>
      </c>
      <c r="G40" s="9" t="inlineStr">
        <is>
          <t>13.1</t>
        </is>
      </c>
      <c r="H40" s="9" t="inlineStr">
        <is>
          <t>29103-ET-P2604-1-3.pdf</t>
        </is>
      </c>
      <c r="I40" s="4" t="str">
        <f>IF($H40&lt;&gt;"","YES","NO")</f>
        <v>YES</v>
      </c>
      <c r="J40" s="4" t="str">
        <f>IF(N($T40)&gt;0,"YES","NO")</f>
        <v>NO</v>
      </c>
      <c r="K40" s="4" t="str">
        <f>IF(OR($A40="EHT Trace"),IF(AND($U40&lt;&gt;"",$V40&lt;&gt;""),"YES","NO"),"N/A")</f>
        <v>YES</v>
      </c>
      <c r="L40" s="4" t="str">
        <f>IF(OR($A40="EHT Trace"),IF(AND($X40&lt;&gt;"",$Y40&lt;&gt;""),"YES","NO"),"N/A")</f>
        <v>NO</v>
      </c>
      <c r="M40" s="4" t="str">
        <f>IF(OR($A40="EHT Trace"),IF(AND($AA40&lt;&gt;"",$AB40&lt;&gt;""),"YES","NO"),"N/A")</f>
        <v>NO</v>
      </c>
      <c r="N40" s="4" t="str">
        <f>IF(OR($A40="Power Cable"),IF(AND($AD40&lt;&gt;""),"YES","NO"),"N/A")</f>
        <v>N/A</v>
      </c>
      <c r="O40" s="4" t="str">
        <f>IF(OR($A40="Power Cable",$A40="RTD Cable",$A40="Fieldbus Cable"),IF(AND($AE40&lt;&gt;""),"YES","NO"),"N/A")</f>
        <v>N/A</v>
      </c>
      <c r="P40" s="4" t="str">
        <f>IF(OR($A40="RTD"),IF(AND($AH40&lt;&gt;""),"YES","NO"),"N/A")</f>
        <v>N/A</v>
      </c>
      <c r="Q40" s="4" t="str">
        <f>IF(OR($A40="RTD"),IF(AND($AI40&lt;&gt;""),"YES","NO"),"N/A")</f>
        <v>N/A</v>
      </c>
      <c r="R40" s="4" t="str">
        <f>IF(OR($AM40&lt;&gt;"",$Z40&lt;&gt;"",$AC40&lt;&gt;""),"YES","NO")</f>
        <v>NO</v>
      </c>
      <c r="S40" s="4" t="str">
        <f>IF(COUNTIF(I40:R40,"NO")=0,"YES","NO")</f>
        <v>NO</v>
      </c>
      <c r="T40" s="9" t="n"/>
      <c r="U40" s="9" t="inlineStr">
        <is>
          <t>&gt;2.2 GΩ</t>
        </is>
      </c>
      <c r="V40" s="9" t="inlineStr">
        <is>
          <t>11.3 Ω</t>
        </is>
      </c>
      <c r="W40" s="9" t="inlineStr">
        <is>
          <t>2026-05-17</t>
        </is>
      </c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inlineStr">
        <is>
          <t>E/32SQ3472/7M/448/72.9/1.2M/LS23A/X/N12/XMF</t>
        </is>
      </c>
      <c r="AK40" s="9" t="inlineStr">
        <is>
          <t>7 m m</t>
        </is>
      </c>
      <c r="AL40" s="9" t="inlineStr">
        <is>
          <t>Levy Ostrup</t>
        </is>
      </c>
      <c r="AM40" s="9" t="n"/>
      <c r="AN40" s="9" t="n"/>
    </row>
    <row r="41">
      <c r="A41" s="9" t="inlineStr">
        <is>
          <t>EHT Trace</t>
        </is>
      </c>
      <c r="B41" s="9" t="inlineStr">
        <is>
          <t>29103-ET-P2604-1-4</t>
        </is>
      </c>
      <c r="C41" s="9" t="inlineStr">
        <is>
          <t>29103-ET-P2604-1</t>
        </is>
      </c>
      <c r="D41" s="9" t="inlineStr">
        <is>
          <t>HTC-32 / CB-32</t>
        </is>
      </c>
      <c r="E41" s="9" t="inlineStr">
        <is>
          <t>29103-P-2604</t>
        </is>
      </c>
      <c r="F41" s="9" t="inlineStr">
        <is>
          <t>29103-65R-ET-P2604-01-01</t>
        </is>
      </c>
      <c r="G41" s="9" t="inlineStr">
        <is>
          <t>13.1</t>
        </is>
      </c>
      <c r="H41" s="9" t="inlineStr">
        <is>
          <t>29103-ET-P2604-1-4.pdf</t>
        </is>
      </c>
      <c r="I41" s="4" t="str">
        <f>IF($H41&lt;&gt;"","YES","NO")</f>
        <v>YES</v>
      </c>
      <c r="J41" s="4" t="str">
        <f>IF(N($T41)&gt;0,"YES","NO")</f>
        <v>NO</v>
      </c>
      <c r="K41" s="4" t="str">
        <f>IF(OR($A41="EHT Trace"),IF(AND($U41&lt;&gt;"",$V41&lt;&gt;""),"YES","NO"),"N/A")</f>
        <v>YES</v>
      </c>
      <c r="L41" s="4" t="str">
        <f>IF(OR($A41="EHT Trace"),IF(AND($X41&lt;&gt;"",$Y41&lt;&gt;""),"YES","NO"),"N/A")</f>
        <v>NO</v>
      </c>
      <c r="M41" s="4" t="str">
        <f>IF(OR($A41="EHT Trace"),IF(AND($AA41&lt;&gt;"",$AB41&lt;&gt;""),"YES","NO"),"N/A")</f>
        <v>NO</v>
      </c>
      <c r="N41" s="4" t="str">
        <f>IF(OR($A41="Power Cable"),IF(AND($AD41&lt;&gt;""),"YES","NO"),"N/A")</f>
        <v>N/A</v>
      </c>
      <c r="O41" s="4" t="str">
        <f>IF(OR($A41="Power Cable",$A41="RTD Cable",$A41="Fieldbus Cable"),IF(AND($AE41&lt;&gt;""),"YES","NO"),"N/A")</f>
        <v>N/A</v>
      </c>
      <c r="P41" s="4" t="str">
        <f>IF(OR($A41="RTD"),IF(AND($AH41&lt;&gt;""),"YES","NO"),"N/A")</f>
        <v>N/A</v>
      </c>
      <c r="Q41" s="4" t="str">
        <f>IF(OR($A41="RTD"),IF(AND($AI41&lt;&gt;""),"YES","NO"),"N/A")</f>
        <v>N/A</v>
      </c>
      <c r="R41" s="4" t="str">
        <f>IF(OR($AM41&lt;&gt;"",$Z41&lt;&gt;"",$AC41&lt;&gt;""),"YES","NO")</f>
        <v>NO</v>
      </c>
      <c r="S41" s="4" t="str">
        <f>IF(COUNTIF(I41:R41,"NO")=0,"YES","NO")</f>
        <v>NO</v>
      </c>
      <c r="T41" s="9" t="n"/>
      <c r="U41" s="9" t="inlineStr">
        <is>
          <t>&gt;2.2 GΩ</t>
        </is>
      </c>
      <c r="V41" s="9" t="inlineStr">
        <is>
          <t>20.9 Ω</t>
        </is>
      </c>
      <c r="W41" s="9" t="inlineStr">
        <is>
          <t>2026-05-17</t>
        </is>
      </c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inlineStr">
        <is>
          <t>D/32SQ3472/13.1M/838/136/1.2M/LS23A/X/N12/XMN</t>
        </is>
      </c>
      <c r="AK41" s="9" t="inlineStr">
        <is>
          <t>13.1 m m</t>
        </is>
      </c>
      <c r="AL41" s="9" t="inlineStr">
        <is>
          <t>Levy Ostrup</t>
        </is>
      </c>
      <c r="AM41" s="9" t="n"/>
      <c r="AN41" s="9" t="n"/>
    </row>
    <row r="42">
      <c r="A42" s="9" t="inlineStr">
        <is>
          <t>EHT Trace</t>
        </is>
      </c>
      <c r="B42" s="9" t="inlineStr">
        <is>
          <t>29103-ET-P2604-2-1</t>
        </is>
      </c>
      <c r="C42" s="9" t="inlineStr">
        <is>
          <t>29103-ET-P2604-2</t>
        </is>
      </c>
      <c r="D42" s="9" t="inlineStr">
        <is>
          <t>HTC-24 / CB-24</t>
        </is>
      </c>
      <c r="E42" s="9" t="inlineStr">
        <is>
          <t>29103-P-2604, 29103-FG-2602</t>
        </is>
      </c>
      <c r="F42" s="9" t="inlineStr">
        <is>
          <t>29103-65R-ET-P2604-02-01</t>
        </is>
      </c>
      <c r="G42" s="9" t="inlineStr">
        <is>
          <t>13.1</t>
        </is>
      </c>
      <c r="H42" s="9" t="inlineStr">
        <is>
          <t>29103-ET-P2604-2-1.pdf</t>
        </is>
      </c>
      <c r="I42" s="4" t="str">
        <f>IF($H42&lt;&gt;"","YES","NO")</f>
        <v>YES</v>
      </c>
      <c r="J42" s="4" t="str">
        <f>IF(N($T42)&gt;0,"YES","NO")</f>
        <v>NO</v>
      </c>
      <c r="K42" s="4" t="str">
        <f>IF(OR($A42="EHT Trace"),IF(AND($U42&lt;&gt;"",$V42&lt;&gt;""),"YES","NO"),"N/A")</f>
        <v>YES</v>
      </c>
      <c r="L42" s="4" t="str">
        <f>IF(OR($A42="EHT Trace"),IF(AND($X42&lt;&gt;"",$Y42&lt;&gt;""),"YES","NO"),"N/A")</f>
        <v>NO</v>
      </c>
      <c r="M42" s="4" t="str">
        <f>IF(OR($A42="EHT Trace"),IF(AND($AA42&lt;&gt;"",$AB42&lt;&gt;""),"YES","NO"),"N/A")</f>
        <v>NO</v>
      </c>
      <c r="N42" s="4" t="str">
        <f>IF(OR($A42="Power Cable"),IF(AND($AD42&lt;&gt;""),"YES","NO"),"N/A")</f>
        <v>N/A</v>
      </c>
      <c r="O42" s="4" t="str">
        <f>IF(OR($A42="Power Cable",$A42="RTD Cable",$A42="Fieldbus Cable"),IF(AND($AE42&lt;&gt;""),"YES","NO"),"N/A")</f>
        <v>N/A</v>
      </c>
      <c r="P42" s="4" t="str">
        <f>IF(OR($A42="RTD"),IF(AND($AH42&lt;&gt;""),"YES","NO"),"N/A")</f>
        <v>N/A</v>
      </c>
      <c r="Q42" s="4" t="str">
        <f>IF(OR($A42="RTD"),IF(AND($AI42&lt;&gt;""),"YES","NO"),"N/A")</f>
        <v>N/A</v>
      </c>
      <c r="R42" s="4" t="str">
        <f>IF(OR($AM42&lt;&gt;"",$Z42&lt;&gt;"",$AC42&lt;&gt;""),"YES","NO")</f>
        <v>NO</v>
      </c>
      <c r="S42" s="4" t="str">
        <f>IF(COUNTIF(I42:R42,"NO")=0,"YES","NO")</f>
        <v>NO</v>
      </c>
      <c r="T42" s="9" t="n"/>
      <c r="U42" s="9" t="inlineStr">
        <is>
          <t>&gt;2.2 GΩ</t>
        </is>
      </c>
      <c r="V42" s="9" t="inlineStr">
        <is>
          <t>262.4 Ω</t>
        </is>
      </c>
      <c r="W42" s="9" t="inlineStr">
        <is>
          <t>2026-05-17</t>
        </is>
      </c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inlineStr">
        <is>
          <t>D/32SF1110/7M/299/277/1.2M/LS23A/X/N12</t>
        </is>
      </c>
      <c r="AK42" s="9" t="inlineStr">
        <is>
          <t>7 m m</t>
        </is>
      </c>
      <c r="AL42" s="9" t="inlineStr">
        <is>
          <t>Levy Ostrup</t>
        </is>
      </c>
      <c r="AM42" s="9" t="n"/>
      <c r="AN42" s="9" t="n"/>
    </row>
    <row r="43">
      <c r="A43" s="9" t="inlineStr">
        <is>
          <t>EHT Trace</t>
        </is>
      </c>
      <c r="B43" s="9" t="inlineStr">
        <is>
          <t>29103-ET-P2701-1-1</t>
        </is>
      </c>
      <c r="C43" s="9" t="inlineStr">
        <is>
          <t>29103-ET-P2701-1</t>
        </is>
      </c>
      <c r="D43" s="9" t="inlineStr">
        <is>
          <t>HTC-22 / CB-22</t>
        </is>
      </c>
      <c r="E43" s="9" t="inlineStr">
        <is>
          <t>29103-P-2701</t>
        </is>
      </c>
      <c r="F43" s="9" t="inlineStr">
        <is>
          <t>29103-65R-ET-P2701-01-01</t>
        </is>
      </c>
      <c r="G43" s="9" t="inlineStr">
        <is>
          <t>13.1</t>
        </is>
      </c>
      <c r="H43" s="9" t="inlineStr">
        <is>
          <t>29103-ET-P2701-1-1.pdf</t>
        </is>
      </c>
      <c r="I43" s="4" t="str">
        <f>IF($H43&lt;&gt;"","YES","NO")</f>
        <v>YES</v>
      </c>
      <c r="J43" s="4" t="str">
        <f>IF(N($T43)&gt;0,"YES","NO")</f>
        <v>NO</v>
      </c>
      <c r="K43" s="4" t="str">
        <f>IF(OR($A43="EHT Trace"),IF(AND($U43&lt;&gt;"",$V43&lt;&gt;""),"YES","NO"),"N/A")</f>
        <v>NO</v>
      </c>
      <c r="L43" s="4" t="str">
        <f>IF(OR($A43="EHT Trace"),IF(AND($X43&lt;&gt;"",$Y43&lt;&gt;""),"YES","NO"),"N/A")</f>
        <v>NO</v>
      </c>
      <c r="M43" s="4" t="str">
        <f>IF(OR($A43="EHT Trace"),IF(AND($AA43&lt;&gt;"",$AB43&lt;&gt;""),"YES","NO"),"N/A")</f>
        <v>NO</v>
      </c>
      <c r="N43" s="4" t="str">
        <f>IF(OR($A43="Power Cable"),IF(AND($AD43&lt;&gt;""),"YES","NO"),"N/A")</f>
        <v>N/A</v>
      </c>
      <c r="O43" s="4" t="str">
        <f>IF(OR($A43="Power Cable",$A43="RTD Cable",$A43="Fieldbus Cable"),IF(AND($AE43&lt;&gt;""),"YES","NO"),"N/A")</f>
        <v>N/A</v>
      </c>
      <c r="P43" s="4" t="str">
        <f>IF(OR($A43="RTD"),IF(AND($AH43&lt;&gt;""),"YES","NO"),"N/A")</f>
        <v>N/A</v>
      </c>
      <c r="Q43" s="4" t="str">
        <f>IF(OR($A43="RTD"),IF(AND($AI43&lt;&gt;""),"YES","NO"),"N/A")</f>
        <v>N/A</v>
      </c>
      <c r="R43" s="4" t="str">
        <f>IF(OR($AM43&lt;&gt;"",$Z43&lt;&gt;"",$AC43&lt;&gt;""),"YES","NO")</f>
        <v>NO</v>
      </c>
      <c r="S43" s="4" t="str">
        <f>IF(COUNTIF(I43:R43,"NO")=0,"YES","NO")</f>
        <v>NO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inlineStr">
        <is>
          <t>E/32SQ3374/20.5M/1007/166/1.2M/LS23A/X/N12/XNF</t>
        </is>
      </c>
      <c r="AK43" s="9" t="inlineStr">
        <is>
          <t>20.5 m m</t>
        </is>
      </c>
      <c r="AL43" s="9" t="inlineStr">
        <is>
          <t>Levy Ostrup</t>
        </is>
      </c>
      <c r="AM43" s="9" t="n"/>
      <c r="AN43" s="9" t="n"/>
    </row>
    <row r="44">
      <c r="A44" s="9" t="inlineStr">
        <is>
          <t>EHT Trace</t>
        </is>
      </c>
      <c r="B44" s="9" t="inlineStr">
        <is>
          <t>29103-ET-P2701-1-2</t>
        </is>
      </c>
      <c r="C44" s="9" t="inlineStr">
        <is>
          <t>29103-ET-P2701-1</t>
        </is>
      </c>
      <c r="D44" s="9" t="inlineStr">
        <is>
          <t>HTC-22 / CB-22</t>
        </is>
      </c>
      <c r="E44" s="9" t="inlineStr">
        <is>
          <t>29103-P-2701</t>
        </is>
      </c>
      <c r="F44" s="9" t="inlineStr">
        <is>
          <t>29103-65R-ET-P2701-01-01</t>
        </is>
      </c>
      <c r="G44" s="9" t="inlineStr">
        <is>
          <t>13.1</t>
        </is>
      </c>
      <c r="H44" s="9" t="inlineStr">
        <is>
          <t>29103-ET-P2701-1-2.pdf</t>
        </is>
      </c>
      <c r="I44" s="4" t="str">
        <f>IF($H44&lt;&gt;"","YES","NO")</f>
        <v>YES</v>
      </c>
      <c r="J44" s="4" t="str">
        <f>IF(N($T44)&gt;0,"YES","NO")</f>
        <v>NO</v>
      </c>
      <c r="K44" s="4" t="str">
        <f>IF(OR($A44="EHT Trace"),IF(AND($U44&lt;&gt;"",$V44&lt;&gt;""),"YES","NO"),"N/A")</f>
        <v>NO</v>
      </c>
      <c r="L44" s="4" t="str">
        <f>IF(OR($A44="EHT Trace"),IF(AND($X44&lt;&gt;"",$Y44&lt;&gt;""),"YES","NO"),"N/A")</f>
        <v>NO</v>
      </c>
      <c r="M44" s="4" t="str">
        <f>IF(OR($A44="EHT Trace"),IF(AND($AA44&lt;&gt;"",$AB44&lt;&gt;""),"YES","NO"),"N/A")</f>
        <v>NO</v>
      </c>
      <c r="N44" s="4" t="str">
        <f>IF(OR($A44="Power Cable"),IF(AND($AD44&lt;&gt;""),"YES","NO"),"N/A")</f>
        <v>N/A</v>
      </c>
      <c r="O44" s="4" t="str">
        <f>IF(OR($A44="Power Cable",$A44="RTD Cable",$A44="Fieldbus Cable"),IF(AND($AE44&lt;&gt;""),"YES","NO"),"N/A")</f>
        <v>N/A</v>
      </c>
      <c r="P44" s="4" t="str">
        <f>IF(OR($A44="RTD"),IF(AND($AH44&lt;&gt;""),"YES","NO"),"N/A")</f>
        <v>N/A</v>
      </c>
      <c r="Q44" s="4" t="str">
        <f>IF(OR($A44="RTD"),IF(AND($AI44&lt;&gt;""),"YES","NO"),"N/A")</f>
        <v>N/A</v>
      </c>
      <c r="R44" s="4" t="str">
        <f>IF(OR($AM44&lt;&gt;"",$Z44&lt;&gt;"",$AC44&lt;&gt;""),"YES","NO")</f>
        <v>NO</v>
      </c>
      <c r="S44" s="4" t="str">
        <f>IF(COUNTIF(I44:R44,"NO")=0,"YES","NO")</f>
        <v>NO</v>
      </c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inlineStr">
        <is>
          <t>D/32SQ3374/13.8M/678/111/1.2M/LS23A/X/N12/XMN</t>
        </is>
      </c>
      <c r="AK44" s="9" t="inlineStr">
        <is>
          <t>13.8 m m</t>
        </is>
      </c>
      <c r="AL44" s="9" t="inlineStr">
        <is>
          <t>Levy Ostrup</t>
        </is>
      </c>
      <c r="AM44" s="9" t="n"/>
      <c r="AN44" s="9" t="n"/>
    </row>
    <row r="45">
      <c r="A45" s="9" t="inlineStr">
        <is>
          <t>EHT Trace</t>
        </is>
      </c>
      <c r="B45" s="9" t="inlineStr">
        <is>
          <t>29103-ET-P2704-1-1</t>
        </is>
      </c>
      <c r="C45" s="9" t="inlineStr">
        <is>
          <t>29103-ET-P2704-1</t>
        </is>
      </c>
      <c r="D45" s="9" t="inlineStr">
        <is>
          <t>HTC-29 / CB-29</t>
        </is>
      </c>
      <c r="E45" s="9" t="inlineStr">
        <is>
          <t>29103-PE-2701, 29103-P-2704</t>
        </is>
      </c>
      <c r="F45" s="9" t="inlineStr">
        <is>
          <t>29103-65R-ET-P2704-01-01</t>
        </is>
      </c>
      <c r="G45" s="9" t="inlineStr">
        <is>
          <t>13.1</t>
        </is>
      </c>
      <c r="H45" s="9" t="inlineStr">
        <is>
          <t>29103-ET-P2704-1-1.pdf</t>
        </is>
      </c>
      <c r="I45" s="4" t="str">
        <f>IF($H45&lt;&gt;"","YES","NO")</f>
        <v>YES</v>
      </c>
      <c r="J45" s="4" t="str">
        <f>IF(N($T45)&gt;0,"YES","NO")</f>
        <v>NO</v>
      </c>
      <c r="K45" s="4" t="str">
        <f>IF(OR($A45="EHT Trace"),IF(AND($U45&lt;&gt;"",$V45&lt;&gt;""),"YES","NO"),"N/A")</f>
        <v>NO</v>
      </c>
      <c r="L45" s="4" t="str">
        <f>IF(OR($A45="EHT Trace"),IF(AND($X45&lt;&gt;"",$Y45&lt;&gt;""),"YES","NO"),"N/A")</f>
        <v>NO</v>
      </c>
      <c r="M45" s="4" t="str">
        <f>IF(OR($A45="EHT Trace"),IF(AND($AA45&lt;&gt;"",$AB45&lt;&gt;""),"YES","NO"),"N/A")</f>
        <v>NO</v>
      </c>
      <c r="N45" s="4" t="str">
        <f>IF(OR($A45="Power Cable"),IF(AND($AD45&lt;&gt;""),"YES","NO"),"N/A")</f>
        <v>N/A</v>
      </c>
      <c r="O45" s="4" t="str">
        <f>IF(OR($A45="Power Cable",$A45="RTD Cable",$A45="Fieldbus Cable"),IF(AND($AE45&lt;&gt;""),"YES","NO"),"N/A")</f>
        <v>N/A</v>
      </c>
      <c r="P45" s="4" t="str">
        <f>IF(OR($A45="RTD"),IF(AND($AH45&lt;&gt;""),"YES","NO"),"N/A")</f>
        <v>N/A</v>
      </c>
      <c r="Q45" s="4" t="str">
        <f>IF(OR($A45="RTD"),IF(AND($AI45&lt;&gt;""),"YES","NO"),"N/A")</f>
        <v>N/A</v>
      </c>
      <c r="R45" s="4" t="str">
        <f>IF(OR($AM45&lt;&gt;"",$Z45&lt;&gt;"",$AC45&lt;&gt;""),"YES","NO")</f>
        <v>NO</v>
      </c>
      <c r="S45" s="4" t="str">
        <f>IF(COUNTIF(I45:R45,"NO")=0,"YES","NO")</f>
        <v>NO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inlineStr">
        <is>
          <t>D/32SA2200/20.9M/554/277/1.2M/LS23A/X/N12</t>
        </is>
      </c>
      <c r="AK45" s="9" t="inlineStr">
        <is>
          <t>20.9 m m</t>
        </is>
      </c>
      <c r="AL45" s="9" t="inlineStr">
        <is>
          <t>Levy Ostrup</t>
        </is>
      </c>
      <c r="AM45" s="9" t="n"/>
      <c r="AN45" s="9" t="n"/>
    </row>
    <row r="46">
      <c r="A46" s="9" t="inlineStr">
        <is>
          <t>EHT Trace</t>
        </is>
      </c>
      <c r="B46" s="9" t="inlineStr">
        <is>
          <t>29103-ET-P2704-1-2</t>
        </is>
      </c>
      <c r="C46" s="9" t="inlineStr">
        <is>
          <t>29103-ET-P2704-1</t>
        </is>
      </c>
      <c r="D46" s="9" t="inlineStr">
        <is>
          <t>HTC-29 / CB-29</t>
        </is>
      </c>
      <c r="E46" s="9" t="inlineStr">
        <is>
          <t>29103-P-2704</t>
        </is>
      </c>
      <c r="F46" s="9" t="inlineStr">
        <is>
          <t>29103-65R-ET-P2704-01-01</t>
        </is>
      </c>
      <c r="G46" s="9" t="inlineStr">
        <is>
          <t>13.1</t>
        </is>
      </c>
      <c r="H46" s="9" t="inlineStr">
        <is>
          <t>29103-ET-P2704-1-2.pdf</t>
        </is>
      </c>
      <c r="I46" s="4" t="str">
        <f>IF($H46&lt;&gt;"","YES","NO")</f>
        <v>YES</v>
      </c>
      <c r="J46" s="4" t="str">
        <f>IF(N($T46)&gt;0,"YES","NO")</f>
        <v>NO</v>
      </c>
      <c r="K46" s="4" t="str">
        <f>IF(OR($A46="EHT Trace"),IF(AND($U46&lt;&gt;"",$V46&lt;&gt;""),"YES","NO"),"N/A")</f>
        <v>YES</v>
      </c>
      <c r="L46" s="4" t="str">
        <f>IF(OR($A46="EHT Trace"),IF(AND($X46&lt;&gt;"",$Y46&lt;&gt;""),"YES","NO"),"N/A")</f>
        <v>NO</v>
      </c>
      <c r="M46" s="4" t="str">
        <f>IF(OR($A46="EHT Trace"),IF(AND($AA46&lt;&gt;"",$AB46&lt;&gt;""),"YES","NO"),"N/A")</f>
        <v>NO</v>
      </c>
      <c r="N46" s="4" t="str">
        <f>IF(OR($A46="Power Cable"),IF(AND($AD46&lt;&gt;""),"YES","NO"),"N/A")</f>
        <v>N/A</v>
      </c>
      <c r="O46" s="4" t="str">
        <f>IF(OR($A46="Power Cable",$A46="RTD Cable",$A46="Fieldbus Cable"),IF(AND($AE46&lt;&gt;""),"YES","NO"),"N/A")</f>
        <v>N/A</v>
      </c>
      <c r="P46" s="4" t="str">
        <f>IF(OR($A46="RTD"),IF(AND($AH46&lt;&gt;""),"YES","NO"),"N/A")</f>
        <v>N/A</v>
      </c>
      <c r="Q46" s="4" t="str">
        <f>IF(OR($A46="RTD"),IF(AND($AI46&lt;&gt;""),"YES","NO"),"N/A")</f>
        <v>N/A</v>
      </c>
      <c r="R46" s="4" t="str">
        <f>IF(OR($AM46&lt;&gt;"",$Z46&lt;&gt;"",$AC46&lt;&gt;""),"YES","NO")</f>
        <v>NO</v>
      </c>
      <c r="S46" s="4" t="str">
        <f>IF(COUNTIF(I46:R46,"NO")=0,"YES","NO")</f>
        <v>NO</v>
      </c>
      <c r="T46" s="9" t="n"/>
      <c r="U46" s="9" t="inlineStr">
        <is>
          <t>&gt;2.2 GΩ</t>
        </is>
      </c>
      <c r="V46" s="9" t="inlineStr">
        <is>
          <t>12.8 Ω</t>
        </is>
      </c>
      <c r="W46" s="9" t="inlineStr">
        <is>
          <t>2026-05-17</t>
        </is>
      </c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inlineStr">
        <is>
          <t>E/32SQ3472/8M/461/78.9/1.2M/LS23A/X/N12/XNF</t>
        </is>
      </c>
      <c r="AK46" s="9" t="inlineStr">
        <is>
          <t>8 m m</t>
        </is>
      </c>
      <c r="AL46" s="9" t="inlineStr">
        <is>
          <t>Levy Ostrup</t>
        </is>
      </c>
      <c r="AM46" s="9" t="n"/>
      <c r="AN46" s="9" t="n"/>
    </row>
    <row r="47">
      <c r="A47" s="9" t="inlineStr">
        <is>
          <t>EHT Trace</t>
        </is>
      </c>
      <c r="B47" s="9" t="inlineStr">
        <is>
          <t>29103-ET-P2704-1-3</t>
        </is>
      </c>
      <c r="C47" s="9" t="inlineStr">
        <is>
          <t>29103-ET-P2704-1</t>
        </is>
      </c>
      <c r="D47" s="9" t="inlineStr">
        <is>
          <t>HTC-29 / CB-29</t>
        </is>
      </c>
      <c r="E47" s="9" t="inlineStr">
        <is>
          <t>29103-P-2704</t>
        </is>
      </c>
      <c r="F47" s="9" t="inlineStr">
        <is>
          <t>29103-65R-ET-P2704-01-01</t>
        </is>
      </c>
      <c r="G47" s="9" t="inlineStr">
        <is>
          <t>13.1</t>
        </is>
      </c>
      <c r="H47" s="9" t="inlineStr">
        <is>
          <t>29103-ET-P2704-1-3.pdf</t>
        </is>
      </c>
      <c r="I47" s="4" t="str">
        <f>IF($H47&lt;&gt;"","YES","NO")</f>
        <v>YES</v>
      </c>
      <c r="J47" s="4" t="str">
        <f>IF(N($T47)&gt;0,"YES","NO")</f>
        <v>NO</v>
      </c>
      <c r="K47" s="4" t="str">
        <f>IF(OR($A47="EHT Trace"),IF(AND($U47&lt;&gt;"",$V47&lt;&gt;""),"YES","NO"),"N/A")</f>
        <v>YES</v>
      </c>
      <c r="L47" s="4" t="str">
        <f>IF(OR($A47="EHT Trace"),IF(AND($X47&lt;&gt;"",$Y47&lt;&gt;""),"YES","NO"),"N/A")</f>
        <v>NO</v>
      </c>
      <c r="M47" s="4" t="str">
        <f>IF(OR($A47="EHT Trace"),IF(AND($AA47&lt;&gt;"",$AB47&lt;&gt;""),"YES","NO"),"N/A")</f>
        <v>NO</v>
      </c>
      <c r="N47" s="4" t="str">
        <f>IF(OR($A47="Power Cable"),IF(AND($AD47&lt;&gt;""),"YES","NO"),"N/A")</f>
        <v>N/A</v>
      </c>
      <c r="O47" s="4" t="str">
        <f>IF(OR($A47="Power Cable",$A47="RTD Cable",$A47="Fieldbus Cable"),IF(AND($AE47&lt;&gt;""),"YES","NO"),"N/A")</f>
        <v>N/A</v>
      </c>
      <c r="P47" s="4" t="str">
        <f>IF(OR($A47="RTD"),IF(AND($AH47&lt;&gt;""),"YES","NO"),"N/A")</f>
        <v>N/A</v>
      </c>
      <c r="Q47" s="4" t="str">
        <f>IF(OR($A47="RTD"),IF(AND($AI47&lt;&gt;""),"YES","NO"),"N/A")</f>
        <v>N/A</v>
      </c>
      <c r="R47" s="4" t="str">
        <f>IF(OR($AM47&lt;&gt;"",$Z47&lt;&gt;"",$AC47&lt;&gt;""),"YES","NO")</f>
        <v>NO</v>
      </c>
      <c r="S47" s="4" t="str">
        <f>IF(COUNTIF(I47:R47,"NO")=0,"YES","NO")</f>
        <v>NO</v>
      </c>
      <c r="T47" s="9" t="n"/>
      <c r="U47" s="9" t="inlineStr">
        <is>
          <t>&gt;2.2 GΩ</t>
        </is>
      </c>
      <c r="V47" s="9" t="inlineStr">
        <is>
          <t>11.3 Ω</t>
        </is>
      </c>
      <c r="W47" s="9" t="inlineStr">
        <is>
          <t>2026-05-17</t>
        </is>
      </c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inlineStr">
        <is>
          <t>E/32SQ3472/7M/403/69/1.2M/LS23A/X/N12/XMF</t>
        </is>
      </c>
      <c r="AK47" s="9" t="inlineStr">
        <is>
          <t>7 m m</t>
        </is>
      </c>
      <c r="AL47" s="9" t="inlineStr">
        <is>
          <t>Levy Ostrup</t>
        </is>
      </c>
      <c r="AM47" s="9" t="n"/>
      <c r="AN47" s="9" t="n"/>
    </row>
    <row r="48">
      <c r="A48" s="9" t="inlineStr">
        <is>
          <t>EHT Trace</t>
        </is>
      </c>
      <c r="B48" s="9" t="inlineStr">
        <is>
          <t>29103-ET-P2704-1-4</t>
        </is>
      </c>
      <c r="C48" s="9" t="inlineStr">
        <is>
          <t>29103-ET-P2704-1</t>
        </is>
      </c>
      <c r="D48" s="9" t="inlineStr">
        <is>
          <t>HTC-29 / CB-29</t>
        </is>
      </c>
      <c r="E48" s="9" t="inlineStr">
        <is>
          <t>29103-P-2704</t>
        </is>
      </c>
      <c r="F48" s="9" t="inlineStr">
        <is>
          <t>29103-65R-ET-P2704-01-01</t>
        </is>
      </c>
      <c r="G48" s="9" t="inlineStr">
        <is>
          <t>13.1</t>
        </is>
      </c>
      <c r="H48" s="9" t="inlineStr">
        <is>
          <t>29103-ET-P2704-1-4.pdf</t>
        </is>
      </c>
      <c r="I48" s="4" t="str">
        <f>IF($H48&lt;&gt;"","YES","NO")</f>
        <v>YES</v>
      </c>
      <c r="J48" s="4" t="str">
        <f>IF(N($T48)&gt;0,"YES","NO")</f>
        <v>NO</v>
      </c>
      <c r="K48" s="4" t="str">
        <f>IF(OR($A48="EHT Trace"),IF(AND($U48&lt;&gt;"",$V48&lt;&gt;""),"YES","NO"),"N/A")</f>
        <v>YES</v>
      </c>
      <c r="L48" s="4" t="str">
        <f>IF(OR($A48="EHT Trace"),IF(AND($X48&lt;&gt;"",$Y48&lt;&gt;""),"YES","NO"),"N/A")</f>
        <v>NO</v>
      </c>
      <c r="M48" s="4" t="str">
        <f>IF(OR($A48="EHT Trace"),IF(AND($AA48&lt;&gt;"",$AB48&lt;&gt;""),"YES","NO"),"N/A")</f>
        <v>NO</v>
      </c>
      <c r="N48" s="4" t="str">
        <f>IF(OR($A48="Power Cable"),IF(AND($AD48&lt;&gt;""),"YES","NO"),"N/A")</f>
        <v>N/A</v>
      </c>
      <c r="O48" s="4" t="str">
        <f>IF(OR($A48="Power Cable",$A48="RTD Cable",$A48="Fieldbus Cable"),IF(AND($AE48&lt;&gt;""),"YES","NO"),"N/A")</f>
        <v>N/A</v>
      </c>
      <c r="P48" s="4" t="str">
        <f>IF(OR($A48="RTD"),IF(AND($AH48&lt;&gt;""),"YES","NO"),"N/A")</f>
        <v>N/A</v>
      </c>
      <c r="Q48" s="4" t="str">
        <f>IF(OR($A48="RTD"),IF(AND($AI48&lt;&gt;""),"YES","NO"),"N/A")</f>
        <v>N/A</v>
      </c>
      <c r="R48" s="4" t="str">
        <f>IF(OR($AM48&lt;&gt;"",$Z48&lt;&gt;"",$AC48&lt;&gt;""),"YES","NO")</f>
        <v>NO</v>
      </c>
      <c r="S48" s="4" t="str">
        <f>IF(COUNTIF(I48:R48,"NO")=0,"YES","NO")</f>
        <v>NO</v>
      </c>
      <c r="T48" s="9" t="n"/>
      <c r="U48" s="9" t="inlineStr">
        <is>
          <t>&gt;2.2 GΩ</t>
        </is>
      </c>
      <c r="V48" s="9" t="inlineStr">
        <is>
          <t>20.9 Ω</t>
        </is>
      </c>
      <c r="W48" s="9" t="inlineStr">
        <is>
          <t>2026-05-17</t>
        </is>
      </c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inlineStr">
        <is>
          <t>D/32SQ3472/13.1M/755/129/1.2M/LS23A/X/N12/XMN</t>
        </is>
      </c>
      <c r="AK48" s="9" t="inlineStr">
        <is>
          <t>13.1 m m</t>
        </is>
      </c>
      <c r="AL48" s="9" t="inlineStr">
        <is>
          <t>Levy Ostrup</t>
        </is>
      </c>
      <c r="AM48" s="9" t="n"/>
      <c r="AN48" s="9" t="n"/>
    </row>
    <row r="49">
      <c r="A49" s="9" t="inlineStr">
        <is>
          <t>EHT Trace</t>
        </is>
      </c>
      <c r="B49" s="9" t="inlineStr">
        <is>
          <t>29103-ET-P2704-2-1</t>
        </is>
      </c>
      <c r="C49" s="9" t="inlineStr">
        <is>
          <t>29103-ET-P2704-2</t>
        </is>
      </c>
      <c r="D49" s="9" t="inlineStr">
        <is>
          <t>HTC-27 / CB-27</t>
        </is>
      </c>
      <c r="E49" s="9" t="inlineStr">
        <is>
          <t>29103-P-2704, 29103-FG-2702</t>
        </is>
      </c>
      <c r="F49" s="9" t="inlineStr">
        <is>
          <t>29103-65R-ET-P2704-02-01</t>
        </is>
      </c>
      <c r="G49" s="9" t="inlineStr">
        <is>
          <t>13.1</t>
        </is>
      </c>
      <c r="H49" s="9" t="inlineStr">
        <is>
          <t>29103-ET-P2704-2-1.pdf</t>
        </is>
      </c>
      <c r="I49" s="4" t="str">
        <f>IF($H49&lt;&gt;"","YES","NO")</f>
        <v>YES</v>
      </c>
      <c r="J49" s="4" t="str">
        <f>IF(N($T49)&gt;0,"YES","NO")</f>
        <v>NO</v>
      </c>
      <c r="K49" s="4" t="str">
        <f>IF(OR($A49="EHT Trace"),IF(AND($U49&lt;&gt;"",$V49&lt;&gt;""),"YES","NO"),"N/A")</f>
        <v>YES</v>
      </c>
      <c r="L49" s="4" t="str">
        <f>IF(OR($A49="EHT Trace"),IF(AND($X49&lt;&gt;"",$Y49&lt;&gt;""),"YES","NO"),"N/A")</f>
        <v>NO</v>
      </c>
      <c r="M49" s="4" t="str">
        <f>IF(OR($A49="EHT Trace"),IF(AND($AA49&lt;&gt;"",$AB49&lt;&gt;""),"YES","NO"),"N/A")</f>
        <v>NO</v>
      </c>
      <c r="N49" s="4" t="str">
        <f>IF(OR($A49="Power Cable"),IF(AND($AD49&lt;&gt;""),"YES","NO"),"N/A")</f>
        <v>N/A</v>
      </c>
      <c r="O49" s="4" t="str">
        <f>IF(OR($A49="Power Cable",$A49="RTD Cable",$A49="Fieldbus Cable"),IF(AND($AE49&lt;&gt;""),"YES","NO"),"N/A")</f>
        <v>N/A</v>
      </c>
      <c r="P49" s="4" t="str">
        <f>IF(OR($A49="RTD"),IF(AND($AH49&lt;&gt;""),"YES","NO"),"N/A")</f>
        <v>N/A</v>
      </c>
      <c r="Q49" s="4" t="str">
        <f>IF(OR($A49="RTD"),IF(AND($AI49&lt;&gt;""),"YES","NO"),"N/A")</f>
        <v>N/A</v>
      </c>
      <c r="R49" s="4" t="str">
        <f>IF(OR($AM49&lt;&gt;"",$Z49&lt;&gt;"",$AC49&lt;&gt;""),"YES","NO")</f>
        <v>NO</v>
      </c>
      <c r="S49" s="4" t="str">
        <f>IF(COUNTIF(I49:R49,"NO")=0,"YES","NO")</f>
        <v>NO</v>
      </c>
      <c r="T49" s="9" t="n"/>
      <c r="U49" s="9" t="inlineStr">
        <is>
          <t>&gt;2.2 GΩ</t>
        </is>
      </c>
      <c r="V49" s="9" t="inlineStr">
        <is>
          <t>368 Ω</t>
        </is>
      </c>
      <c r="W49" s="9" t="inlineStr">
        <is>
          <t>2026-05-17</t>
        </is>
      </c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inlineStr">
        <is>
          <t>D/32SF1180/6.2M/207/277/1.2M/LS23A/X/N12</t>
        </is>
      </c>
      <c r="AK49" s="9" t="inlineStr">
        <is>
          <t>6.2 m m</t>
        </is>
      </c>
      <c r="AL49" s="9" t="inlineStr">
        <is>
          <t>Levy Ostrup</t>
        </is>
      </c>
      <c r="AM49" s="9" t="n"/>
      <c r="AN49" s="9" t="n"/>
    </row>
    <row r="50">
      <c r="A50" s="9" t="inlineStr">
        <is>
          <t>EHT Trace</t>
        </is>
      </c>
      <c r="B50" s="9" t="inlineStr">
        <is>
          <t>29103-ET-P2800-1-1</t>
        </is>
      </c>
      <c r="C50" s="9" t="inlineStr">
        <is>
          <t>29103-ET-P2800-1</t>
        </is>
      </c>
      <c r="D50" s="9" t="inlineStr">
        <is>
          <t>HTC-17 / CB-17</t>
        </is>
      </c>
      <c r="E50" s="9" t="inlineStr">
        <is>
          <t>29103-P-2800</t>
        </is>
      </c>
      <c r="F50" s="9" t="inlineStr">
        <is>
          <t>29103-65R-ET-P2800-01-01</t>
        </is>
      </c>
      <c r="G50" s="9" t="inlineStr">
        <is>
          <t>13.1</t>
        </is>
      </c>
      <c r="H50" s="9" t="inlineStr">
        <is>
          <t>29103-ET-P2800-1-1.pdf</t>
        </is>
      </c>
      <c r="I50" s="4" t="str">
        <f>IF($H50&lt;&gt;"","YES","NO")</f>
        <v>YES</v>
      </c>
      <c r="J50" s="4" t="str">
        <f>IF(N($T50)&gt;0,"YES","NO")</f>
        <v>NO</v>
      </c>
      <c r="K50" s="4" t="str">
        <f>IF(OR($A50="EHT Trace"),IF(AND($U50&lt;&gt;"",$V50&lt;&gt;""),"YES","NO"),"N/A")</f>
        <v>NO</v>
      </c>
      <c r="L50" s="4" t="str">
        <f>IF(OR($A50="EHT Trace"),IF(AND($X50&lt;&gt;"",$Y50&lt;&gt;""),"YES","NO"),"N/A")</f>
        <v>NO</v>
      </c>
      <c r="M50" s="4" t="str">
        <f>IF(OR($A50="EHT Trace"),IF(AND($AA50&lt;&gt;"",$AB50&lt;&gt;""),"YES","NO"),"N/A")</f>
        <v>NO</v>
      </c>
      <c r="N50" s="4" t="str">
        <f>IF(OR($A50="Power Cable"),IF(AND($AD50&lt;&gt;""),"YES","NO"),"N/A")</f>
        <v>N/A</v>
      </c>
      <c r="O50" s="4" t="str">
        <f>IF(OR($A50="Power Cable",$A50="RTD Cable",$A50="Fieldbus Cable"),IF(AND($AE50&lt;&gt;""),"YES","NO"),"N/A")</f>
        <v>N/A</v>
      </c>
      <c r="P50" s="4" t="str">
        <f>IF(OR($A50="RTD"),IF(AND($AH50&lt;&gt;""),"YES","NO"),"N/A")</f>
        <v>N/A</v>
      </c>
      <c r="Q50" s="4" t="str">
        <f>IF(OR($A50="RTD"),IF(AND($AI50&lt;&gt;""),"YES","NO"),"N/A")</f>
        <v>N/A</v>
      </c>
      <c r="R50" s="4" t="str">
        <f>IF(OR($AM50&lt;&gt;"",$Z50&lt;&gt;"",$AC50&lt;&gt;""),"YES","NO")</f>
        <v>NO</v>
      </c>
      <c r="S50" s="4" t="str">
        <f>IF(COUNTIF(I50:R50,"NO")=0,"YES","NO")</f>
        <v>NO</v>
      </c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inlineStr">
        <is>
          <t>D/32SP4734/58.6M/2332/198/2.1M/LS23A/X/N12</t>
        </is>
      </c>
      <c r="AK50" s="9" t="inlineStr">
        <is>
          <t>58.6 m m</t>
        </is>
      </c>
      <c r="AL50" s="9" t="inlineStr">
        <is>
          <t>Levy Ostrup</t>
        </is>
      </c>
      <c r="AM50" s="9" t="n"/>
      <c r="AN50" s="9" t="n"/>
    </row>
    <row r="51">
      <c r="A51" s="9" t="inlineStr">
        <is>
          <t>EHT Trace</t>
        </is>
      </c>
      <c r="B51" s="9" t="inlineStr">
        <is>
          <t>29103-ET-P2800-1-2</t>
        </is>
      </c>
      <c r="C51" s="9" t="inlineStr">
        <is>
          <t>29103-ET-P2800-1</t>
        </is>
      </c>
      <c r="D51" s="9" t="inlineStr">
        <is>
          <t>HTC-17 / CB-17</t>
        </is>
      </c>
      <c r="E51" s="9" t="inlineStr">
        <is>
          <t>29103-P-2800</t>
        </is>
      </c>
      <c r="F51" s="9" t="inlineStr">
        <is>
          <t>29103-65R-ET-P2800-01-01</t>
        </is>
      </c>
      <c r="G51" s="9" t="inlineStr">
        <is>
          <t>13.1</t>
        </is>
      </c>
      <c r="H51" s="9" t="inlineStr">
        <is>
          <t>29103-ET-P2800-1-2.pdf</t>
        </is>
      </c>
      <c r="I51" s="4" t="str">
        <f>IF($H51&lt;&gt;"","YES","NO")</f>
        <v>YES</v>
      </c>
      <c r="J51" s="4" t="str">
        <f>IF(N($T51)&gt;0,"YES","NO")</f>
        <v>NO</v>
      </c>
      <c r="K51" s="4" t="str">
        <f>IF(OR($A51="EHT Trace"),IF(AND($U51&lt;&gt;"",$V51&lt;&gt;""),"YES","NO"),"N/A")</f>
        <v>NO</v>
      </c>
      <c r="L51" s="4" t="str">
        <f>IF(OR($A51="EHT Trace"),IF(AND($X51&lt;&gt;"",$Y51&lt;&gt;""),"YES","NO"),"N/A")</f>
        <v>NO</v>
      </c>
      <c r="M51" s="4" t="str">
        <f>IF(OR($A51="EHT Trace"),IF(AND($AA51&lt;&gt;"",$AB51&lt;&gt;""),"YES","NO"),"N/A")</f>
        <v>NO</v>
      </c>
      <c r="N51" s="4" t="str">
        <f>IF(OR($A51="Power Cable"),IF(AND($AD51&lt;&gt;""),"YES","NO"),"N/A")</f>
        <v>N/A</v>
      </c>
      <c r="O51" s="4" t="str">
        <f>IF(OR($A51="Power Cable",$A51="RTD Cable",$A51="Fieldbus Cable"),IF(AND($AE51&lt;&gt;""),"YES","NO"),"N/A")</f>
        <v>N/A</v>
      </c>
      <c r="P51" s="4" t="str">
        <f>IF(OR($A51="RTD"),IF(AND($AH51&lt;&gt;""),"YES","NO"),"N/A")</f>
        <v>N/A</v>
      </c>
      <c r="Q51" s="4" t="str">
        <f>IF(OR($A51="RTD"),IF(AND($AI51&lt;&gt;""),"YES","NO"),"N/A")</f>
        <v>N/A</v>
      </c>
      <c r="R51" s="4" t="str">
        <f>IF(OR($AM51&lt;&gt;"",$Z51&lt;&gt;"",$AC51&lt;&gt;""),"YES","NO")</f>
        <v>NO</v>
      </c>
      <c r="S51" s="4" t="str">
        <f>IF(COUNTIF(I51:R51,"NO")=0,"YES","NO")</f>
        <v>NO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inlineStr">
        <is>
          <t>D/32SP4734/23.3M/927/78.8/2.1M/LS23A/X/N12</t>
        </is>
      </c>
      <c r="AK51" s="9" t="inlineStr">
        <is>
          <t>23.3 m m</t>
        </is>
      </c>
      <c r="AL51" s="9" t="inlineStr">
        <is>
          <t>Levy Ostrup</t>
        </is>
      </c>
      <c r="AM51" s="9" t="n"/>
      <c r="AN51" s="9" t="n"/>
    </row>
    <row r="52">
      <c r="A52" s="9" t="inlineStr">
        <is>
          <t>EHT Trace</t>
        </is>
      </c>
      <c r="B52" s="9" t="inlineStr">
        <is>
          <t>29103-ET-PE2401-1-1</t>
        </is>
      </c>
      <c r="C52" s="9" t="inlineStr">
        <is>
          <t>29103-ET-PE2401-1</t>
        </is>
      </c>
      <c r="D52" s="9" t="inlineStr">
        <is>
          <t>HTC-08 / CB-08</t>
        </is>
      </c>
      <c r="E52" s="9" t="inlineStr">
        <is>
          <t>29103-PE-2401</t>
        </is>
      </c>
      <c r="F52" s="9" t="inlineStr">
        <is>
          <t>29103-65R-ET-PE2401-01-01</t>
        </is>
      </c>
      <c r="G52" s="9" t="inlineStr">
        <is>
          <t>13.1</t>
        </is>
      </c>
      <c r="H52" s="9" t="inlineStr">
        <is>
          <t>29103-ET-PE2401-1-1.pdf</t>
        </is>
      </c>
      <c r="I52" s="4" t="str">
        <f>IF($H52&lt;&gt;"","YES","NO")</f>
        <v>YES</v>
      </c>
      <c r="J52" s="4" t="str">
        <f>IF(N($T52)&gt;0,"YES","NO")</f>
        <v>NO</v>
      </c>
      <c r="K52" s="4" t="str">
        <f>IF(OR($A52="EHT Trace"),IF(AND($U52&lt;&gt;"",$V52&lt;&gt;""),"YES","NO"),"N/A")</f>
        <v>NO</v>
      </c>
      <c r="L52" s="4" t="str">
        <f>IF(OR($A52="EHT Trace"),IF(AND($X52&lt;&gt;"",$Y52&lt;&gt;""),"YES","NO"),"N/A")</f>
        <v>NO</v>
      </c>
      <c r="M52" s="4" t="str">
        <f>IF(OR($A52="EHT Trace"),IF(AND($AA52&lt;&gt;"",$AB52&lt;&gt;""),"YES","NO"),"N/A")</f>
        <v>NO</v>
      </c>
      <c r="N52" s="4" t="str">
        <f>IF(OR($A52="Power Cable"),IF(AND($AD52&lt;&gt;""),"YES","NO"),"N/A")</f>
        <v>N/A</v>
      </c>
      <c r="O52" s="4" t="str">
        <f>IF(OR($A52="Power Cable",$A52="RTD Cable",$A52="Fieldbus Cable"),IF(AND($AE52&lt;&gt;""),"YES","NO"),"N/A")</f>
        <v>N/A</v>
      </c>
      <c r="P52" s="4" t="str">
        <f>IF(OR($A52="RTD"),IF(AND($AH52&lt;&gt;""),"YES","NO"),"N/A")</f>
        <v>N/A</v>
      </c>
      <c r="Q52" s="4" t="str">
        <f>IF(OR($A52="RTD"),IF(AND($AI52&lt;&gt;""),"YES","NO"),"N/A")</f>
        <v>N/A</v>
      </c>
      <c r="R52" s="4" t="str">
        <f>IF(OR($AM52&lt;&gt;"",$Z52&lt;&gt;"",$AC52&lt;&gt;""),"YES","NO")</f>
        <v>NO</v>
      </c>
      <c r="S52" s="4" t="str">
        <f>IF(COUNTIF(I52:R52,"NO")=0,"YES","NO")</f>
        <v>NO</v>
      </c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inlineStr">
        <is>
          <t>D/32SF1110/7.5M/280/277/1.2M/LS23A/X/N12</t>
        </is>
      </c>
      <c r="AK52" s="9" t="inlineStr">
        <is>
          <t>7.5 m m</t>
        </is>
      </c>
      <c r="AL52" s="9" t="inlineStr">
        <is>
          <t>Levy Ostrup</t>
        </is>
      </c>
      <c r="AM52" s="9" t="n"/>
      <c r="AN52" s="9" t="n"/>
    </row>
    <row r="53">
      <c r="A53" s="9" t="inlineStr">
        <is>
          <t>EHT Trace</t>
        </is>
      </c>
      <c r="B53" s="9" t="inlineStr">
        <is>
          <t>29103-ET-PE2401-1-2</t>
        </is>
      </c>
      <c r="C53" s="9" t="inlineStr">
        <is>
          <t>29103-ET-PE2401-1</t>
        </is>
      </c>
      <c r="D53" s="9" t="inlineStr">
        <is>
          <t>HTC-08 / CB-08</t>
        </is>
      </c>
      <c r="E53" s="9" t="inlineStr">
        <is>
          <t>29103-PE-2401</t>
        </is>
      </c>
      <c r="F53" s="9" t="inlineStr">
        <is>
          <t>29103-65R-ET-PE2401-01-01</t>
        </is>
      </c>
      <c r="G53" s="9" t="inlineStr">
        <is>
          <t>13.1</t>
        </is>
      </c>
      <c r="H53" s="9" t="inlineStr">
        <is>
          <t>29103-ET-PE2401-1-2.pdf</t>
        </is>
      </c>
      <c r="I53" s="4" t="str">
        <f>IF($H53&lt;&gt;"","YES","NO")</f>
        <v>YES</v>
      </c>
      <c r="J53" s="4" t="str">
        <f>IF(N($T53)&gt;0,"YES","NO")</f>
        <v>NO</v>
      </c>
      <c r="K53" s="4" t="str">
        <f>IF(OR($A53="EHT Trace"),IF(AND($U53&lt;&gt;"",$V53&lt;&gt;""),"YES","NO"),"N/A")</f>
        <v>NO</v>
      </c>
      <c r="L53" s="4" t="str">
        <f>IF(OR($A53="EHT Trace"),IF(AND($X53&lt;&gt;"",$Y53&lt;&gt;""),"YES","NO"),"N/A")</f>
        <v>NO</v>
      </c>
      <c r="M53" s="4" t="str">
        <f>IF(OR($A53="EHT Trace"),IF(AND($AA53&lt;&gt;"",$AB53&lt;&gt;""),"YES","NO"),"N/A")</f>
        <v>NO</v>
      </c>
      <c r="N53" s="4" t="str">
        <f>IF(OR($A53="Power Cable"),IF(AND($AD53&lt;&gt;""),"YES","NO"),"N/A")</f>
        <v>N/A</v>
      </c>
      <c r="O53" s="4" t="str">
        <f>IF(OR($A53="Power Cable",$A53="RTD Cable",$A53="Fieldbus Cable"),IF(AND($AE53&lt;&gt;""),"YES","NO"),"N/A")</f>
        <v>N/A</v>
      </c>
      <c r="P53" s="4" t="str">
        <f>IF(OR($A53="RTD"),IF(AND($AH53&lt;&gt;""),"YES","NO"),"N/A")</f>
        <v>N/A</v>
      </c>
      <c r="Q53" s="4" t="str">
        <f>IF(OR($A53="RTD"),IF(AND($AI53&lt;&gt;""),"YES","NO"),"N/A")</f>
        <v>N/A</v>
      </c>
      <c r="R53" s="4" t="str">
        <f>IF(OR($AM53&lt;&gt;"",$Z53&lt;&gt;"",$AC53&lt;&gt;""),"YES","NO")</f>
        <v>NO</v>
      </c>
      <c r="S53" s="4" t="str">
        <f>IF(COUNTIF(I53:R53,"NO")=0,"YES","NO")</f>
        <v>NO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inlineStr">
        <is>
          <t>E/32SQ3472/10.8M/522/97.1/1.2M/LS23A/X/N12/XNF</t>
        </is>
      </c>
      <c r="AK53" s="9" t="inlineStr">
        <is>
          <t>10.8 m m</t>
        </is>
      </c>
      <c r="AL53" s="9" t="inlineStr">
        <is>
          <t>Levy Ostrup</t>
        </is>
      </c>
      <c r="AM53" s="9" t="n"/>
      <c r="AN53" s="9" t="n"/>
    </row>
    <row r="54">
      <c r="A54" s="9" t="inlineStr">
        <is>
          <t>EHT Trace</t>
        </is>
      </c>
      <c r="B54" s="9" t="inlineStr">
        <is>
          <t>29103-ET-PE2401-1-3</t>
        </is>
      </c>
      <c r="C54" s="9" t="inlineStr">
        <is>
          <t>29103-ET-PE2401-1</t>
        </is>
      </c>
      <c r="D54" s="9" t="inlineStr">
        <is>
          <t>HTC-08 / CB-08</t>
        </is>
      </c>
      <c r="E54" s="9" t="inlineStr">
        <is>
          <t>29103-PE-2401</t>
        </is>
      </c>
      <c r="F54" s="9" t="inlineStr">
        <is>
          <t>29103-65R-ET-PE2401-01-01</t>
        </is>
      </c>
      <c r="G54" s="9" t="inlineStr">
        <is>
          <t>13.1</t>
        </is>
      </c>
      <c r="H54" s="9" t="inlineStr">
        <is>
          <t>29103-ET-PE2401-1-3.pdf</t>
        </is>
      </c>
      <c r="I54" s="4" t="str">
        <f>IF($H54&lt;&gt;"","YES","NO")</f>
        <v>YES</v>
      </c>
      <c r="J54" s="4" t="str">
        <f>IF(N($T54)&gt;0,"YES","NO")</f>
        <v>NO</v>
      </c>
      <c r="K54" s="4" t="str">
        <f>IF(OR($A54="EHT Trace"),IF(AND($U54&lt;&gt;"",$V54&lt;&gt;""),"YES","NO"),"N/A")</f>
        <v>NO</v>
      </c>
      <c r="L54" s="4" t="str">
        <f>IF(OR($A54="EHT Trace"),IF(AND($X54&lt;&gt;"",$Y54&lt;&gt;""),"YES","NO"),"N/A")</f>
        <v>NO</v>
      </c>
      <c r="M54" s="4" t="str">
        <f>IF(OR($A54="EHT Trace"),IF(AND($AA54&lt;&gt;"",$AB54&lt;&gt;""),"YES","NO"),"N/A")</f>
        <v>NO</v>
      </c>
      <c r="N54" s="4" t="str">
        <f>IF(OR($A54="Power Cable"),IF(AND($AD54&lt;&gt;""),"YES","NO"),"N/A")</f>
        <v>N/A</v>
      </c>
      <c r="O54" s="4" t="str">
        <f>IF(OR($A54="Power Cable",$A54="RTD Cable",$A54="Fieldbus Cable"),IF(AND($AE54&lt;&gt;""),"YES","NO"),"N/A")</f>
        <v>N/A</v>
      </c>
      <c r="P54" s="4" t="str">
        <f>IF(OR($A54="RTD"),IF(AND($AH54&lt;&gt;""),"YES","NO"),"N/A")</f>
        <v>N/A</v>
      </c>
      <c r="Q54" s="4" t="str">
        <f>IF(OR($A54="RTD"),IF(AND($AI54&lt;&gt;""),"YES","NO"),"N/A")</f>
        <v>N/A</v>
      </c>
      <c r="R54" s="4" t="str">
        <f>IF(OR($AM54&lt;&gt;"",$Z54&lt;&gt;"",$AC54&lt;&gt;""),"YES","NO")</f>
        <v>NO</v>
      </c>
      <c r="S54" s="4" t="str">
        <f>IF(COUNTIF(I54:R54,"NO")=0,"YES","NO")</f>
        <v>NO</v>
      </c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inlineStr">
        <is>
          <t>E/32SQ3472/6.6M/319/59.4/1.2M/LS23A/X/N12/XMF</t>
        </is>
      </c>
      <c r="AK54" s="9" t="inlineStr">
        <is>
          <t>6.6 m m</t>
        </is>
      </c>
      <c r="AL54" s="9" t="inlineStr">
        <is>
          <t>Levy Ostrup</t>
        </is>
      </c>
      <c r="AM54" s="9" t="n"/>
      <c r="AN54" s="9" t="n"/>
    </row>
    <row r="55">
      <c r="A55" s="9" t="inlineStr">
        <is>
          <t>EHT Trace</t>
        </is>
      </c>
      <c r="B55" s="9" t="inlineStr">
        <is>
          <t>29103-ET-PE2401-1-4</t>
        </is>
      </c>
      <c r="C55" s="9" t="inlineStr">
        <is>
          <t>29103-ET-PE2401-1</t>
        </is>
      </c>
      <c r="D55" s="9" t="inlineStr">
        <is>
          <t>HTC-08 / CB-08</t>
        </is>
      </c>
      <c r="E55" s="9" t="inlineStr">
        <is>
          <t>29103-PE-2401</t>
        </is>
      </c>
      <c r="F55" s="9" t="inlineStr">
        <is>
          <t>29103-65R-ET-PE2401-01-01</t>
        </is>
      </c>
      <c r="G55" s="9" t="inlineStr">
        <is>
          <t>13.1</t>
        </is>
      </c>
      <c r="H55" s="9" t="inlineStr">
        <is>
          <t>29103-ET-PE2401-1-4.pdf</t>
        </is>
      </c>
      <c r="I55" s="4" t="str">
        <f>IF($H55&lt;&gt;"","YES","NO")</f>
        <v>YES</v>
      </c>
      <c r="J55" s="4" t="str">
        <f>IF(N($T55)&gt;0,"YES","NO")</f>
        <v>NO</v>
      </c>
      <c r="K55" s="4" t="str">
        <f>IF(OR($A55="EHT Trace"),IF(AND($U55&lt;&gt;"",$V55&lt;&gt;""),"YES","NO"),"N/A")</f>
        <v>NO</v>
      </c>
      <c r="L55" s="4" t="str">
        <f>IF(OR($A55="EHT Trace"),IF(AND($X55&lt;&gt;"",$Y55&lt;&gt;""),"YES","NO"),"N/A")</f>
        <v>NO</v>
      </c>
      <c r="M55" s="4" t="str">
        <f>IF(OR($A55="EHT Trace"),IF(AND($AA55&lt;&gt;"",$AB55&lt;&gt;""),"YES","NO"),"N/A")</f>
        <v>NO</v>
      </c>
      <c r="N55" s="4" t="str">
        <f>IF(OR($A55="Power Cable"),IF(AND($AD55&lt;&gt;""),"YES","NO"),"N/A")</f>
        <v>N/A</v>
      </c>
      <c r="O55" s="4" t="str">
        <f>IF(OR($A55="Power Cable",$A55="RTD Cable",$A55="Fieldbus Cable"),IF(AND($AE55&lt;&gt;""),"YES","NO"),"N/A")</f>
        <v>N/A</v>
      </c>
      <c r="P55" s="4" t="str">
        <f>IF(OR($A55="RTD"),IF(AND($AH55&lt;&gt;""),"YES","NO"),"N/A")</f>
        <v>N/A</v>
      </c>
      <c r="Q55" s="4" t="str">
        <f>IF(OR($A55="RTD"),IF(AND($AI55&lt;&gt;""),"YES","NO"),"N/A")</f>
        <v>N/A</v>
      </c>
      <c r="R55" s="4" t="str">
        <f>IF(OR($AM55&lt;&gt;"",$Z55&lt;&gt;"",$AC55&lt;&gt;""),"YES","NO")</f>
        <v>NO</v>
      </c>
      <c r="S55" s="4" t="str">
        <f>IF(COUNTIF(I55:R55,"NO")=0,"YES","NO")</f>
        <v>NO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inlineStr">
        <is>
          <t>D/32SQ3472/13.4M/647/121/1.2M/LS23A/X/N12/XMN</t>
        </is>
      </c>
      <c r="AK55" s="9" t="inlineStr">
        <is>
          <t>13.4 m m</t>
        </is>
      </c>
      <c r="AL55" s="9" t="inlineStr">
        <is>
          <t>Levy Ostrup</t>
        </is>
      </c>
      <c r="AM55" s="9" t="n"/>
      <c r="AN55" s="9" t="n"/>
    </row>
    <row r="56">
      <c r="A56" s="9" t="inlineStr">
        <is>
          <t>EHT Trace</t>
        </is>
      </c>
      <c r="B56" s="9" t="inlineStr">
        <is>
          <t>29103-ET-PE2501-1-1</t>
        </is>
      </c>
      <c r="C56" s="9" t="inlineStr">
        <is>
          <t>29103-ET-PE2501-1</t>
        </is>
      </c>
      <c r="D56" s="9" t="inlineStr">
        <is>
          <t>HTC-10 / CB-10</t>
        </is>
      </c>
      <c r="E56" s="9" t="inlineStr">
        <is>
          <t>29103-PE-2501</t>
        </is>
      </c>
      <c r="F56" s="9" t="inlineStr">
        <is>
          <t>29103-65R-ET-PE2501-01-01</t>
        </is>
      </c>
      <c r="G56" s="9" t="inlineStr">
        <is>
          <t>13.1</t>
        </is>
      </c>
      <c r="H56" s="9" t="inlineStr">
        <is>
          <t>29103-ET-PE2501-1-1.pdf</t>
        </is>
      </c>
      <c r="I56" s="4" t="str">
        <f>IF($H56&lt;&gt;"","YES","NO")</f>
        <v>YES</v>
      </c>
      <c r="J56" s="4" t="str">
        <f>IF(N($T56)&gt;0,"YES","NO")</f>
        <v>NO</v>
      </c>
      <c r="K56" s="4" t="str">
        <f>IF(OR($A56="EHT Trace"),IF(AND($U56&lt;&gt;"",$V56&lt;&gt;""),"YES","NO"),"N/A")</f>
        <v>NO</v>
      </c>
      <c r="L56" s="4" t="str">
        <f>IF(OR($A56="EHT Trace"),IF(AND($X56&lt;&gt;"",$Y56&lt;&gt;""),"YES","NO"),"N/A")</f>
        <v>NO</v>
      </c>
      <c r="M56" s="4" t="str">
        <f>IF(OR($A56="EHT Trace"),IF(AND($AA56&lt;&gt;"",$AB56&lt;&gt;""),"YES","NO"),"N/A")</f>
        <v>NO</v>
      </c>
      <c r="N56" s="4" t="str">
        <f>IF(OR($A56="Power Cable"),IF(AND($AD56&lt;&gt;""),"YES","NO"),"N/A")</f>
        <v>N/A</v>
      </c>
      <c r="O56" s="4" t="str">
        <f>IF(OR($A56="Power Cable",$A56="RTD Cable",$A56="Fieldbus Cable"),IF(AND($AE56&lt;&gt;""),"YES","NO"),"N/A")</f>
        <v>N/A</v>
      </c>
      <c r="P56" s="4" t="str">
        <f>IF(OR($A56="RTD"),IF(AND($AH56&lt;&gt;""),"YES","NO"),"N/A")</f>
        <v>N/A</v>
      </c>
      <c r="Q56" s="4" t="str">
        <f>IF(OR($A56="RTD"),IF(AND($AI56&lt;&gt;""),"YES","NO"),"N/A")</f>
        <v>N/A</v>
      </c>
      <c r="R56" s="4" t="str">
        <f>IF(OR($AM56&lt;&gt;"",$Z56&lt;&gt;"",$AC56&lt;&gt;""),"YES","NO")</f>
        <v>NO</v>
      </c>
      <c r="S56" s="4" t="str">
        <f>IF(COUNTIF(I56:R56,"NO")=0,"YES","NO")</f>
        <v>NO</v>
      </c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inlineStr">
        <is>
          <t>D/32SF1110/7.8M/269/277/1.2M/LS23A/X/N12</t>
        </is>
      </c>
      <c r="AK56" s="9" t="inlineStr">
        <is>
          <t>7.8 m m</t>
        </is>
      </c>
      <c r="AL56" s="9" t="inlineStr">
        <is>
          <t>Levy Ostrup</t>
        </is>
      </c>
      <c r="AM56" s="9" t="n"/>
      <c r="AN56" s="9" t="n"/>
    </row>
    <row r="57">
      <c r="A57" s="9" t="inlineStr">
        <is>
          <t>EHT Trace</t>
        </is>
      </c>
      <c r="B57" s="9" t="inlineStr">
        <is>
          <t>29103-ET-PE2501-1-2</t>
        </is>
      </c>
      <c r="C57" s="9" t="inlineStr">
        <is>
          <t>29103-ET-PE2501-1</t>
        </is>
      </c>
      <c r="D57" s="9" t="inlineStr">
        <is>
          <t>HTC-10 / CB-10</t>
        </is>
      </c>
      <c r="E57" s="9" t="inlineStr">
        <is>
          <t>29103-PE-2501</t>
        </is>
      </c>
      <c r="F57" s="9" t="inlineStr">
        <is>
          <t>29103-65R-ET-PE2501-01-01</t>
        </is>
      </c>
      <c r="G57" s="9" t="inlineStr">
        <is>
          <t>13.1</t>
        </is>
      </c>
      <c r="H57" s="9" t="inlineStr">
        <is>
          <t>29103-ET-PE2501-1-2.pdf</t>
        </is>
      </c>
      <c r="I57" s="4" t="str">
        <f>IF($H57&lt;&gt;"","YES","NO")</f>
        <v>YES</v>
      </c>
      <c r="J57" s="4" t="str">
        <f>IF(N($T57)&gt;0,"YES","NO")</f>
        <v>NO</v>
      </c>
      <c r="K57" s="4" t="str">
        <f>IF(OR($A57="EHT Trace"),IF(AND($U57&lt;&gt;"",$V57&lt;&gt;""),"YES","NO"),"N/A")</f>
        <v>NO</v>
      </c>
      <c r="L57" s="4" t="str">
        <f>IF(OR($A57="EHT Trace"),IF(AND($X57&lt;&gt;"",$Y57&lt;&gt;""),"YES","NO"),"N/A")</f>
        <v>NO</v>
      </c>
      <c r="M57" s="4" t="str">
        <f>IF(OR($A57="EHT Trace"),IF(AND($AA57&lt;&gt;"",$AB57&lt;&gt;""),"YES","NO"),"N/A")</f>
        <v>NO</v>
      </c>
      <c r="N57" s="4" t="str">
        <f>IF(OR($A57="Power Cable"),IF(AND($AD57&lt;&gt;""),"YES","NO"),"N/A")</f>
        <v>N/A</v>
      </c>
      <c r="O57" s="4" t="str">
        <f>IF(OR($A57="Power Cable",$A57="RTD Cable",$A57="Fieldbus Cable"),IF(AND($AE57&lt;&gt;""),"YES","NO"),"N/A")</f>
        <v>N/A</v>
      </c>
      <c r="P57" s="4" t="str">
        <f>IF(OR($A57="RTD"),IF(AND($AH57&lt;&gt;""),"YES","NO"),"N/A")</f>
        <v>N/A</v>
      </c>
      <c r="Q57" s="4" t="str">
        <f>IF(OR($A57="RTD"),IF(AND($AI57&lt;&gt;""),"YES","NO"),"N/A")</f>
        <v>N/A</v>
      </c>
      <c r="R57" s="4" t="str">
        <f>IF(OR($AM57&lt;&gt;"",$Z57&lt;&gt;"",$AC57&lt;&gt;""),"YES","NO")</f>
        <v>NO</v>
      </c>
      <c r="S57" s="4" t="str">
        <f>IF(COUNTIF(I57:R57,"NO")=0,"YES","NO")</f>
        <v>NO</v>
      </c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inlineStr">
        <is>
          <t>E/32SQ3472/9.5M/505/89.8/1.2M/LS23A/X/N12/XNF</t>
        </is>
      </c>
      <c r="AK57" s="9" t="inlineStr">
        <is>
          <t>9.5 m m</t>
        </is>
      </c>
      <c r="AL57" s="9" t="inlineStr">
        <is>
          <t>Levy Ostrup</t>
        </is>
      </c>
      <c r="AM57" s="9" t="n"/>
      <c r="AN57" s="9" t="n"/>
    </row>
    <row r="58">
      <c r="A58" s="9" t="inlineStr">
        <is>
          <t>EHT Trace</t>
        </is>
      </c>
      <c r="B58" s="9" t="inlineStr">
        <is>
          <t>29103-ET-PE2501-1-3</t>
        </is>
      </c>
      <c r="C58" s="9" t="inlineStr">
        <is>
          <t>29103-ET-PE2501-1</t>
        </is>
      </c>
      <c r="D58" s="9" t="inlineStr">
        <is>
          <t>HTC-10 / CB-10</t>
        </is>
      </c>
      <c r="E58" s="9" t="inlineStr">
        <is>
          <t>29103-PE-2501</t>
        </is>
      </c>
      <c r="F58" s="9" t="inlineStr">
        <is>
          <t>29103-65R-ET-PE2501-01-01</t>
        </is>
      </c>
      <c r="G58" s="9" t="inlineStr">
        <is>
          <t>13.1</t>
        </is>
      </c>
      <c r="H58" s="9" t="inlineStr">
        <is>
          <t>29103-ET-PE2501-1-3.pdf</t>
        </is>
      </c>
      <c r="I58" s="4" t="str">
        <f>IF($H58&lt;&gt;"","YES","NO")</f>
        <v>YES</v>
      </c>
      <c r="J58" s="4" t="str">
        <f>IF(N($T58)&gt;0,"YES","NO")</f>
        <v>NO</v>
      </c>
      <c r="K58" s="4" t="str">
        <f>IF(OR($A58="EHT Trace"),IF(AND($U58&lt;&gt;"",$V58&lt;&gt;""),"YES","NO"),"N/A")</f>
        <v>NO</v>
      </c>
      <c r="L58" s="4" t="str">
        <f>IF(OR($A58="EHT Trace"),IF(AND($X58&lt;&gt;"",$Y58&lt;&gt;""),"YES","NO"),"N/A")</f>
        <v>NO</v>
      </c>
      <c r="M58" s="4" t="str">
        <f>IF(OR($A58="EHT Trace"),IF(AND($AA58&lt;&gt;"",$AB58&lt;&gt;""),"YES","NO"),"N/A")</f>
        <v>NO</v>
      </c>
      <c r="N58" s="4" t="str">
        <f>IF(OR($A58="Power Cable"),IF(AND($AD58&lt;&gt;""),"YES","NO"),"N/A")</f>
        <v>N/A</v>
      </c>
      <c r="O58" s="4" t="str">
        <f>IF(OR($A58="Power Cable",$A58="RTD Cable",$A58="Fieldbus Cable"),IF(AND($AE58&lt;&gt;""),"YES","NO"),"N/A")</f>
        <v>N/A</v>
      </c>
      <c r="P58" s="4" t="str">
        <f>IF(OR($A58="RTD"),IF(AND($AH58&lt;&gt;""),"YES","NO"),"N/A")</f>
        <v>N/A</v>
      </c>
      <c r="Q58" s="4" t="str">
        <f>IF(OR($A58="RTD"),IF(AND($AI58&lt;&gt;""),"YES","NO"),"N/A")</f>
        <v>N/A</v>
      </c>
      <c r="R58" s="4" t="str">
        <f>IF(OR($AM58&lt;&gt;"",$Z58&lt;&gt;"",$AC58&lt;&gt;""),"YES","NO")</f>
        <v>NO</v>
      </c>
      <c r="S58" s="4" t="str">
        <f>IF(COUNTIF(I58:R58,"NO")=0,"YES","NO")</f>
        <v>NO</v>
      </c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inlineStr">
        <is>
          <t>E/32SQ3472/6.6M/351/62.4/1.2M/LS23A/X/N12/XMF</t>
        </is>
      </c>
      <c r="AK58" s="9" t="inlineStr">
        <is>
          <t>6.6 m m</t>
        </is>
      </c>
      <c r="AL58" s="9" t="inlineStr">
        <is>
          <t>Levy Ostrup</t>
        </is>
      </c>
      <c r="AM58" s="9" t="n"/>
      <c r="AN58" s="9" t="n"/>
    </row>
    <row r="59">
      <c r="A59" s="9" t="inlineStr">
        <is>
          <t>EHT Trace</t>
        </is>
      </c>
      <c r="B59" s="9" t="inlineStr">
        <is>
          <t>29103-ET-PE2501-1-4</t>
        </is>
      </c>
      <c r="C59" s="9" t="inlineStr">
        <is>
          <t>29103-ET-PE2501-1</t>
        </is>
      </c>
      <c r="D59" s="9" t="inlineStr">
        <is>
          <t>HTC-10 / CB-10</t>
        </is>
      </c>
      <c r="E59" s="9" t="inlineStr">
        <is>
          <t>29103-PE-2501</t>
        </is>
      </c>
      <c r="F59" s="9" t="inlineStr">
        <is>
          <t>29103-65R-ET-PE2501-01-01</t>
        </is>
      </c>
      <c r="G59" s="9" t="inlineStr">
        <is>
          <t>13.1</t>
        </is>
      </c>
      <c r="H59" s="9" t="inlineStr">
        <is>
          <t>29103-ET-PE2501-1-4.pdf</t>
        </is>
      </c>
      <c r="I59" s="4" t="str">
        <f>IF($H59&lt;&gt;"","YES","NO")</f>
        <v>YES</v>
      </c>
      <c r="J59" s="4" t="str">
        <f>IF(N($T59)&gt;0,"YES","NO")</f>
        <v>NO</v>
      </c>
      <c r="K59" s="4" t="str">
        <f>IF(OR($A59="EHT Trace"),IF(AND($U59&lt;&gt;"",$V59&lt;&gt;""),"YES","NO"),"N/A")</f>
        <v>NO</v>
      </c>
      <c r="L59" s="4" t="str">
        <f>IF(OR($A59="EHT Trace"),IF(AND($X59&lt;&gt;"",$Y59&lt;&gt;""),"YES","NO"),"N/A")</f>
        <v>NO</v>
      </c>
      <c r="M59" s="4" t="str">
        <f>IF(OR($A59="EHT Trace"),IF(AND($AA59&lt;&gt;"",$AB59&lt;&gt;""),"YES","NO"),"N/A")</f>
        <v>NO</v>
      </c>
      <c r="N59" s="4" t="str">
        <f>IF(OR($A59="Power Cable"),IF(AND($AD59&lt;&gt;""),"YES","NO"),"N/A")</f>
        <v>N/A</v>
      </c>
      <c r="O59" s="4" t="str">
        <f>IF(OR($A59="Power Cable",$A59="RTD Cable",$A59="Fieldbus Cable"),IF(AND($AE59&lt;&gt;""),"YES","NO"),"N/A")</f>
        <v>N/A</v>
      </c>
      <c r="P59" s="4" t="str">
        <f>IF(OR($A59="RTD"),IF(AND($AH59&lt;&gt;""),"YES","NO"),"N/A")</f>
        <v>N/A</v>
      </c>
      <c r="Q59" s="4" t="str">
        <f>IF(OR($A59="RTD"),IF(AND($AI59&lt;&gt;""),"YES","NO"),"N/A")</f>
        <v>N/A</v>
      </c>
      <c r="R59" s="4" t="str">
        <f>IF(OR($AM59&lt;&gt;"",$Z59&lt;&gt;"",$AC59&lt;&gt;""),"YES","NO")</f>
        <v>NO</v>
      </c>
      <c r="S59" s="4" t="str">
        <f>IF(COUNTIF(I59:R59,"NO")=0,"YES","NO")</f>
        <v>NO</v>
      </c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inlineStr">
        <is>
          <t>D/32SQ3472/13.2M/702/125/1.2M/LS23A/X/N12/XMN</t>
        </is>
      </c>
      <c r="AK59" s="9" t="inlineStr">
        <is>
          <t>13.2 m m</t>
        </is>
      </c>
      <c r="AL59" s="9" t="inlineStr">
        <is>
          <t>Levy Ostrup</t>
        </is>
      </c>
      <c r="AM59" s="9" t="n"/>
      <c r="AN59" s="9" t="n"/>
    </row>
    <row r="60">
      <c r="A60" s="9" t="inlineStr">
        <is>
          <t>EHT Trace</t>
        </is>
      </c>
      <c r="B60" s="9" t="inlineStr">
        <is>
          <t>29103-ET-PE2501-2-1</t>
        </is>
      </c>
      <c r="C60" s="9" t="inlineStr">
        <is>
          <t>29103-ET-PE2501-2</t>
        </is>
      </c>
      <c r="D60" s="9" t="inlineStr">
        <is>
          <t>HTC-07 / CB-07</t>
        </is>
      </c>
      <c r="E60" s="9" t="inlineStr">
        <is>
          <t>29103-PE-2501</t>
        </is>
      </c>
      <c r="F60" s="9" t="inlineStr">
        <is>
          <t>29103-65R-ET-PE2501-02-01</t>
        </is>
      </c>
      <c r="G60" s="9" t="inlineStr">
        <is>
          <t>13.1</t>
        </is>
      </c>
      <c r="H60" s="9" t="inlineStr">
        <is>
          <t>29103-ET-PE2501-2-1.pdf</t>
        </is>
      </c>
      <c r="I60" s="4" t="str">
        <f>IF($H60&lt;&gt;"","YES","NO")</f>
        <v>YES</v>
      </c>
      <c r="J60" s="4" t="str">
        <f>IF(N($T60)&gt;0,"YES","NO")</f>
        <v>NO</v>
      </c>
      <c r="K60" s="4" t="str">
        <f>IF(OR($A60="EHT Trace"),IF(AND($U60&lt;&gt;"",$V60&lt;&gt;""),"YES","NO"),"N/A")</f>
        <v>NO</v>
      </c>
      <c r="L60" s="4" t="str">
        <f>IF(OR($A60="EHT Trace"),IF(AND($X60&lt;&gt;"",$Y60&lt;&gt;""),"YES","NO"),"N/A")</f>
        <v>NO</v>
      </c>
      <c r="M60" s="4" t="str">
        <f>IF(OR($A60="EHT Trace"),IF(AND($AA60&lt;&gt;"",$AB60&lt;&gt;""),"YES","NO"),"N/A")</f>
        <v>NO</v>
      </c>
      <c r="N60" s="4" t="str">
        <f>IF(OR($A60="Power Cable"),IF(AND($AD60&lt;&gt;""),"YES","NO"),"N/A")</f>
        <v>N/A</v>
      </c>
      <c r="O60" s="4" t="str">
        <f>IF(OR($A60="Power Cable",$A60="RTD Cable",$A60="Fieldbus Cable"),IF(AND($AE60&lt;&gt;""),"YES","NO"),"N/A")</f>
        <v>N/A</v>
      </c>
      <c r="P60" s="4" t="str">
        <f>IF(OR($A60="RTD"),IF(AND($AH60&lt;&gt;""),"YES","NO"),"N/A")</f>
        <v>N/A</v>
      </c>
      <c r="Q60" s="4" t="str">
        <f>IF(OR($A60="RTD"),IF(AND($AI60&lt;&gt;""),"YES","NO"),"N/A")</f>
        <v>N/A</v>
      </c>
      <c r="R60" s="4" t="str">
        <f>IF(OR($AM60&lt;&gt;"",$Z60&lt;&gt;"",$AC60&lt;&gt;""),"YES","NO")</f>
        <v>NO</v>
      </c>
      <c r="S60" s="4" t="str">
        <f>IF(COUNTIF(I60:R60,"NO")=0,"YES","NO")</f>
        <v>NO</v>
      </c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inlineStr">
        <is>
          <t>D/32SQ3200/52.5M/2063/277/1.2M/LS23A/X/N12</t>
        </is>
      </c>
      <c r="AK60" s="9" t="inlineStr">
        <is>
          <t>52.5 m m</t>
        </is>
      </c>
      <c r="AL60" s="9" t="inlineStr">
        <is>
          <t>Levy Ostrup</t>
        </is>
      </c>
      <c r="AM60" s="9" t="n"/>
      <c r="AN60" s="9" t="n"/>
    </row>
    <row r="61">
      <c r="A61" s="9" t="inlineStr">
        <is>
          <t>EHT Trace</t>
        </is>
      </c>
      <c r="B61" s="9" t="inlineStr">
        <is>
          <t>29103-ET-PE2501-2-2</t>
        </is>
      </c>
      <c r="C61" s="9" t="inlineStr">
        <is>
          <t>29103-ET-PE2501-2</t>
        </is>
      </c>
      <c r="D61" s="9" t="inlineStr">
        <is>
          <t>HTC-07 / CB-07</t>
        </is>
      </c>
      <c r="E61" s="9" t="inlineStr">
        <is>
          <t>29103-PE-2501</t>
        </is>
      </c>
      <c r="F61" s="9" t="inlineStr">
        <is>
          <t>29103-65R-ET-PE2501-02-01</t>
        </is>
      </c>
      <c r="G61" s="9" t="inlineStr">
        <is>
          <t>13.1</t>
        </is>
      </c>
      <c r="H61" s="9" t="inlineStr">
        <is>
          <t>29103-ET-PE2501-2-2.pdf</t>
        </is>
      </c>
      <c r="I61" s="4" t="str">
        <f>IF($H61&lt;&gt;"","YES","NO")</f>
        <v>YES</v>
      </c>
      <c r="J61" s="4" t="str">
        <f>IF(N($T61)&gt;0,"YES","NO")</f>
        <v>NO</v>
      </c>
      <c r="K61" s="4" t="str">
        <f>IF(OR($A61="EHT Trace"),IF(AND($U61&lt;&gt;"",$V61&lt;&gt;""),"YES","NO"),"N/A")</f>
        <v>NO</v>
      </c>
      <c r="L61" s="4" t="str">
        <f>IF(OR($A61="EHT Trace"),IF(AND($X61&lt;&gt;"",$Y61&lt;&gt;""),"YES","NO"),"N/A")</f>
        <v>NO</v>
      </c>
      <c r="M61" s="4" t="str">
        <f>IF(OR($A61="EHT Trace"),IF(AND($AA61&lt;&gt;"",$AB61&lt;&gt;""),"YES","NO"),"N/A")</f>
        <v>NO</v>
      </c>
      <c r="N61" s="4" t="str">
        <f>IF(OR($A61="Power Cable"),IF(AND($AD61&lt;&gt;""),"YES","NO"),"N/A")</f>
        <v>N/A</v>
      </c>
      <c r="O61" s="4" t="str">
        <f>IF(OR($A61="Power Cable",$A61="RTD Cable",$A61="Fieldbus Cable"),IF(AND($AE61&lt;&gt;""),"YES","NO"),"N/A")</f>
        <v>N/A</v>
      </c>
      <c r="P61" s="4" t="str">
        <f>IF(OR($A61="RTD"),IF(AND($AH61&lt;&gt;""),"YES","NO"),"N/A")</f>
        <v>N/A</v>
      </c>
      <c r="Q61" s="4" t="str">
        <f>IF(OR($A61="RTD"),IF(AND($AI61&lt;&gt;""),"YES","NO"),"N/A")</f>
        <v>N/A</v>
      </c>
      <c r="R61" s="4" t="str">
        <f>IF(OR($AM61&lt;&gt;"",$Z61&lt;&gt;"",$AC61&lt;&gt;""),"YES","NO")</f>
        <v>NO</v>
      </c>
      <c r="S61" s="4" t="str">
        <f>IF(COUNTIF(I61:R61,"NO")=0,"YES","NO")</f>
        <v>NO</v>
      </c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inlineStr">
        <is>
          <t>D/32SB2114/29.4M/694/277/1.2M/LS23A/X/N12</t>
        </is>
      </c>
      <c r="AK61" s="9" t="inlineStr">
        <is>
          <t>29.4 m m</t>
        </is>
      </c>
      <c r="AL61" s="9" t="inlineStr">
        <is>
          <t>Levy Ostrup</t>
        </is>
      </c>
      <c r="AM61" s="9" t="n"/>
      <c r="AN61" s="9" t="n"/>
    </row>
    <row r="62">
      <c r="A62" s="9" t="inlineStr">
        <is>
          <t>EHT Trace</t>
        </is>
      </c>
      <c r="B62" s="9" t="inlineStr">
        <is>
          <t>29103-ET-PE2502-1-1</t>
        </is>
      </c>
      <c r="C62" s="9" t="inlineStr">
        <is>
          <t>29103-ET-PE2502-1</t>
        </is>
      </c>
      <c r="D62" s="9" t="inlineStr">
        <is>
          <t>HTC-06 / CB-06</t>
        </is>
      </c>
      <c r="E62" s="9" t="inlineStr">
        <is>
          <t>29103-PE-2503, 29103-PE-2502</t>
        </is>
      </c>
      <c r="F62" s="9" t="inlineStr">
        <is>
          <t>29103-65R-ET-PE2502-01-01</t>
        </is>
      </c>
      <c r="G62" s="9" t="inlineStr">
        <is>
          <t>13.1</t>
        </is>
      </c>
      <c r="H62" s="9" t="inlineStr">
        <is>
          <t>29103-ET-PE2502-1-1.pdf</t>
        </is>
      </c>
      <c r="I62" s="4" t="str">
        <f>IF($H62&lt;&gt;"","YES","NO")</f>
        <v>YES</v>
      </c>
      <c r="J62" s="4" t="str">
        <f>IF(N($T62)&gt;0,"YES","NO")</f>
        <v>NO</v>
      </c>
      <c r="K62" s="4" t="str">
        <f>IF(OR($A62="EHT Trace"),IF(AND($U62&lt;&gt;"",$V62&lt;&gt;""),"YES","NO"),"N/A")</f>
        <v>NO</v>
      </c>
      <c r="L62" s="4" t="str">
        <f>IF(OR($A62="EHT Trace"),IF(AND($X62&lt;&gt;"",$Y62&lt;&gt;""),"YES","NO"),"N/A")</f>
        <v>NO</v>
      </c>
      <c r="M62" s="4" t="str">
        <f>IF(OR($A62="EHT Trace"),IF(AND($AA62&lt;&gt;"",$AB62&lt;&gt;""),"YES","NO"),"N/A")</f>
        <v>NO</v>
      </c>
      <c r="N62" s="4" t="str">
        <f>IF(OR($A62="Power Cable"),IF(AND($AD62&lt;&gt;""),"YES","NO"),"N/A")</f>
        <v>N/A</v>
      </c>
      <c r="O62" s="4" t="str">
        <f>IF(OR($A62="Power Cable",$A62="RTD Cable",$A62="Fieldbus Cable"),IF(AND($AE62&lt;&gt;""),"YES","NO"),"N/A")</f>
        <v>N/A</v>
      </c>
      <c r="P62" s="4" t="str">
        <f>IF(OR($A62="RTD"),IF(AND($AH62&lt;&gt;""),"YES","NO"),"N/A")</f>
        <v>N/A</v>
      </c>
      <c r="Q62" s="4" t="str">
        <f>IF(OR($A62="RTD"),IF(AND($AI62&lt;&gt;""),"YES","NO"),"N/A")</f>
        <v>N/A</v>
      </c>
      <c r="R62" s="4" t="str">
        <f>IF(OR($AM62&lt;&gt;"",$Z62&lt;&gt;"",$AC62&lt;&gt;""),"YES","NO")</f>
        <v>NO</v>
      </c>
      <c r="S62" s="4" t="str">
        <f>IF(COUNTIF(I62:R62,"NO")=0,"YES","NO")</f>
        <v>NO</v>
      </c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inlineStr">
        <is>
          <t>D/32SQ3374/34.9M/1658/277/1.2M/LS23A/X/N12</t>
        </is>
      </c>
      <c r="AK62" s="9" t="inlineStr">
        <is>
          <t>34.9 m m</t>
        </is>
      </c>
      <c r="AL62" s="9" t="inlineStr">
        <is>
          <t>Levy Ostrup</t>
        </is>
      </c>
      <c r="AM62" s="9" t="n"/>
      <c r="AN62" s="9" t="n"/>
    </row>
    <row r="63">
      <c r="A63" s="9" t="inlineStr">
        <is>
          <t>EHT Trace</t>
        </is>
      </c>
      <c r="B63" s="9" t="inlineStr">
        <is>
          <t>29103-ET-PE2601-1-1</t>
        </is>
      </c>
      <c r="C63" s="9" t="inlineStr">
        <is>
          <t>29103-ET-PE2601-1</t>
        </is>
      </c>
      <c r="D63" s="9" t="inlineStr">
        <is>
          <t>HTC-31 / CB-31</t>
        </is>
      </c>
      <c r="E63" s="9" t="inlineStr">
        <is>
          <t>29103-PE-2601</t>
        </is>
      </c>
      <c r="F63" s="9" t="inlineStr">
        <is>
          <t>29103-65R-ET-PE2601-01-01</t>
        </is>
      </c>
      <c r="G63" s="9" t="inlineStr">
        <is>
          <t>13.1</t>
        </is>
      </c>
      <c r="H63" s="9" t="inlineStr">
        <is>
          <t>29103-ET-PE2601-1-1.pdf</t>
        </is>
      </c>
      <c r="I63" s="4" t="str">
        <f>IF($H63&lt;&gt;"","YES","NO")</f>
        <v>YES</v>
      </c>
      <c r="J63" s="4" t="str">
        <f>IF(N($T63)&gt;0,"YES","NO")</f>
        <v>NO</v>
      </c>
      <c r="K63" s="4" t="str">
        <f>IF(OR($A63="EHT Trace"),IF(AND($U63&lt;&gt;"",$V63&lt;&gt;""),"YES","NO"),"N/A")</f>
        <v>NO</v>
      </c>
      <c r="L63" s="4" t="str">
        <f>IF(OR($A63="EHT Trace"),IF(AND($X63&lt;&gt;"",$Y63&lt;&gt;""),"YES","NO"),"N/A")</f>
        <v>NO</v>
      </c>
      <c r="M63" s="4" t="str">
        <f>IF(OR($A63="EHT Trace"),IF(AND($AA63&lt;&gt;"",$AB63&lt;&gt;""),"YES","NO"),"N/A")</f>
        <v>NO</v>
      </c>
      <c r="N63" s="4" t="str">
        <f>IF(OR($A63="Power Cable"),IF(AND($AD63&lt;&gt;""),"YES","NO"),"N/A")</f>
        <v>N/A</v>
      </c>
      <c r="O63" s="4" t="str">
        <f>IF(OR($A63="Power Cable",$A63="RTD Cable",$A63="Fieldbus Cable"),IF(AND($AE63&lt;&gt;""),"YES","NO"),"N/A")</f>
        <v>N/A</v>
      </c>
      <c r="P63" s="4" t="str">
        <f>IF(OR($A63="RTD"),IF(AND($AH63&lt;&gt;""),"YES","NO"),"N/A")</f>
        <v>N/A</v>
      </c>
      <c r="Q63" s="4" t="str">
        <f>IF(OR($A63="RTD"),IF(AND($AI63&lt;&gt;""),"YES","NO"),"N/A")</f>
        <v>N/A</v>
      </c>
      <c r="R63" s="4" t="str">
        <f>IF(OR($AM63&lt;&gt;"",$Z63&lt;&gt;"",$AC63&lt;&gt;""),"YES","NO")</f>
        <v>NO</v>
      </c>
      <c r="S63" s="4" t="str">
        <f>IF(COUNTIF(I63:R63,"NO")=0,"YES","NO")</f>
        <v>NO</v>
      </c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inlineStr">
        <is>
          <t>D/32SF1110/7.5M/280/277/1.2M/LS23A/X/N12</t>
        </is>
      </c>
      <c r="AK63" s="9" t="inlineStr">
        <is>
          <t>7.5 m m</t>
        </is>
      </c>
      <c r="AL63" s="9" t="inlineStr">
        <is>
          <t>Levy Ostrup</t>
        </is>
      </c>
      <c r="AM63" s="9" t="n"/>
      <c r="AN63" s="9" t="n"/>
    </row>
    <row r="64">
      <c r="A64" s="9" t="inlineStr">
        <is>
          <t>EHT Trace</t>
        </is>
      </c>
      <c r="B64" s="9" t="inlineStr">
        <is>
          <t>29103-ET-PE2601-1-2</t>
        </is>
      </c>
      <c r="C64" s="9" t="inlineStr">
        <is>
          <t>29103-ET-PE2601-1</t>
        </is>
      </c>
      <c r="D64" s="9" t="inlineStr">
        <is>
          <t>HTC-31 / CB-31</t>
        </is>
      </c>
      <c r="E64" s="9" t="inlineStr">
        <is>
          <t>29103-PE-2601</t>
        </is>
      </c>
      <c r="F64" s="9" t="inlineStr">
        <is>
          <t>29103-65R-ET-PE2601-01-01</t>
        </is>
      </c>
      <c r="G64" s="9" t="inlineStr">
        <is>
          <t>13.1</t>
        </is>
      </c>
      <c r="H64" s="9" t="inlineStr">
        <is>
          <t>29103-ET-PE2601-1-2.pdf</t>
        </is>
      </c>
      <c r="I64" s="4" t="str">
        <f>IF($H64&lt;&gt;"","YES","NO")</f>
        <v>YES</v>
      </c>
      <c r="J64" s="4" t="str">
        <f>IF(N($T64)&gt;0,"YES","NO")</f>
        <v>NO</v>
      </c>
      <c r="K64" s="4" t="str">
        <f>IF(OR($A64="EHT Trace"),IF(AND($U64&lt;&gt;"",$V64&lt;&gt;""),"YES","NO"),"N/A")</f>
        <v>NO</v>
      </c>
      <c r="L64" s="4" t="str">
        <f>IF(OR($A64="EHT Trace"),IF(AND($X64&lt;&gt;"",$Y64&lt;&gt;""),"YES","NO"),"N/A")</f>
        <v>NO</v>
      </c>
      <c r="M64" s="4" t="str">
        <f>IF(OR($A64="EHT Trace"),IF(AND($AA64&lt;&gt;"",$AB64&lt;&gt;""),"YES","NO"),"N/A")</f>
        <v>NO</v>
      </c>
      <c r="N64" s="4" t="str">
        <f>IF(OR($A64="Power Cable"),IF(AND($AD64&lt;&gt;""),"YES","NO"),"N/A")</f>
        <v>N/A</v>
      </c>
      <c r="O64" s="4" t="str">
        <f>IF(OR($A64="Power Cable",$A64="RTD Cable",$A64="Fieldbus Cable"),IF(AND($AE64&lt;&gt;""),"YES","NO"),"N/A")</f>
        <v>N/A</v>
      </c>
      <c r="P64" s="4" t="str">
        <f>IF(OR($A64="RTD"),IF(AND($AH64&lt;&gt;""),"YES","NO"),"N/A")</f>
        <v>N/A</v>
      </c>
      <c r="Q64" s="4" t="str">
        <f>IF(OR($A64="RTD"),IF(AND($AI64&lt;&gt;""),"YES","NO"),"N/A")</f>
        <v>N/A</v>
      </c>
      <c r="R64" s="4" t="str">
        <f>IF(OR($AM64&lt;&gt;"",$Z64&lt;&gt;"",$AC64&lt;&gt;""),"YES","NO")</f>
        <v>NO</v>
      </c>
      <c r="S64" s="4" t="str">
        <f>IF(COUNTIF(I64:R64,"NO")=0,"YES","NO")</f>
        <v>NO</v>
      </c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inlineStr">
        <is>
          <t>E/32SQ3472/10.8M/522/97.1/1.2M/LS23A/X/N12/XNF</t>
        </is>
      </c>
      <c r="AK64" s="9" t="inlineStr">
        <is>
          <t>10.8 m m</t>
        </is>
      </c>
      <c r="AL64" s="9" t="inlineStr">
        <is>
          <t>Levy Ostrup</t>
        </is>
      </c>
      <c r="AM64" s="9" t="n"/>
      <c r="AN64" s="9" t="n"/>
    </row>
    <row r="65">
      <c r="A65" s="9" t="inlineStr">
        <is>
          <t>EHT Trace</t>
        </is>
      </c>
      <c r="B65" s="9" t="inlineStr">
        <is>
          <t>29103-ET-PE2601-1-3</t>
        </is>
      </c>
      <c r="C65" s="9" t="inlineStr">
        <is>
          <t>29103-ET-PE2601-1</t>
        </is>
      </c>
      <c r="D65" s="9" t="inlineStr">
        <is>
          <t>HTC-31 / CB-31</t>
        </is>
      </c>
      <c r="E65" s="9" t="inlineStr">
        <is>
          <t>29103-PE-2601</t>
        </is>
      </c>
      <c r="F65" s="9" t="inlineStr">
        <is>
          <t>29103-65R-ET-PE2601-01-01</t>
        </is>
      </c>
      <c r="G65" s="9" t="inlineStr">
        <is>
          <t>13.1</t>
        </is>
      </c>
      <c r="H65" s="9" t="inlineStr">
        <is>
          <t>29103-ET-PE2601-1-3.pdf</t>
        </is>
      </c>
      <c r="I65" s="4" t="str">
        <f>IF($H65&lt;&gt;"","YES","NO")</f>
        <v>YES</v>
      </c>
      <c r="J65" s="4" t="str">
        <f>IF(N($T65)&gt;0,"YES","NO")</f>
        <v>NO</v>
      </c>
      <c r="K65" s="4" t="str">
        <f>IF(OR($A65="EHT Trace"),IF(AND($U65&lt;&gt;"",$V65&lt;&gt;""),"YES","NO"),"N/A")</f>
        <v>NO</v>
      </c>
      <c r="L65" s="4" t="str">
        <f>IF(OR($A65="EHT Trace"),IF(AND($X65&lt;&gt;"",$Y65&lt;&gt;""),"YES","NO"),"N/A")</f>
        <v>NO</v>
      </c>
      <c r="M65" s="4" t="str">
        <f>IF(OR($A65="EHT Trace"),IF(AND($AA65&lt;&gt;"",$AB65&lt;&gt;""),"YES","NO"),"N/A")</f>
        <v>NO</v>
      </c>
      <c r="N65" s="4" t="str">
        <f>IF(OR($A65="Power Cable"),IF(AND($AD65&lt;&gt;""),"YES","NO"),"N/A")</f>
        <v>N/A</v>
      </c>
      <c r="O65" s="4" t="str">
        <f>IF(OR($A65="Power Cable",$A65="RTD Cable",$A65="Fieldbus Cable"),IF(AND($AE65&lt;&gt;""),"YES","NO"),"N/A")</f>
        <v>N/A</v>
      </c>
      <c r="P65" s="4" t="str">
        <f>IF(OR($A65="RTD"),IF(AND($AH65&lt;&gt;""),"YES","NO"),"N/A")</f>
        <v>N/A</v>
      </c>
      <c r="Q65" s="4" t="str">
        <f>IF(OR($A65="RTD"),IF(AND($AI65&lt;&gt;""),"YES","NO"),"N/A")</f>
        <v>N/A</v>
      </c>
      <c r="R65" s="4" t="str">
        <f>IF(OR($AM65&lt;&gt;"",$Z65&lt;&gt;"",$AC65&lt;&gt;""),"YES","NO")</f>
        <v>NO</v>
      </c>
      <c r="S65" s="4" t="str">
        <f>IF(COUNTIF(I65:R65,"NO")=0,"YES","NO")</f>
        <v>NO</v>
      </c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inlineStr">
        <is>
          <t>E/32SQ3472/6.6M/319/59.4/1.2M/LS23A/X/N12/XMF</t>
        </is>
      </c>
      <c r="AK65" s="9" t="inlineStr">
        <is>
          <t>6.6 m m</t>
        </is>
      </c>
      <c r="AL65" s="9" t="inlineStr">
        <is>
          <t>Levy Ostrup</t>
        </is>
      </c>
      <c r="AM65" s="9" t="n"/>
      <c r="AN65" s="9" t="n"/>
    </row>
    <row r="66">
      <c r="A66" s="9" t="inlineStr">
        <is>
          <t>EHT Trace</t>
        </is>
      </c>
      <c r="B66" s="9" t="inlineStr">
        <is>
          <t>29103-ET-PE2601-1-4</t>
        </is>
      </c>
      <c r="C66" s="9" t="inlineStr">
        <is>
          <t>29103-ET-PE2601-1</t>
        </is>
      </c>
      <c r="D66" s="9" t="inlineStr">
        <is>
          <t>HTC-31 / CB-31</t>
        </is>
      </c>
      <c r="E66" s="9" t="inlineStr">
        <is>
          <t>29103-PE-2601</t>
        </is>
      </c>
      <c r="F66" s="9" t="inlineStr">
        <is>
          <t>29103-65R-ET-PE2601-01-01</t>
        </is>
      </c>
      <c r="G66" s="9" t="inlineStr">
        <is>
          <t>13.1</t>
        </is>
      </c>
      <c r="H66" s="9" t="inlineStr">
        <is>
          <t>29103-ET-PE2601-1-4.pdf</t>
        </is>
      </c>
      <c r="I66" s="4" t="str">
        <f>IF($H66&lt;&gt;"","YES","NO")</f>
        <v>YES</v>
      </c>
      <c r="J66" s="4" t="str">
        <f>IF(N($T66)&gt;0,"YES","NO")</f>
        <v>NO</v>
      </c>
      <c r="K66" s="4" t="str">
        <f>IF(OR($A66="EHT Trace"),IF(AND($U66&lt;&gt;"",$V66&lt;&gt;""),"YES","NO"),"N/A")</f>
        <v>NO</v>
      </c>
      <c r="L66" s="4" t="str">
        <f>IF(OR($A66="EHT Trace"),IF(AND($X66&lt;&gt;"",$Y66&lt;&gt;""),"YES","NO"),"N/A")</f>
        <v>NO</v>
      </c>
      <c r="M66" s="4" t="str">
        <f>IF(OR($A66="EHT Trace"),IF(AND($AA66&lt;&gt;"",$AB66&lt;&gt;""),"YES","NO"),"N/A")</f>
        <v>NO</v>
      </c>
      <c r="N66" s="4" t="str">
        <f>IF(OR($A66="Power Cable"),IF(AND($AD66&lt;&gt;""),"YES","NO"),"N/A")</f>
        <v>N/A</v>
      </c>
      <c r="O66" s="4" t="str">
        <f>IF(OR($A66="Power Cable",$A66="RTD Cable",$A66="Fieldbus Cable"),IF(AND($AE66&lt;&gt;""),"YES","NO"),"N/A")</f>
        <v>N/A</v>
      </c>
      <c r="P66" s="4" t="str">
        <f>IF(OR($A66="RTD"),IF(AND($AH66&lt;&gt;""),"YES","NO"),"N/A")</f>
        <v>N/A</v>
      </c>
      <c r="Q66" s="4" t="str">
        <f>IF(OR($A66="RTD"),IF(AND($AI66&lt;&gt;""),"YES","NO"),"N/A")</f>
        <v>N/A</v>
      </c>
      <c r="R66" s="4" t="str">
        <f>IF(OR($AM66&lt;&gt;"",$Z66&lt;&gt;"",$AC66&lt;&gt;""),"YES","NO")</f>
        <v>NO</v>
      </c>
      <c r="S66" s="4" t="str">
        <f>IF(COUNTIF(I66:R66,"NO")=0,"YES","NO")</f>
        <v>NO</v>
      </c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inlineStr">
        <is>
          <t>D/32SQ3472/13.4M/647/121/1.2M/LS23A/X/N12/XMN</t>
        </is>
      </c>
      <c r="AK66" s="9" t="inlineStr">
        <is>
          <t>13.4 m m</t>
        </is>
      </c>
      <c r="AL66" s="9" t="inlineStr">
        <is>
          <t>Levy Ostrup</t>
        </is>
      </c>
      <c r="AM66" s="9" t="n"/>
      <c r="AN66" s="9" t="n"/>
    </row>
    <row r="67">
      <c r="A67" s="9" t="inlineStr">
        <is>
          <t>EHT Trace</t>
        </is>
      </c>
      <c r="B67" s="9" t="inlineStr">
        <is>
          <t>29103-ET-PE2601-2-1</t>
        </is>
      </c>
      <c r="C67" s="9" t="inlineStr">
        <is>
          <t>29103-ET-PE2601-2</t>
        </is>
      </c>
      <c r="D67" s="9" t="inlineStr">
        <is>
          <t>HTC-12 / CB-12</t>
        </is>
      </c>
      <c r="E67" s="9" t="inlineStr">
        <is>
          <t>29103-PE-2601</t>
        </is>
      </c>
      <c r="F67" s="9" t="inlineStr">
        <is>
          <t>29103-65R-ET-PE2601-02-01</t>
        </is>
      </c>
      <c r="G67" s="9" t="inlineStr">
        <is>
          <t>13.1</t>
        </is>
      </c>
      <c r="H67" s="9" t="inlineStr">
        <is>
          <t>29103-ET-PE2601-2-1.pdf</t>
        </is>
      </c>
      <c r="I67" s="4" t="str">
        <f>IF($H67&lt;&gt;"","YES","NO")</f>
        <v>YES</v>
      </c>
      <c r="J67" s="4" t="str">
        <f>IF(N($T67)&gt;0,"YES","NO")</f>
        <v>NO</v>
      </c>
      <c r="K67" s="4" t="str">
        <f>IF(OR($A67="EHT Trace"),IF(AND($U67&lt;&gt;"",$V67&lt;&gt;""),"YES","NO"),"N/A")</f>
        <v>NO</v>
      </c>
      <c r="L67" s="4" t="str">
        <f>IF(OR($A67="EHT Trace"),IF(AND($X67&lt;&gt;"",$Y67&lt;&gt;""),"YES","NO"),"N/A")</f>
        <v>NO</v>
      </c>
      <c r="M67" s="4" t="str">
        <f>IF(OR($A67="EHT Trace"),IF(AND($AA67&lt;&gt;"",$AB67&lt;&gt;""),"YES","NO"),"N/A")</f>
        <v>NO</v>
      </c>
      <c r="N67" s="4" t="str">
        <f>IF(OR($A67="Power Cable"),IF(AND($AD67&lt;&gt;""),"YES","NO"),"N/A")</f>
        <v>N/A</v>
      </c>
      <c r="O67" s="4" t="str">
        <f>IF(OR($A67="Power Cable",$A67="RTD Cable",$A67="Fieldbus Cable"),IF(AND($AE67&lt;&gt;""),"YES","NO"),"N/A")</f>
        <v>N/A</v>
      </c>
      <c r="P67" s="4" t="str">
        <f>IF(OR($A67="RTD"),IF(AND($AH67&lt;&gt;""),"YES","NO"),"N/A")</f>
        <v>N/A</v>
      </c>
      <c r="Q67" s="4" t="str">
        <f>IF(OR($A67="RTD"),IF(AND($AI67&lt;&gt;""),"YES","NO"),"N/A")</f>
        <v>N/A</v>
      </c>
      <c r="R67" s="4" t="str">
        <f>IF(OR($AM67&lt;&gt;"",$Z67&lt;&gt;"",$AC67&lt;&gt;""),"YES","NO")</f>
        <v>NO</v>
      </c>
      <c r="S67" s="4" t="str">
        <f>IF(COUNTIF(I67:R67,"NO")=0,"YES","NO")</f>
        <v>NO</v>
      </c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inlineStr">
        <is>
          <t>D/32SQ3200/52.1M/2079/277/1.2M/LS23A/X/N12</t>
        </is>
      </c>
      <c r="AK67" s="9" t="inlineStr">
        <is>
          <t>52.1 m m</t>
        </is>
      </c>
      <c r="AL67" s="9" t="inlineStr">
        <is>
          <t>Levy Ostrup</t>
        </is>
      </c>
      <c r="AM67" s="9" t="n"/>
      <c r="AN67" s="9" t="n"/>
    </row>
    <row r="68">
      <c r="A68" s="9" t="inlineStr">
        <is>
          <t>EHT Trace</t>
        </is>
      </c>
      <c r="B68" s="9" t="inlineStr">
        <is>
          <t>29103-ET-PE2601-2-2</t>
        </is>
      </c>
      <c r="C68" s="9" t="inlineStr">
        <is>
          <t>29103-ET-PE2601-2</t>
        </is>
      </c>
      <c r="D68" s="9" t="inlineStr">
        <is>
          <t>HTC-12 / CB-12</t>
        </is>
      </c>
      <c r="E68" s="9" t="inlineStr">
        <is>
          <t>29103-PE-2601</t>
        </is>
      </c>
      <c r="F68" s="9" t="inlineStr">
        <is>
          <t>29103-65R-ET-PE2601-02-01</t>
        </is>
      </c>
      <c r="G68" s="9" t="inlineStr">
        <is>
          <t>13.1</t>
        </is>
      </c>
      <c r="H68" s="9" t="inlineStr">
        <is>
          <t>29103-ET-PE2601-2-2.pdf</t>
        </is>
      </c>
      <c r="I68" s="4" t="str">
        <f>IF($H68&lt;&gt;"","YES","NO")</f>
        <v>YES</v>
      </c>
      <c r="J68" s="4" t="str">
        <f>IF(N($T68)&gt;0,"YES","NO")</f>
        <v>NO</v>
      </c>
      <c r="K68" s="4" t="str">
        <f>IF(OR($A68="EHT Trace"),IF(AND($U68&lt;&gt;"",$V68&lt;&gt;""),"YES","NO"),"N/A")</f>
        <v>NO</v>
      </c>
      <c r="L68" s="4" t="str">
        <f>IF(OR($A68="EHT Trace"),IF(AND($X68&lt;&gt;"",$Y68&lt;&gt;""),"YES","NO"),"N/A")</f>
        <v>NO</v>
      </c>
      <c r="M68" s="4" t="str">
        <f>IF(OR($A68="EHT Trace"),IF(AND($AA68&lt;&gt;"",$AB68&lt;&gt;""),"YES","NO"),"N/A")</f>
        <v>NO</v>
      </c>
      <c r="N68" s="4" t="str">
        <f>IF(OR($A68="Power Cable"),IF(AND($AD68&lt;&gt;""),"YES","NO"),"N/A")</f>
        <v>N/A</v>
      </c>
      <c r="O68" s="4" t="str">
        <f>IF(OR($A68="Power Cable",$A68="RTD Cable",$A68="Fieldbus Cable"),IF(AND($AE68&lt;&gt;""),"YES","NO"),"N/A")</f>
        <v>N/A</v>
      </c>
      <c r="P68" s="4" t="str">
        <f>IF(OR($A68="RTD"),IF(AND($AH68&lt;&gt;""),"YES","NO"),"N/A")</f>
        <v>N/A</v>
      </c>
      <c r="Q68" s="4" t="str">
        <f>IF(OR($A68="RTD"),IF(AND($AI68&lt;&gt;""),"YES","NO"),"N/A")</f>
        <v>N/A</v>
      </c>
      <c r="R68" s="4" t="str">
        <f>IF(OR($AM68&lt;&gt;"",$Z68&lt;&gt;"",$AC68&lt;&gt;""),"YES","NO")</f>
        <v>NO</v>
      </c>
      <c r="S68" s="4" t="str">
        <f>IF(COUNTIF(I68:R68,"NO")=0,"YES","NO")</f>
        <v>NO</v>
      </c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inlineStr">
        <is>
          <t>D/32SB2114/29.2M/701/277/1.2M/LS23A/X/N12</t>
        </is>
      </c>
      <c r="AK68" s="9" t="inlineStr">
        <is>
          <t>29.2 m m</t>
        </is>
      </c>
      <c r="AL68" s="9" t="inlineStr">
        <is>
          <t>Levy Ostrup</t>
        </is>
      </c>
      <c r="AM68" s="9" t="n"/>
      <c r="AN68" s="9" t="n"/>
    </row>
    <row r="69">
      <c r="A69" s="9" t="inlineStr">
        <is>
          <t>EHT Trace</t>
        </is>
      </c>
      <c r="B69" s="9" t="inlineStr">
        <is>
          <t>29103-ET-PE2602-1-1</t>
        </is>
      </c>
      <c r="C69" s="9" t="inlineStr">
        <is>
          <t>29103-ET-PE2602-1</t>
        </is>
      </c>
      <c r="D69" s="9" t="inlineStr">
        <is>
          <t>HTC-25 / CB-25</t>
        </is>
      </c>
      <c r="E69" s="9" t="inlineStr">
        <is>
          <t>29103-PE-2603, 29103-PE-2602</t>
        </is>
      </c>
      <c r="F69" s="9" t="inlineStr">
        <is>
          <t>29103-65R-ET-PE2602-01-01</t>
        </is>
      </c>
      <c r="G69" s="9" t="inlineStr">
        <is>
          <t>13.1</t>
        </is>
      </c>
      <c r="H69" s="9" t="inlineStr">
        <is>
          <t>29103-ET-PE2602-1-1.pdf</t>
        </is>
      </c>
      <c r="I69" s="4" t="str">
        <f>IF($H69&lt;&gt;"","YES","NO")</f>
        <v>YES</v>
      </c>
      <c r="J69" s="4" t="str">
        <f>IF(N($T69)&gt;0,"YES","NO")</f>
        <v>NO</v>
      </c>
      <c r="K69" s="4" t="str">
        <f>IF(OR($A69="EHT Trace"),IF(AND($U69&lt;&gt;"",$V69&lt;&gt;""),"YES","NO"),"N/A")</f>
        <v>NO</v>
      </c>
      <c r="L69" s="4" t="str">
        <f>IF(OR($A69="EHT Trace"),IF(AND($X69&lt;&gt;"",$Y69&lt;&gt;""),"YES","NO"),"N/A")</f>
        <v>NO</v>
      </c>
      <c r="M69" s="4" t="str">
        <f>IF(OR($A69="EHT Trace"),IF(AND($AA69&lt;&gt;"",$AB69&lt;&gt;""),"YES","NO"),"N/A")</f>
        <v>NO</v>
      </c>
      <c r="N69" s="4" t="str">
        <f>IF(OR($A69="Power Cable"),IF(AND($AD69&lt;&gt;""),"YES","NO"),"N/A")</f>
        <v>N/A</v>
      </c>
      <c r="O69" s="4" t="str">
        <f>IF(OR($A69="Power Cable",$A69="RTD Cable",$A69="Fieldbus Cable"),IF(AND($AE69&lt;&gt;""),"YES","NO"),"N/A")</f>
        <v>N/A</v>
      </c>
      <c r="P69" s="4" t="str">
        <f>IF(OR($A69="RTD"),IF(AND($AH69&lt;&gt;""),"YES","NO"),"N/A")</f>
        <v>N/A</v>
      </c>
      <c r="Q69" s="4" t="str">
        <f>IF(OR($A69="RTD"),IF(AND($AI69&lt;&gt;""),"YES","NO"),"N/A")</f>
        <v>N/A</v>
      </c>
      <c r="R69" s="4" t="str">
        <f>IF(OR($AM69&lt;&gt;"",$Z69&lt;&gt;"",$AC69&lt;&gt;""),"YES","NO")</f>
        <v>NO</v>
      </c>
      <c r="S69" s="4" t="str">
        <f>IF(COUNTIF(I69:R69,"NO")=0,"YES","NO")</f>
        <v>NO</v>
      </c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inlineStr">
        <is>
          <t>D/32SQ3374/35.4M/1635/277/1.2M/LS23A/X/N12</t>
        </is>
      </c>
      <c r="AK69" s="9" t="inlineStr">
        <is>
          <t>35.4 m m</t>
        </is>
      </c>
      <c r="AL69" s="9" t="inlineStr">
        <is>
          <t>Levy Ostrup</t>
        </is>
      </c>
      <c r="AM69" s="9" t="n"/>
      <c r="AN69" s="9" t="n"/>
    </row>
    <row r="70">
      <c r="A70" s="9" t="inlineStr">
        <is>
          <t>EHT Trace</t>
        </is>
      </c>
      <c r="B70" s="9" t="inlineStr">
        <is>
          <t>29103-ET-PE2701-1-1</t>
        </is>
      </c>
      <c r="C70" s="9" t="inlineStr">
        <is>
          <t>29103-ET-PE2701-1</t>
        </is>
      </c>
      <c r="D70" s="9" t="inlineStr">
        <is>
          <t>HTC-33 / CB-33</t>
        </is>
      </c>
      <c r="E70" s="9" t="inlineStr">
        <is>
          <t>29103-PE-2701</t>
        </is>
      </c>
      <c r="F70" s="9" t="inlineStr">
        <is>
          <t>29103-65R-ET-PE2701-01-01</t>
        </is>
      </c>
      <c r="G70" s="9" t="inlineStr">
        <is>
          <t>13.1</t>
        </is>
      </c>
      <c r="H70" s="9" t="inlineStr">
        <is>
          <t>29103-ET-PE2701-1-1.pdf</t>
        </is>
      </c>
      <c r="I70" s="4" t="str">
        <f>IF($H70&lt;&gt;"","YES","NO")</f>
        <v>YES</v>
      </c>
      <c r="J70" s="4" t="str">
        <f>IF(N($T70)&gt;0,"YES","NO")</f>
        <v>NO</v>
      </c>
      <c r="K70" s="4" t="str">
        <f>IF(OR($A70="EHT Trace"),IF(AND($U70&lt;&gt;"",$V70&lt;&gt;""),"YES","NO"),"N/A")</f>
        <v>NO</v>
      </c>
      <c r="L70" s="4" t="str">
        <f>IF(OR($A70="EHT Trace"),IF(AND($X70&lt;&gt;"",$Y70&lt;&gt;""),"YES","NO"),"N/A")</f>
        <v>NO</v>
      </c>
      <c r="M70" s="4" t="str">
        <f>IF(OR($A70="EHT Trace"),IF(AND($AA70&lt;&gt;"",$AB70&lt;&gt;""),"YES","NO"),"N/A")</f>
        <v>NO</v>
      </c>
      <c r="N70" s="4" t="str">
        <f>IF(OR($A70="Power Cable"),IF(AND($AD70&lt;&gt;""),"YES","NO"),"N/A")</f>
        <v>N/A</v>
      </c>
      <c r="O70" s="4" t="str">
        <f>IF(OR($A70="Power Cable",$A70="RTD Cable",$A70="Fieldbus Cable"),IF(AND($AE70&lt;&gt;""),"YES","NO"),"N/A")</f>
        <v>N/A</v>
      </c>
      <c r="P70" s="4" t="str">
        <f>IF(OR($A70="RTD"),IF(AND($AH70&lt;&gt;""),"YES","NO"),"N/A")</f>
        <v>N/A</v>
      </c>
      <c r="Q70" s="4" t="str">
        <f>IF(OR($A70="RTD"),IF(AND($AI70&lt;&gt;""),"YES","NO"),"N/A")</f>
        <v>N/A</v>
      </c>
      <c r="R70" s="4" t="str">
        <f>IF(OR($AM70&lt;&gt;"",$Z70&lt;&gt;"",$AC70&lt;&gt;""),"YES","NO")</f>
        <v>NO</v>
      </c>
      <c r="S70" s="4" t="str">
        <f>IF(COUNTIF(I70:R70,"NO")=0,"YES","NO")</f>
        <v>NO</v>
      </c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inlineStr">
        <is>
          <t>D/32SF1110/7.8M/269/277/1.2M/LS23A/X/N12</t>
        </is>
      </c>
      <c r="AK70" s="9" t="inlineStr">
        <is>
          <t>7.8 m m</t>
        </is>
      </c>
      <c r="AL70" s="9" t="inlineStr">
        <is>
          <t>Levy Ostrup</t>
        </is>
      </c>
      <c r="AM70" s="9" t="n"/>
      <c r="AN70" s="9" t="n"/>
    </row>
    <row r="71">
      <c r="A71" s="9" t="inlineStr">
        <is>
          <t>EHT Trace</t>
        </is>
      </c>
      <c r="B71" s="9" t="inlineStr">
        <is>
          <t>29103-ET-PE2701-1-2</t>
        </is>
      </c>
      <c r="C71" s="9" t="inlineStr">
        <is>
          <t>29103-ET-PE2701-1</t>
        </is>
      </c>
      <c r="D71" s="9" t="inlineStr">
        <is>
          <t>HTC-33 / CB-33</t>
        </is>
      </c>
      <c r="E71" s="9" t="inlineStr">
        <is>
          <t>29103-PE-2701</t>
        </is>
      </c>
      <c r="F71" s="9" t="inlineStr">
        <is>
          <t>29103-65R-ET-PE2701-01-01</t>
        </is>
      </c>
      <c r="G71" s="9" t="inlineStr">
        <is>
          <t>13.1</t>
        </is>
      </c>
      <c r="H71" s="9" t="inlineStr">
        <is>
          <t>29103-ET-PE2701-1-2.pdf</t>
        </is>
      </c>
      <c r="I71" s="4" t="str">
        <f>IF($H71&lt;&gt;"","YES","NO")</f>
        <v>YES</v>
      </c>
      <c r="J71" s="4" t="str">
        <f>IF(N($T71)&gt;0,"YES","NO")</f>
        <v>NO</v>
      </c>
      <c r="K71" s="4" t="str">
        <f>IF(OR($A71="EHT Trace"),IF(AND($U71&lt;&gt;"",$V71&lt;&gt;""),"YES","NO"),"N/A")</f>
        <v>NO</v>
      </c>
      <c r="L71" s="4" t="str">
        <f>IF(OR($A71="EHT Trace"),IF(AND($X71&lt;&gt;"",$Y71&lt;&gt;""),"YES","NO"),"N/A")</f>
        <v>NO</v>
      </c>
      <c r="M71" s="4" t="str">
        <f>IF(OR($A71="EHT Trace"),IF(AND($AA71&lt;&gt;"",$AB71&lt;&gt;""),"YES","NO"),"N/A")</f>
        <v>NO</v>
      </c>
      <c r="N71" s="4" t="str">
        <f>IF(OR($A71="Power Cable"),IF(AND($AD71&lt;&gt;""),"YES","NO"),"N/A")</f>
        <v>N/A</v>
      </c>
      <c r="O71" s="4" t="str">
        <f>IF(OR($A71="Power Cable",$A71="RTD Cable",$A71="Fieldbus Cable"),IF(AND($AE71&lt;&gt;""),"YES","NO"),"N/A")</f>
        <v>N/A</v>
      </c>
      <c r="P71" s="4" t="str">
        <f>IF(OR($A71="RTD"),IF(AND($AH71&lt;&gt;""),"YES","NO"),"N/A")</f>
        <v>N/A</v>
      </c>
      <c r="Q71" s="4" t="str">
        <f>IF(OR($A71="RTD"),IF(AND($AI71&lt;&gt;""),"YES","NO"),"N/A")</f>
        <v>N/A</v>
      </c>
      <c r="R71" s="4" t="str">
        <f>IF(OR($AM71&lt;&gt;"",$Z71&lt;&gt;"",$AC71&lt;&gt;""),"YES","NO")</f>
        <v>NO</v>
      </c>
      <c r="S71" s="4" t="str">
        <f>IF(COUNTIF(I71:R71,"NO")=0,"YES","NO")</f>
        <v>NO</v>
      </c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inlineStr">
        <is>
          <t>E/32SQ3472/9.5M/505/89.8/1.2M/LS23A/X/N12/XNF</t>
        </is>
      </c>
      <c r="AK71" s="9" t="inlineStr">
        <is>
          <t>9.5 m m</t>
        </is>
      </c>
      <c r="AL71" s="9" t="inlineStr">
        <is>
          <t>Levy Ostrup</t>
        </is>
      </c>
      <c r="AM71" s="9" t="n"/>
      <c r="AN71" s="9" t="n"/>
    </row>
    <row r="72">
      <c r="A72" s="9" t="inlineStr">
        <is>
          <t>EHT Trace</t>
        </is>
      </c>
      <c r="B72" s="9" t="inlineStr">
        <is>
          <t>29103-ET-PE2701-1-3</t>
        </is>
      </c>
      <c r="C72" s="9" t="inlineStr">
        <is>
          <t>29103-ET-PE2701-1</t>
        </is>
      </c>
      <c r="D72" s="9" t="inlineStr">
        <is>
          <t>HTC-33 / CB-33</t>
        </is>
      </c>
      <c r="E72" s="9" t="inlineStr">
        <is>
          <t>29103-PE-2701</t>
        </is>
      </c>
      <c r="F72" s="9" t="inlineStr">
        <is>
          <t>29103-65R-ET-PE2701-01-01</t>
        </is>
      </c>
      <c r="G72" s="9" t="inlineStr">
        <is>
          <t>13.1</t>
        </is>
      </c>
      <c r="H72" s="9" t="inlineStr">
        <is>
          <t>29103-ET-PE2701-1-3.pdf</t>
        </is>
      </c>
      <c r="I72" s="4" t="str">
        <f>IF($H72&lt;&gt;"","YES","NO")</f>
        <v>YES</v>
      </c>
      <c r="J72" s="4" t="str">
        <f>IF(N($T72)&gt;0,"YES","NO")</f>
        <v>NO</v>
      </c>
      <c r="K72" s="4" t="str">
        <f>IF(OR($A72="EHT Trace"),IF(AND($U72&lt;&gt;"",$V72&lt;&gt;""),"YES","NO"),"N/A")</f>
        <v>NO</v>
      </c>
      <c r="L72" s="4" t="str">
        <f>IF(OR($A72="EHT Trace"),IF(AND($X72&lt;&gt;"",$Y72&lt;&gt;""),"YES","NO"),"N/A")</f>
        <v>NO</v>
      </c>
      <c r="M72" s="4" t="str">
        <f>IF(OR($A72="EHT Trace"),IF(AND($AA72&lt;&gt;"",$AB72&lt;&gt;""),"YES","NO"),"N/A")</f>
        <v>NO</v>
      </c>
      <c r="N72" s="4" t="str">
        <f>IF(OR($A72="Power Cable"),IF(AND($AD72&lt;&gt;""),"YES","NO"),"N/A")</f>
        <v>N/A</v>
      </c>
      <c r="O72" s="4" t="str">
        <f>IF(OR($A72="Power Cable",$A72="RTD Cable",$A72="Fieldbus Cable"),IF(AND($AE72&lt;&gt;""),"YES","NO"),"N/A")</f>
        <v>N/A</v>
      </c>
      <c r="P72" s="4" t="str">
        <f>IF(OR($A72="RTD"),IF(AND($AH72&lt;&gt;""),"YES","NO"),"N/A")</f>
        <v>N/A</v>
      </c>
      <c r="Q72" s="4" t="str">
        <f>IF(OR($A72="RTD"),IF(AND($AI72&lt;&gt;""),"YES","NO"),"N/A")</f>
        <v>N/A</v>
      </c>
      <c r="R72" s="4" t="str">
        <f>IF(OR($AM72&lt;&gt;"",$Z72&lt;&gt;"",$AC72&lt;&gt;""),"YES","NO")</f>
        <v>NO</v>
      </c>
      <c r="S72" s="4" t="str">
        <f>IF(COUNTIF(I72:R72,"NO")=0,"YES","NO")</f>
        <v>NO</v>
      </c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inlineStr">
        <is>
          <t>E/32SQ3472/6.6M/351/62.4/1.2M/LS23A/X/N12/XMF</t>
        </is>
      </c>
      <c r="AK72" s="9" t="inlineStr">
        <is>
          <t>6.6 m m</t>
        </is>
      </c>
      <c r="AL72" s="9" t="inlineStr">
        <is>
          <t>Levy Ostrup</t>
        </is>
      </c>
      <c r="AM72" s="9" t="n"/>
      <c r="AN72" s="9" t="n"/>
    </row>
    <row r="73">
      <c r="A73" s="9" t="inlineStr">
        <is>
          <t>EHT Trace</t>
        </is>
      </c>
      <c r="B73" s="9" t="inlineStr">
        <is>
          <t>29103-ET-PE2701-1-4</t>
        </is>
      </c>
      <c r="C73" s="9" t="inlineStr">
        <is>
          <t>29103-ET-PE2701-1</t>
        </is>
      </c>
      <c r="D73" s="9" t="inlineStr">
        <is>
          <t>HTC-33 / CB-33</t>
        </is>
      </c>
      <c r="E73" s="9" t="inlineStr">
        <is>
          <t>29103-PE-2701</t>
        </is>
      </c>
      <c r="F73" s="9" t="inlineStr">
        <is>
          <t>29103-65R-ET-PE2701-01-01</t>
        </is>
      </c>
      <c r="G73" s="9" t="inlineStr">
        <is>
          <t>13.1</t>
        </is>
      </c>
      <c r="H73" s="9" t="inlineStr">
        <is>
          <t>29103-ET-PE2701-1-4.pdf</t>
        </is>
      </c>
      <c r="I73" s="4" t="str">
        <f>IF($H73&lt;&gt;"","YES","NO")</f>
        <v>YES</v>
      </c>
      <c r="J73" s="4" t="str">
        <f>IF(N($T73)&gt;0,"YES","NO")</f>
        <v>NO</v>
      </c>
      <c r="K73" s="4" t="str">
        <f>IF(OR($A73="EHT Trace"),IF(AND($U73&lt;&gt;"",$V73&lt;&gt;""),"YES","NO"),"N/A")</f>
        <v>NO</v>
      </c>
      <c r="L73" s="4" t="str">
        <f>IF(OR($A73="EHT Trace"),IF(AND($X73&lt;&gt;"",$Y73&lt;&gt;""),"YES","NO"),"N/A")</f>
        <v>NO</v>
      </c>
      <c r="M73" s="4" t="str">
        <f>IF(OR($A73="EHT Trace"),IF(AND($AA73&lt;&gt;"",$AB73&lt;&gt;""),"YES","NO"),"N/A")</f>
        <v>NO</v>
      </c>
      <c r="N73" s="4" t="str">
        <f>IF(OR($A73="Power Cable"),IF(AND($AD73&lt;&gt;""),"YES","NO"),"N/A")</f>
        <v>N/A</v>
      </c>
      <c r="O73" s="4" t="str">
        <f>IF(OR($A73="Power Cable",$A73="RTD Cable",$A73="Fieldbus Cable"),IF(AND($AE73&lt;&gt;""),"YES","NO"),"N/A")</f>
        <v>N/A</v>
      </c>
      <c r="P73" s="4" t="str">
        <f>IF(OR($A73="RTD"),IF(AND($AH73&lt;&gt;""),"YES","NO"),"N/A")</f>
        <v>N/A</v>
      </c>
      <c r="Q73" s="4" t="str">
        <f>IF(OR($A73="RTD"),IF(AND($AI73&lt;&gt;""),"YES","NO"),"N/A")</f>
        <v>N/A</v>
      </c>
      <c r="R73" s="4" t="str">
        <f>IF(OR($AM73&lt;&gt;"",$Z73&lt;&gt;"",$AC73&lt;&gt;""),"YES","NO")</f>
        <v>NO</v>
      </c>
      <c r="S73" s="4" t="str">
        <f>IF(COUNTIF(I73:R73,"NO")=0,"YES","NO")</f>
        <v>NO</v>
      </c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inlineStr">
        <is>
          <t>D/32SQ3472/13.2M/702/125/1.2M/LS23A/X/N12/XMN</t>
        </is>
      </c>
      <c r="AK73" s="9" t="inlineStr">
        <is>
          <t>13.2 m m</t>
        </is>
      </c>
      <c r="AL73" s="9" t="inlineStr">
        <is>
          <t>Levy Ostrup</t>
        </is>
      </c>
      <c r="AM73" s="9" t="n"/>
      <c r="AN73" s="9" t="n"/>
    </row>
    <row r="74">
      <c r="A74" s="9" t="inlineStr">
        <is>
          <t>EHT Trace</t>
        </is>
      </c>
      <c r="B74" s="9" t="inlineStr">
        <is>
          <t>29103-ET-PE2701-2-1</t>
        </is>
      </c>
      <c r="C74" s="9" t="inlineStr">
        <is>
          <t>29103-ET-PE2701-2</t>
        </is>
      </c>
      <c r="D74" s="9" t="inlineStr">
        <is>
          <t>HTC-03 / CB-03</t>
        </is>
      </c>
      <c r="E74" s="9" t="inlineStr">
        <is>
          <t>29103-PE-2701</t>
        </is>
      </c>
      <c r="F74" s="9" t="inlineStr">
        <is>
          <t>29103-65R-ET-PE2701-02-01</t>
        </is>
      </c>
      <c r="G74" s="9" t="inlineStr">
        <is>
          <t>13.1</t>
        </is>
      </c>
      <c r="H74" s="9" t="inlineStr">
        <is>
          <t>29103-ET-PE2701-2-1.pdf</t>
        </is>
      </c>
      <c r="I74" s="4" t="str">
        <f>IF($H74&lt;&gt;"","YES","NO")</f>
        <v>YES</v>
      </c>
      <c r="J74" s="4" t="str">
        <f>IF(N($T74)&gt;0,"YES","NO")</f>
        <v>NO</v>
      </c>
      <c r="K74" s="4" t="str">
        <f>IF(OR($A74="EHT Trace"),IF(AND($U74&lt;&gt;"",$V74&lt;&gt;""),"YES","NO"),"N/A")</f>
        <v>NO</v>
      </c>
      <c r="L74" s="4" t="str">
        <f>IF(OR($A74="EHT Trace"),IF(AND($X74&lt;&gt;"",$Y74&lt;&gt;""),"YES","NO"),"N/A")</f>
        <v>NO</v>
      </c>
      <c r="M74" s="4" t="str">
        <f>IF(OR($A74="EHT Trace"),IF(AND($AA74&lt;&gt;"",$AB74&lt;&gt;""),"YES","NO"),"N/A")</f>
        <v>NO</v>
      </c>
      <c r="N74" s="4" t="str">
        <f>IF(OR($A74="Power Cable"),IF(AND($AD74&lt;&gt;""),"YES","NO"),"N/A")</f>
        <v>N/A</v>
      </c>
      <c r="O74" s="4" t="str">
        <f>IF(OR($A74="Power Cable",$A74="RTD Cable",$A74="Fieldbus Cable"),IF(AND($AE74&lt;&gt;""),"YES","NO"),"N/A")</f>
        <v>N/A</v>
      </c>
      <c r="P74" s="4" t="str">
        <f>IF(OR($A74="RTD"),IF(AND($AH74&lt;&gt;""),"YES","NO"),"N/A")</f>
        <v>N/A</v>
      </c>
      <c r="Q74" s="4" t="str">
        <f>IF(OR($A74="RTD"),IF(AND($AI74&lt;&gt;""),"YES","NO"),"N/A")</f>
        <v>N/A</v>
      </c>
      <c r="R74" s="4" t="str">
        <f>IF(OR($AM74&lt;&gt;"",$Z74&lt;&gt;"",$AC74&lt;&gt;""),"YES","NO")</f>
        <v>NO</v>
      </c>
      <c r="S74" s="4" t="str">
        <f>IF(COUNTIF(I74:R74,"NO")=0,"YES","NO")</f>
        <v>NO</v>
      </c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inlineStr">
        <is>
          <t>D/32SQ3200/52.5M/2063/277/1.2M/LS23A/X/N12</t>
        </is>
      </c>
      <c r="AK74" s="9" t="inlineStr">
        <is>
          <t>52.5 m m</t>
        </is>
      </c>
      <c r="AL74" s="9" t="inlineStr">
        <is>
          <t>Levy Ostrup</t>
        </is>
      </c>
      <c r="AM74" s="9" t="n"/>
      <c r="AN74" s="9" t="n"/>
    </row>
    <row r="75">
      <c r="A75" s="9" t="inlineStr">
        <is>
          <t>EHT Trace</t>
        </is>
      </c>
      <c r="B75" s="9" t="inlineStr">
        <is>
          <t>29103-ET-PE2701-2-2</t>
        </is>
      </c>
      <c r="C75" s="9" t="inlineStr">
        <is>
          <t>29103-ET-PE2701-2</t>
        </is>
      </c>
      <c r="D75" s="9" t="inlineStr">
        <is>
          <t>HTC-03 / CB-03</t>
        </is>
      </c>
      <c r="E75" s="9" t="inlineStr">
        <is>
          <t>29103-PE-2701</t>
        </is>
      </c>
      <c r="F75" s="9" t="inlineStr">
        <is>
          <t>29103-65R-ET-PE2701-02-01</t>
        </is>
      </c>
      <c r="G75" s="9" t="inlineStr">
        <is>
          <t>13.1</t>
        </is>
      </c>
      <c r="H75" s="9" t="inlineStr">
        <is>
          <t>29103-ET-PE2701-2-2.pdf</t>
        </is>
      </c>
      <c r="I75" s="4" t="str">
        <f>IF($H75&lt;&gt;"","YES","NO")</f>
        <v>YES</v>
      </c>
      <c r="J75" s="4" t="str">
        <f>IF(N($T75)&gt;0,"YES","NO")</f>
        <v>NO</v>
      </c>
      <c r="K75" s="4" t="str">
        <f>IF(OR($A75="EHT Trace"),IF(AND($U75&lt;&gt;"",$V75&lt;&gt;""),"YES","NO"),"N/A")</f>
        <v>NO</v>
      </c>
      <c r="L75" s="4" t="str">
        <f>IF(OR($A75="EHT Trace"),IF(AND($X75&lt;&gt;"",$Y75&lt;&gt;""),"YES","NO"),"N/A")</f>
        <v>NO</v>
      </c>
      <c r="M75" s="4" t="str">
        <f>IF(OR($A75="EHT Trace"),IF(AND($AA75&lt;&gt;"",$AB75&lt;&gt;""),"YES","NO"),"N/A")</f>
        <v>NO</v>
      </c>
      <c r="N75" s="4" t="str">
        <f>IF(OR($A75="Power Cable"),IF(AND($AD75&lt;&gt;""),"YES","NO"),"N/A")</f>
        <v>N/A</v>
      </c>
      <c r="O75" s="4" t="str">
        <f>IF(OR($A75="Power Cable",$A75="RTD Cable",$A75="Fieldbus Cable"),IF(AND($AE75&lt;&gt;""),"YES","NO"),"N/A")</f>
        <v>N/A</v>
      </c>
      <c r="P75" s="4" t="str">
        <f>IF(OR($A75="RTD"),IF(AND($AH75&lt;&gt;""),"YES","NO"),"N/A")</f>
        <v>N/A</v>
      </c>
      <c r="Q75" s="4" t="str">
        <f>IF(OR($A75="RTD"),IF(AND($AI75&lt;&gt;""),"YES","NO"),"N/A")</f>
        <v>N/A</v>
      </c>
      <c r="R75" s="4" t="str">
        <f>IF(OR($AM75&lt;&gt;"",$Z75&lt;&gt;"",$AC75&lt;&gt;""),"YES","NO")</f>
        <v>NO</v>
      </c>
      <c r="S75" s="4" t="str">
        <f>IF(COUNTIF(I75:R75,"NO")=0,"YES","NO")</f>
        <v>NO</v>
      </c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inlineStr">
        <is>
          <t>D/32SB2114/29.4M/694/277/1.2M/LS23A/X/N12</t>
        </is>
      </c>
      <c r="AK75" s="9" t="inlineStr">
        <is>
          <t>29.4 m m</t>
        </is>
      </c>
      <c r="AL75" s="9" t="inlineStr">
        <is>
          <t>Levy Ostrup</t>
        </is>
      </c>
      <c r="AM75" s="9" t="n"/>
      <c r="AN75" s="9" t="n"/>
    </row>
    <row r="76">
      <c r="A76" s="9" t="inlineStr">
        <is>
          <t>EHT Trace</t>
        </is>
      </c>
      <c r="B76" s="9" t="inlineStr">
        <is>
          <t>29103-ET-PE2702-1-1</t>
        </is>
      </c>
      <c r="C76" s="9" t="inlineStr">
        <is>
          <t>29103-ET-PE2702-1</t>
        </is>
      </c>
      <c r="D76" s="9" t="inlineStr">
        <is>
          <t>HTC-26 / CB-26</t>
        </is>
      </c>
      <c r="E76" s="9" t="inlineStr">
        <is>
          <t>29103-PE-2703, 29103-PE-2702</t>
        </is>
      </c>
      <c r="F76" s="9" t="inlineStr">
        <is>
          <t>29103-65R-ET-PE2702-01-01</t>
        </is>
      </c>
      <c r="G76" s="9" t="inlineStr">
        <is>
          <t>13.1</t>
        </is>
      </c>
      <c r="H76" s="9" t="inlineStr">
        <is>
          <t>29103-ET-PE2702-1-1.pdf</t>
        </is>
      </c>
      <c r="I76" s="4" t="str">
        <f>IF($H76&lt;&gt;"","YES","NO")</f>
        <v>YES</v>
      </c>
      <c r="J76" s="4" t="str">
        <f>IF(N($T76)&gt;0,"YES","NO")</f>
        <v>NO</v>
      </c>
      <c r="K76" s="4" t="str">
        <f>IF(OR($A76="EHT Trace"),IF(AND($U76&lt;&gt;"",$V76&lt;&gt;""),"YES","NO"),"N/A")</f>
        <v>NO</v>
      </c>
      <c r="L76" s="4" t="str">
        <f>IF(OR($A76="EHT Trace"),IF(AND($X76&lt;&gt;"",$Y76&lt;&gt;""),"YES","NO"),"N/A")</f>
        <v>NO</v>
      </c>
      <c r="M76" s="4" t="str">
        <f>IF(OR($A76="EHT Trace"),IF(AND($AA76&lt;&gt;"",$AB76&lt;&gt;""),"YES","NO"),"N/A")</f>
        <v>NO</v>
      </c>
      <c r="N76" s="4" t="str">
        <f>IF(OR($A76="Power Cable"),IF(AND($AD76&lt;&gt;""),"YES","NO"),"N/A")</f>
        <v>N/A</v>
      </c>
      <c r="O76" s="4" t="str">
        <f>IF(OR($A76="Power Cable",$A76="RTD Cable",$A76="Fieldbus Cable"),IF(AND($AE76&lt;&gt;""),"YES","NO"),"N/A")</f>
        <v>N/A</v>
      </c>
      <c r="P76" s="4" t="str">
        <f>IF(OR($A76="RTD"),IF(AND($AH76&lt;&gt;""),"YES","NO"),"N/A")</f>
        <v>N/A</v>
      </c>
      <c r="Q76" s="4" t="str">
        <f>IF(OR($A76="RTD"),IF(AND($AI76&lt;&gt;""),"YES","NO"),"N/A")</f>
        <v>N/A</v>
      </c>
      <c r="R76" s="4" t="str">
        <f>IF(OR($AM76&lt;&gt;"",$Z76&lt;&gt;"",$AC76&lt;&gt;""),"YES","NO")</f>
        <v>NO</v>
      </c>
      <c r="S76" s="4" t="str">
        <f>IF(COUNTIF(I76:R76,"NO")=0,"YES","NO")</f>
        <v>NO</v>
      </c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inlineStr">
        <is>
          <t>D/32SQ3374/34.9M/1658/277/1.2M/LS23A/X/N12</t>
        </is>
      </c>
      <c r="AK76" s="9" t="inlineStr">
        <is>
          <t>34.9 m m</t>
        </is>
      </c>
      <c r="AL76" s="9" t="inlineStr">
        <is>
          <t>Levy Ostrup</t>
        </is>
      </c>
      <c r="AM76" s="9" t="n"/>
      <c r="AN76" s="9" t="n"/>
    </row>
    <row r="77">
      <c r="A77" s="9" t="inlineStr">
        <is>
          <t>EHT Trace</t>
        </is>
      </c>
      <c r="B77" s="9" t="inlineStr">
        <is>
          <t>29103-ET-PE2802-1-1</t>
        </is>
      </c>
      <c r="C77" s="9" t="inlineStr">
        <is>
          <t>29103-ET-PE2802-1</t>
        </is>
      </c>
      <c r="D77" s="9" t="inlineStr">
        <is>
          <t>HTC-02 / CB-02</t>
        </is>
      </c>
      <c r="E77" s="9" t="inlineStr">
        <is>
          <t>29103-PE-2802</t>
        </is>
      </c>
      <c r="F77" s="9" t="inlineStr">
        <is>
          <t>29103-65R-ET-PE2802-01-01</t>
        </is>
      </c>
      <c r="G77" s="9" t="inlineStr">
        <is>
          <t>13.1</t>
        </is>
      </c>
      <c r="H77" s="9" t="inlineStr">
        <is>
          <t>29103-ET-PE2802-1-1.pdf</t>
        </is>
      </c>
      <c r="I77" s="4" t="str">
        <f>IF($H77&lt;&gt;"","YES","NO")</f>
        <v>YES</v>
      </c>
      <c r="J77" s="4" t="str">
        <f>IF(N($T77)&gt;0,"YES","NO")</f>
        <v>NO</v>
      </c>
      <c r="K77" s="4" t="str">
        <f>IF(OR($A77="EHT Trace"),IF(AND($U77&lt;&gt;"",$V77&lt;&gt;""),"YES","NO"),"N/A")</f>
        <v>NO</v>
      </c>
      <c r="L77" s="4" t="str">
        <f>IF(OR($A77="EHT Trace"),IF(AND($X77&lt;&gt;"",$Y77&lt;&gt;""),"YES","NO"),"N/A")</f>
        <v>NO</v>
      </c>
      <c r="M77" s="4" t="str">
        <f>IF(OR($A77="EHT Trace"),IF(AND($AA77&lt;&gt;"",$AB77&lt;&gt;""),"YES","NO"),"N/A")</f>
        <v>NO</v>
      </c>
      <c r="N77" s="4" t="str">
        <f>IF(OR($A77="Power Cable"),IF(AND($AD77&lt;&gt;""),"YES","NO"),"N/A")</f>
        <v>N/A</v>
      </c>
      <c r="O77" s="4" t="str">
        <f>IF(OR($A77="Power Cable",$A77="RTD Cable",$A77="Fieldbus Cable"),IF(AND($AE77&lt;&gt;""),"YES","NO"),"N/A")</f>
        <v>N/A</v>
      </c>
      <c r="P77" s="4" t="str">
        <f>IF(OR($A77="RTD"),IF(AND($AH77&lt;&gt;""),"YES","NO"),"N/A")</f>
        <v>N/A</v>
      </c>
      <c r="Q77" s="4" t="str">
        <f>IF(OR($A77="RTD"),IF(AND($AI77&lt;&gt;""),"YES","NO"),"N/A")</f>
        <v>N/A</v>
      </c>
      <c r="R77" s="4" t="str">
        <f>IF(OR($AM77&lt;&gt;"",$Z77&lt;&gt;"",$AC77&lt;&gt;""),"YES","NO")</f>
        <v>NO</v>
      </c>
      <c r="S77" s="4" t="str">
        <f>IF(COUNTIF(I77:R77,"NO")=0,"YES","NO")</f>
        <v>NO</v>
      </c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inlineStr">
        <is>
          <t>E/32SP4734/24.2M/2105/126/2.1-1.2M/LS23A/X/N12/XNF</t>
        </is>
      </c>
      <c r="AK77" s="9" t="inlineStr">
        <is>
          <t>24.2 m m</t>
        </is>
      </c>
      <c r="AL77" s="9" t="inlineStr">
        <is>
          <t>Levy Ostrup</t>
        </is>
      </c>
      <c r="AM77" s="9" t="n"/>
      <c r="AN77" s="9" t="n"/>
    </row>
    <row r="78">
      <c r="A78" s="9" t="inlineStr">
        <is>
          <t>EHT Trace</t>
        </is>
      </c>
      <c r="B78" s="9" t="inlineStr">
        <is>
          <t>29103-ET-PE2802-1-2</t>
        </is>
      </c>
      <c r="C78" s="9" t="inlineStr">
        <is>
          <t>29103-ET-PE2802-1</t>
        </is>
      </c>
      <c r="D78" s="9" t="inlineStr">
        <is>
          <t>HTC-02 / CB-02</t>
        </is>
      </c>
      <c r="E78" s="9" t="inlineStr">
        <is>
          <t>29103-PE-2802</t>
        </is>
      </c>
      <c r="F78" s="9" t="inlineStr">
        <is>
          <t>29103-65R-ET-PE2802-01-01</t>
        </is>
      </c>
      <c r="G78" s="9" t="inlineStr">
        <is>
          <t>13.1</t>
        </is>
      </c>
      <c r="H78" s="9" t="inlineStr">
        <is>
          <t>29103-ET-PE2802-1-2.pdf</t>
        </is>
      </c>
      <c r="I78" s="4" t="str">
        <f>IF($H78&lt;&gt;"","YES","NO")</f>
        <v>YES</v>
      </c>
      <c r="J78" s="4" t="str">
        <f>IF(N($T78)&gt;0,"YES","NO")</f>
        <v>NO</v>
      </c>
      <c r="K78" s="4" t="str">
        <f>IF(OR($A78="EHT Trace"),IF(AND($U78&lt;&gt;"",$V78&lt;&gt;""),"YES","NO"),"N/A")</f>
        <v>NO</v>
      </c>
      <c r="L78" s="4" t="str">
        <f>IF(OR($A78="EHT Trace"),IF(AND($X78&lt;&gt;"",$Y78&lt;&gt;""),"YES","NO"),"N/A")</f>
        <v>NO</v>
      </c>
      <c r="M78" s="4" t="str">
        <f>IF(OR($A78="EHT Trace"),IF(AND($AA78&lt;&gt;"",$AB78&lt;&gt;""),"YES","NO"),"N/A")</f>
        <v>NO</v>
      </c>
      <c r="N78" s="4" t="str">
        <f>IF(OR($A78="Power Cable"),IF(AND($AD78&lt;&gt;""),"YES","NO"),"N/A")</f>
        <v>N/A</v>
      </c>
      <c r="O78" s="4" t="str">
        <f>IF(OR($A78="Power Cable",$A78="RTD Cable",$A78="Fieldbus Cable"),IF(AND($AE78&lt;&gt;""),"YES","NO"),"N/A")</f>
        <v>N/A</v>
      </c>
      <c r="P78" s="4" t="str">
        <f>IF(OR($A78="RTD"),IF(AND($AH78&lt;&gt;""),"YES","NO"),"N/A")</f>
        <v>N/A</v>
      </c>
      <c r="Q78" s="4" t="str">
        <f>IF(OR($A78="RTD"),IF(AND($AI78&lt;&gt;""),"YES","NO"),"N/A")</f>
        <v>N/A</v>
      </c>
      <c r="R78" s="4" t="str">
        <f>IF(OR($AM78&lt;&gt;"",$Z78&lt;&gt;"",$AC78&lt;&gt;""),"YES","NO")</f>
        <v>NO</v>
      </c>
      <c r="S78" s="4" t="str">
        <f>IF(COUNTIF(I78:R78,"NO")=0,"YES","NO")</f>
        <v>NO</v>
      </c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inlineStr">
        <is>
          <t>E/32SP4734/8.9M/774/46.2/1.2M/LS23A/X/N12/XMF</t>
        </is>
      </c>
      <c r="AK78" s="9" t="inlineStr">
        <is>
          <t>8.9 m m</t>
        </is>
      </c>
      <c r="AL78" s="9" t="inlineStr">
        <is>
          <t>Levy Ostrup</t>
        </is>
      </c>
      <c r="AM78" s="9" t="n"/>
      <c r="AN78" s="9" t="n"/>
    </row>
    <row r="79">
      <c r="A79" s="9" t="inlineStr">
        <is>
          <t>EHT Trace</t>
        </is>
      </c>
      <c r="B79" s="9" t="inlineStr">
        <is>
          <t>29103-ET-PE2802-1-3</t>
        </is>
      </c>
      <c r="C79" s="9" t="inlineStr">
        <is>
          <t>29103-ET-PE2802-1</t>
        </is>
      </c>
      <c r="D79" s="9" t="inlineStr">
        <is>
          <t>HTC-02 / CB-02</t>
        </is>
      </c>
      <c r="E79" s="9" t="inlineStr">
        <is>
          <t>29103-PE-2802</t>
        </is>
      </c>
      <c r="F79" s="9" t="inlineStr">
        <is>
          <t>29103-65R-ET-PE2802-01-01</t>
        </is>
      </c>
      <c r="G79" s="9" t="inlineStr">
        <is>
          <t>13.1</t>
        </is>
      </c>
      <c r="H79" s="9" t="inlineStr">
        <is>
          <t>29103-ET-PE2802-1-3.pdf</t>
        </is>
      </c>
      <c r="I79" s="4" t="str">
        <f>IF($H79&lt;&gt;"","YES","NO")</f>
        <v>YES</v>
      </c>
      <c r="J79" s="4" t="str">
        <f>IF(N($T79)&gt;0,"YES","NO")</f>
        <v>NO</v>
      </c>
      <c r="K79" s="4" t="str">
        <f>IF(OR($A79="EHT Trace"),IF(AND($U79&lt;&gt;"",$V79&lt;&gt;""),"YES","NO"),"N/A")</f>
        <v>NO</v>
      </c>
      <c r="L79" s="4" t="str">
        <f>IF(OR($A79="EHT Trace"),IF(AND($X79&lt;&gt;"",$Y79&lt;&gt;""),"YES","NO"),"N/A")</f>
        <v>NO</v>
      </c>
      <c r="M79" s="4" t="str">
        <f>IF(OR($A79="EHT Trace"),IF(AND($AA79&lt;&gt;"",$AB79&lt;&gt;""),"YES","NO"),"N/A")</f>
        <v>NO</v>
      </c>
      <c r="N79" s="4" t="str">
        <f>IF(OR($A79="Power Cable"),IF(AND($AD79&lt;&gt;""),"YES","NO"),"N/A")</f>
        <v>N/A</v>
      </c>
      <c r="O79" s="4" t="str">
        <f>IF(OR($A79="Power Cable",$A79="RTD Cable",$A79="Fieldbus Cable"),IF(AND($AE79&lt;&gt;""),"YES","NO"),"N/A")</f>
        <v>N/A</v>
      </c>
      <c r="P79" s="4" t="str">
        <f>IF(OR($A79="RTD"),IF(AND($AH79&lt;&gt;""),"YES","NO"),"N/A")</f>
        <v>N/A</v>
      </c>
      <c r="Q79" s="4" t="str">
        <f>IF(OR($A79="RTD"),IF(AND($AI79&lt;&gt;""),"YES","NO"),"N/A")</f>
        <v>N/A</v>
      </c>
      <c r="R79" s="4" t="str">
        <f>IF(OR($AM79&lt;&gt;"",$Z79&lt;&gt;"",$AC79&lt;&gt;""),"YES","NO")</f>
        <v>NO</v>
      </c>
      <c r="S79" s="4" t="str">
        <f>IF(COUNTIF(I79:R79,"NO")=0,"YES","NO")</f>
        <v>NO</v>
      </c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inlineStr">
        <is>
          <t>D/32SP4734/20.3M/1766/105/1.2M/LS23A/X/N12/XMN</t>
        </is>
      </c>
      <c r="AK79" s="9" t="inlineStr">
        <is>
          <t>20.3 m m</t>
        </is>
      </c>
      <c r="AL79" s="9" t="inlineStr">
        <is>
          <t>Levy Ostrup</t>
        </is>
      </c>
      <c r="AM79" s="9" t="n"/>
      <c r="AN79" s="9" t="n"/>
    </row>
    <row r="80">
      <c r="A80" s="9" t="inlineStr">
        <is>
          <t>EHT Trace</t>
        </is>
      </c>
      <c r="B80" s="9" t="inlineStr">
        <is>
          <t>29103-ET-PE2802-2-1</t>
        </is>
      </c>
      <c r="C80" s="9" t="inlineStr">
        <is>
          <t>29103-ET-PE2802-2</t>
        </is>
      </c>
      <c r="D80" s="9" t="inlineStr">
        <is>
          <t>HTC-18 / CB-18</t>
        </is>
      </c>
      <c r="E80" s="9" t="inlineStr">
        <is>
          <t>29103-PE-2802</t>
        </is>
      </c>
      <c r="F80" s="9" t="inlineStr">
        <is>
          <t>29103-65R-ET-PE2802-02-01</t>
        </is>
      </c>
      <c r="G80" s="9" t="inlineStr">
        <is>
          <t>13.1</t>
        </is>
      </c>
      <c r="H80" s="9" t="inlineStr">
        <is>
          <t>29103-ET-PE2802-2-1.pdf</t>
        </is>
      </c>
      <c r="I80" s="4" t="str">
        <f>IF($H80&lt;&gt;"","YES","NO")</f>
        <v>YES</v>
      </c>
      <c r="J80" s="4" t="str">
        <f>IF(N($T80)&gt;0,"YES","NO")</f>
        <v>NO</v>
      </c>
      <c r="K80" s="4" t="str">
        <f>IF(OR($A80="EHT Trace"),IF(AND($U80&lt;&gt;"",$V80&lt;&gt;""),"YES","NO"),"N/A")</f>
        <v>NO</v>
      </c>
      <c r="L80" s="4" t="str">
        <f>IF(OR($A80="EHT Trace"),IF(AND($X80&lt;&gt;"",$Y80&lt;&gt;""),"YES","NO"),"N/A")</f>
        <v>NO</v>
      </c>
      <c r="M80" s="4" t="str">
        <f>IF(OR($A80="EHT Trace"),IF(AND($AA80&lt;&gt;"",$AB80&lt;&gt;""),"YES","NO"),"N/A")</f>
        <v>NO</v>
      </c>
      <c r="N80" s="4" t="str">
        <f>IF(OR($A80="Power Cable"),IF(AND($AD80&lt;&gt;""),"YES","NO"),"N/A")</f>
        <v>N/A</v>
      </c>
      <c r="O80" s="4" t="str">
        <f>IF(OR($A80="Power Cable",$A80="RTD Cable",$A80="Fieldbus Cable"),IF(AND($AE80&lt;&gt;""),"YES","NO"),"N/A")</f>
        <v>N/A</v>
      </c>
      <c r="P80" s="4" t="str">
        <f>IF(OR($A80="RTD"),IF(AND($AH80&lt;&gt;""),"YES","NO"),"N/A")</f>
        <v>N/A</v>
      </c>
      <c r="Q80" s="4" t="str">
        <f>IF(OR($A80="RTD"),IF(AND($AI80&lt;&gt;""),"YES","NO"),"N/A")</f>
        <v>N/A</v>
      </c>
      <c r="R80" s="4" t="str">
        <f>IF(OR($AM80&lt;&gt;"",$Z80&lt;&gt;"",$AC80&lt;&gt;""),"YES","NO")</f>
        <v>NO</v>
      </c>
      <c r="S80" s="4" t="str">
        <f>IF(COUNTIF(I80:R80,"NO")=0,"YES","NO")</f>
        <v>NO</v>
      </c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inlineStr">
        <is>
          <t>E/32SQ3150/8.8M/784/61.6/2.1-1.2M/LS23A/X/N12/XNF</t>
        </is>
      </c>
      <c r="AK80" s="9" t="inlineStr">
        <is>
          <t>8.8 m m</t>
        </is>
      </c>
      <c r="AL80" s="9" t="inlineStr">
        <is>
          <t>Levy Ostrup</t>
        </is>
      </c>
      <c r="AM80" s="9" t="n"/>
      <c r="AN80" s="9" t="n"/>
    </row>
    <row r="81">
      <c r="A81" s="9" t="inlineStr">
        <is>
          <t>EHT Trace</t>
        </is>
      </c>
      <c r="B81" s="9" t="inlineStr">
        <is>
          <t>29103-ET-PE2802-2-2</t>
        </is>
      </c>
      <c r="C81" s="9" t="inlineStr">
        <is>
          <t>29103-ET-PE2802-2</t>
        </is>
      </c>
      <c r="D81" s="9" t="inlineStr">
        <is>
          <t>HTC-18 / CB-18</t>
        </is>
      </c>
      <c r="E81" s="9" t="inlineStr">
        <is>
          <t>29103-PE-2802</t>
        </is>
      </c>
      <c r="F81" s="9" t="inlineStr">
        <is>
          <t>29103-65R-ET-PE2802-02-01</t>
        </is>
      </c>
      <c r="G81" s="9" t="inlineStr">
        <is>
          <t>13.1</t>
        </is>
      </c>
      <c r="H81" s="9" t="inlineStr">
        <is>
          <t>29103-ET-PE2802-2-2.pdf</t>
        </is>
      </c>
      <c r="I81" s="4" t="str">
        <f>IF($H81&lt;&gt;"","YES","NO")</f>
        <v>YES</v>
      </c>
      <c r="J81" s="4" t="str">
        <f>IF(N($T81)&gt;0,"YES","NO")</f>
        <v>NO</v>
      </c>
      <c r="K81" s="4" t="str">
        <f>IF(OR($A81="EHT Trace"),IF(AND($U81&lt;&gt;"",$V81&lt;&gt;""),"YES","NO"),"N/A")</f>
        <v>NO</v>
      </c>
      <c r="L81" s="4" t="str">
        <f>IF(OR($A81="EHT Trace"),IF(AND($X81&lt;&gt;"",$Y81&lt;&gt;""),"YES","NO"),"N/A")</f>
        <v>NO</v>
      </c>
      <c r="M81" s="4" t="str">
        <f>IF(OR($A81="EHT Trace"),IF(AND($AA81&lt;&gt;"",$AB81&lt;&gt;""),"YES","NO"),"N/A")</f>
        <v>NO</v>
      </c>
      <c r="N81" s="4" t="str">
        <f>IF(OR($A81="Power Cable"),IF(AND($AD81&lt;&gt;""),"YES","NO"),"N/A")</f>
        <v>N/A</v>
      </c>
      <c r="O81" s="4" t="str">
        <f>IF(OR($A81="Power Cable",$A81="RTD Cable",$A81="Fieldbus Cable"),IF(AND($AE81&lt;&gt;""),"YES","NO"),"N/A")</f>
        <v>N/A</v>
      </c>
      <c r="P81" s="4" t="str">
        <f>IF(OR($A81="RTD"),IF(AND($AH81&lt;&gt;""),"YES","NO"),"N/A")</f>
        <v>N/A</v>
      </c>
      <c r="Q81" s="4" t="str">
        <f>IF(OR($A81="RTD"),IF(AND($AI81&lt;&gt;""),"YES","NO"),"N/A")</f>
        <v>N/A</v>
      </c>
      <c r="R81" s="4" t="str">
        <f>IF(OR($AM81&lt;&gt;"",$Z81&lt;&gt;"",$AC81&lt;&gt;""),"YES","NO")</f>
        <v>NO</v>
      </c>
      <c r="S81" s="4" t="str">
        <f>IF(COUNTIF(I81:R81,"NO")=0,"YES","NO")</f>
        <v>NO</v>
      </c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inlineStr">
        <is>
          <t>E/32SQ3150/21.6M/1925/151/1.2M/LS23A/X/N12/XMF</t>
        </is>
      </c>
      <c r="AK81" s="9" t="inlineStr">
        <is>
          <t>21.6 m m</t>
        </is>
      </c>
      <c r="AL81" s="9" t="inlineStr">
        <is>
          <t>Levy Ostrup</t>
        </is>
      </c>
      <c r="AM81" s="9" t="n"/>
      <c r="AN81" s="9" t="n"/>
    </row>
    <row r="82">
      <c r="A82" s="9" t="inlineStr">
        <is>
          <t>EHT Trace</t>
        </is>
      </c>
      <c r="B82" s="9" t="inlineStr">
        <is>
          <t>29103-ET-PE2802-2-3</t>
        </is>
      </c>
      <c r="C82" s="9" t="inlineStr">
        <is>
          <t>29103-ET-PE2802-2</t>
        </is>
      </c>
      <c r="D82" s="9" t="inlineStr">
        <is>
          <t>HTC-18 / CB-18</t>
        </is>
      </c>
      <c r="E82" s="9" t="inlineStr">
        <is>
          <t>29103-PE-2802</t>
        </is>
      </c>
      <c r="F82" s="9" t="inlineStr">
        <is>
          <t>29103-65R-ET-PE2802-02-01</t>
        </is>
      </c>
      <c r="G82" s="9" t="inlineStr">
        <is>
          <t>13.1</t>
        </is>
      </c>
      <c r="H82" s="9" t="inlineStr">
        <is>
          <t>29103-ET-PE2802-2-3.pdf</t>
        </is>
      </c>
      <c r="I82" s="4" t="str">
        <f>IF($H82&lt;&gt;"","YES","NO")</f>
        <v>YES</v>
      </c>
      <c r="J82" s="4" t="str">
        <f>IF(N($T82)&gt;0,"YES","NO")</f>
        <v>NO</v>
      </c>
      <c r="K82" s="4" t="str">
        <f>IF(OR($A82="EHT Trace"),IF(AND($U82&lt;&gt;"",$V82&lt;&gt;""),"YES","NO"),"N/A")</f>
        <v>NO</v>
      </c>
      <c r="L82" s="4" t="str">
        <f>IF(OR($A82="EHT Trace"),IF(AND($X82&lt;&gt;"",$Y82&lt;&gt;""),"YES","NO"),"N/A")</f>
        <v>NO</v>
      </c>
      <c r="M82" s="4" t="str">
        <f>IF(OR($A82="EHT Trace"),IF(AND($AA82&lt;&gt;"",$AB82&lt;&gt;""),"YES","NO"),"N/A")</f>
        <v>NO</v>
      </c>
      <c r="N82" s="4" t="str">
        <f>IF(OR($A82="Power Cable"),IF(AND($AD82&lt;&gt;""),"YES","NO"),"N/A")</f>
        <v>N/A</v>
      </c>
      <c r="O82" s="4" t="str">
        <f>IF(OR($A82="Power Cable",$A82="RTD Cable",$A82="Fieldbus Cable"),IF(AND($AE82&lt;&gt;""),"YES","NO"),"N/A")</f>
        <v>N/A</v>
      </c>
      <c r="P82" s="4" t="str">
        <f>IF(OR($A82="RTD"),IF(AND($AH82&lt;&gt;""),"YES","NO"),"N/A")</f>
        <v>N/A</v>
      </c>
      <c r="Q82" s="4" t="str">
        <f>IF(OR($A82="RTD"),IF(AND($AI82&lt;&gt;""),"YES","NO"),"N/A")</f>
        <v>N/A</v>
      </c>
      <c r="R82" s="4" t="str">
        <f>IF(OR($AM82&lt;&gt;"",$Z82&lt;&gt;"",$AC82&lt;&gt;""),"YES","NO")</f>
        <v>NO</v>
      </c>
      <c r="S82" s="4" t="str">
        <f>IF(COUNTIF(I82:R82,"NO")=0,"YES","NO")</f>
        <v>NO</v>
      </c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inlineStr">
        <is>
          <t>D/32SQ3150/9.2M/820/64.4/1.2M/LS23A/X/N12/XMN</t>
        </is>
      </c>
      <c r="AK82" s="9" t="inlineStr">
        <is>
          <t>9.2 m m</t>
        </is>
      </c>
      <c r="AL82" s="9" t="inlineStr">
        <is>
          <t>Levy Ostrup</t>
        </is>
      </c>
      <c r="AM82" s="9" t="n"/>
      <c r="AN82" s="9" t="n"/>
    </row>
    <row r="83">
      <c r="A83" s="9" t="inlineStr">
        <is>
          <t>EHT Trace</t>
        </is>
      </c>
      <c r="B83" s="9" t="inlineStr">
        <is>
          <t>29103-ET-PE2803-1-1</t>
        </is>
      </c>
      <c r="C83" s="9" t="inlineStr">
        <is>
          <t>29103-ET-PE2803-1</t>
        </is>
      </c>
      <c r="D83" s="9" t="inlineStr">
        <is>
          <t>HTC-21 / CB-21</t>
        </is>
      </c>
      <c r="E83" s="9" t="inlineStr">
        <is>
          <t>29103-PE-2803</t>
        </is>
      </c>
      <c r="F83" s="9" t="inlineStr">
        <is>
          <t>29103-65R-ET-PE2803-01-01</t>
        </is>
      </c>
      <c r="G83" s="9" t="inlineStr">
        <is>
          <t>13.1</t>
        </is>
      </c>
      <c r="H83" s="9" t="inlineStr">
        <is>
          <t>29103-ET-PE2803-1-1.pdf</t>
        </is>
      </c>
      <c r="I83" s="4" t="str">
        <f>IF($H83&lt;&gt;"","YES","NO")</f>
        <v>YES</v>
      </c>
      <c r="J83" s="4" t="str">
        <f>IF(N($T83)&gt;0,"YES","NO")</f>
        <v>NO</v>
      </c>
      <c r="K83" s="4" t="str">
        <f>IF(OR($A83="EHT Trace"),IF(AND($U83&lt;&gt;"",$V83&lt;&gt;""),"YES","NO"),"N/A")</f>
        <v>NO</v>
      </c>
      <c r="L83" s="4" t="str">
        <f>IF(OR($A83="EHT Trace"),IF(AND($X83&lt;&gt;"",$Y83&lt;&gt;""),"YES","NO"),"N/A")</f>
        <v>NO</v>
      </c>
      <c r="M83" s="4" t="str">
        <f>IF(OR($A83="EHT Trace"),IF(AND($AA83&lt;&gt;"",$AB83&lt;&gt;""),"YES","NO"),"N/A")</f>
        <v>NO</v>
      </c>
      <c r="N83" s="4" t="str">
        <f>IF(OR($A83="Power Cable"),IF(AND($AD83&lt;&gt;""),"YES","NO"),"N/A")</f>
        <v>N/A</v>
      </c>
      <c r="O83" s="4" t="str">
        <f>IF(OR($A83="Power Cable",$A83="RTD Cable",$A83="Fieldbus Cable"),IF(AND($AE83&lt;&gt;""),"YES","NO"),"N/A")</f>
        <v>N/A</v>
      </c>
      <c r="P83" s="4" t="str">
        <f>IF(OR($A83="RTD"),IF(AND($AH83&lt;&gt;""),"YES","NO"),"N/A")</f>
        <v>N/A</v>
      </c>
      <c r="Q83" s="4" t="str">
        <f>IF(OR($A83="RTD"),IF(AND($AI83&lt;&gt;""),"YES","NO"),"N/A")</f>
        <v>N/A</v>
      </c>
      <c r="R83" s="4" t="str">
        <f>IF(OR($AM83&lt;&gt;"",$Z83&lt;&gt;"",$AC83&lt;&gt;""),"YES","NO")</f>
        <v>NO</v>
      </c>
      <c r="S83" s="4" t="str">
        <f>IF(COUNTIF(I83:R83,"NO")=0,"YES","NO")</f>
        <v>NO</v>
      </c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inlineStr">
        <is>
          <t>E/32SQ3100/9.7M/437/38.8/1.2M/LS23A/X/N12/XNF</t>
        </is>
      </c>
      <c r="AK83" s="9" t="inlineStr">
        <is>
          <t>9.7 m m</t>
        </is>
      </c>
      <c r="AL83" s="9" t="inlineStr">
        <is>
          <t>Levy Ostrup</t>
        </is>
      </c>
      <c r="AM83" s="9" t="n"/>
      <c r="AN83" s="9" t="n"/>
    </row>
    <row r="84">
      <c r="A84" s="9" t="inlineStr">
        <is>
          <t>EHT Trace</t>
        </is>
      </c>
      <c r="B84" s="9" t="inlineStr">
        <is>
          <t>29103-ET-PE2803-1-2</t>
        </is>
      </c>
      <c r="C84" s="9" t="inlineStr">
        <is>
          <t>29103-ET-PE2803-1</t>
        </is>
      </c>
      <c r="D84" s="9" t="inlineStr">
        <is>
          <t>HTC-21 / CB-21</t>
        </is>
      </c>
      <c r="E84" s="9" t="inlineStr">
        <is>
          <t>29103-PE-2803</t>
        </is>
      </c>
      <c r="F84" s="9" t="inlineStr">
        <is>
          <t>29103-65R-ET-PE2803-01-01</t>
        </is>
      </c>
      <c r="G84" s="9" t="inlineStr">
        <is>
          <t>13.1</t>
        </is>
      </c>
      <c r="H84" s="9" t="inlineStr">
        <is>
          <t>29103-ET-PE2803-1-2.pdf</t>
        </is>
      </c>
      <c r="I84" s="4" t="str">
        <f>IF($H84&lt;&gt;"","YES","NO")</f>
        <v>YES</v>
      </c>
      <c r="J84" s="4" t="str">
        <f>IF(N($T84)&gt;0,"YES","NO")</f>
        <v>NO</v>
      </c>
      <c r="K84" s="4" t="str">
        <f>IF(OR($A84="EHT Trace"),IF(AND($U84&lt;&gt;"",$V84&lt;&gt;""),"YES","NO"),"N/A")</f>
        <v>NO</v>
      </c>
      <c r="L84" s="4" t="str">
        <f>IF(OR($A84="EHT Trace"),IF(AND($X84&lt;&gt;"",$Y84&lt;&gt;""),"YES","NO"),"N/A")</f>
        <v>NO</v>
      </c>
      <c r="M84" s="4" t="str">
        <f>IF(OR($A84="EHT Trace"),IF(AND($AA84&lt;&gt;"",$AB84&lt;&gt;""),"YES","NO"),"N/A")</f>
        <v>NO</v>
      </c>
      <c r="N84" s="4" t="str">
        <f>IF(OR($A84="Power Cable"),IF(AND($AD84&lt;&gt;""),"YES","NO"),"N/A")</f>
        <v>N/A</v>
      </c>
      <c r="O84" s="4" t="str">
        <f>IF(OR($A84="Power Cable",$A84="RTD Cable",$A84="Fieldbus Cable"),IF(AND($AE84&lt;&gt;""),"YES","NO"),"N/A")</f>
        <v>N/A</v>
      </c>
      <c r="P84" s="4" t="str">
        <f>IF(OR($A84="RTD"),IF(AND($AH84&lt;&gt;""),"YES","NO"),"N/A")</f>
        <v>N/A</v>
      </c>
      <c r="Q84" s="4" t="str">
        <f>IF(OR($A84="RTD"),IF(AND($AI84&lt;&gt;""),"YES","NO"),"N/A")</f>
        <v>N/A</v>
      </c>
      <c r="R84" s="4" t="str">
        <f>IF(OR($AM84&lt;&gt;"",$Z84&lt;&gt;"",$AC84&lt;&gt;""),"YES","NO")</f>
        <v>NO</v>
      </c>
      <c r="S84" s="4" t="str">
        <f>IF(COUNTIF(I84:R84,"NO")=0,"YES","NO")</f>
        <v>NO</v>
      </c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inlineStr">
        <is>
          <t>D/32SQ3100/26.3M/1186/105/1.2M/LS23A/X/N12/XMN</t>
        </is>
      </c>
      <c r="AK84" s="9" t="inlineStr">
        <is>
          <t>26.3 m m</t>
        </is>
      </c>
      <c r="AL84" s="9" t="inlineStr">
        <is>
          <t>Levy Ostrup</t>
        </is>
      </c>
      <c r="AM84" s="9" t="n"/>
      <c r="AN84" s="9" t="n"/>
    </row>
    <row r="85">
      <c r="A85" s="9" t="inlineStr">
        <is>
          <t>EHT Trace</t>
        </is>
      </c>
      <c r="B85" s="9" t="inlineStr">
        <is>
          <t>29103-ET-PE2803-1-3</t>
        </is>
      </c>
      <c r="C85" s="9" t="inlineStr">
        <is>
          <t>29103-ET-PE2803-1</t>
        </is>
      </c>
      <c r="D85" s="9" t="inlineStr">
        <is>
          <t>HTC-21 / CB-21</t>
        </is>
      </c>
      <c r="E85" s="9" t="inlineStr">
        <is>
          <t>29103-PE-2803</t>
        </is>
      </c>
      <c r="F85" s="9" t="inlineStr">
        <is>
          <t>29103-65R-ET-PE2803-01-01</t>
        </is>
      </c>
      <c r="G85" s="9" t="inlineStr">
        <is>
          <t>13.1</t>
        </is>
      </c>
      <c r="H85" s="9" t="inlineStr">
        <is>
          <t>29103-ET-PE2803-1-3.pdf</t>
        </is>
      </c>
      <c r="I85" s="4" t="str">
        <f>IF($H85&lt;&gt;"","YES","NO")</f>
        <v>YES</v>
      </c>
      <c r="J85" s="4" t="str">
        <f>IF(N($T85)&gt;0,"YES","NO")</f>
        <v>NO</v>
      </c>
      <c r="K85" s="4" t="str">
        <f>IF(OR($A85="EHT Trace"),IF(AND($U85&lt;&gt;"",$V85&lt;&gt;""),"YES","NO"),"N/A")</f>
        <v>NO</v>
      </c>
      <c r="L85" s="4" t="str">
        <f>IF(OR($A85="EHT Trace"),IF(AND($X85&lt;&gt;"",$Y85&lt;&gt;""),"YES","NO"),"N/A")</f>
        <v>NO</v>
      </c>
      <c r="M85" s="4" t="str">
        <f>IF(OR($A85="EHT Trace"),IF(AND($AA85&lt;&gt;"",$AB85&lt;&gt;""),"YES","NO"),"N/A")</f>
        <v>NO</v>
      </c>
      <c r="N85" s="4" t="str">
        <f>IF(OR($A85="Power Cable"),IF(AND($AD85&lt;&gt;""),"YES","NO"),"N/A")</f>
        <v>N/A</v>
      </c>
      <c r="O85" s="4" t="str">
        <f>IF(OR($A85="Power Cable",$A85="RTD Cable",$A85="Fieldbus Cable"),IF(AND($AE85&lt;&gt;""),"YES","NO"),"N/A")</f>
        <v>N/A</v>
      </c>
      <c r="P85" s="4" t="str">
        <f>IF(OR($A85="RTD"),IF(AND($AH85&lt;&gt;""),"YES","NO"),"N/A")</f>
        <v>N/A</v>
      </c>
      <c r="Q85" s="4" t="str">
        <f>IF(OR($A85="RTD"),IF(AND($AI85&lt;&gt;""),"YES","NO"),"N/A")</f>
        <v>N/A</v>
      </c>
      <c r="R85" s="4" t="str">
        <f>IF(OR($AM85&lt;&gt;"",$Z85&lt;&gt;"",$AC85&lt;&gt;""),"YES","NO")</f>
        <v>NO</v>
      </c>
      <c r="S85" s="4" t="str">
        <f>IF(COUNTIF(I85:R85,"NO")=0,"YES","NO")</f>
        <v>NO</v>
      </c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inlineStr">
        <is>
          <t>E/32SQ3100/22.1M/997/88.3/1.2M/LS23A/X/N12/XNF</t>
        </is>
      </c>
      <c r="AK85" s="9" t="inlineStr">
        <is>
          <t>22.1 m m</t>
        </is>
      </c>
      <c r="AL85" s="9" t="inlineStr">
        <is>
          <t>Levy Ostrup</t>
        </is>
      </c>
      <c r="AM85" s="9" t="n"/>
      <c r="AN85" s="9" t="n"/>
    </row>
    <row r="86">
      <c r="A86" s="9" t="inlineStr">
        <is>
          <t>EHT Trace</t>
        </is>
      </c>
      <c r="B86" s="9" t="inlineStr">
        <is>
          <t>29103-ET-PE2803-1-4</t>
        </is>
      </c>
      <c r="C86" s="9" t="inlineStr">
        <is>
          <t>29103-ET-PE2803-1</t>
        </is>
      </c>
      <c r="D86" s="9" t="inlineStr">
        <is>
          <t>HTC-21 / CB-21</t>
        </is>
      </c>
      <c r="E86" s="9" t="inlineStr">
        <is>
          <t>29103-PE-2803</t>
        </is>
      </c>
      <c r="F86" s="9" t="inlineStr">
        <is>
          <t>29103-65R-ET-PE2803-01-01</t>
        </is>
      </c>
      <c r="G86" s="9" t="inlineStr">
        <is>
          <t>13.1</t>
        </is>
      </c>
      <c r="H86" s="9" t="inlineStr">
        <is>
          <t>29103-ET-PE2803-1-4.pdf</t>
        </is>
      </c>
      <c r="I86" s="4" t="str">
        <f>IF($H86&lt;&gt;"","YES","NO")</f>
        <v>YES</v>
      </c>
      <c r="J86" s="4" t="str">
        <f>IF(N($T86)&gt;0,"YES","NO")</f>
        <v>NO</v>
      </c>
      <c r="K86" s="4" t="str">
        <f>IF(OR($A86="EHT Trace"),IF(AND($U86&lt;&gt;"",$V86&lt;&gt;""),"YES","NO"),"N/A")</f>
        <v>NO</v>
      </c>
      <c r="L86" s="4" t="str">
        <f>IF(OR($A86="EHT Trace"),IF(AND($X86&lt;&gt;"",$Y86&lt;&gt;""),"YES","NO"),"N/A")</f>
        <v>NO</v>
      </c>
      <c r="M86" s="4" t="str">
        <f>IF(OR($A86="EHT Trace"),IF(AND($AA86&lt;&gt;"",$AB86&lt;&gt;""),"YES","NO"),"N/A")</f>
        <v>NO</v>
      </c>
      <c r="N86" s="4" t="str">
        <f>IF(OR($A86="Power Cable"),IF(AND($AD86&lt;&gt;""),"YES","NO"),"N/A")</f>
        <v>N/A</v>
      </c>
      <c r="O86" s="4" t="str">
        <f>IF(OR($A86="Power Cable",$A86="RTD Cable",$A86="Fieldbus Cable"),IF(AND($AE86&lt;&gt;""),"YES","NO"),"N/A")</f>
        <v>N/A</v>
      </c>
      <c r="P86" s="4" t="str">
        <f>IF(OR($A86="RTD"),IF(AND($AH86&lt;&gt;""),"YES","NO"),"N/A")</f>
        <v>N/A</v>
      </c>
      <c r="Q86" s="4" t="str">
        <f>IF(OR($A86="RTD"),IF(AND($AI86&lt;&gt;""),"YES","NO"),"N/A")</f>
        <v>N/A</v>
      </c>
      <c r="R86" s="4" t="str">
        <f>IF(OR($AM86&lt;&gt;"",$Z86&lt;&gt;"",$AC86&lt;&gt;""),"YES","NO")</f>
        <v>NO</v>
      </c>
      <c r="S86" s="4" t="str">
        <f>IF(COUNTIF(I86:R86,"NO")=0,"YES","NO")</f>
        <v>NO</v>
      </c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inlineStr">
        <is>
          <t>D/32SQ3100/11.2M/505/44.8/1.2M/LS23A/X/N12/XMN</t>
        </is>
      </c>
      <c r="AK86" s="9" t="inlineStr">
        <is>
          <t>11.2 m m</t>
        </is>
      </c>
      <c r="AL86" s="9" t="inlineStr">
        <is>
          <t>Levy Ostrup</t>
        </is>
      </c>
      <c r="AM86" s="9" t="n"/>
      <c r="AN86" s="9" t="n"/>
    </row>
    <row r="87">
      <c r="A87" s="9" t="inlineStr">
        <is>
          <t>EHT Trace</t>
        </is>
      </c>
      <c r="B87" s="9" t="inlineStr">
        <is>
          <t>29103-ET-PG2401-1-1</t>
        </is>
      </c>
      <c r="C87" s="9" t="inlineStr">
        <is>
          <t>29103-ET-PG2401-1</t>
        </is>
      </c>
      <c r="D87" s="9" t="inlineStr">
        <is>
          <t>HTC-14 / CB-14</t>
        </is>
      </c>
      <c r="E87" s="9" t="inlineStr">
        <is>
          <t>29103-PG-2401, 29103-PE-2402, 29103-P-2400</t>
        </is>
      </c>
      <c r="F87" s="9" t="inlineStr">
        <is>
          <t>29103-65R-ET-PG2401-01-01</t>
        </is>
      </c>
      <c r="G87" s="9" t="inlineStr">
        <is>
          <t>13.1</t>
        </is>
      </c>
      <c r="H87" s="9" t="inlineStr">
        <is>
          <t>29103-ET-PG2401-1-1.pdf</t>
        </is>
      </c>
      <c r="I87" s="4" t="str">
        <f>IF($H87&lt;&gt;"","YES","NO")</f>
        <v>YES</v>
      </c>
      <c r="J87" s="4" t="str">
        <f>IF(N($T87)&gt;0,"YES","NO")</f>
        <v>NO</v>
      </c>
      <c r="K87" s="4" t="str">
        <f>IF(OR($A87="EHT Trace"),IF(AND($U87&lt;&gt;"",$V87&lt;&gt;""),"YES","NO"),"N/A")</f>
        <v>NO</v>
      </c>
      <c r="L87" s="4" t="str">
        <f>IF(OR($A87="EHT Trace"),IF(AND($X87&lt;&gt;"",$Y87&lt;&gt;""),"YES","NO"),"N/A")</f>
        <v>NO</v>
      </c>
      <c r="M87" s="4" t="str">
        <f>IF(OR($A87="EHT Trace"),IF(AND($AA87&lt;&gt;"",$AB87&lt;&gt;""),"YES","NO"),"N/A")</f>
        <v>NO</v>
      </c>
      <c r="N87" s="4" t="str">
        <f>IF(OR($A87="Power Cable"),IF(AND($AD87&lt;&gt;""),"YES","NO"),"N/A")</f>
        <v>N/A</v>
      </c>
      <c r="O87" s="4" t="str">
        <f>IF(OR($A87="Power Cable",$A87="RTD Cable",$A87="Fieldbus Cable"),IF(AND($AE87&lt;&gt;""),"YES","NO"),"N/A")</f>
        <v>N/A</v>
      </c>
      <c r="P87" s="4" t="str">
        <f>IF(OR($A87="RTD"),IF(AND($AH87&lt;&gt;""),"YES","NO"),"N/A")</f>
        <v>N/A</v>
      </c>
      <c r="Q87" s="4" t="str">
        <f>IF(OR($A87="RTD"),IF(AND($AI87&lt;&gt;""),"YES","NO"),"N/A")</f>
        <v>N/A</v>
      </c>
      <c r="R87" s="4" t="str">
        <f>IF(OR($AM87&lt;&gt;"",$Z87&lt;&gt;"",$AC87&lt;&gt;""),"YES","NO")</f>
        <v>NO</v>
      </c>
      <c r="S87" s="4" t="str">
        <f>IF(COUNTIF(I87:R87,"NO")=0,"YES","NO")</f>
        <v>NO</v>
      </c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inlineStr">
        <is>
          <t>D/32SP4734/93.1M/2914/277/1.2M/LS23A/X/N12</t>
        </is>
      </c>
      <c r="AK87" s="9" t="inlineStr">
        <is>
          <t>93.1 m m</t>
        </is>
      </c>
      <c r="AL87" s="9" t="inlineStr">
        <is>
          <t>Levy Ostrup</t>
        </is>
      </c>
      <c r="AM87" s="9" t="n"/>
      <c r="AN87" s="9" t="n"/>
    </row>
    <row r="88">
      <c r="A88" s="9" t="inlineStr">
        <is>
          <t>EHT Trace</t>
        </is>
      </c>
      <c r="B88" s="9" t="inlineStr">
        <is>
          <t>29103-ET-PG2501-1-1</t>
        </is>
      </c>
      <c r="C88" s="9" t="inlineStr">
        <is>
          <t>29103-ET-PG2501-1</t>
        </is>
      </c>
      <c r="D88" s="9" t="inlineStr">
        <is>
          <t>HTC-11 / CB-11</t>
        </is>
      </c>
      <c r="E88" s="9" t="inlineStr">
        <is>
          <t>29103-PG-2501, 29103-PE-2502, 29103-P-2500</t>
        </is>
      </c>
      <c r="F88" s="9" t="inlineStr">
        <is>
          <t>29103-65R-ET-PG2501-01-01</t>
        </is>
      </c>
      <c r="G88" s="9" t="inlineStr">
        <is>
          <t>13.1</t>
        </is>
      </c>
      <c r="H88" s="9" t="inlineStr">
        <is>
          <t>29103-ET-PG2501-1-1.pdf</t>
        </is>
      </c>
      <c r="I88" s="4" t="str">
        <f>IF($H88&lt;&gt;"","YES","NO")</f>
        <v>YES</v>
      </c>
      <c r="J88" s="4" t="str">
        <f>IF(N($T88)&gt;0,"YES","NO")</f>
        <v>NO</v>
      </c>
      <c r="K88" s="4" t="str">
        <f>IF(OR($A88="EHT Trace"),IF(AND($U88&lt;&gt;"",$V88&lt;&gt;""),"YES","NO"),"N/A")</f>
        <v>NO</v>
      </c>
      <c r="L88" s="4" t="str">
        <f>IF(OR($A88="EHT Trace"),IF(AND($X88&lt;&gt;"",$Y88&lt;&gt;""),"YES","NO"),"N/A")</f>
        <v>NO</v>
      </c>
      <c r="M88" s="4" t="str">
        <f>IF(OR($A88="EHT Trace"),IF(AND($AA88&lt;&gt;"",$AB88&lt;&gt;""),"YES","NO"),"N/A")</f>
        <v>NO</v>
      </c>
      <c r="N88" s="4" t="str">
        <f>IF(OR($A88="Power Cable"),IF(AND($AD88&lt;&gt;""),"YES","NO"),"N/A")</f>
        <v>N/A</v>
      </c>
      <c r="O88" s="4" t="str">
        <f>IF(OR($A88="Power Cable",$A88="RTD Cable",$A88="Fieldbus Cable"),IF(AND($AE88&lt;&gt;""),"YES","NO"),"N/A")</f>
        <v>N/A</v>
      </c>
      <c r="P88" s="4" t="str">
        <f>IF(OR($A88="RTD"),IF(AND($AH88&lt;&gt;""),"YES","NO"),"N/A")</f>
        <v>N/A</v>
      </c>
      <c r="Q88" s="4" t="str">
        <f>IF(OR($A88="RTD"),IF(AND($AI88&lt;&gt;""),"YES","NO"),"N/A")</f>
        <v>N/A</v>
      </c>
      <c r="R88" s="4" t="str">
        <f>IF(OR($AM88&lt;&gt;"",$Z88&lt;&gt;"",$AC88&lt;&gt;""),"YES","NO")</f>
        <v>NO</v>
      </c>
      <c r="S88" s="4" t="str">
        <f>IF(COUNTIF(I88:R88,"NO")=0,"YES","NO")</f>
        <v>NO</v>
      </c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inlineStr">
        <is>
          <t>D/32SP4734/89M/3035/277/1.2M/LS23A/X/N12</t>
        </is>
      </c>
      <c r="AK88" s="9" t="inlineStr">
        <is>
          <t>89 m m</t>
        </is>
      </c>
      <c r="AL88" s="9" t="inlineStr">
        <is>
          <t>Levy Ostrup</t>
        </is>
      </c>
      <c r="AM88" s="9" t="n"/>
      <c r="AN88" s="9" t="n"/>
    </row>
    <row r="89">
      <c r="A89" s="9" t="inlineStr">
        <is>
          <t>EHT Trace</t>
        </is>
      </c>
      <c r="B89" s="9" t="inlineStr">
        <is>
          <t>29103-ET-PG2501-2-1</t>
        </is>
      </c>
      <c r="C89" s="9" t="inlineStr">
        <is>
          <t>29103-ET-PG2501-2</t>
        </is>
      </c>
      <c r="D89" s="9" t="inlineStr">
        <is>
          <t>HTC-13 / CB-13</t>
        </is>
      </c>
      <c r="E89" s="9" t="inlineStr">
        <is>
          <t>29103-PG-2501</t>
        </is>
      </c>
      <c r="F89" s="9" t="inlineStr">
        <is>
          <t>29103-65R-ET-PG2501-02-01</t>
        </is>
      </c>
      <c r="G89" s="9" t="inlineStr">
        <is>
          <t>13.1</t>
        </is>
      </c>
      <c r="H89" s="9" t="inlineStr">
        <is>
          <t>29103-ET-PG2501-2-1.pdf</t>
        </is>
      </c>
      <c r="I89" s="4" t="str">
        <f>IF($H89&lt;&gt;"","YES","NO")</f>
        <v>YES</v>
      </c>
      <c r="J89" s="4" t="str">
        <f>IF(N($T89)&gt;0,"YES","NO")</f>
        <v>NO</v>
      </c>
      <c r="K89" s="4" t="str">
        <f>IF(OR($A89="EHT Trace"),IF(AND($U89&lt;&gt;"",$V89&lt;&gt;""),"YES","NO"),"N/A")</f>
        <v>YES</v>
      </c>
      <c r="L89" s="4" t="str">
        <f>IF(OR($A89="EHT Trace"),IF(AND($X89&lt;&gt;"",$Y89&lt;&gt;""),"YES","NO"),"N/A")</f>
        <v>NO</v>
      </c>
      <c r="M89" s="4" t="str">
        <f>IF(OR($A89="EHT Trace"),IF(AND($AA89&lt;&gt;"",$AB89&lt;&gt;""),"YES","NO"),"N/A")</f>
        <v>NO</v>
      </c>
      <c r="N89" s="4" t="str">
        <f>IF(OR($A89="Power Cable"),IF(AND($AD89&lt;&gt;""),"YES","NO"),"N/A")</f>
        <v>N/A</v>
      </c>
      <c r="O89" s="4" t="str">
        <f>IF(OR($A89="Power Cable",$A89="RTD Cable",$A89="Fieldbus Cable"),IF(AND($AE89&lt;&gt;""),"YES","NO"),"N/A")</f>
        <v>N/A</v>
      </c>
      <c r="P89" s="4" t="str">
        <f>IF(OR($A89="RTD"),IF(AND($AH89&lt;&gt;""),"YES","NO"),"N/A")</f>
        <v>N/A</v>
      </c>
      <c r="Q89" s="4" t="str">
        <f>IF(OR($A89="RTD"),IF(AND($AI89&lt;&gt;""),"YES","NO"),"N/A")</f>
        <v>N/A</v>
      </c>
      <c r="R89" s="4" t="str">
        <f>IF(OR($AM89&lt;&gt;"",$Z89&lt;&gt;"",$AC89&lt;&gt;""),"YES","NO")</f>
        <v>NO</v>
      </c>
      <c r="S89" s="4" t="str">
        <f>IF(COUNTIF(I89:R89,"NO")=0,"YES","NO")</f>
        <v>NO</v>
      </c>
      <c r="T89" s="9" t="n"/>
      <c r="U89" s="9" t="inlineStr">
        <is>
          <t>&gt;550 MΩ</t>
        </is>
      </c>
      <c r="V89" s="9" t="inlineStr">
        <is>
          <t>21.7 Ω</t>
        </is>
      </c>
      <c r="W89" s="9" t="inlineStr">
        <is>
          <t>2026-05-18</t>
        </is>
      </c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inlineStr">
        <is>
          <t>E/32SB3700/9.2M/409/93.3/1.2M/LS23A/X/N12/XNF</t>
        </is>
      </c>
      <c r="AK89" s="9" t="inlineStr">
        <is>
          <t>9.2 m m</t>
        </is>
      </c>
      <c r="AL89" s="9" t="inlineStr">
        <is>
          <t>Levy Ostrup</t>
        </is>
      </c>
      <c r="AM89" s="9" t="n"/>
      <c r="AN89" s="9" t="n"/>
    </row>
    <row r="90">
      <c r="A90" s="9" t="inlineStr">
        <is>
          <t>EHT Trace</t>
        </is>
      </c>
      <c r="B90" s="9" t="inlineStr">
        <is>
          <t>29103-ET-PG2501-2-2</t>
        </is>
      </c>
      <c r="C90" s="9" t="inlineStr">
        <is>
          <t>29103-ET-PG2501-2</t>
        </is>
      </c>
      <c r="D90" s="9" t="inlineStr">
        <is>
          <t>HTC-13 / CB-13</t>
        </is>
      </c>
      <c r="E90" s="9" t="inlineStr">
        <is>
          <t>29103-PG-2501</t>
        </is>
      </c>
      <c r="F90" s="9" t="inlineStr">
        <is>
          <t>29103-65R-ET-PG2501-02-01</t>
        </is>
      </c>
      <c r="G90" s="9" t="inlineStr">
        <is>
          <t>13.1</t>
        </is>
      </c>
      <c r="H90" s="9" t="inlineStr">
        <is>
          <t>29103-ET-PG2501-2-2.pdf</t>
        </is>
      </c>
      <c r="I90" s="4" t="str">
        <f>IF($H90&lt;&gt;"","YES","NO")</f>
        <v>YES</v>
      </c>
      <c r="J90" s="4" t="str">
        <f>IF(N($T90)&gt;0,"YES","NO")</f>
        <v>NO</v>
      </c>
      <c r="K90" s="4" t="str">
        <f>IF(OR($A90="EHT Trace"),IF(AND($U90&lt;&gt;"",$V90&lt;&gt;""),"YES","NO"),"N/A")</f>
        <v>YES</v>
      </c>
      <c r="L90" s="4" t="str">
        <f>IF(OR($A90="EHT Trace"),IF(AND($X90&lt;&gt;"",$Y90&lt;&gt;""),"YES","NO"),"N/A")</f>
        <v>NO</v>
      </c>
      <c r="M90" s="4" t="str">
        <f>IF(OR($A90="EHT Trace"),IF(AND($AA90&lt;&gt;"",$AB90&lt;&gt;""),"YES","NO"),"N/A")</f>
        <v>NO</v>
      </c>
      <c r="N90" s="4" t="str">
        <f>IF(OR($A90="Power Cable"),IF(AND($AD90&lt;&gt;""),"YES","NO"),"N/A")</f>
        <v>N/A</v>
      </c>
      <c r="O90" s="4" t="str">
        <f>IF(OR($A90="Power Cable",$A90="RTD Cable",$A90="Fieldbus Cable"),IF(AND($AE90&lt;&gt;""),"YES","NO"),"N/A")</f>
        <v>N/A</v>
      </c>
      <c r="P90" s="4" t="str">
        <f>IF(OR($A90="RTD"),IF(AND($AH90&lt;&gt;""),"YES","NO"),"N/A")</f>
        <v>N/A</v>
      </c>
      <c r="Q90" s="4" t="str">
        <f>IF(OR($A90="RTD"),IF(AND($AI90&lt;&gt;""),"YES","NO"),"N/A")</f>
        <v>N/A</v>
      </c>
      <c r="R90" s="4" t="str">
        <f>IF(OR($AM90&lt;&gt;"",$Z90&lt;&gt;"",$AC90&lt;&gt;""),"YES","NO")</f>
        <v>NO</v>
      </c>
      <c r="S90" s="4" t="str">
        <f>IF(COUNTIF(I90:R90,"NO")=0,"YES","NO")</f>
        <v>NO</v>
      </c>
      <c r="T90" s="9" t="n"/>
      <c r="U90" s="9" t="inlineStr">
        <is>
          <t>&gt;550 MΩ</t>
        </is>
      </c>
      <c r="V90" s="9" t="inlineStr">
        <is>
          <t>14.9 Ω</t>
        </is>
      </c>
      <c r="W90" s="9" t="inlineStr">
        <is>
          <t>2026-05-18</t>
        </is>
      </c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inlineStr">
        <is>
          <t>E/32SB3700/6.3M/280/63.9/1.2M/LS23A/X/N12/XMF</t>
        </is>
      </c>
      <c r="AK90" s="9" t="inlineStr">
        <is>
          <t>6.3 m m</t>
        </is>
      </c>
      <c r="AL90" s="9" t="inlineStr">
        <is>
          <t>Levy Ostrup</t>
        </is>
      </c>
      <c r="AM90" s="9" t="n"/>
      <c r="AN90" s="9" t="n"/>
    </row>
    <row r="91">
      <c r="A91" s="9" t="inlineStr">
        <is>
          <t>EHT Trace</t>
        </is>
      </c>
      <c r="B91" s="9" t="inlineStr">
        <is>
          <t>29103-ET-PG2501-2-3</t>
        </is>
      </c>
      <c r="C91" s="9" t="inlineStr">
        <is>
          <t>29103-ET-PG2501-2</t>
        </is>
      </c>
      <c r="D91" s="9" t="inlineStr">
        <is>
          <t>HTC-13 / CB-13</t>
        </is>
      </c>
      <c r="E91" s="9" t="inlineStr">
        <is>
          <t>29103-PG-2501</t>
        </is>
      </c>
      <c r="F91" s="9" t="inlineStr">
        <is>
          <t>29103-65R-ET-PG2501-02-01</t>
        </is>
      </c>
      <c r="G91" s="9" t="inlineStr">
        <is>
          <t>13.1</t>
        </is>
      </c>
      <c r="H91" s="9" t="inlineStr">
        <is>
          <t>29103-ET-PG2501-2-3.pdf</t>
        </is>
      </c>
      <c r="I91" s="4" t="str">
        <f>IF($H91&lt;&gt;"","YES","NO")</f>
        <v>YES</v>
      </c>
      <c r="J91" s="4" t="str">
        <f>IF(N($T91)&gt;0,"YES","NO")</f>
        <v>NO</v>
      </c>
      <c r="K91" s="4" t="str">
        <f>IF(OR($A91="EHT Trace"),IF(AND($U91&lt;&gt;"",$V91&lt;&gt;""),"YES","NO"),"N/A")</f>
        <v>YES</v>
      </c>
      <c r="L91" s="4" t="str">
        <f>IF(OR($A91="EHT Trace"),IF(AND($X91&lt;&gt;"",$Y91&lt;&gt;""),"YES","NO"),"N/A")</f>
        <v>NO</v>
      </c>
      <c r="M91" s="4" t="str">
        <f>IF(OR($A91="EHT Trace"),IF(AND($AA91&lt;&gt;"",$AB91&lt;&gt;""),"YES","NO"),"N/A")</f>
        <v>NO</v>
      </c>
      <c r="N91" s="4" t="str">
        <f>IF(OR($A91="Power Cable"),IF(AND($AD91&lt;&gt;""),"YES","NO"),"N/A")</f>
        <v>N/A</v>
      </c>
      <c r="O91" s="4" t="str">
        <f>IF(OR($A91="Power Cable",$A91="RTD Cable",$A91="Fieldbus Cable"),IF(AND($AE91&lt;&gt;""),"YES","NO"),"N/A")</f>
        <v>N/A</v>
      </c>
      <c r="P91" s="4" t="str">
        <f>IF(OR($A91="RTD"),IF(AND($AH91&lt;&gt;""),"YES","NO"),"N/A")</f>
        <v>N/A</v>
      </c>
      <c r="Q91" s="4" t="str">
        <f>IF(OR($A91="RTD"),IF(AND($AI91&lt;&gt;""),"YES","NO"),"N/A")</f>
        <v>N/A</v>
      </c>
      <c r="R91" s="4" t="str">
        <f>IF(OR($AM91&lt;&gt;"",$Z91&lt;&gt;"",$AC91&lt;&gt;""),"YES","NO")</f>
        <v>NO</v>
      </c>
      <c r="S91" s="4" t="str">
        <f>IF(COUNTIF(I91:R91,"NO")=0,"YES","NO")</f>
        <v>NO</v>
      </c>
      <c r="T91" s="9" t="n"/>
      <c r="U91" s="9" t="inlineStr">
        <is>
          <t>&gt;550 MΩ</t>
        </is>
      </c>
      <c r="V91" s="9" t="inlineStr">
        <is>
          <t>28.1 Ω</t>
        </is>
      </c>
      <c r="W91" s="9" t="inlineStr">
        <is>
          <t>2026-05-18</t>
        </is>
      </c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inlineStr">
        <is>
          <t>D/32SB3700/11.8M/525/120/1.2M/LS23A/X/N12/XMN</t>
        </is>
      </c>
      <c r="AK91" s="9" t="inlineStr">
        <is>
          <t>11.8 m m</t>
        </is>
      </c>
      <c r="AL91" s="9" t="inlineStr">
        <is>
          <t>Levy Ostrup</t>
        </is>
      </c>
      <c r="AM91" s="9" t="n"/>
      <c r="AN91" s="9" t="n"/>
    </row>
    <row r="92">
      <c r="A92" s="9" t="inlineStr">
        <is>
          <t>EHT Trace</t>
        </is>
      </c>
      <c r="B92" s="9" t="inlineStr">
        <is>
          <t>29103-ET-PG2601-1-1</t>
        </is>
      </c>
      <c r="C92" s="9" t="inlineStr">
        <is>
          <t>29103-ET-PG2601-1</t>
        </is>
      </c>
      <c r="D92" s="9" t="inlineStr">
        <is>
          <t>HTC-28 / CB-28</t>
        </is>
      </c>
      <c r="E92" s="9" t="inlineStr">
        <is>
          <t>29103-PG-2601, 29103-PE-2602, 29103-P-2600</t>
        </is>
      </c>
      <c r="F92" s="9" t="inlineStr">
        <is>
          <t>29103-65R-ET-PG2601-01-01</t>
        </is>
      </c>
      <c r="G92" s="9" t="inlineStr">
        <is>
          <t>13.1</t>
        </is>
      </c>
      <c r="H92" s="9" t="inlineStr">
        <is>
          <t>29103-ET-PG2601-1-1.pdf</t>
        </is>
      </c>
      <c r="I92" s="4" t="str">
        <f>IF($H92&lt;&gt;"","YES","NO")</f>
        <v>YES</v>
      </c>
      <c r="J92" s="4" t="str">
        <f>IF(N($T92)&gt;0,"YES","NO")</f>
        <v>NO</v>
      </c>
      <c r="K92" s="4" t="str">
        <f>IF(OR($A92="EHT Trace"),IF(AND($U92&lt;&gt;"",$V92&lt;&gt;""),"YES","NO"),"N/A")</f>
        <v>NO</v>
      </c>
      <c r="L92" s="4" t="str">
        <f>IF(OR($A92="EHT Trace"),IF(AND($X92&lt;&gt;"",$Y92&lt;&gt;""),"YES","NO"),"N/A")</f>
        <v>NO</v>
      </c>
      <c r="M92" s="4" t="str">
        <f>IF(OR($A92="EHT Trace"),IF(AND($AA92&lt;&gt;"",$AB92&lt;&gt;""),"YES","NO"),"N/A")</f>
        <v>NO</v>
      </c>
      <c r="N92" s="4" t="str">
        <f>IF(OR($A92="Power Cable"),IF(AND($AD92&lt;&gt;""),"YES","NO"),"N/A")</f>
        <v>N/A</v>
      </c>
      <c r="O92" s="4" t="str">
        <f>IF(OR($A92="Power Cable",$A92="RTD Cable",$A92="Fieldbus Cable"),IF(AND($AE92&lt;&gt;""),"YES","NO"),"N/A")</f>
        <v>N/A</v>
      </c>
      <c r="P92" s="4" t="str">
        <f>IF(OR($A92="RTD"),IF(AND($AH92&lt;&gt;""),"YES","NO"),"N/A")</f>
        <v>N/A</v>
      </c>
      <c r="Q92" s="4" t="str">
        <f>IF(OR($A92="RTD"),IF(AND($AI92&lt;&gt;""),"YES","NO"),"N/A")</f>
        <v>N/A</v>
      </c>
      <c r="R92" s="4" t="str">
        <f>IF(OR($AM92&lt;&gt;"",$Z92&lt;&gt;"",$AC92&lt;&gt;""),"YES","NO")</f>
        <v>NO</v>
      </c>
      <c r="S92" s="4" t="str">
        <f>IF(COUNTIF(I92:R92,"NO")=0,"YES","NO")</f>
        <v>NO</v>
      </c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inlineStr">
        <is>
          <t>D/32SP4734/93.1M/2914/277/1.2M/LS23A/X/N12</t>
        </is>
      </c>
      <c r="AK92" s="9" t="inlineStr">
        <is>
          <t>93.1 m m</t>
        </is>
      </c>
      <c r="AL92" s="9" t="inlineStr">
        <is>
          <t>Levy Ostrup</t>
        </is>
      </c>
      <c r="AM92" s="9" t="n"/>
      <c r="AN92" s="9" t="n"/>
    </row>
    <row r="93">
      <c r="A93" s="9" t="inlineStr">
        <is>
          <t>EHT Trace</t>
        </is>
      </c>
      <c r="B93" s="9" t="inlineStr">
        <is>
          <t>29103-ET-PG2601-2-1</t>
        </is>
      </c>
      <c r="C93" s="9" t="inlineStr">
        <is>
          <t>29103-ET-PG2601-2</t>
        </is>
      </c>
      <c r="D93" s="9" t="inlineStr">
        <is>
          <t>HTC-19 / CB-19</t>
        </is>
      </c>
      <c r="E93" s="9" t="inlineStr">
        <is>
          <t>29103-PG-2601</t>
        </is>
      </c>
      <c r="F93" s="9" t="inlineStr">
        <is>
          <t>29103-65R-ET-PG2601-02-01</t>
        </is>
      </c>
      <c r="G93" s="9" t="inlineStr">
        <is>
          <t>13.1</t>
        </is>
      </c>
      <c r="H93" s="9" t="inlineStr">
        <is>
          <t>29103-ET-PG2601-2-1.pdf</t>
        </is>
      </c>
      <c r="I93" s="4" t="str">
        <f>IF($H93&lt;&gt;"","YES","NO")</f>
        <v>YES</v>
      </c>
      <c r="J93" s="4" t="str">
        <f>IF(N($T93)&gt;0,"YES","NO")</f>
        <v>NO</v>
      </c>
      <c r="K93" s="4" t="str">
        <f>IF(OR($A93="EHT Trace"),IF(AND($U93&lt;&gt;"",$V93&lt;&gt;""),"YES","NO"),"N/A")</f>
        <v>YES</v>
      </c>
      <c r="L93" s="4" t="str">
        <f>IF(OR($A93="EHT Trace"),IF(AND($X93&lt;&gt;"",$Y93&lt;&gt;""),"YES","NO"),"N/A")</f>
        <v>NO</v>
      </c>
      <c r="M93" s="4" t="str">
        <f>IF(OR($A93="EHT Trace"),IF(AND($AA93&lt;&gt;"",$AB93&lt;&gt;""),"YES","NO"),"N/A")</f>
        <v>NO</v>
      </c>
      <c r="N93" s="4" t="str">
        <f>IF(OR($A93="Power Cable"),IF(AND($AD93&lt;&gt;""),"YES","NO"),"N/A")</f>
        <v>N/A</v>
      </c>
      <c r="O93" s="4" t="str">
        <f>IF(OR($A93="Power Cable",$A93="RTD Cable",$A93="Fieldbus Cable"),IF(AND($AE93&lt;&gt;""),"YES","NO"),"N/A")</f>
        <v>N/A</v>
      </c>
      <c r="P93" s="4" t="str">
        <f>IF(OR($A93="RTD"),IF(AND($AH93&lt;&gt;""),"YES","NO"),"N/A")</f>
        <v>N/A</v>
      </c>
      <c r="Q93" s="4" t="str">
        <f>IF(OR($A93="RTD"),IF(AND($AI93&lt;&gt;""),"YES","NO"),"N/A")</f>
        <v>N/A</v>
      </c>
      <c r="R93" s="4" t="str">
        <f>IF(OR($AM93&lt;&gt;"",$Z93&lt;&gt;"",$AC93&lt;&gt;""),"YES","NO")</f>
        <v>NO</v>
      </c>
      <c r="S93" s="4" t="str">
        <f>IF(COUNTIF(I93:R93,"NO")=0,"YES","NO")</f>
        <v>NO</v>
      </c>
      <c r="T93" s="9" t="n"/>
      <c r="U93" s="9" t="inlineStr">
        <is>
          <t>&gt;550 MΩ</t>
        </is>
      </c>
      <c r="V93" s="9" t="inlineStr">
        <is>
          <t>20.3 Ω</t>
        </is>
      </c>
      <c r="W93" s="9" t="inlineStr">
        <is>
          <t>2026-05-18</t>
        </is>
      </c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inlineStr">
        <is>
          <t>E/32SB3700/8.6M/401/89.2/1.2M/LS23A/X/N12/XNF</t>
        </is>
      </c>
      <c r="AK93" s="9" t="inlineStr">
        <is>
          <t>8.6 m m</t>
        </is>
      </c>
      <c r="AL93" s="9" t="inlineStr">
        <is>
          <t>Levy Ostrup</t>
        </is>
      </c>
      <c r="AM93" s="9" t="n"/>
      <c r="AN93" s="9" t="n"/>
    </row>
    <row r="94">
      <c r="A94" s="9" t="inlineStr">
        <is>
          <t>EHT Trace</t>
        </is>
      </c>
      <c r="B94" s="9" t="inlineStr">
        <is>
          <t>29103-ET-PG2601-2-2</t>
        </is>
      </c>
      <c r="C94" s="9" t="inlineStr">
        <is>
          <t>29103-ET-PG2601-2</t>
        </is>
      </c>
      <c r="D94" s="9" t="inlineStr">
        <is>
          <t>HTC-19 / CB-19</t>
        </is>
      </c>
      <c r="E94" s="9" t="inlineStr">
        <is>
          <t>29103-PG-2601</t>
        </is>
      </c>
      <c r="F94" s="9" t="inlineStr">
        <is>
          <t>29103-65R-ET-PG2601-02-01</t>
        </is>
      </c>
      <c r="G94" s="9" t="inlineStr">
        <is>
          <t>13.1</t>
        </is>
      </c>
      <c r="H94" s="9" t="inlineStr">
        <is>
          <t>29103-ET-PG2601-2-2.pdf</t>
        </is>
      </c>
      <c r="I94" s="4" t="str">
        <f>IF($H94&lt;&gt;"","YES","NO")</f>
        <v>YES</v>
      </c>
      <c r="J94" s="4" t="str">
        <f>IF(N($T94)&gt;0,"YES","NO")</f>
        <v>NO</v>
      </c>
      <c r="K94" s="4" t="str">
        <f>IF(OR($A94="EHT Trace"),IF(AND($U94&lt;&gt;"",$V94&lt;&gt;""),"YES","NO"),"N/A")</f>
        <v>YES</v>
      </c>
      <c r="L94" s="4" t="str">
        <f>IF(OR($A94="EHT Trace"),IF(AND($X94&lt;&gt;"",$Y94&lt;&gt;""),"YES","NO"),"N/A")</f>
        <v>NO</v>
      </c>
      <c r="M94" s="4" t="str">
        <f>IF(OR($A94="EHT Trace"),IF(AND($AA94&lt;&gt;"",$AB94&lt;&gt;""),"YES","NO"),"N/A")</f>
        <v>NO</v>
      </c>
      <c r="N94" s="4" t="str">
        <f>IF(OR($A94="Power Cable"),IF(AND($AD94&lt;&gt;""),"YES","NO"),"N/A")</f>
        <v>N/A</v>
      </c>
      <c r="O94" s="4" t="str">
        <f>IF(OR($A94="Power Cable",$A94="RTD Cable",$A94="Fieldbus Cable"),IF(AND($AE94&lt;&gt;""),"YES","NO"),"N/A")</f>
        <v>N/A</v>
      </c>
      <c r="P94" s="4" t="str">
        <f>IF(OR($A94="RTD"),IF(AND($AH94&lt;&gt;""),"YES","NO"),"N/A")</f>
        <v>N/A</v>
      </c>
      <c r="Q94" s="4" t="str">
        <f>IF(OR($A94="RTD"),IF(AND($AI94&lt;&gt;""),"YES","NO"),"N/A")</f>
        <v>N/A</v>
      </c>
      <c r="R94" s="4" t="str">
        <f>IF(OR($AM94&lt;&gt;"",$Z94&lt;&gt;"",$AC94&lt;&gt;""),"YES","NO")</f>
        <v>NO</v>
      </c>
      <c r="S94" s="4" t="str">
        <f>IF(COUNTIF(I94:R94,"NO")=0,"YES","NO")</f>
        <v>NO</v>
      </c>
      <c r="T94" s="9" t="n"/>
      <c r="U94" s="9" t="inlineStr">
        <is>
          <t>&gt;550 MΩ</t>
        </is>
      </c>
      <c r="V94" s="9" t="inlineStr">
        <is>
          <t>14.9 Ω</t>
        </is>
      </c>
      <c r="W94" s="9" t="inlineStr">
        <is>
          <t>2026-05-18</t>
        </is>
      </c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inlineStr">
        <is>
          <t>E/32SB3700/6.3M/294/65.4/1.2M/LS23A/X/N12/XMF</t>
        </is>
      </c>
      <c r="AK94" s="9" t="inlineStr">
        <is>
          <t>6.3 m m</t>
        </is>
      </c>
      <c r="AL94" s="9" t="inlineStr">
        <is>
          <t>Levy Ostrup</t>
        </is>
      </c>
      <c r="AM94" s="9" t="n"/>
      <c r="AN94" s="9" t="n"/>
    </row>
    <row r="95">
      <c r="A95" s="9" t="inlineStr">
        <is>
          <t>EHT Trace</t>
        </is>
      </c>
      <c r="B95" s="9" t="inlineStr">
        <is>
          <t>29103-ET-PG2601-2-3</t>
        </is>
      </c>
      <c r="C95" s="9" t="inlineStr">
        <is>
          <t>29103-ET-PG2601-2</t>
        </is>
      </c>
      <c r="D95" s="9" t="inlineStr">
        <is>
          <t>HTC-19 / CB-19</t>
        </is>
      </c>
      <c r="E95" s="9" t="inlineStr">
        <is>
          <t>29103-PG-2601</t>
        </is>
      </c>
      <c r="F95" s="9" t="inlineStr">
        <is>
          <t>29103-65R-ET-PG2601-02-01</t>
        </is>
      </c>
      <c r="G95" s="9" t="inlineStr">
        <is>
          <t>13.1</t>
        </is>
      </c>
      <c r="H95" s="9" t="inlineStr">
        <is>
          <t>29103-ET-PG2601-2-3.pdf</t>
        </is>
      </c>
      <c r="I95" s="4" t="str">
        <f>IF($H95&lt;&gt;"","YES","NO")</f>
        <v>YES</v>
      </c>
      <c r="J95" s="4" t="str">
        <f>IF(N($T95)&gt;0,"YES","NO")</f>
        <v>NO</v>
      </c>
      <c r="K95" s="4" t="str">
        <f>IF(OR($A95="EHT Trace"),IF(AND($U95&lt;&gt;"",$V95&lt;&gt;""),"YES","NO"),"N/A")</f>
        <v>YES</v>
      </c>
      <c r="L95" s="4" t="str">
        <f>IF(OR($A95="EHT Trace"),IF(AND($X95&lt;&gt;"",$Y95&lt;&gt;""),"YES","NO"),"N/A")</f>
        <v>NO</v>
      </c>
      <c r="M95" s="4" t="str">
        <f>IF(OR($A95="EHT Trace"),IF(AND($AA95&lt;&gt;"",$AB95&lt;&gt;""),"YES","NO"),"N/A")</f>
        <v>NO</v>
      </c>
      <c r="N95" s="4" t="str">
        <f>IF(OR($A95="Power Cable"),IF(AND($AD95&lt;&gt;""),"YES","NO"),"N/A")</f>
        <v>N/A</v>
      </c>
      <c r="O95" s="4" t="str">
        <f>IF(OR($A95="Power Cable",$A95="RTD Cable",$A95="Fieldbus Cable"),IF(AND($AE95&lt;&gt;""),"YES","NO"),"N/A")</f>
        <v>N/A</v>
      </c>
      <c r="P95" s="4" t="str">
        <f>IF(OR($A95="RTD"),IF(AND($AH95&lt;&gt;""),"YES","NO"),"N/A")</f>
        <v>N/A</v>
      </c>
      <c r="Q95" s="4" t="str">
        <f>IF(OR($A95="RTD"),IF(AND($AI95&lt;&gt;""),"YES","NO"),"N/A")</f>
        <v>N/A</v>
      </c>
      <c r="R95" s="4" t="str">
        <f>IF(OR($AM95&lt;&gt;"",$Z95&lt;&gt;"",$AC95&lt;&gt;""),"YES","NO")</f>
        <v>NO</v>
      </c>
      <c r="S95" s="4" t="str">
        <f>IF(COUNTIF(I95:R95,"NO")=0,"YES","NO")</f>
        <v>NO</v>
      </c>
      <c r="T95" s="9" t="n"/>
      <c r="U95" s="9" t="inlineStr">
        <is>
          <t>&gt;550 MΩ</t>
        </is>
      </c>
      <c r="V95" s="9" t="inlineStr">
        <is>
          <t>28 Ω</t>
        </is>
      </c>
      <c r="W95" s="9" t="inlineStr">
        <is>
          <t>2026-05-18</t>
        </is>
      </c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inlineStr">
        <is>
          <t>D/32SB3700/11.8M/550/122/1.2M/LS23A/X/N12/XMN</t>
        </is>
      </c>
      <c r="AK95" s="9" t="inlineStr">
        <is>
          <t>11.8 m m</t>
        </is>
      </c>
      <c r="AL95" s="9" t="inlineStr">
        <is>
          <t>Levy Ostrup</t>
        </is>
      </c>
      <c r="AM95" s="9" t="n"/>
      <c r="AN95" s="9" t="n"/>
    </row>
    <row r="96">
      <c r="A96" s="9" t="inlineStr">
        <is>
          <t>EHT Trace</t>
        </is>
      </c>
      <c r="B96" s="9" t="inlineStr">
        <is>
          <t>29103-ET-PG2701-1-1</t>
        </is>
      </c>
      <c r="C96" s="9" t="inlineStr">
        <is>
          <t>29103-ET-PG2701-1</t>
        </is>
      </c>
      <c r="D96" s="9" t="inlineStr">
        <is>
          <t>HTC-23 / CB-23</t>
        </is>
      </c>
      <c r="E96" s="9" t="inlineStr">
        <is>
          <t>29103-PG-2701, 29103-PE-2702, 29103-P-2700</t>
        </is>
      </c>
      <c r="F96" s="9" t="inlineStr">
        <is>
          <t>29103-65R-ET-PG2701-01-01</t>
        </is>
      </c>
      <c r="G96" s="9" t="inlineStr">
        <is>
          <t>13.1</t>
        </is>
      </c>
      <c r="H96" s="9" t="inlineStr">
        <is>
          <t>29103-ET-PG2701-1-1.pdf</t>
        </is>
      </c>
      <c r="I96" s="4" t="str">
        <f>IF($H96&lt;&gt;"","YES","NO")</f>
        <v>YES</v>
      </c>
      <c r="J96" s="4" t="str">
        <f>IF(N($T96)&gt;0,"YES","NO")</f>
        <v>NO</v>
      </c>
      <c r="K96" s="4" t="str">
        <f>IF(OR($A96="EHT Trace"),IF(AND($U96&lt;&gt;"",$V96&lt;&gt;""),"YES","NO"),"N/A")</f>
        <v>NO</v>
      </c>
      <c r="L96" s="4" t="str">
        <f>IF(OR($A96="EHT Trace"),IF(AND($X96&lt;&gt;"",$Y96&lt;&gt;""),"YES","NO"),"N/A")</f>
        <v>NO</v>
      </c>
      <c r="M96" s="4" t="str">
        <f>IF(OR($A96="EHT Trace"),IF(AND($AA96&lt;&gt;"",$AB96&lt;&gt;""),"YES","NO"),"N/A")</f>
        <v>NO</v>
      </c>
      <c r="N96" s="4" t="str">
        <f>IF(OR($A96="Power Cable"),IF(AND($AD96&lt;&gt;""),"YES","NO"),"N/A")</f>
        <v>N/A</v>
      </c>
      <c r="O96" s="4" t="str">
        <f>IF(OR($A96="Power Cable",$A96="RTD Cable",$A96="Fieldbus Cable"),IF(AND($AE96&lt;&gt;""),"YES","NO"),"N/A")</f>
        <v>N/A</v>
      </c>
      <c r="P96" s="4" t="str">
        <f>IF(OR($A96="RTD"),IF(AND($AH96&lt;&gt;""),"YES","NO"),"N/A")</f>
        <v>N/A</v>
      </c>
      <c r="Q96" s="4" t="str">
        <f>IF(OR($A96="RTD"),IF(AND($AI96&lt;&gt;""),"YES","NO"),"N/A")</f>
        <v>N/A</v>
      </c>
      <c r="R96" s="4" t="str">
        <f>IF(OR($AM96&lt;&gt;"",$Z96&lt;&gt;"",$AC96&lt;&gt;""),"YES","NO")</f>
        <v>NO</v>
      </c>
      <c r="S96" s="4" t="str">
        <f>IF(COUNTIF(I96:R96,"NO")=0,"YES","NO")</f>
        <v>NO</v>
      </c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inlineStr">
        <is>
          <t>D/32SP4734/90M/3006/277/1.2M/LS23A/X/N12</t>
        </is>
      </c>
      <c r="AK96" s="9" t="inlineStr">
        <is>
          <t>90 m m</t>
        </is>
      </c>
      <c r="AL96" s="9" t="inlineStr">
        <is>
          <t>Levy Ostrup</t>
        </is>
      </c>
      <c r="AM96" s="9" t="n"/>
      <c r="AN96" s="9" t="n"/>
    </row>
    <row r="97">
      <c r="A97" s="9" t="inlineStr">
        <is>
          <t>EHT Trace</t>
        </is>
      </c>
      <c r="B97" s="9" t="inlineStr">
        <is>
          <t>29103-ET-PG2701-2-1</t>
        </is>
      </c>
      <c r="C97" s="9" t="inlineStr">
        <is>
          <t>29103-ET-PG2701-2</t>
        </is>
      </c>
      <c r="D97" s="9" t="inlineStr">
        <is>
          <t>HTC-30 / CB-30</t>
        </is>
      </c>
      <c r="E97" s="9" t="inlineStr">
        <is>
          <t>29103-PG-2701</t>
        </is>
      </c>
      <c r="F97" s="9" t="inlineStr">
        <is>
          <t>29103-65R-ET-PG2701-02-01</t>
        </is>
      </c>
      <c r="G97" s="9" t="inlineStr">
        <is>
          <t>13.1</t>
        </is>
      </c>
      <c r="H97" s="9" t="inlineStr">
        <is>
          <t>29103-ET-PG2701-2-1.pdf</t>
        </is>
      </c>
      <c r="I97" s="4" t="str">
        <f>IF($H97&lt;&gt;"","YES","NO")</f>
        <v>YES</v>
      </c>
      <c r="J97" s="4" t="str">
        <f>IF(N($T97)&gt;0,"YES","NO")</f>
        <v>NO</v>
      </c>
      <c r="K97" s="4" t="str">
        <f>IF(OR($A97="EHT Trace"),IF(AND($U97&lt;&gt;"",$V97&lt;&gt;""),"YES","NO"),"N/A")</f>
        <v>YES</v>
      </c>
      <c r="L97" s="4" t="str">
        <f>IF(OR($A97="EHT Trace"),IF(AND($X97&lt;&gt;"",$Y97&lt;&gt;""),"YES","NO"),"N/A")</f>
        <v>NO</v>
      </c>
      <c r="M97" s="4" t="str">
        <f>IF(OR($A97="EHT Trace"),IF(AND($AA97&lt;&gt;"",$AB97&lt;&gt;""),"YES","NO"),"N/A")</f>
        <v>NO</v>
      </c>
      <c r="N97" s="4" t="str">
        <f>IF(OR($A97="Power Cable"),IF(AND($AD97&lt;&gt;""),"YES","NO"),"N/A")</f>
        <v>N/A</v>
      </c>
      <c r="O97" s="4" t="str">
        <f>IF(OR($A97="Power Cable",$A97="RTD Cable",$A97="Fieldbus Cable"),IF(AND($AE97&lt;&gt;""),"YES","NO"),"N/A")</f>
        <v>N/A</v>
      </c>
      <c r="P97" s="4" t="str">
        <f>IF(OR($A97="RTD"),IF(AND($AH97&lt;&gt;""),"YES","NO"),"N/A")</f>
        <v>N/A</v>
      </c>
      <c r="Q97" s="4" t="str">
        <f>IF(OR($A97="RTD"),IF(AND($AI97&lt;&gt;""),"YES","NO"),"N/A")</f>
        <v>N/A</v>
      </c>
      <c r="R97" s="4" t="str">
        <f>IF(OR($AM97&lt;&gt;"",$Z97&lt;&gt;"",$AC97&lt;&gt;""),"YES","NO")</f>
        <v>NO</v>
      </c>
      <c r="S97" s="4" t="str">
        <f>IF(COUNTIF(I97:R97,"NO")=0,"YES","NO")</f>
        <v>NO</v>
      </c>
      <c r="T97" s="9" t="n"/>
      <c r="U97" s="9" t="inlineStr">
        <is>
          <t>&gt;550 MΩ</t>
        </is>
      </c>
      <c r="V97" s="9" t="inlineStr">
        <is>
          <t>21.6 Ω</t>
        </is>
      </c>
      <c r="W97" s="9" t="inlineStr">
        <is>
          <t>2026-05-18</t>
        </is>
      </c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inlineStr">
        <is>
          <t>E/32SB3700/9.2M/409/93.3/1.2M/LS23A/X/N12/XNF</t>
        </is>
      </c>
      <c r="AK97" s="9" t="inlineStr">
        <is>
          <t>9.2 m m</t>
        </is>
      </c>
      <c r="AL97" s="9" t="inlineStr">
        <is>
          <t>Levy Ostrup</t>
        </is>
      </c>
      <c r="AM97" s="9" t="n"/>
      <c r="AN97" s="9" t="n"/>
    </row>
    <row r="98">
      <c r="A98" s="9" t="inlineStr">
        <is>
          <t>EHT Trace</t>
        </is>
      </c>
      <c r="B98" s="9" t="inlineStr">
        <is>
          <t>29103-ET-PG2701-2-2</t>
        </is>
      </c>
      <c r="C98" s="9" t="inlineStr">
        <is>
          <t>29103-ET-PG2701-2</t>
        </is>
      </c>
      <c r="D98" s="9" t="inlineStr">
        <is>
          <t>HTC-30 / CB-30</t>
        </is>
      </c>
      <c r="E98" s="9" t="inlineStr">
        <is>
          <t>29103-PG-2701</t>
        </is>
      </c>
      <c r="F98" s="9" t="inlineStr">
        <is>
          <t>29103-65R-ET-PG2701-02-01</t>
        </is>
      </c>
      <c r="G98" s="9" t="inlineStr">
        <is>
          <t>13.1</t>
        </is>
      </c>
      <c r="H98" s="9" t="inlineStr">
        <is>
          <t>29103-ET-PG2701-2-2.pdf</t>
        </is>
      </c>
      <c r="I98" s="4" t="str">
        <f>IF($H98&lt;&gt;"","YES","NO")</f>
        <v>YES</v>
      </c>
      <c r="J98" s="4" t="str">
        <f>IF(N($T98)&gt;0,"YES","NO")</f>
        <v>NO</v>
      </c>
      <c r="K98" s="4" t="str">
        <f>IF(OR($A98="EHT Trace"),IF(AND($U98&lt;&gt;"",$V98&lt;&gt;""),"YES","NO"),"N/A")</f>
        <v>YES</v>
      </c>
      <c r="L98" s="4" t="str">
        <f>IF(OR($A98="EHT Trace"),IF(AND($X98&lt;&gt;"",$Y98&lt;&gt;""),"YES","NO"),"N/A")</f>
        <v>NO</v>
      </c>
      <c r="M98" s="4" t="str">
        <f>IF(OR($A98="EHT Trace"),IF(AND($AA98&lt;&gt;"",$AB98&lt;&gt;""),"YES","NO"),"N/A")</f>
        <v>NO</v>
      </c>
      <c r="N98" s="4" t="str">
        <f>IF(OR($A98="Power Cable"),IF(AND($AD98&lt;&gt;""),"YES","NO"),"N/A")</f>
        <v>N/A</v>
      </c>
      <c r="O98" s="4" t="str">
        <f>IF(OR($A98="Power Cable",$A98="RTD Cable",$A98="Fieldbus Cable"),IF(AND($AE98&lt;&gt;""),"YES","NO"),"N/A")</f>
        <v>N/A</v>
      </c>
      <c r="P98" s="4" t="str">
        <f>IF(OR($A98="RTD"),IF(AND($AH98&lt;&gt;""),"YES","NO"),"N/A")</f>
        <v>N/A</v>
      </c>
      <c r="Q98" s="4" t="str">
        <f>IF(OR($A98="RTD"),IF(AND($AI98&lt;&gt;""),"YES","NO"),"N/A")</f>
        <v>N/A</v>
      </c>
      <c r="R98" s="4" t="str">
        <f>IF(OR($AM98&lt;&gt;"",$Z98&lt;&gt;"",$AC98&lt;&gt;""),"YES","NO")</f>
        <v>NO</v>
      </c>
      <c r="S98" s="4" t="str">
        <f>IF(COUNTIF(I98:R98,"NO")=0,"YES","NO")</f>
        <v>NO</v>
      </c>
      <c r="T98" s="9" t="n"/>
      <c r="U98" s="9" t="inlineStr">
        <is>
          <t>&gt;550 MΩ</t>
        </is>
      </c>
      <c r="V98" s="9" t="inlineStr">
        <is>
          <t>15 Ω</t>
        </is>
      </c>
      <c r="W98" s="9" t="inlineStr">
        <is>
          <t>2026-05-18</t>
        </is>
      </c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inlineStr">
        <is>
          <t>E/32SB3700/6.3M/280/63.9/1.2M/LS23A/X/N12/XMF</t>
        </is>
      </c>
      <c r="AK98" s="9" t="inlineStr">
        <is>
          <t>6.3 m m</t>
        </is>
      </c>
      <c r="AL98" s="9" t="inlineStr">
        <is>
          <t>Levy Ostrup</t>
        </is>
      </c>
      <c r="AM98" s="9" t="n"/>
      <c r="AN98" s="9" t="n"/>
    </row>
    <row r="99">
      <c r="A99" s="9" t="inlineStr">
        <is>
          <t>EHT Trace</t>
        </is>
      </c>
      <c r="B99" s="9" t="inlineStr">
        <is>
          <t>29103-ET-PG2701-2-3</t>
        </is>
      </c>
      <c r="C99" s="9" t="inlineStr">
        <is>
          <t>29103-ET-PG2701-2</t>
        </is>
      </c>
      <c r="D99" s="9" t="inlineStr">
        <is>
          <t>HTC-30 / CB-30</t>
        </is>
      </c>
      <c r="E99" s="9" t="inlineStr">
        <is>
          <t>29103-PG-2701</t>
        </is>
      </c>
      <c r="F99" s="9" t="inlineStr">
        <is>
          <t>29103-65R-ET-PG2701-02-01</t>
        </is>
      </c>
      <c r="G99" s="9" t="inlineStr">
        <is>
          <t>13.1</t>
        </is>
      </c>
      <c r="H99" s="9" t="inlineStr">
        <is>
          <t>29103-ET-PG2701-2-3.pdf</t>
        </is>
      </c>
      <c r="I99" s="4" t="str">
        <f>IF($H99&lt;&gt;"","YES","NO")</f>
        <v>YES</v>
      </c>
      <c r="J99" s="4" t="str">
        <f>IF(N($T99)&gt;0,"YES","NO")</f>
        <v>NO</v>
      </c>
      <c r="K99" s="4" t="str">
        <f>IF(OR($A99="EHT Trace"),IF(AND($U99&lt;&gt;"",$V99&lt;&gt;""),"YES","NO"),"N/A")</f>
        <v>YES</v>
      </c>
      <c r="L99" s="4" t="str">
        <f>IF(OR($A99="EHT Trace"),IF(AND($X99&lt;&gt;"",$Y99&lt;&gt;""),"YES","NO"),"N/A")</f>
        <v>NO</v>
      </c>
      <c r="M99" s="4" t="str">
        <f>IF(OR($A99="EHT Trace"),IF(AND($AA99&lt;&gt;"",$AB99&lt;&gt;""),"YES","NO"),"N/A")</f>
        <v>NO</v>
      </c>
      <c r="N99" s="4" t="str">
        <f>IF(OR($A99="Power Cable"),IF(AND($AD99&lt;&gt;""),"YES","NO"),"N/A")</f>
        <v>N/A</v>
      </c>
      <c r="O99" s="4" t="str">
        <f>IF(OR($A99="Power Cable",$A99="RTD Cable",$A99="Fieldbus Cable"),IF(AND($AE99&lt;&gt;""),"YES","NO"),"N/A")</f>
        <v>N/A</v>
      </c>
      <c r="P99" s="4" t="str">
        <f>IF(OR($A99="RTD"),IF(AND($AH99&lt;&gt;""),"YES","NO"),"N/A")</f>
        <v>N/A</v>
      </c>
      <c r="Q99" s="4" t="str">
        <f>IF(OR($A99="RTD"),IF(AND($AI99&lt;&gt;""),"YES","NO"),"N/A")</f>
        <v>N/A</v>
      </c>
      <c r="R99" s="4" t="str">
        <f>IF(OR($AM99&lt;&gt;"",$Z99&lt;&gt;"",$AC99&lt;&gt;""),"YES","NO")</f>
        <v>NO</v>
      </c>
      <c r="S99" s="4" t="str">
        <f>IF(COUNTIF(I99:R99,"NO")=0,"YES","NO")</f>
        <v>NO</v>
      </c>
      <c r="T99" s="9" t="n"/>
      <c r="U99" s="9" t="inlineStr">
        <is>
          <t>&gt;550 MΩ</t>
        </is>
      </c>
      <c r="V99" s="9" t="inlineStr">
        <is>
          <t>28.1 Ω</t>
        </is>
      </c>
      <c r="W99" s="9" t="inlineStr">
        <is>
          <t>2026-05-18</t>
        </is>
      </c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inlineStr">
        <is>
          <t>D/32SB3700/11.8M/525/120/1.2M/LS23A/X/N12/XMN</t>
        </is>
      </c>
      <c r="AK99" s="9" t="inlineStr">
        <is>
          <t>11.8 m m</t>
        </is>
      </c>
      <c r="AL99" s="9" t="inlineStr">
        <is>
          <t>Levy Ostrup</t>
        </is>
      </c>
      <c r="AM99" s="9" t="n"/>
      <c r="AN99" s="9" t="n"/>
    </row>
    <row r="100">
      <c r="A100" s="9" t="inlineStr">
        <is>
          <t>EHT Trace</t>
        </is>
      </c>
      <c r="B100" s="9" t="inlineStr">
        <is>
          <t>29103-ET-SC2800-1-1</t>
        </is>
      </c>
      <c r="C100" s="9" t="inlineStr">
        <is>
          <t>29103-ET-SC2800-1</t>
        </is>
      </c>
      <c r="D100" s="9" t="inlineStr">
        <is>
          <t>29103-AMB-012</t>
        </is>
      </c>
      <c r="E100" s="9" t="inlineStr">
        <is>
          <t>29103-ST-2815, 29103-ST-2814, 29103-ST-2813, 29103- ST-2812, 29103-SC-2802, 29103-SC-2800</t>
        </is>
      </c>
      <c r="F100" s="9" t="inlineStr">
        <is>
          <t>29103-65R-ET-SC2800-01-01</t>
        </is>
      </c>
      <c r="G100" s="9" t="inlineStr">
        <is>
          <t>13.1</t>
        </is>
      </c>
      <c r="H100" s="9" t="inlineStr">
        <is>
          <t>29103-ET-SC2800-1-1.pdf</t>
        </is>
      </c>
      <c r="I100" s="4" t="str">
        <f>IF($H100&lt;&gt;"","YES","NO")</f>
        <v>YES</v>
      </c>
      <c r="J100" s="4" t="str">
        <f>IF(N($T100)&gt;0,"YES","NO")</f>
        <v>NO</v>
      </c>
      <c r="K100" s="4" t="str">
        <f>IF(OR($A100="EHT Trace"),IF(AND($U100&lt;&gt;"",$V100&lt;&gt;""),"YES","NO"),"N/A")</f>
        <v>NO</v>
      </c>
      <c r="L100" s="4" t="str">
        <f>IF(OR($A100="EHT Trace"),IF(AND($X100&lt;&gt;"",$Y100&lt;&gt;""),"YES","NO"),"N/A")</f>
        <v>NO</v>
      </c>
      <c r="M100" s="4" t="str">
        <f>IF(OR($A100="EHT Trace"),IF(AND($AA100&lt;&gt;"",$AB100&lt;&gt;""),"YES","NO"),"N/A")</f>
        <v>NO</v>
      </c>
      <c r="N100" s="4" t="str">
        <f>IF(OR($A100="Power Cable"),IF(AND($AD100&lt;&gt;""),"YES","NO"),"N/A")</f>
        <v>N/A</v>
      </c>
      <c r="O100" s="4" t="str">
        <f>IF(OR($A100="Power Cable",$A100="RTD Cable",$A100="Fieldbus Cable"),IF(AND($AE100&lt;&gt;""),"YES","NO"),"N/A")</f>
        <v>N/A</v>
      </c>
      <c r="P100" s="4" t="str">
        <f>IF(OR($A100="RTD"),IF(AND($AH100&lt;&gt;""),"YES","NO"),"N/A")</f>
        <v>N/A</v>
      </c>
      <c r="Q100" s="4" t="str">
        <f>IF(OR($A100="RTD"),IF(AND($AI100&lt;&gt;""),"YES","NO"),"N/A")</f>
        <v>N/A</v>
      </c>
      <c r="R100" s="4" t="str">
        <f>IF(OR($AM100&lt;&gt;"",$Z100&lt;&gt;"",$AC100&lt;&gt;""),"YES","NO")</f>
        <v>NO</v>
      </c>
      <c r="S100" s="4" t="str">
        <f>IF(COUNTIF(I100:R100,"NO")=0,"YES","NO")</f>
        <v>NO</v>
      </c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inlineStr">
        <is>
          <t>D/32SB3914/39.4M/650/277/1.2M/LS23A/X/N12</t>
        </is>
      </c>
      <c r="AK100" s="9" t="inlineStr">
        <is>
          <t>39.4 m m</t>
        </is>
      </c>
      <c r="AL100" s="9" t="inlineStr">
        <is>
          <t>Levy Ostrup</t>
        </is>
      </c>
      <c r="AM100" s="9" t="n"/>
      <c r="AN100" s="9" t="n"/>
    </row>
    <row r="101">
      <c r="A101" s="9" t="inlineStr">
        <is>
          <t>EHT Trace</t>
        </is>
      </c>
      <c r="B101" s="9" t="inlineStr">
        <is>
          <t>29103-ET-ST2001-1-1</t>
        </is>
      </c>
      <c r="C101" s="9" t="inlineStr">
        <is>
          <t>29103-ET-ST2001-1</t>
        </is>
      </c>
      <c r="D101" s="9" t="inlineStr">
        <is>
          <t>29103-AMB-012</t>
        </is>
      </c>
      <c r="E101" s="9" t="inlineStr">
        <is>
          <t>29103-ST-2001</t>
        </is>
      </c>
      <c r="F101" s="9" t="inlineStr">
        <is>
          <t>29103-65R-ET-ST2001-01-01</t>
        </is>
      </c>
      <c r="G101" s="9" t="inlineStr">
        <is>
          <t>13.1</t>
        </is>
      </c>
      <c r="H101" s="9" t="inlineStr">
        <is>
          <t>29103-ET-ST2001-1-1.pdf</t>
        </is>
      </c>
      <c r="I101" s="4" t="str">
        <f>IF($H101&lt;&gt;"","YES","NO")</f>
        <v>YES</v>
      </c>
      <c r="J101" s="4" t="str">
        <f>IF(N($T101)&gt;0,"YES","NO")</f>
        <v>NO</v>
      </c>
      <c r="K101" s="4" t="str">
        <f>IF(OR($A101="EHT Trace"),IF(AND($U101&lt;&gt;"",$V101&lt;&gt;""),"YES","NO"),"N/A")</f>
        <v>NO</v>
      </c>
      <c r="L101" s="4" t="str">
        <f>IF(OR($A101="EHT Trace"),IF(AND($X101&lt;&gt;"",$Y101&lt;&gt;""),"YES","NO"),"N/A")</f>
        <v>NO</v>
      </c>
      <c r="M101" s="4" t="str">
        <f>IF(OR($A101="EHT Trace"),IF(AND($AA101&lt;&gt;"",$AB101&lt;&gt;""),"YES","NO"),"N/A")</f>
        <v>NO</v>
      </c>
      <c r="N101" s="4" t="str">
        <f>IF(OR($A101="Power Cable"),IF(AND($AD101&lt;&gt;""),"YES","NO"),"N/A")</f>
        <v>N/A</v>
      </c>
      <c r="O101" s="4" t="str">
        <f>IF(OR($A101="Power Cable",$A101="RTD Cable",$A101="Fieldbus Cable"),IF(AND($AE101&lt;&gt;""),"YES","NO"),"N/A")</f>
        <v>N/A</v>
      </c>
      <c r="P101" s="4" t="str">
        <f>IF(OR($A101="RTD"),IF(AND($AH101&lt;&gt;""),"YES","NO"),"N/A")</f>
        <v>N/A</v>
      </c>
      <c r="Q101" s="4" t="str">
        <f>IF(OR($A101="RTD"),IF(AND($AI101&lt;&gt;""),"YES","NO"),"N/A")</f>
        <v>N/A</v>
      </c>
      <c r="R101" s="4" t="str">
        <f>IF(OR($AM101&lt;&gt;"",$Z101&lt;&gt;"",$AC101&lt;&gt;""),"YES","NO")</f>
        <v>NO</v>
      </c>
      <c r="S101" s="4" t="str">
        <f>IF(COUNTIF(I101:R101,"NO")=0,"YES","NO")</f>
        <v>NO</v>
      </c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inlineStr">
        <is>
          <t>E/32SB2114/12.6M/169/89.3/1.2M/LS23A/X/N12/XNF</t>
        </is>
      </c>
      <c r="AK101" s="9" t="inlineStr">
        <is>
          <t>12.6 m m</t>
        </is>
      </c>
      <c r="AL101" s="9" t="inlineStr">
        <is>
          <t>Levy Ostrup</t>
        </is>
      </c>
      <c r="AM101" s="9" t="n"/>
      <c r="AN101" s="9" t="n"/>
    </row>
    <row r="102">
      <c r="A102" s="9" t="inlineStr">
        <is>
          <t>EHT Trace</t>
        </is>
      </c>
      <c r="B102" s="9" t="inlineStr">
        <is>
          <t>29103-ET-ST2001-1-2</t>
        </is>
      </c>
      <c r="C102" s="9" t="inlineStr">
        <is>
          <t>29103-ET-ST2001-1</t>
        </is>
      </c>
      <c r="D102" s="9" t="inlineStr">
        <is>
          <t>29103-AMB-012</t>
        </is>
      </c>
      <c r="E102" s="9" t="inlineStr">
        <is>
          <t>29103-ST-2002, 29103-ST-2001</t>
        </is>
      </c>
      <c r="F102" s="9" t="inlineStr">
        <is>
          <t>29103-65R-ET-ST2001-01-01</t>
        </is>
      </c>
      <c r="G102" s="9" t="inlineStr">
        <is>
          <t>13.1</t>
        </is>
      </c>
      <c r="H102" s="9" t="inlineStr">
        <is>
          <t>29103-ET-ST2001-1-2.pdf</t>
        </is>
      </c>
      <c r="I102" s="4" t="str">
        <f>IF($H102&lt;&gt;"","YES","NO")</f>
        <v>YES</v>
      </c>
      <c r="J102" s="4" t="str">
        <f>IF(N($T102)&gt;0,"YES","NO")</f>
        <v>NO</v>
      </c>
      <c r="K102" s="4" t="str">
        <f>IF(OR($A102="EHT Trace"),IF(AND($U102&lt;&gt;"",$V102&lt;&gt;""),"YES","NO"),"N/A")</f>
        <v>NO</v>
      </c>
      <c r="L102" s="4" t="str">
        <f>IF(OR($A102="EHT Trace"),IF(AND($X102&lt;&gt;"",$Y102&lt;&gt;""),"YES","NO"),"N/A")</f>
        <v>NO</v>
      </c>
      <c r="M102" s="4" t="str">
        <f>IF(OR($A102="EHT Trace"),IF(AND($AA102&lt;&gt;"",$AB102&lt;&gt;""),"YES","NO"),"N/A")</f>
        <v>NO</v>
      </c>
      <c r="N102" s="4" t="str">
        <f>IF(OR($A102="Power Cable"),IF(AND($AD102&lt;&gt;""),"YES","NO"),"N/A")</f>
        <v>N/A</v>
      </c>
      <c r="O102" s="4" t="str">
        <f>IF(OR($A102="Power Cable",$A102="RTD Cable",$A102="Fieldbus Cable"),IF(AND($AE102&lt;&gt;""),"YES","NO"),"N/A")</f>
        <v>N/A</v>
      </c>
      <c r="P102" s="4" t="str">
        <f>IF(OR($A102="RTD"),IF(AND($AH102&lt;&gt;""),"YES","NO"),"N/A")</f>
        <v>N/A</v>
      </c>
      <c r="Q102" s="4" t="str">
        <f>IF(OR($A102="RTD"),IF(AND($AI102&lt;&gt;""),"YES","NO"),"N/A")</f>
        <v>N/A</v>
      </c>
      <c r="R102" s="4" t="str">
        <f>IF(OR($AM102&lt;&gt;"",$Z102&lt;&gt;"",$AC102&lt;&gt;""),"YES","NO")</f>
        <v>NO</v>
      </c>
      <c r="S102" s="4" t="str">
        <f>IF(COUNTIF(I102:R102,"NO")=0,"YES","NO")</f>
        <v>NO</v>
      </c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inlineStr">
        <is>
          <t>D/32SB2114/26.5M/355/188/1.2M/LS23A/X/N12/XMN</t>
        </is>
      </c>
      <c r="AK102" s="9" t="inlineStr">
        <is>
          <t>26.5 m m</t>
        </is>
      </c>
      <c r="AL102" s="9" t="inlineStr">
        <is>
          <t>Levy Ostrup</t>
        </is>
      </c>
      <c r="AM102" s="9" t="n"/>
      <c r="AN102" s="9" t="n"/>
    </row>
    <row r="103">
      <c r="A103" s="9" t="inlineStr">
        <is>
          <t>EHT Trace</t>
        </is>
      </c>
      <c r="B103" s="9" t="inlineStr">
        <is>
          <t>29103-ET-ST2603-1-1</t>
        </is>
      </c>
      <c r="C103" s="9" t="inlineStr">
        <is>
          <t>29103-ET-ST2603-1</t>
        </is>
      </c>
      <c r="D103" s="9" t="inlineStr">
        <is>
          <t>29103-AMB-012</t>
        </is>
      </c>
      <c r="E103" s="9" t="inlineStr">
        <is>
          <t>29103-ST-2604, 29103-ST-2603</t>
        </is>
      </c>
      <c r="F103" s="9" t="inlineStr">
        <is>
          <t>29103-65R-ET-ST2603-01-01</t>
        </is>
      </c>
      <c r="G103" s="9" t="inlineStr">
        <is>
          <t>13.1</t>
        </is>
      </c>
      <c r="H103" s="9" t="inlineStr">
        <is>
          <t>29103-ET-ST2603-1-1.pdf</t>
        </is>
      </c>
      <c r="I103" s="4" t="str">
        <f>IF($H103&lt;&gt;"","YES","NO")</f>
        <v>YES</v>
      </c>
      <c r="J103" s="4" t="str">
        <f>IF(N($T103)&gt;0,"YES","NO")</f>
        <v>NO</v>
      </c>
      <c r="K103" s="4" t="str">
        <f>IF(OR($A103="EHT Trace"),IF(AND($U103&lt;&gt;"",$V103&lt;&gt;""),"YES","NO"),"N/A")</f>
        <v>NO</v>
      </c>
      <c r="L103" s="4" t="str">
        <f>IF(OR($A103="EHT Trace"),IF(AND($X103&lt;&gt;"",$Y103&lt;&gt;""),"YES","NO"),"N/A")</f>
        <v>NO</v>
      </c>
      <c r="M103" s="4" t="str">
        <f>IF(OR($A103="EHT Trace"),IF(AND($AA103&lt;&gt;"",$AB103&lt;&gt;""),"YES","NO"),"N/A")</f>
        <v>NO</v>
      </c>
      <c r="N103" s="4" t="str">
        <f>IF(OR($A103="Power Cable"),IF(AND($AD103&lt;&gt;""),"YES","NO"),"N/A")</f>
        <v>N/A</v>
      </c>
      <c r="O103" s="4" t="str">
        <f>IF(OR($A103="Power Cable",$A103="RTD Cable",$A103="Fieldbus Cable"),IF(AND($AE103&lt;&gt;""),"YES","NO"),"N/A")</f>
        <v>N/A</v>
      </c>
      <c r="P103" s="4" t="str">
        <f>IF(OR($A103="RTD"),IF(AND($AH103&lt;&gt;""),"YES","NO"),"N/A")</f>
        <v>N/A</v>
      </c>
      <c r="Q103" s="4" t="str">
        <f>IF(OR($A103="RTD"),IF(AND($AI103&lt;&gt;""),"YES","NO"),"N/A")</f>
        <v>N/A</v>
      </c>
      <c r="R103" s="4" t="str">
        <f>IF(OR($AM103&lt;&gt;"",$Z103&lt;&gt;"",$AC103&lt;&gt;""),"YES","NO")</f>
        <v>NO</v>
      </c>
      <c r="S103" s="4" t="str">
        <f>IF(COUNTIF(I103:R103,"NO")=0,"YES","NO")</f>
        <v>NO</v>
      </c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inlineStr">
        <is>
          <t>E/32SB2114/17.3M/282/135/1.2M/LS23A/X/N12/XNF</t>
        </is>
      </c>
      <c r="AK103" s="9" t="inlineStr">
        <is>
          <t>17.3 m m</t>
        </is>
      </c>
      <c r="AL103" s="9" t="inlineStr">
        <is>
          <t>Levy Ostrup</t>
        </is>
      </c>
      <c r="AM103" s="9" t="n"/>
      <c r="AN103" s="9" t="n"/>
    </row>
    <row r="104">
      <c r="A104" s="9" t="inlineStr">
        <is>
          <t>EHT Trace</t>
        </is>
      </c>
      <c r="B104" s="9" t="inlineStr">
        <is>
          <t>29103-ET-ST2603-1-2</t>
        </is>
      </c>
      <c r="C104" s="9" t="inlineStr">
        <is>
          <t>29103-ET-ST2603-1</t>
        </is>
      </c>
      <c r="D104" s="9" t="inlineStr">
        <is>
          <t>29103-AMB-012</t>
        </is>
      </c>
      <c r="E104" s="9" t="inlineStr">
        <is>
          <t>29103-ST-2604</t>
        </is>
      </c>
      <c r="F104" s="9" t="inlineStr">
        <is>
          <t>29103-65R-ET-ST2603-01-01</t>
        </is>
      </c>
      <c r="G104" s="9" t="inlineStr">
        <is>
          <t>13.1</t>
        </is>
      </c>
      <c r="H104" s="9" t="inlineStr">
        <is>
          <t>29103-ET-ST2603-1-2.pdf</t>
        </is>
      </c>
      <c r="I104" s="4" t="str">
        <f>IF($H104&lt;&gt;"","YES","NO")</f>
        <v>YES</v>
      </c>
      <c r="J104" s="4" t="str">
        <f>IF(N($T104)&gt;0,"YES","NO")</f>
        <v>NO</v>
      </c>
      <c r="K104" s="4" t="str">
        <f>IF(OR($A104="EHT Trace"),IF(AND($U104&lt;&gt;"",$V104&lt;&gt;""),"YES","NO"),"N/A")</f>
        <v>NO</v>
      </c>
      <c r="L104" s="4" t="str">
        <f>IF(OR($A104="EHT Trace"),IF(AND($X104&lt;&gt;"",$Y104&lt;&gt;""),"YES","NO"),"N/A")</f>
        <v>NO</v>
      </c>
      <c r="M104" s="4" t="str">
        <f>IF(OR($A104="EHT Trace"),IF(AND($AA104&lt;&gt;"",$AB104&lt;&gt;""),"YES","NO"),"N/A")</f>
        <v>NO</v>
      </c>
      <c r="N104" s="4" t="str">
        <f>IF(OR($A104="Power Cable"),IF(AND($AD104&lt;&gt;""),"YES","NO"),"N/A")</f>
        <v>N/A</v>
      </c>
      <c r="O104" s="4" t="str">
        <f>IF(OR($A104="Power Cable",$A104="RTD Cable",$A104="Fieldbus Cable"),IF(AND($AE104&lt;&gt;""),"YES","NO"),"N/A")</f>
        <v>N/A</v>
      </c>
      <c r="P104" s="4" t="str">
        <f>IF(OR($A104="RTD"),IF(AND($AH104&lt;&gt;""),"YES","NO"),"N/A")</f>
        <v>N/A</v>
      </c>
      <c r="Q104" s="4" t="str">
        <f>IF(OR($A104="RTD"),IF(AND($AI104&lt;&gt;""),"YES","NO"),"N/A")</f>
        <v>N/A</v>
      </c>
      <c r="R104" s="4" t="str">
        <f>IF(OR($AM104&lt;&gt;"",$Z104&lt;&gt;"",$AC104&lt;&gt;""),"YES","NO")</f>
        <v>NO</v>
      </c>
      <c r="S104" s="4" t="str">
        <f>IF(COUNTIF(I104:R104,"NO")=0,"YES","NO")</f>
        <v>NO</v>
      </c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inlineStr">
        <is>
          <t>D/32SB2114/18.2M/297/142/1.2M/LS23A/X/N12/XMN</t>
        </is>
      </c>
      <c r="AK104" s="9" t="inlineStr">
        <is>
          <t>18.2 m m</t>
        </is>
      </c>
      <c r="AL104" s="9" t="inlineStr">
        <is>
          <t>Levy Ostrup</t>
        </is>
      </c>
      <c r="AM104" s="9" t="n"/>
      <c r="AN104" s="9" t="n"/>
    </row>
    <row r="105">
      <c r="A105" s="9" t="inlineStr">
        <is>
          <t>EHT Trace</t>
        </is>
      </c>
      <c r="B105" s="9" t="inlineStr">
        <is>
          <t>29103-ET-ST2603-1-3</t>
        </is>
      </c>
      <c r="C105" s="9" t="inlineStr">
        <is>
          <t>29103-ET-ST2603-1</t>
        </is>
      </c>
      <c r="D105" s="9" t="inlineStr">
        <is>
          <t>29103-AMB-012</t>
        </is>
      </c>
      <c r="E105" s="9" t="inlineStr">
        <is>
          <t>29103-ST-2603</t>
        </is>
      </c>
      <c r="F105" s="9" t="inlineStr">
        <is>
          <t>29103-65R-ET-ST2603-01-01</t>
        </is>
      </c>
      <c r="G105" s="9" t="inlineStr">
        <is>
          <t>13.1</t>
        </is>
      </c>
      <c r="H105" s="9" t="inlineStr">
        <is>
          <t>29103-ET-ST2603-1-3.pdf</t>
        </is>
      </c>
      <c r="I105" s="4" t="str">
        <f>IF($H105&lt;&gt;"","YES","NO")</f>
        <v>YES</v>
      </c>
      <c r="J105" s="4" t="str">
        <f>IF(N($T105)&gt;0,"YES","NO")</f>
        <v>NO</v>
      </c>
      <c r="K105" s="4" t="str">
        <f>IF(OR($A105="EHT Trace"),IF(AND($U105&lt;&gt;"",$V105&lt;&gt;""),"YES","NO"),"N/A")</f>
        <v>YES</v>
      </c>
      <c r="L105" s="4" t="str">
        <f>IF(OR($A105="EHT Trace"),IF(AND($X105&lt;&gt;"",$Y105&lt;&gt;""),"YES","NO"),"N/A")</f>
        <v>NO</v>
      </c>
      <c r="M105" s="4" t="str">
        <f>IF(OR($A105="EHT Trace"),IF(AND($AA105&lt;&gt;"",$AB105&lt;&gt;""),"YES","NO"),"N/A")</f>
        <v>NO</v>
      </c>
      <c r="N105" s="4" t="str">
        <f>IF(OR($A105="Power Cable"),IF(AND($AD105&lt;&gt;""),"YES","NO"),"N/A")</f>
        <v>N/A</v>
      </c>
      <c r="O105" s="4" t="str">
        <f>IF(OR($A105="Power Cable",$A105="RTD Cable",$A105="Fieldbus Cable"),IF(AND($AE105&lt;&gt;""),"YES","NO"),"N/A")</f>
        <v>N/A</v>
      </c>
      <c r="P105" s="4" t="str">
        <f>IF(OR($A105="RTD"),IF(AND($AH105&lt;&gt;""),"YES","NO"),"N/A")</f>
        <v>N/A</v>
      </c>
      <c r="Q105" s="4" t="str">
        <f>IF(OR($A105="RTD"),IF(AND($AI105&lt;&gt;""),"YES","NO"),"N/A")</f>
        <v>N/A</v>
      </c>
      <c r="R105" s="4" t="str">
        <f>IF(OR($AM105&lt;&gt;"",$Z105&lt;&gt;"",$AC105&lt;&gt;""),"YES","NO")</f>
        <v>NO</v>
      </c>
      <c r="S105" s="4" t="str">
        <f>IF(COUNTIF(I105:R105,"NO")=0,"YES","NO")</f>
        <v>NO</v>
      </c>
      <c r="T105" s="9" t="n"/>
      <c r="U105" s="9" t="inlineStr">
        <is>
          <t>&gt;550 MΩ</t>
        </is>
      </c>
      <c r="V105" s="9" t="inlineStr">
        <is>
          <t>51.9 Ω</t>
        </is>
      </c>
      <c r="W105" s="9" t="inlineStr">
        <is>
          <t>2026-05-18</t>
        </is>
      </c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inlineStr">
        <is>
          <t>E/32SA2200/7.6M/127/79.7/1.2M/LS23A/X/N12/XNF</t>
        </is>
      </c>
      <c r="AK105" s="9" t="inlineStr">
        <is>
          <t>7.6 m m</t>
        </is>
      </c>
      <c r="AL105" s="9" t="inlineStr">
        <is>
          <t>Levy Ostrup</t>
        </is>
      </c>
      <c r="AM105" s="9" t="n"/>
      <c r="AN105" s="9" t="n"/>
    </row>
    <row r="106">
      <c r="A106" s="9" t="inlineStr">
        <is>
          <t>EHT Trace</t>
        </is>
      </c>
      <c r="B106" s="9" t="inlineStr">
        <is>
          <t>29103-ET-ST2603-1-4</t>
        </is>
      </c>
      <c r="C106" s="9" t="inlineStr">
        <is>
          <t>29103-ET-ST2603-1</t>
        </is>
      </c>
      <c r="D106" s="9" t="inlineStr">
        <is>
          <t>29103-AMB-012</t>
        </is>
      </c>
      <c r="E106" s="9" t="inlineStr">
        <is>
          <t>29103-ST-2603</t>
        </is>
      </c>
      <c r="F106" s="9" t="inlineStr">
        <is>
          <t>29103-65R-ET-ST2603-01-01</t>
        </is>
      </c>
      <c r="G106" s="9" t="inlineStr">
        <is>
          <t>13.1</t>
        </is>
      </c>
      <c r="H106" s="9" t="inlineStr">
        <is>
          <t>29103-ET-ST2603-1-4.pdf</t>
        </is>
      </c>
      <c r="I106" s="4" t="str">
        <f>IF($H106&lt;&gt;"","YES","NO")</f>
        <v>YES</v>
      </c>
      <c r="J106" s="4" t="str">
        <f>IF(N($T106)&gt;0,"YES","NO")</f>
        <v>NO</v>
      </c>
      <c r="K106" s="4" t="str">
        <f>IF(OR($A106="EHT Trace"),IF(AND($U106&lt;&gt;"",$V106&lt;&gt;""),"YES","NO"),"N/A")</f>
        <v>YES</v>
      </c>
      <c r="L106" s="4" t="str">
        <f>IF(OR($A106="EHT Trace"),IF(AND($X106&lt;&gt;"",$Y106&lt;&gt;""),"YES","NO"),"N/A")</f>
        <v>NO</v>
      </c>
      <c r="M106" s="4" t="str">
        <f>IF(OR($A106="EHT Trace"),IF(AND($AA106&lt;&gt;"",$AB106&lt;&gt;""),"YES","NO"),"N/A")</f>
        <v>NO</v>
      </c>
      <c r="N106" s="4" t="str">
        <f>IF(OR($A106="Power Cable"),IF(AND($AD106&lt;&gt;""),"YES","NO"),"N/A")</f>
        <v>N/A</v>
      </c>
      <c r="O106" s="4" t="str">
        <f>IF(OR($A106="Power Cable",$A106="RTD Cable",$A106="Fieldbus Cable"),IF(AND($AE106&lt;&gt;""),"YES","NO"),"N/A")</f>
        <v>N/A</v>
      </c>
      <c r="P106" s="4" t="str">
        <f>IF(OR($A106="RTD"),IF(AND($AH106&lt;&gt;""),"YES","NO"),"N/A")</f>
        <v>N/A</v>
      </c>
      <c r="Q106" s="4" t="str">
        <f>IF(OR($A106="RTD"),IF(AND($AI106&lt;&gt;""),"YES","NO"),"N/A")</f>
        <v>N/A</v>
      </c>
      <c r="R106" s="4" t="str">
        <f>IF(OR($AM106&lt;&gt;"",$Z106&lt;&gt;"",$AC106&lt;&gt;""),"YES","NO")</f>
        <v>NO</v>
      </c>
      <c r="S106" s="4" t="str">
        <f>IF(COUNTIF(I106:R106,"NO")=0,"YES","NO")</f>
        <v>NO</v>
      </c>
      <c r="T106" s="9" t="n"/>
      <c r="U106" s="9" t="inlineStr">
        <is>
          <t>&gt;550 MΩ</t>
        </is>
      </c>
      <c r="V106" s="9" t="inlineStr">
        <is>
          <t>38.6 Ω</t>
        </is>
      </c>
      <c r="W106" s="9" t="inlineStr">
        <is>
          <t>2026-05-18</t>
        </is>
      </c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inlineStr">
        <is>
          <t>E/32SA2200/5.7M/95/59.8/1.2M/LS23A/X/N12/XMF</t>
        </is>
      </c>
      <c r="AK106" s="9" t="inlineStr">
        <is>
          <t>5.7 m m</t>
        </is>
      </c>
      <c r="AL106" s="9" t="inlineStr">
        <is>
          <t>Levy Ostrup</t>
        </is>
      </c>
      <c r="AM106" s="9" t="n"/>
      <c r="AN106" s="9" t="n"/>
    </row>
    <row r="107">
      <c r="A107" s="9" t="inlineStr">
        <is>
          <t>EHT Trace</t>
        </is>
      </c>
      <c r="B107" s="9" t="inlineStr">
        <is>
          <t>29103-ET-ST2603-1-5</t>
        </is>
      </c>
      <c r="C107" s="9" t="inlineStr">
        <is>
          <t>29103-ET-ST2603-1</t>
        </is>
      </c>
      <c r="D107" s="9" t="inlineStr">
        <is>
          <t>29103-AMB-012</t>
        </is>
      </c>
      <c r="E107" s="9" t="inlineStr">
        <is>
          <t>29103-ST-2603</t>
        </is>
      </c>
      <c r="F107" s="9" t="inlineStr">
        <is>
          <t>29103-65R-ET-ST2603-01-01</t>
        </is>
      </c>
      <c r="G107" s="9" t="inlineStr">
        <is>
          <t>13.1</t>
        </is>
      </c>
      <c r="H107" s="9" t="inlineStr">
        <is>
          <t>29103-ET-ST2603-1-5.pdf</t>
        </is>
      </c>
      <c r="I107" s="4" t="str">
        <f>IF($H107&lt;&gt;"","YES","NO")</f>
        <v>YES</v>
      </c>
      <c r="J107" s="4" t="str">
        <f>IF(N($T107)&gt;0,"YES","NO")</f>
        <v>NO</v>
      </c>
      <c r="K107" s="4" t="str">
        <f>IF(OR($A107="EHT Trace"),IF(AND($U107&lt;&gt;"",$V107&lt;&gt;""),"YES","NO"),"N/A")</f>
        <v>YES</v>
      </c>
      <c r="L107" s="4" t="str">
        <f>IF(OR($A107="EHT Trace"),IF(AND($X107&lt;&gt;"",$Y107&lt;&gt;""),"YES","NO"),"N/A")</f>
        <v>NO</v>
      </c>
      <c r="M107" s="4" t="str">
        <f>IF(OR($A107="EHT Trace"),IF(AND($AA107&lt;&gt;"",$AB107&lt;&gt;""),"YES","NO"),"N/A")</f>
        <v>NO</v>
      </c>
      <c r="N107" s="4" t="str">
        <f>IF(OR($A107="Power Cable"),IF(AND($AD107&lt;&gt;""),"YES","NO"),"N/A")</f>
        <v>N/A</v>
      </c>
      <c r="O107" s="4" t="str">
        <f>IF(OR($A107="Power Cable",$A107="RTD Cable",$A107="Fieldbus Cable"),IF(AND($AE107&lt;&gt;""),"YES","NO"),"N/A")</f>
        <v>N/A</v>
      </c>
      <c r="P107" s="4" t="str">
        <f>IF(OR($A107="RTD"),IF(AND($AH107&lt;&gt;""),"YES","NO"),"N/A")</f>
        <v>N/A</v>
      </c>
      <c r="Q107" s="4" t="str">
        <f>IF(OR($A107="RTD"),IF(AND($AI107&lt;&gt;""),"YES","NO"),"N/A")</f>
        <v>N/A</v>
      </c>
      <c r="R107" s="4" t="str">
        <f>IF(OR($AM107&lt;&gt;"",$Z107&lt;&gt;"",$AC107&lt;&gt;""),"YES","NO")</f>
        <v>NO</v>
      </c>
      <c r="S107" s="4" t="str">
        <f>IF(COUNTIF(I107:R107,"NO")=0,"YES","NO")</f>
        <v>NO</v>
      </c>
      <c r="T107" s="9" t="n"/>
      <c r="U107" s="9" t="inlineStr">
        <is>
          <t>&gt;550 MΩ</t>
        </is>
      </c>
      <c r="V107" s="9" t="inlineStr">
        <is>
          <t>87.9 Ω</t>
        </is>
      </c>
      <c r="W107" s="9" t="inlineStr">
        <is>
          <t>2026-05-18</t>
        </is>
      </c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inlineStr">
        <is>
          <t>D/32SA2200/13.1M/219/137/1.2M/LS23A/X/N12/XMN</t>
        </is>
      </c>
      <c r="AK107" s="9" t="inlineStr">
        <is>
          <t>13.1 m m</t>
        </is>
      </c>
      <c r="AL107" s="9" t="inlineStr">
        <is>
          <t>Levy Ostrup</t>
        </is>
      </c>
      <c r="AM107" s="9" t="n"/>
      <c r="AN107" s="9" t="n"/>
    </row>
    <row r="108">
      <c r="A108" s="9" t="inlineStr">
        <is>
          <t>EHT Trace</t>
        </is>
      </c>
      <c r="B108" s="9" t="inlineStr">
        <is>
          <t>29103-ET-ST2703-1-1</t>
        </is>
      </c>
      <c r="C108" s="9" t="inlineStr">
        <is>
          <t>29103-ET-ST2703-1</t>
        </is>
      </c>
      <c r="D108" s="9" t="inlineStr">
        <is>
          <t>29103-AMB-012</t>
        </is>
      </c>
      <c r="E108" s="9" t="inlineStr">
        <is>
          <t>29103-ST-2704, 29103-ST-2703</t>
        </is>
      </c>
      <c r="F108" s="9" t="inlineStr">
        <is>
          <t>29103-65R-ET-ST2703-01-01</t>
        </is>
      </c>
      <c r="G108" s="9" t="inlineStr">
        <is>
          <t>13.1</t>
        </is>
      </c>
      <c r="H108" s="9" t="inlineStr">
        <is>
          <t>29103-ET-ST2703-1-1.pdf</t>
        </is>
      </c>
      <c r="I108" s="4" t="str">
        <f>IF($H108&lt;&gt;"","YES","NO")</f>
        <v>YES</v>
      </c>
      <c r="J108" s="4" t="str">
        <f>IF(N($T108)&gt;0,"YES","NO")</f>
        <v>NO</v>
      </c>
      <c r="K108" s="4" t="str">
        <f>IF(OR($A108="EHT Trace"),IF(AND($U108&lt;&gt;"",$V108&lt;&gt;""),"YES","NO"),"N/A")</f>
        <v>NO</v>
      </c>
      <c r="L108" s="4" t="str">
        <f>IF(OR($A108="EHT Trace"),IF(AND($X108&lt;&gt;"",$Y108&lt;&gt;""),"YES","NO"),"N/A")</f>
        <v>NO</v>
      </c>
      <c r="M108" s="4" t="str">
        <f>IF(OR($A108="EHT Trace"),IF(AND($AA108&lt;&gt;"",$AB108&lt;&gt;""),"YES","NO"),"N/A")</f>
        <v>NO</v>
      </c>
      <c r="N108" s="4" t="str">
        <f>IF(OR($A108="Power Cable"),IF(AND($AD108&lt;&gt;""),"YES","NO"),"N/A")</f>
        <v>N/A</v>
      </c>
      <c r="O108" s="4" t="str">
        <f>IF(OR($A108="Power Cable",$A108="RTD Cable",$A108="Fieldbus Cable"),IF(AND($AE108&lt;&gt;""),"YES","NO"),"N/A")</f>
        <v>N/A</v>
      </c>
      <c r="P108" s="4" t="str">
        <f>IF(OR($A108="RTD"),IF(AND($AH108&lt;&gt;""),"YES","NO"),"N/A")</f>
        <v>N/A</v>
      </c>
      <c r="Q108" s="4" t="str">
        <f>IF(OR($A108="RTD"),IF(AND($AI108&lt;&gt;""),"YES","NO"),"N/A")</f>
        <v>N/A</v>
      </c>
      <c r="R108" s="4" t="str">
        <f>IF(OR($AM108&lt;&gt;"",$Z108&lt;&gt;"",$AC108&lt;&gt;""),"YES","NO")</f>
        <v>NO</v>
      </c>
      <c r="S108" s="4" t="str">
        <f>IF(COUNTIF(I108:R108,"NO")=0,"YES","NO")</f>
        <v>NO</v>
      </c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inlineStr">
        <is>
          <t>E/32SB2114/17.5M/282/136/1.2M/LS23A/X/N12/XNF</t>
        </is>
      </c>
      <c r="AK108" s="9" t="inlineStr">
        <is>
          <t>17.5 m m</t>
        </is>
      </c>
      <c r="AL108" s="9" t="inlineStr">
        <is>
          <t>Levy Ostrup</t>
        </is>
      </c>
      <c r="AM108" s="9" t="n"/>
      <c r="AN108" s="9" t="n"/>
    </row>
    <row r="109">
      <c r="A109" s="9" t="inlineStr">
        <is>
          <t>EHT Trace</t>
        </is>
      </c>
      <c r="B109" s="9" t="inlineStr">
        <is>
          <t>29103-ET-ST2703-1-2</t>
        </is>
      </c>
      <c r="C109" s="9" t="inlineStr">
        <is>
          <t>29103-ET-ST2703-1</t>
        </is>
      </c>
      <c r="D109" s="9" t="inlineStr">
        <is>
          <t>29103-AMB-012</t>
        </is>
      </c>
      <c r="E109" s="9" t="inlineStr">
        <is>
          <t>29103-ST-2704</t>
        </is>
      </c>
      <c r="F109" s="9" t="inlineStr">
        <is>
          <t>29103-65R-ET-ST2703-01-01</t>
        </is>
      </c>
      <c r="G109" s="9" t="inlineStr">
        <is>
          <t>13.1</t>
        </is>
      </c>
      <c r="H109" s="9" t="inlineStr">
        <is>
          <t>29103-ET-ST2703-1-2.pdf</t>
        </is>
      </c>
      <c r="I109" s="4" t="str">
        <f>IF($H109&lt;&gt;"","YES","NO")</f>
        <v>YES</v>
      </c>
      <c r="J109" s="4" t="str">
        <f>IF(N($T109)&gt;0,"YES","NO")</f>
        <v>NO</v>
      </c>
      <c r="K109" s="4" t="str">
        <f>IF(OR($A109="EHT Trace"),IF(AND($U109&lt;&gt;"",$V109&lt;&gt;""),"YES","NO"),"N/A")</f>
        <v>NO</v>
      </c>
      <c r="L109" s="4" t="str">
        <f>IF(OR($A109="EHT Trace"),IF(AND($X109&lt;&gt;"",$Y109&lt;&gt;""),"YES","NO"),"N/A")</f>
        <v>NO</v>
      </c>
      <c r="M109" s="4" t="str">
        <f>IF(OR($A109="EHT Trace"),IF(AND($AA109&lt;&gt;"",$AB109&lt;&gt;""),"YES","NO"),"N/A")</f>
        <v>NO</v>
      </c>
      <c r="N109" s="4" t="str">
        <f>IF(OR($A109="Power Cable"),IF(AND($AD109&lt;&gt;""),"YES","NO"),"N/A")</f>
        <v>N/A</v>
      </c>
      <c r="O109" s="4" t="str">
        <f>IF(OR($A109="Power Cable",$A109="RTD Cable",$A109="Fieldbus Cable"),IF(AND($AE109&lt;&gt;""),"YES","NO"),"N/A")</f>
        <v>N/A</v>
      </c>
      <c r="P109" s="4" t="str">
        <f>IF(OR($A109="RTD"),IF(AND($AH109&lt;&gt;""),"YES","NO"),"N/A")</f>
        <v>N/A</v>
      </c>
      <c r="Q109" s="4" t="str">
        <f>IF(OR($A109="RTD"),IF(AND($AI109&lt;&gt;""),"YES","NO"),"N/A")</f>
        <v>N/A</v>
      </c>
      <c r="R109" s="4" t="str">
        <f>IF(OR($AM109&lt;&gt;"",$Z109&lt;&gt;"",$AC109&lt;&gt;""),"YES","NO")</f>
        <v>NO</v>
      </c>
      <c r="S109" s="4" t="str">
        <f>IF(COUNTIF(I109:R109,"NO")=0,"YES","NO")</f>
        <v>NO</v>
      </c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inlineStr">
        <is>
          <t>D/32SB2114/18.2M/293/141/1.2M/LS23A/X/N12/XMN</t>
        </is>
      </c>
      <c r="AK109" s="9" t="inlineStr">
        <is>
          <t>18.2 m m</t>
        </is>
      </c>
      <c r="AL109" s="9" t="inlineStr">
        <is>
          <t>Levy Ostrup</t>
        </is>
      </c>
      <c r="AM109" s="9" t="n"/>
      <c r="AN109" s="9" t="n"/>
    </row>
    <row r="110">
      <c r="A110" s="9" t="inlineStr">
        <is>
          <t>EHT Trace</t>
        </is>
      </c>
      <c r="B110" s="9" t="inlineStr">
        <is>
          <t>29103-ET-ST2703-1-3</t>
        </is>
      </c>
      <c r="C110" s="9" t="inlineStr">
        <is>
          <t>29103-ET-ST2703-1</t>
        </is>
      </c>
      <c r="D110" s="9" t="inlineStr">
        <is>
          <t>29103-AMB-012</t>
        </is>
      </c>
      <c r="E110" s="9" t="inlineStr">
        <is>
          <t>29103-ST-2703</t>
        </is>
      </c>
      <c r="F110" s="9" t="inlineStr">
        <is>
          <t>29103-65R-ET-ST2703-01-01</t>
        </is>
      </c>
      <c r="G110" s="9" t="inlineStr">
        <is>
          <t>13.1</t>
        </is>
      </c>
      <c r="H110" s="9" t="inlineStr">
        <is>
          <t>29103-ET-ST2703-1-3.pdf</t>
        </is>
      </c>
      <c r="I110" s="4" t="str">
        <f>IF($H110&lt;&gt;"","YES","NO")</f>
        <v>YES</v>
      </c>
      <c r="J110" s="4" t="str">
        <f>IF(N($T110)&gt;0,"YES","NO")</f>
        <v>NO</v>
      </c>
      <c r="K110" s="4" t="str">
        <f>IF(OR($A110="EHT Trace"),IF(AND($U110&lt;&gt;"",$V110&lt;&gt;""),"YES","NO"),"N/A")</f>
        <v>YES</v>
      </c>
      <c r="L110" s="4" t="str">
        <f>IF(OR($A110="EHT Trace"),IF(AND($X110&lt;&gt;"",$Y110&lt;&gt;""),"YES","NO"),"N/A")</f>
        <v>NO</v>
      </c>
      <c r="M110" s="4" t="str">
        <f>IF(OR($A110="EHT Trace"),IF(AND($AA110&lt;&gt;"",$AB110&lt;&gt;""),"YES","NO"),"N/A")</f>
        <v>NO</v>
      </c>
      <c r="N110" s="4" t="str">
        <f>IF(OR($A110="Power Cable"),IF(AND($AD110&lt;&gt;""),"YES","NO"),"N/A")</f>
        <v>N/A</v>
      </c>
      <c r="O110" s="4" t="str">
        <f>IF(OR($A110="Power Cable",$A110="RTD Cable",$A110="Fieldbus Cable"),IF(AND($AE110&lt;&gt;""),"YES","NO"),"N/A")</f>
        <v>N/A</v>
      </c>
      <c r="P110" s="4" t="str">
        <f>IF(OR($A110="RTD"),IF(AND($AH110&lt;&gt;""),"YES","NO"),"N/A")</f>
        <v>N/A</v>
      </c>
      <c r="Q110" s="4" t="str">
        <f>IF(OR($A110="RTD"),IF(AND($AI110&lt;&gt;""),"YES","NO"),"N/A")</f>
        <v>N/A</v>
      </c>
      <c r="R110" s="4" t="str">
        <f>IF(OR($AM110&lt;&gt;"",$Z110&lt;&gt;"",$AC110&lt;&gt;""),"YES","NO")</f>
        <v>NO</v>
      </c>
      <c r="S110" s="4" t="str">
        <f>IF(COUNTIF(I110:R110,"NO")=0,"YES","NO")</f>
        <v>NO</v>
      </c>
      <c r="T110" s="9" t="n"/>
      <c r="U110" s="9" t="inlineStr">
        <is>
          <t>&gt;550 MΩ</t>
        </is>
      </c>
      <c r="V110" s="9" t="inlineStr">
        <is>
          <t>55.3 Ω</t>
        </is>
      </c>
      <c r="W110" s="9" t="inlineStr">
        <is>
          <t>2026-05-18</t>
        </is>
      </c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inlineStr">
        <is>
          <t>E/32SA2170/9.5M/162/93/1.2M/LS23A/X/N12/XNF</t>
        </is>
      </c>
      <c r="AK110" s="9" t="inlineStr">
        <is>
          <t>9.5 m m</t>
        </is>
      </c>
      <c r="AL110" s="9" t="inlineStr">
        <is>
          <t>Levy Ostrup</t>
        </is>
      </c>
      <c r="AM110" s="9" t="n"/>
      <c r="AN110" s="9" t="n"/>
    </row>
    <row r="111">
      <c r="A111" s="9" t="inlineStr">
        <is>
          <t>EHT Trace</t>
        </is>
      </c>
      <c r="B111" s="9" t="inlineStr">
        <is>
          <t>29103-ET-ST2703-1-4</t>
        </is>
      </c>
      <c r="C111" s="9" t="inlineStr">
        <is>
          <t>29103-ET-ST2703-1</t>
        </is>
      </c>
      <c r="D111" s="9" t="inlineStr">
        <is>
          <t>29103-AMB-012</t>
        </is>
      </c>
      <c r="E111" s="9" t="inlineStr">
        <is>
          <t>29103-ST-2703</t>
        </is>
      </c>
      <c r="F111" s="9" t="inlineStr">
        <is>
          <t>29103-65R-ET-ST2703-01-01</t>
        </is>
      </c>
      <c r="G111" s="9" t="inlineStr">
        <is>
          <t>13.1</t>
        </is>
      </c>
      <c r="H111" s="9" t="inlineStr">
        <is>
          <t>29103-ET-ST2703-1-4.pdf</t>
        </is>
      </c>
      <c r="I111" s="4" t="str">
        <f>IF($H111&lt;&gt;"","YES","NO")</f>
        <v>YES</v>
      </c>
      <c r="J111" s="4" t="str">
        <f>IF(N($T111)&gt;0,"YES","NO")</f>
        <v>NO</v>
      </c>
      <c r="K111" s="4" t="str">
        <f>IF(OR($A111="EHT Trace"),IF(AND($U111&lt;&gt;"",$V111&lt;&gt;""),"YES","NO"),"N/A")</f>
        <v>YES</v>
      </c>
      <c r="L111" s="4" t="str">
        <f>IF(OR($A111="EHT Trace"),IF(AND($X111&lt;&gt;"",$Y111&lt;&gt;""),"YES","NO"),"N/A")</f>
        <v>NO</v>
      </c>
      <c r="M111" s="4" t="str">
        <f>IF(OR($A111="EHT Trace"),IF(AND($AA111&lt;&gt;"",$AB111&lt;&gt;""),"YES","NO"),"N/A")</f>
        <v>NO</v>
      </c>
      <c r="N111" s="4" t="str">
        <f>IF(OR($A111="Power Cable"),IF(AND($AD111&lt;&gt;""),"YES","NO"),"N/A")</f>
        <v>N/A</v>
      </c>
      <c r="O111" s="4" t="str">
        <f>IF(OR($A111="Power Cable",$A111="RTD Cable",$A111="Fieldbus Cable"),IF(AND($AE111&lt;&gt;""),"YES","NO"),"N/A")</f>
        <v>N/A</v>
      </c>
      <c r="P111" s="4" t="str">
        <f>IF(OR($A111="RTD"),IF(AND($AH111&lt;&gt;""),"YES","NO"),"N/A")</f>
        <v>N/A</v>
      </c>
      <c r="Q111" s="4" t="str">
        <f>IF(OR($A111="RTD"),IF(AND($AI111&lt;&gt;""),"YES","NO"),"N/A")</f>
        <v>N/A</v>
      </c>
      <c r="R111" s="4" t="str">
        <f>IF(OR($AM111&lt;&gt;"",$Z111&lt;&gt;"",$AC111&lt;&gt;""),"YES","NO")</f>
        <v>NO</v>
      </c>
      <c r="S111" s="4" t="str">
        <f>IF(COUNTIF(I111:R111,"NO")=0,"YES","NO")</f>
        <v>NO</v>
      </c>
      <c r="T111" s="9" t="n"/>
      <c r="U111" s="9" t="inlineStr">
        <is>
          <t>&gt;550 MΩ</t>
        </is>
      </c>
      <c r="V111" s="9" t="inlineStr">
        <is>
          <t>33 Ω</t>
        </is>
      </c>
      <c r="W111" s="9" t="inlineStr">
        <is>
          <t>2026-05-18</t>
        </is>
      </c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inlineStr">
        <is>
          <t>E/32SA2170/5.7M/97/55.8/1.2M/LS23A/X/N12/XMF</t>
        </is>
      </c>
      <c r="AK111" s="9" t="inlineStr">
        <is>
          <t>5.7 m m</t>
        </is>
      </c>
      <c r="AL111" s="9" t="inlineStr">
        <is>
          <t>Levy Ostrup</t>
        </is>
      </c>
      <c r="AM111" s="9" t="n"/>
      <c r="AN111" s="9" t="n"/>
    </row>
    <row r="112">
      <c r="A112" s="9" t="inlineStr">
        <is>
          <t>EHT Trace</t>
        </is>
      </c>
      <c r="B112" s="9" t="inlineStr">
        <is>
          <t>29103-ET-ST2703-1-5</t>
        </is>
      </c>
      <c r="C112" s="9" t="inlineStr">
        <is>
          <t>29103-ET-ST2703-1</t>
        </is>
      </c>
      <c r="D112" s="9" t="inlineStr">
        <is>
          <t>29103-AMB-012</t>
        </is>
      </c>
      <c r="E112" s="9" t="inlineStr">
        <is>
          <t>29103-ST-2703</t>
        </is>
      </c>
      <c r="F112" s="9" t="inlineStr">
        <is>
          <t>29103-65R-ET-ST2703-01-01</t>
        </is>
      </c>
      <c r="G112" s="9" t="inlineStr">
        <is>
          <t>13.1</t>
        </is>
      </c>
      <c r="H112" s="9" t="inlineStr">
        <is>
          <t>29103-ET-ST2703-1-5.pdf</t>
        </is>
      </c>
      <c r="I112" s="4" t="str">
        <f>IF($H112&lt;&gt;"","YES","NO")</f>
        <v>YES</v>
      </c>
      <c r="J112" s="4" t="str">
        <f>IF(N($T112)&gt;0,"YES","NO")</f>
        <v>NO</v>
      </c>
      <c r="K112" s="4" t="str">
        <f>IF(OR($A112="EHT Trace"),IF(AND($U112&lt;&gt;"",$V112&lt;&gt;""),"YES","NO"),"N/A")</f>
        <v>YES</v>
      </c>
      <c r="L112" s="4" t="str">
        <f>IF(OR($A112="EHT Trace"),IF(AND($X112&lt;&gt;"",$Y112&lt;&gt;""),"YES","NO"),"N/A")</f>
        <v>NO</v>
      </c>
      <c r="M112" s="4" t="str">
        <f>IF(OR($A112="EHT Trace"),IF(AND($AA112&lt;&gt;"",$AB112&lt;&gt;""),"YES","NO"),"N/A")</f>
        <v>NO</v>
      </c>
      <c r="N112" s="4" t="str">
        <f>IF(OR($A112="Power Cable"),IF(AND($AD112&lt;&gt;""),"YES","NO"),"N/A")</f>
        <v>N/A</v>
      </c>
      <c r="O112" s="4" t="str">
        <f>IF(OR($A112="Power Cable",$A112="RTD Cable",$A112="Fieldbus Cable"),IF(AND($AE112&lt;&gt;""),"YES","NO"),"N/A")</f>
        <v>N/A</v>
      </c>
      <c r="P112" s="4" t="str">
        <f>IF(OR($A112="RTD"),IF(AND($AH112&lt;&gt;""),"YES","NO"),"N/A")</f>
        <v>N/A</v>
      </c>
      <c r="Q112" s="4" t="str">
        <f>IF(OR($A112="RTD"),IF(AND($AI112&lt;&gt;""),"YES","NO"),"N/A")</f>
        <v>N/A</v>
      </c>
      <c r="R112" s="4" t="str">
        <f>IF(OR($AM112&lt;&gt;"",$Z112&lt;&gt;"",$AC112&lt;&gt;""),"YES","NO")</f>
        <v>NO</v>
      </c>
      <c r="S112" s="4" t="str">
        <f>IF(COUNTIF(I112:R112,"NO")=0,"YES","NO")</f>
        <v>NO</v>
      </c>
      <c r="T112" s="9" t="n"/>
      <c r="U112" s="9" t="inlineStr">
        <is>
          <t>&gt;550 MΩ</t>
        </is>
      </c>
      <c r="V112" s="9" t="inlineStr">
        <is>
          <t>76 Ω</t>
        </is>
      </c>
      <c r="W112" s="9" t="inlineStr">
        <is>
          <t>2026-05-18</t>
        </is>
      </c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inlineStr">
        <is>
          <t>D/32SA2170/13.1M/224/128/1.2M/LS23A/X/N12/XMN</t>
        </is>
      </c>
      <c r="AK112" s="9" t="inlineStr">
        <is>
          <t>13.1 m m</t>
        </is>
      </c>
      <c r="AL112" s="9" t="inlineStr">
        <is>
          <t>Levy Ostrup</t>
        </is>
      </c>
      <c r="AM112" s="9" t="n"/>
      <c r="AN112" s="9" t="n"/>
    </row>
    <row r="113">
      <c r="A113" s="9" t="inlineStr">
        <is>
          <t>Power Cable</t>
        </is>
      </c>
      <c r="B113" s="9" t="inlineStr">
        <is>
          <t>29103-AMB-009</t>
        </is>
      </c>
      <c r="C113" s="9" t="inlineStr"/>
      <c r="D113" s="9" t="inlineStr">
        <is>
          <t>29103-HTP-005 HTC-01</t>
        </is>
      </c>
      <c r="E113" s="9" t="inlineStr">
        <is>
          <t>29103-HTP-005</t>
        </is>
      </c>
      <c r="F113" s="9" t="inlineStr"/>
      <c r="G113" s="9" t="inlineStr">
        <is>
          <t>113</t>
        </is>
      </c>
      <c r="H113" s="9" t="inlineStr">
        <is>
          <t>29103-AMB-009.pdf</t>
        </is>
      </c>
      <c r="I113" s="4" t="str">
        <f>IF($H113&lt;&gt;"","YES","NO")</f>
        <v>YES</v>
      </c>
      <c r="J113" s="4" t="str">
        <f>IF(N($T113)&gt;0,"YES","NO")</f>
        <v>NO</v>
      </c>
      <c r="K113" s="4" t="str">
        <f>IF(OR($A113="EHT Trace"),IF(AND($U113&lt;&gt;"",$V113&lt;&gt;""),"YES","NO"),"N/A")</f>
        <v>N/A</v>
      </c>
      <c r="L113" s="4" t="str">
        <f>IF(OR($A113="EHT Trace"),IF(AND($X113&lt;&gt;"",$Y113&lt;&gt;""),"YES","NO"),"N/A")</f>
        <v>N/A</v>
      </c>
      <c r="M113" s="4" t="str">
        <f>IF(OR($A113="EHT Trace"),IF(AND($AA113&lt;&gt;"",$AB113&lt;&gt;""),"YES","NO"),"N/A")</f>
        <v>N/A</v>
      </c>
      <c r="N113" s="4" t="str">
        <f>IF(OR($A113="Power Cable"),IF(AND($AD113&lt;&gt;""),"YES","NO"),"N/A")</f>
        <v>NO</v>
      </c>
      <c r="O113" s="4" t="str">
        <f>IF(OR($A113="Power Cable",$A113="RTD Cable",$A113="Fieldbus Cable"),IF(AND($AE113&lt;&gt;""),"YES","NO"),"N/A")</f>
        <v>NO</v>
      </c>
      <c r="P113" s="4" t="str">
        <f>IF(OR($A113="RTD"),IF(AND($AH113&lt;&gt;""),"YES","NO"),"N/A")</f>
        <v>N/A</v>
      </c>
      <c r="Q113" s="4" t="str">
        <f>IF(OR($A113="RTD"),IF(AND($AI113&lt;&gt;""),"YES","NO"),"N/A")</f>
        <v>N/A</v>
      </c>
      <c r="R113" s="4" t="str">
        <f>IF(OR($AM113&lt;&gt;"",$Z113&lt;&gt;"",$AC113&lt;&gt;""),"YES","NO")</f>
        <v>NO</v>
      </c>
      <c r="S113" s="4" t="str">
        <f>IF(COUNTIF(I113:R113,"NO")=0,"YES","NO")</f>
        <v>NO</v>
      </c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inlineStr">
        <is>
          <t>Teck</t>
        </is>
      </c>
      <c r="AK113" s="9" t="inlineStr">
        <is>
          <t>8AWG</t>
        </is>
      </c>
      <c r="AL113" s="9" t="inlineStr">
        <is>
          <t>Levy Ostrup</t>
        </is>
      </c>
      <c r="AM113" s="9" t="n"/>
      <c r="AN113" s="9" t="n"/>
    </row>
    <row r="114">
      <c r="A114" s="9" t="inlineStr">
        <is>
          <t>Power Cable</t>
        </is>
      </c>
      <c r="B114" s="9" t="inlineStr">
        <is>
          <t>29103-AMB-011</t>
        </is>
      </c>
      <c r="C114" s="9" t="inlineStr"/>
      <c r="D114" s="9" t="inlineStr">
        <is>
          <t>29103-HTP-005 HTC-15</t>
        </is>
      </c>
      <c r="E114" s="9" t="inlineStr">
        <is>
          <t>29103-HTP-005</t>
        </is>
      </c>
      <c r="F114" s="9" t="inlineStr"/>
      <c r="G114" s="9" t="inlineStr">
        <is>
          <t>113</t>
        </is>
      </c>
      <c r="H114" s="9" t="inlineStr">
        <is>
          <t>29103-AMB-011.pdf</t>
        </is>
      </c>
      <c r="I114" s="4" t="str">
        <f>IF($H114&lt;&gt;"","YES","NO")</f>
        <v>YES</v>
      </c>
      <c r="J114" s="4" t="str">
        <f>IF(N($T114)&gt;0,"YES","NO")</f>
        <v>NO</v>
      </c>
      <c r="K114" s="4" t="str">
        <f>IF(OR($A114="EHT Trace"),IF(AND($U114&lt;&gt;"",$V114&lt;&gt;""),"YES","NO"),"N/A")</f>
        <v>N/A</v>
      </c>
      <c r="L114" s="4" t="str">
        <f>IF(OR($A114="EHT Trace"),IF(AND($X114&lt;&gt;"",$Y114&lt;&gt;""),"YES","NO"),"N/A")</f>
        <v>N/A</v>
      </c>
      <c r="M114" s="4" t="str">
        <f>IF(OR($A114="EHT Trace"),IF(AND($AA114&lt;&gt;"",$AB114&lt;&gt;""),"YES","NO"),"N/A")</f>
        <v>N/A</v>
      </c>
      <c r="N114" s="4" t="str">
        <f>IF(OR($A114="Power Cable"),IF(AND($AD114&lt;&gt;""),"YES","NO"),"N/A")</f>
        <v>NO</v>
      </c>
      <c r="O114" s="4" t="str">
        <f>IF(OR($A114="Power Cable",$A114="RTD Cable",$A114="Fieldbus Cable"),IF(AND($AE114&lt;&gt;""),"YES","NO"),"N/A")</f>
        <v>NO</v>
      </c>
      <c r="P114" s="4" t="str">
        <f>IF(OR($A114="RTD"),IF(AND($AH114&lt;&gt;""),"YES","NO"),"N/A")</f>
        <v>N/A</v>
      </c>
      <c r="Q114" s="4" t="str">
        <f>IF(OR($A114="RTD"),IF(AND($AI114&lt;&gt;""),"YES","NO"),"N/A")</f>
        <v>N/A</v>
      </c>
      <c r="R114" s="4" t="str">
        <f>IF(OR($AM114&lt;&gt;"",$Z114&lt;&gt;"",$AC114&lt;&gt;""),"YES","NO")</f>
        <v>NO</v>
      </c>
      <c r="S114" s="4" t="str">
        <f>IF(COUNTIF(I114:R114,"NO")=0,"YES","NO")</f>
        <v>NO</v>
      </c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inlineStr">
        <is>
          <t>Teck</t>
        </is>
      </c>
      <c r="AK114" s="9" t="inlineStr">
        <is>
          <t>8AWG</t>
        </is>
      </c>
      <c r="AL114" s="9" t="inlineStr">
        <is>
          <t>Levy Ostrup</t>
        </is>
      </c>
      <c r="AM114" s="9" t="n"/>
      <c r="AN114" s="9" t="n"/>
    </row>
    <row r="115">
      <c r="A115" s="9" t="inlineStr">
        <is>
          <t>Power Cable</t>
        </is>
      </c>
      <c r="B115" s="9" t="inlineStr">
        <is>
          <t>29103-AMB-012</t>
        </is>
      </c>
      <c r="C115" s="9" t="inlineStr"/>
      <c r="D115" s="9" t="inlineStr">
        <is>
          <t>29103-HTP-005 HTC-16</t>
        </is>
      </c>
      <c r="E115" s="9" t="inlineStr">
        <is>
          <t>29103-HTP-005</t>
        </is>
      </c>
      <c r="F115" s="9" t="inlineStr"/>
      <c r="G115" s="9" t="inlineStr">
        <is>
          <t>113</t>
        </is>
      </c>
      <c r="H115" s="9" t="inlineStr">
        <is>
          <t>29103-AMB-012.pdf</t>
        </is>
      </c>
      <c r="I115" s="4" t="str">
        <f>IF($H115&lt;&gt;"","YES","NO")</f>
        <v>YES</v>
      </c>
      <c r="J115" s="4" t="str">
        <f>IF(N($T115)&gt;0,"YES","NO")</f>
        <v>NO</v>
      </c>
      <c r="K115" s="4" t="str">
        <f>IF(OR($A115="EHT Trace"),IF(AND($U115&lt;&gt;"",$V115&lt;&gt;""),"YES","NO"),"N/A")</f>
        <v>N/A</v>
      </c>
      <c r="L115" s="4" t="str">
        <f>IF(OR($A115="EHT Trace"),IF(AND($X115&lt;&gt;"",$Y115&lt;&gt;""),"YES","NO"),"N/A")</f>
        <v>N/A</v>
      </c>
      <c r="M115" s="4" t="str">
        <f>IF(OR($A115="EHT Trace"),IF(AND($AA115&lt;&gt;"",$AB115&lt;&gt;""),"YES","NO"),"N/A")</f>
        <v>N/A</v>
      </c>
      <c r="N115" s="4" t="str">
        <f>IF(OR($A115="Power Cable"),IF(AND($AD115&lt;&gt;""),"YES","NO"),"N/A")</f>
        <v>NO</v>
      </c>
      <c r="O115" s="4" t="str">
        <f>IF(OR($A115="Power Cable",$A115="RTD Cable",$A115="Fieldbus Cable"),IF(AND($AE115&lt;&gt;""),"YES","NO"),"N/A")</f>
        <v>NO</v>
      </c>
      <c r="P115" s="4" t="str">
        <f>IF(OR($A115="RTD"),IF(AND($AH115&lt;&gt;""),"YES","NO"),"N/A")</f>
        <v>N/A</v>
      </c>
      <c r="Q115" s="4" t="str">
        <f>IF(OR($A115="RTD"),IF(AND($AI115&lt;&gt;""),"YES","NO"),"N/A")</f>
        <v>N/A</v>
      </c>
      <c r="R115" s="4" t="str">
        <f>IF(OR($AM115&lt;&gt;"",$Z115&lt;&gt;"",$AC115&lt;&gt;""),"YES","NO")</f>
        <v>NO</v>
      </c>
      <c r="S115" s="4" t="str">
        <f>IF(COUNTIF(I115:R115,"NO")=0,"YES","NO")</f>
        <v>NO</v>
      </c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inlineStr">
        <is>
          <t>Teck</t>
        </is>
      </c>
      <c r="AK115" s="9" t="inlineStr">
        <is>
          <t>8AWG</t>
        </is>
      </c>
      <c r="AL115" s="9" t="inlineStr">
        <is>
          <t>Levy Ostrup</t>
        </is>
      </c>
      <c r="AM115" s="9" t="n"/>
      <c r="AN115" s="9" t="n"/>
    </row>
    <row r="116">
      <c r="A116" s="9" t="inlineStr">
        <is>
          <t>Power Cable</t>
        </is>
      </c>
      <c r="B116" s="9" t="inlineStr">
        <is>
          <t>29103-ET-FG2401-1-PWK-1</t>
        </is>
      </c>
      <c r="C116" s="9" t="inlineStr">
        <is>
          <t>29103-ET-FG2401-1</t>
        </is>
      </c>
      <c r="D116" s="9" t="inlineStr">
        <is>
          <t>29103-AMB-009</t>
        </is>
      </c>
      <c r="E116" s="9" t="inlineStr">
        <is>
          <t>29103-HTP-005</t>
        </is>
      </c>
      <c r="F116" s="9" t="inlineStr"/>
      <c r="G116" s="9" t="inlineStr">
        <is>
          <t>113</t>
        </is>
      </c>
      <c r="H116" s="9" t="inlineStr">
        <is>
          <t>29103-ET-FG2401-1-PWK-1.pdf</t>
        </is>
      </c>
      <c r="I116" s="4" t="str">
        <f>IF($H116&lt;&gt;"","YES","NO")</f>
        <v>YES</v>
      </c>
      <c r="J116" s="4" t="str">
        <f>IF(N($T116)&gt;0,"YES","NO")</f>
        <v>NO</v>
      </c>
      <c r="K116" s="4" t="str">
        <f>IF(OR($A116="EHT Trace"),IF(AND($U116&lt;&gt;"",$V116&lt;&gt;""),"YES","NO"),"N/A")</f>
        <v>N/A</v>
      </c>
      <c r="L116" s="4" t="str">
        <f>IF(OR($A116="EHT Trace"),IF(AND($X116&lt;&gt;"",$Y116&lt;&gt;""),"YES","NO"),"N/A")</f>
        <v>N/A</v>
      </c>
      <c r="M116" s="4" t="str">
        <f>IF(OR($A116="EHT Trace"),IF(AND($AA116&lt;&gt;"",$AB116&lt;&gt;""),"YES","NO"),"N/A")</f>
        <v>N/A</v>
      </c>
      <c r="N116" s="4" t="str">
        <f>IF(OR($A116="Power Cable"),IF(AND($AD116&lt;&gt;""),"YES","NO"),"N/A")</f>
        <v>NO</v>
      </c>
      <c r="O116" s="4" t="str">
        <f>IF(OR($A116="Power Cable",$A116="RTD Cable",$A116="Fieldbus Cable"),IF(AND($AE116&lt;&gt;""),"YES","NO"),"N/A")</f>
        <v>NO</v>
      </c>
      <c r="P116" s="4" t="str">
        <f>IF(OR($A116="RTD"),IF(AND($AH116&lt;&gt;""),"YES","NO"),"N/A")</f>
        <v>N/A</v>
      </c>
      <c r="Q116" s="4" t="str">
        <f>IF(OR($A116="RTD"),IF(AND($AI116&lt;&gt;""),"YES","NO"),"N/A")</f>
        <v>N/A</v>
      </c>
      <c r="R116" s="4" t="str">
        <f>IF(OR($AM116&lt;&gt;"",$Z116&lt;&gt;"",$AC116&lt;&gt;""),"YES","NO")</f>
        <v>NO</v>
      </c>
      <c r="S116" s="4" t="str">
        <f>IF(COUNTIF(I116:R116,"NO")=0,"YES","NO")</f>
        <v>NO</v>
      </c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inlineStr">
        <is>
          <t>Teck</t>
        </is>
      </c>
      <c r="AK116" s="9" t="inlineStr">
        <is>
          <t>10AWG</t>
        </is>
      </c>
      <c r="AL116" s="9" t="inlineStr">
        <is>
          <t>Levy Ostrup</t>
        </is>
      </c>
      <c r="AM116" s="9" t="n"/>
      <c r="AN116" s="9" t="n"/>
    </row>
    <row r="117">
      <c r="A117" s="9" t="inlineStr">
        <is>
          <t>Power Cable</t>
        </is>
      </c>
      <c r="B117" s="9" t="inlineStr">
        <is>
          <t>29103-ET-FG2403-1-PWK-1</t>
        </is>
      </c>
      <c r="C117" s="9" t="inlineStr">
        <is>
          <t>29103-ET-FG2403-1</t>
        </is>
      </c>
      <c r="D117" s="9" t="inlineStr">
        <is>
          <t>29103-AMB-009</t>
        </is>
      </c>
      <c r="E117" s="9" t="inlineStr">
        <is>
          <t>29103-HTP-005</t>
        </is>
      </c>
      <c r="F117" s="9" t="inlineStr"/>
      <c r="G117" s="9" t="inlineStr">
        <is>
          <t>113</t>
        </is>
      </c>
      <c r="H117" s="9" t="inlineStr">
        <is>
          <t>29103-ET-FG2403-1-PWK-1.pdf</t>
        </is>
      </c>
      <c r="I117" s="4" t="str">
        <f>IF($H117&lt;&gt;"","YES","NO")</f>
        <v>YES</v>
      </c>
      <c r="J117" s="4" t="str">
        <f>IF(N($T117)&gt;0,"YES","NO")</f>
        <v>NO</v>
      </c>
      <c r="K117" s="4" t="str">
        <f>IF(OR($A117="EHT Trace"),IF(AND($U117&lt;&gt;"",$V117&lt;&gt;""),"YES","NO"),"N/A")</f>
        <v>N/A</v>
      </c>
      <c r="L117" s="4" t="str">
        <f>IF(OR($A117="EHT Trace"),IF(AND($X117&lt;&gt;"",$Y117&lt;&gt;""),"YES","NO"),"N/A")</f>
        <v>N/A</v>
      </c>
      <c r="M117" s="4" t="str">
        <f>IF(OR($A117="EHT Trace"),IF(AND($AA117&lt;&gt;"",$AB117&lt;&gt;""),"YES","NO"),"N/A")</f>
        <v>N/A</v>
      </c>
      <c r="N117" s="4" t="str">
        <f>IF(OR($A117="Power Cable"),IF(AND($AD117&lt;&gt;""),"YES","NO"),"N/A")</f>
        <v>NO</v>
      </c>
      <c r="O117" s="4" t="str">
        <f>IF(OR($A117="Power Cable",$A117="RTD Cable",$A117="Fieldbus Cable"),IF(AND($AE117&lt;&gt;""),"YES","NO"),"N/A")</f>
        <v>NO</v>
      </c>
      <c r="P117" s="4" t="str">
        <f>IF(OR($A117="RTD"),IF(AND($AH117&lt;&gt;""),"YES","NO"),"N/A")</f>
        <v>N/A</v>
      </c>
      <c r="Q117" s="4" t="str">
        <f>IF(OR($A117="RTD"),IF(AND($AI117&lt;&gt;""),"YES","NO"),"N/A")</f>
        <v>N/A</v>
      </c>
      <c r="R117" s="4" t="str">
        <f>IF(OR($AM117&lt;&gt;"",$Z117&lt;&gt;"",$AC117&lt;&gt;""),"YES","NO")</f>
        <v>NO</v>
      </c>
      <c r="S117" s="4" t="str">
        <f>IF(COUNTIF(I117:R117,"NO")=0,"YES","NO")</f>
        <v>NO</v>
      </c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inlineStr">
        <is>
          <t>Teck</t>
        </is>
      </c>
      <c r="AK117" s="9" t="inlineStr">
        <is>
          <t>10AWG</t>
        </is>
      </c>
      <c r="AL117" s="9" t="inlineStr">
        <is>
          <t>Levy Ostrup</t>
        </is>
      </c>
      <c r="AM117" s="9" t="n"/>
      <c r="AN117" s="9" t="n"/>
    </row>
    <row r="118">
      <c r="A118" s="9" t="inlineStr">
        <is>
          <t>Power Cable</t>
        </is>
      </c>
      <c r="B118" s="9" t="inlineStr">
        <is>
          <t>29103-ET-FG2501-1-PWK-1</t>
        </is>
      </c>
      <c r="C118" s="9" t="inlineStr">
        <is>
          <t>29103-ET-FG2501-1</t>
        </is>
      </c>
      <c r="D118" s="9" t="inlineStr">
        <is>
          <t>29103-AMB-009</t>
        </is>
      </c>
      <c r="E118" s="9" t="inlineStr">
        <is>
          <t>29103-HTP-005</t>
        </is>
      </c>
      <c r="F118" s="9" t="inlineStr"/>
      <c r="G118" s="9" t="inlineStr">
        <is>
          <t>113</t>
        </is>
      </c>
      <c r="H118" s="9" t="inlineStr">
        <is>
          <t>29103-ET-FG2501-1-PWK-1.pdf</t>
        </is>
      </c>
      <c r="I118" s="4" t="str">
        <f>IF($H118&lt;&gt;"","YES","NO")</f>
        <v>YES</v>
      </c>
      <c r="J118" s="4" t="str">
        <f>IF(N($T118)&gt;0,"YES","NO")</f>
        <v>NO</v>
      </c>
      <c r="K118" s="4" t="str">
        <f>IF(OR($A118="EHT Trace"),IF(AND($U118&lt;&gt;"",$V118&lt;&gt;""),"YES","NO"),"N/A")</f>
        <v>N/A</v>
      </c>
      <c r="L118" s="4" t="str">
        <f>IF(OR($A118="EHT Trace"),IF(AND($X118&lt;&gt;"",$Y118&lt;&gt;""),"YES","NO"),"N/A")</f>
        <v>N/A</v>
      </c>
      <c r="M118" s="4" t="str">
        <f>IF(OR($A118="EHT Trace"),IF(AND($AA118&lt;&gt;"",$AB118&lt;&gt;""),"YES","NO"),"N/A")</f>
        <v>N/A</v>
      </c>
      <c r="N118" s="4" t="str">
        <f>IF(OR($A118="Power Cable"),IF(AND($AD118&lt;&gt;""),"YES","NO"),"N/A")</f>
        <v>NO</v>
      </c>
      <c r="O118" s="4" t="str">
        <f>IF(OR($A118="Power Cable",$A118="RTD Cable",$A118="Fieldbus Cable"),IF(AND($AE118&lt;&gt;""),"YES","NO"),"N/A")</f>
        <v>NO</v>
      </c>
      <c r="P118" s="4" t="str">
        <f>IF(OR($A118="RTD"),IF(AND($AH118&lt;&gt;""),"YES","NO"),"N/A")</f>
        <v>N/A</v>
      </c>
      <c r="Q118" s="4" t="str">
        <f>IF(OR($A118="RTD"),IF(AND($AI118&lt;&gt;""),"YES","NO"),"N/A")</f>
        <v>N/A</v>
      </c>
      <c r="R118" s="4" t="str">
        <f>IF(OR($AM118&lt;&gt;"",$Z118&lt;&gt;"",$AC118&lt;&gt;""),"YES","NO")</f>
        <v>NO</v>
      </c>
      <c r="S118" s="4" t="str">
        <f>IF(COUNTIF(I118:R118,"NO")=0,"YES","NO")</f>
        <v>NO</v>
      </c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inlineStr">
        <is>
          <t>Teck</t>
        </is>
      </c>
      <c r="AK118" s="9" t="inlineStr">
        <is>
          <t>10AWG</t>
        </is>
      </c>
      <c r="AL118" s="9" t="inlineStr">
        <is>
          <t>Levy Ostrup</t>
        </is>
      </c>
      <c r="AM118" s="9" t="n"/>
      <c r="AN118" s="9" t="n"/>
    </row>
    <row r="119">
      <c r="A119" s="9" t="inlineStr">
        <is>
          <t>Power Cable</t>
        </is>
      </c>
      <c r="B119" s="9" t="inlineStr">
        <is>
          <t>29103-ET-FG2503-1-PWK-1</t>
        </is>
      </c>
      <c r="C119" s="9" t="inlineStr">
        <is>
          <t>29103-ET-FG2503-1</t>
        </is>
      </c>
      <c r="D119" s="9" t="inlineStr">
        <is>
          <t>29103-AMB-009</t>
        </is>
      </c>
      <c r="E119" s="9" t="inlineStr">
        <is>
          <t>29103-HTP-005</t>
        </is>
      </c>
      <c r="F119" s="9" t="inlineStr"/>
      <c r="G119" s="9" t="inlineStr">
        <is>
          <t>113</t>
        </is>
      </c>
      <c r="H119" s="9" t="inlineStr">
        <is>
          <t>29103-ET-FG2503-1-PWK-1.pdf</t>
        </is>
      </c>
      <c r="I119" s="4" t="str">
        <f>IF($H119&lt;&gt;"","YES","NO")</f>
        <v>YES</v>
      </c>
      <c r="J119" s="4" t="str">
        <f>IF(N($T119)&gt;0,"YES","NO")</f>
        <v>NO</v>
      </c>
      <c r="K119" s="4" t="str">
        <f>IF(OR($A119="EHT Trace"),IF(AND($U119&lt;&gt;"",$V119&lt;&gt;""),"YES","NO"),"N/A")</f>
        <v>N/A</v>
      </c>
      <c r="L119" s="4" t="str">
        <f>IF(OR($A119="EHT Trace"),IF(AND($X119&lt;&gt;"",$Y119&lt;&gt;""),"YES","NO"),"N/A")</f>
        <v>N/A</v>
      </c>
      <c r="M119" s="4" t="str">
        <f>IF(OR($A119="EHT Trace"),IF(AND($AA119&lt;&gt;"",$AB119&lt;&gt;""),"YES","NO"),"N/A")</f>
        <v>N/A</v>
      </c>
      <c r="N119" s="4" t="str">
        <f>IF(OR($A119="Power Cable"),IF(AND($AD119&lt;&gt;""),"YES","NO"),"N/A")</f>
        <v>NO</v>
      </c>
      <c r="O119" s="4" t="str">
        <f>IF(OR($A119="Power Cable",$A119="RTD Cable",$A119="Fieldbus Cable"),IF(AND($AE119&lt;&gt;""),"YES","NO"),"N/A")</f>
        <v>NO</v>
      </c>
      <c r="P119" s="4" t="str">
        <f>IF(OR($A119="RTD"),IF(AND($AH119&lt;&gt;""),"YES","NO"),"N/A")</f>
        <v>N/A</v>
      </c>
      <c r="Q119" s="4" t="str">
        <f>IF(OR($A119="RTD"),IF(AND($AI119&lt;&gt;""),"YES","NO"),"N/A")</f>
        <v>N/A</v>
      </c>
      <c r="R119" s="4" t="str">
        <f>IF(OR($AM119&lt;&gt;"",$Z119&lt;&gt;"",$AC119&lt;&gt;""),"YES","NO")</f>
        <v>NO</v>
      </c>
      <c r="S119" s="4" t="str">
        <f>IF(COUNTIF(I119:R119,"NO")=0,"YES","NO")</f>
        <v>NO</v>
      </c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inlineStr">
        <is>
          <t>Teck</t>
        </is>
      </c>
      <c r="AK119" s="9" t="inlineStr">
        <is>
          <t>10AWG</t>
        </is>
      </c>
      <c r="AL119" s="9" t="inlineStr">
        <is>
          <t>Levy Ostrup</t>
        </is>
      </c>
      <c r="AM119" s="9" t="n"/>
      <c r="AN119" s="9" t="n"/>
    </row>
    <row r="120">
      <c r="A120" s="9" t="inlineStr">
        <is>
          <t>Power Cable</t>
        </is>
      </c>
      <c r="B120" s="9" t="inlineStr">
        <is>
          <t>29103-ET-FG2601-1-PWK-1</t>
        </is>
      </c>
      <c r="C120" s="9" t="inlineStr">
        <is>
          <t>29103-ET-FG2601-1</t>
        </is>
      </c>
      <c r="D120" s="9" t="inlineStr">
        <is>
          <t>29103-AMB-011</t>
        </is>
      </c>
      <c r="E120" s="9" t="inlineStr">
        <is>
          <t>29103-HTP-005</t>
        </is>
      </c>
      <c r="F120" s="9" t="inlineStr"/>
      <c r="G120" s="9" t="inlineStr">
        <is>
          <t>113</t>
        </is>
      </c>
      <c r="H120" s="9" t="inlineStr">
        <is>
          <t>29103-ET-FG2601-1-PWK-1.pdf</t>
        </is>
      </c>
      <c r="I120" s="4" t="str">
        <f>IF($H120&lt;&gt;"","YES","NO")</f>
        <v>YES</v>
      </c>
      <c r="J120" s="4" t="str">
        <f>IF(N($T120)&gt;0,"YES","NO")</f>
        <v>NO</v>
      </c>
      <c r="K120" s="4" t="str">
        <f>IF(OR($A120="EHT Trace"),IF(AND($U120&lt;&gt;"",$V120&lt;&gt;""),"YES","NO"),"N/A")</f>
        <v>N/A</v>
      </c>
      <c r="L120" s="4" t="str">
        <f>IF(OR($A120="EHT Trace"),IF(AND($X120&lt;&gt;"",$Y120&lt;&gt;""),"YES","NO"),"N/A")</f>
        <v>N/A</v>
      </c>
      <c r="M120" s="4" t="str">
        <f>IF(OR($A120="EHT Trace"),IF(AND($AA120&lt;&gt;"",$AB120&lt;&gt;""),"YES","NO"),"N/A")</f>
        <v>N/A</v>
      </c>
      <c r="N120" s="4" t="str">
        <f>IF(OR($A120="Power Cable"),IF(AND($AD120&lt;&gt;""),"YES","NO"),"N/A")</f>
        <v>NO</v>
      </c>
      <c r="O120" s="4" t="str">
        <f>IF(OR($A120="Power Cable",$A120="RTD Cable",$A120="Fieldbus Cable"),IF(AND($AE120&lt;&gt;""),"YES","NO"),"N/A")</f>
        <v>NO</v>
      </c>
      <c r="P120" s="4" t="str">
        <f>IF(OR($A120="RTD"),IF(AND($AH120&lt;&gt;""),"YES","NO"),"N/A")</f>
        <v>N/A</v>
      </c>
      <c r="Q120" s="4" t="str">
        <f>IF(OR($A120="RTD"),IF(AND($AI120&lt;&gt;""),"YES","NO"),"N/A")</f>
        <v>N/A</v>
      </c>
      <c r="R120" s="4" t="str">
        <f>IF(OR($AM120&lt;&gt;"",$Z120&lt;&gt;"",$AC120&lt;&gt;""),"YES","NO")</f>
        <v>NO</v>
      </c>
      <c r="S120" s="4" t="str">
        <f>IF(COUNTIF(I120:R120,"NO")=0,"YES","NO")</f>
        <v>NO</v>
      </c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inlineStr">
        <is>
          <t>Teck</t>
        </is>
      </c>
      <c r="AK120" s="9" t="inlineStr">
        <is>
          <t>10AWG</t>
        </is>
      </c>
      <c r="AL120" s="9" t="inlineStr">
        <is>
          <t>Levy Ostrup</t>
        </is>
      </c>
      <c r="AM120" s="9" t="n"/>
      <c r="AN120" s="9" t="n"/>
    </row>
    <row r="121">
      <c r="A121" s="9" t="inlineStr">
        <is>
          <t>Power Cable</t>
        </is>
      </c>
      <c r="B121" s="9" t="inlineStr">
        <is>
          <t>29103-ET-FG2603-1-PWK-1</t>
        </is>
      </c>
      <c r="C121" s="9" t="inlineStr">
        <is>
          <t>29103-ET-FG2603-1</t>
        </is>
      </c>
      <c r="D121" s="9" t="inlineStr">
        <is>
          <t>29103-AMB-011</t>
        </is>
      </c>
      <c r="E121" s="9" t="inlineStr">
        <is>
          <t>29103-HTP-005</t>
        </is>
      </c>
      <c r="F121" s="9" t="inlineStr"/>
      <c r="G121" s="9" t="inlineStr">
        <is>
          <t>113</t>
        </is>
      </c>
      <c r="H121" s="9" t="inlineStr">
        <is>
          <t>29103-ET-FG2603-1-PWK-1.pdf</t>
        </is>
      </c>
      <c r="I121" s="4" t="str">
        <f>IF($H121&lt;&gt;"","YES","NO")</f>
        <v>YES</v>
      </c>
      <c r="J121" s="4" t="str">
        <f>IF(N($T121)&gt;0,"YES","NO")</f>
        <v>NO</v>
      </c>
      <c r="K121" s="4" t="str">
        <f>IF(OR($A121="EHT Trace"),IF(AND($U121&lt;&gt;"",$V121&lt;&gt;""),"YES","NO"),"N/A")</f>
        <v>N/A</v>
      </c>
      <c r="L121" s="4" t="str">
        <f>IF(OR($A121="EHT Trace"),IF(AND($X121&lt;&gt;"",$Y121&lt;&gt;""),"YES","NO"),"N/A")</f>
        <v>N/A</v>
      </c>
      <c r="M121" s="4" t="str">
        <f>IF(OR($A121="EHT Trace"),IF(AND($AA121&lt;&gt;"",$AB121&lt;&gt;""),"YES","NO"),"N/A")</f>
        <v>N/A</v>
      </c>
      <c r="N121" s="4" t="str">
        <f>IF(OR($A121="Power Cable"),IF(AND($AD121&lt;&gt;""),"YES","NO"),"N/A")</f>
        <v>NO</v>
      </c>
      <c r="O121" s="4" t="str">
        <f>IF(OR($A121="Power Cable",$A121="RTD Cable",$A121="Fieldbus Cable"),IF(AND($AE121&lt;&gt;""),"YES","NO"),"N/A")</f>
        <v>NO</v>
      </c>
      <c r="P121" s="4" t="str">
        <f>IF(OR($A121="RTD"),IF(AND($AH121&lt;&gt;""),"YES","NO"),"N/A")</f>
        <v>N/A</v>
      </c>
      <c r="Q121" s="4" t="str">
        <f>IF(OR($A121="RTD"),IF(AND($AI121&lt;&gt;""),"YES","NO"),"N/A")</f>
        <v>N/A</v>
      </c>
      <c r="R121" s="4" t="str">
        <f>IF(OR($AM121&lt;&gt;"",$Z121&lt;&gt;"",$AC121&lt;&gt;""),"YES","NO")</f>
        <v>NO</v>
      </c>
      <c r="S121" s="4" t="str">
        <f>IF(COUNTIF(I121:R121,"NO")=0,"YES","NO")</f>
        <v>NO</v>
      </c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inlineStr">
        <is>
          <t>Teck</t>
        </is>
      </c>
      <c r="AK121" s="9" t="inlineStr">
        <is>
          <t>10AWG</t>
        </is>
      </c>
      <c r="AL121" s="9" t="inlineStr">
        <is>
          <t>Levy Ostrup</t>
        </is>
      </c>
      <c r="AM121" s="9" t="n"/>
      <c r="AN121" s="9" t="n"/>
    </row>
    <row r="122">
      <c r="A122" s="9" t="inlineStr">
        <is>
          <t>Power Cable</t>
        </is>
      </c>
      <c r="B122" s="9" t="inlineStr">
        <is>
          <t>29103-ET-FG2605-1-PWK-1</t>
        </is>
      </c>
      <c r="C122" s="9" t="inlineStr">
        <is>
          <t>29103-ET-FG2605-1</t>
        </is>
      </c>
      <c r="D122" s="9" t="inlineStr">
        <is>
          <t>29103-AMB-012</t>
        </is>
      </c>
      <c r="E122" s="9" t="inlineStr">
        <is>
          <t>29103-HTP-005</t>
        </is>
      </c>
      <c r="F122" s="9" t="inlineStr"/>
      <c r="G122" s="9" t="inlineStr">
        <is>
          <t>113</t>
        </is>
      </c>
      <c r="H122" s="9" t="inlineStr">
        <is>
          <t>29103-ET-FG2605-1-PWK-1.pdf</t>
        </is>
      </c>
      <c r="I122" s="4" t="str">
        <f>IF($H122&lt;&gt;"","YES","NO")</f>
        <v>YES</v>
      </c>
      <c r="J122" s="4" t="str">
        <f>IF(N($T122)&gt;0,"YES","NO")</f>
        <v>NO</v>
      </c>
      <c r="K122" s="4" t="str">
        <f>IF(OR($A122="EHT Trace"),IF(AND($U122&lt;&gt;"",$V122&lt;&gt;""),"YES","NO"),"N/A")</f>
        <v>N/A</v>
      </c>
      <c r="L122" s="4" t="str">
        <f>IF(OR($A122="EHT Trace"),IF(AND($X122&lt;&gt;"",$Y122&lt;&gt;""),"YES","NO"),"N/A")</f>
        <v>N/A</v>
      </c>
      <c r="M122" s="4" t="str">
        <f>IF(OR($A122="EHT Trace"),IF(AND($AA122&lt;&gt;"",$AB122&lt;&gt;""),"YES","NO"),"N/A")</f>
        <v>N/A</v>
      </c>
      <c r="N122" s="4" t="str">
        <f>IF(OR($A122="Power Cable"),IF(AND($AD122&lt;&gt;""),"YES","NO"),"N/A")</f>
        <v>NO</v>
      </c>
      <c r="O122" s="4" t="str">
        <f>IF(OR($A122="Power Cable",$A122="RTD Cable",$A122="Fieldbus Cable"),IF(AND($AE122&lt;&gt;""),"YES","NO"),"N/A")</f>
        <v>NO</v>
      </c>
      <c r="P122" s="4" t="str">
        <f>IF(OR($A122="RTD"),IF(AND($AH122&lt;&gt;""),"YES","NO"),"N/A")</f>
        <v>N/A</v>
      </c>
      <c r="Q122" s="4" t="str">
        <f>IF(OR($A122="RTD"),IF(AND($AI122&lt;&gt;""),"YES","NO"),"N/A")</f>
        <v>N/A</v>
      </c>
      <c r="R122" s="4" t="str">
        <f>IF(OR($AM122&lt;&gt;"",$Z122&lt;&gt;"",$AC122&lt;&gt;""),"YES","NO")</f>
        <v>NO</v>
      </c>
      <c r="S122" s="4" t="str">
        <f>IF(COUNTIF(I122:R122,"NO")=0,"YES","NO")</f>
        <v>NO</v>
      </c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inlineStr">
        <is>
          <t>Teck</t>
        </is>
      </c>
      <c r="AK122" s="9" t="inlineStr">
        <is>
          <t>10AWG</t>
        </is>
      </c>
      <c r="AL122" s="9" t="inlineStr">
        <is>
          <t>Levy Ostrup</t>
        </is>
      </c>
      <c r="AM122" s="9" t="n"/>
      <c r="AN122" s="9" t="n"/>
    </row>
    <row r="123">
      <c r="A123" s="9" t="inlineStr">
        <is>
          <t>Power Cable</t>
        </is>
      </c>
      <c r="B123" s="9" t="inlineStr">
        <is>
          <t>29103-ET-FG2701-1-PWK-1</t>
        </is>
      </c>
      <c r="C123" s="9" t="inlineStr">
        <is>
          <t>29103-ET-FG2701-1</t>
        </is>
      </c>
      <c r="D123" s="9" t="inlineStr">
        <is>
          <t>29103-AMB-011</t>
        </is>
      </c>
      <c r="E123" s="9" t="inlineStr">
        <is>
          <t>29103-HTP-005</t>
        </is>
      </c>
      <c r="F123" s="9" t="inlineStr"/>
      <c r="G123" s="9" t="inlineStr">
        <is>
          <t>113</t>
        </is>
      </c>
      <c r="H123" s="9" t="inlineStr">
        <is>
          <t>29103-ET-FG2701-1-PWK-1.pdf</t>
        </is>
      </c>
      <c r="I123" s="4" t="str">
        <f>IF($H123&lt;&gt;"","YES","NO")</f>
        <v>YES</v>
      </c>
      <c r="J123" s="4" t="str">
        <f>IF(N($T123)&gt;0,"YES","NO")</f>
        <v>NO</v>
      </c>
      <c r="K123" s="4" t="str">
        <f>IF(OR($A123="EHT Trace"),IF(AND($U123&lt;&gt;"",$V123&lt;&gt;""),"YES","NO"),"N/A")</f>
        <v>N/A</v>
      </c>
      <c r="L123" s="4" t="str">
        <f>IF(OR($A123="EHT Trace"),IF(AND($X123&lt;&gt;"",$Y123&lt;&gt;""),"YES","NO"),"N/A")</f>
        <v>N/A</v>
      </c>
      <c r="M123" s="4" t="str">
        <f>IF(OR($A123="EHT Trace"),IF(AND($AA123&lt;&gt;"",$AB123&lt;&gt;""),"YES","NO"),"N/A")</f>
        <v>N/A</v>
      </c>
      <c r="N123" s="4" t="str">
        <f>IF(OR($A123="Power Cable"),IF(AND($AD123&lt;&gt;""),"YES","NO"),"N/A")</f>
        <v>NO</v>
      </c>
      <c r="O123" s="4" t="str">
        <f>IF(OR($A123="Power Cable",$A123="RTD Cable",$A123="Fieldbus Cable"),IF(AND($AE123&lt;&gt;""),"YES","NO"),"N/A")</f>
        <v>NO</v>
      </c>
      <c r="P123" s="4" t="str">
        <f>IF(OR($A123="RTD"),IF(AND($AH123&lt;&gt;""),"YES","NO"),"N/A")</f>
        <v>N/A</v>
      </c>
      <c r="Q123" s="4" t="str">
        <f>IF(OR($A123="RTD"),IF(AND($AI123&lt;&gt;""),"YES","NO"),"N/A")</f>
        <v>N/A</v>
      </c>
      <c r="R123" s="4" t="str">
        <f>IF(OR($AM123&lt;&gt;"",$Z123&lt;&gt;"",$AC123&lt;&gt;""),"YES","NO")</f>
        <v>NO</v>
      </c>
      <c r="S123" s="4" t="str">
        <f>IF(COUNTIF(I123:R123,"NO")=0,"YES","NO")</f>
        <v>NO</v>
      </c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inlineStr">
        <is>
          <t>Teck</t>
        </is>
      </c>
      <c r="AK123" s="9" t="inlineStr">
        <is>
          <t>10AWG</t>
        </is>
      </c>
      <c r="AL123" s="9" t="inlineStr">
        <is>
          <t>Levy Ostrup</t>
        </is>
      </c>
      <c r="AM123" s="9" t="n"/>
      <c r="AN123" s="9" t="n"/>
    </row>
    <row r="124">
      <c r="A124" s="9" t="inlineStr">
        <is>
          <t>Power Cable</t>
        </is>
      </c>
      <c r="B124" s="9" t="inlineStr">
        <is>
          <t>29103-ET-FG2703-1-PWK-1</t>
        </is>
      </c>
      <c r="C124" s="9" t="inlineStr">
        <is>
          <t>29103-ET-FG2703-1</t>
        </is>
      </c>
      <c r="D124" s="9" t="inlineStr">
        <is>
          <t>29103-AMB-011</t>
        </is>
      </c>
      <c r="E124" s="9" t="inlineStr">
        <is>
          <t>29103-HTP-005</t>
        </is>
      </c>
      <c r="F124" s="9" t="inlineStr"/>
      <c r="G124" s="9" t="inlineStr">
        <is>
          <t>113</t>
        </is>
      </c>
      <c r="H124" s="9" t="inlineStr">
        <is>
          <t>29103-ET-FG2703-1-PWK-1.pdf</t>
        </is>
      </c>
      <c r="I124" s="4" t="str">
        <f>IF($H124&lt;&gt;"","YES","NO")</f>
        <v>YES</v>
      </c>
      <c r="J124" s="4" t="str">
        <f>IF(N($T124)&gt;0,"YES","NO")</f>
        <v>NO</v>
      </c>
      <c r="K124" s="4" t="str">
        <f>IF(OR($A124="EHT Trace"),IF(AND($U124&lt;&gt;"",$V124&lt;&gt;""),"YES","NO"),"N/A")</f>
        <v>N/A</v>
      </c>
      <c r="L124" s="4" t="str">
        <f>IF(OR($A124="EHT Trace"),IF(AND($X124&lt;&gt;"",$Y124&lt;&gt;""),"YES","NO"),"N/A")</f>
        <v>N/A</v>
      </c>
      <c r="M124" s="4" t="str">
        <f>IF(OR($A124="EHT Trace"),IF(AND($AA124&lt;&gt;"",$AB124&lt;&gt;""),"YES","NO"),"N/A")</f>
        <v>N/A</v>
      </c>
      <c r="N124" s="4" t="str">
        <f>IF(OR($A124="Power Cable"),IF(AND($AD124&lt;&gt;""),"YES","NO"),"N/A")</f>
        <v>NO</v>
      </c>
      <c r="O124" s="4" t="str">
        <f>IF(OR($A124="Power Cable",$A124="RTD Cable",$A124="Fieldbus Cable"),IF(AND($AE124&lt;&gt;""),"YES","NO"),"N/A")</f>
        <v>NO</v>
      </c>
      <c r="P124" s="4" t="str">
        <f>IF(OR($A124="RTD"),IF(AND($AH124&lt;&gt;""),"YES","NO"),"N/A")</f>
        <v>N/A</v>
      </c>
      <c r="Q124" s="4" t="str">
        <f>IF(OR($A124="RTD"),IF(AND($AI124&lt;&gt;""),"YES","NO"),"N/A")</f>
        <v>N/A</v>
      </c>
      <c r="R124" s="4" t="str">
        <f>IF(OR($AM124&lt;&gt;"",$Z124&lt;&gt;"",$AC124&lt;&gt;""),"YES","NO")</f>
        <v>NO</v>
      </c>
      <c r="S124" s="4" t="str">
        <f>IF(COUNTIF(I124:R124,"NO")=0,"YES","NO")</f>
        <v>NO</v>
      </c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inlineStr">
        <is>
          <t>Teck</t>
        </is>
      </c>
      <c r="AK124" s="9" t="inlineStr">
        <is>
          <t>10AWG</t>
        </is>
      </c>
      <c r="AL124" s="9" t="inlineStr">
        <is>
          <t>Levy Ostrup</t>
        </is>
      </c>
      <c r="AM124" s="9" t="n"/>
      <c r="AN124" s="9" t="n"/>
    </row>
    <row r="125">
      <c r="A125" s="9" t="inlineStr">
        <is>
          <t>Power Cable</t>
        </is>
      </c>
      <c r="B125" s="9" t="inlineStr">
        <is>
          <t>29103-ET-P2401-1-PWK-1</t>
        </is>
      </c>
      <c r="C125" s="9" t="inlineStr">
        <is>
          <t>29103-ET-P2401-1</t>
        </is>
      </c>
      <c r="D125" s="9" t="inlineStr">
        <is>
          <t>29103-HTP-005 HTC-05</t>
        </is>
      </c>
      <c r="E125" s="9" t="inlineStr">
        <is>
          <t>29103-HTP-005</t>
        </is>
      </c>
      <c r="F125" s="9" t="inlineStr"/>
      <c r="G125" s="9" t="inlineStr">
        <is>
          <t>113</t>
        </is>
      </c>
      <c r="H125" s="9" t="inlineStr">
        <is>
          <t>29103-ET-P2401-1-PWK-1.pdf</t>
        </is>
      </c>
      <c r="I125" s="4" t="str">
        <f>IF($H125&lt;&gt;"","YES","NO")</f>
        <v>YES</v>
      </c>
      <c r="J125" s="4" t="str">
        <f>IF(N($T125)&gt;0,"YES","NO")</f>
        <v>NO</v>
      </c>
      <c r="K125" s="4" t="str">
        <f>IF(OR($A125="EHT Trace"),IF(AND($U125&lt;&gt;"",$V125&lt;&gt;""),"YES","NO"),"N/A")</f>
        <v>N/A</v>
      </c>
      <c r="L125" s="4" t="str">
        <f>IF(OR($A125="EHT Trace"),IF(AND($X125&lt;&gt;"",$Y125&lt;&gt;""),"YES","NO"),"N/A")</f>
        <v>N/A</v>
      </c>
      <c r="M125" s="4" t="str">
        <f>IF(OR($A125="EHT Trace"),IF(AND($AA125&lt;&gt;"",$AB125&lt;&gt;""),"YES","NO"),"N/A")</f>
        <v>N/A</v>
      </c>
      <c r="N125" s="4" t="str">
        <f>IF(OR($A125="Power Cable"),IF(AND($AD125&lt;&gt;""),"YES","NO"),"N/A")</f>
        <v>NO</v>
      </c>
      <c r="O125" s="4" t="str">
        <f>IF(OR($A125="Power Cable",$A125="RTD Cable",$A125="Fieldbus Cable"),IF(AND($AE125&lt;&gt;""),"YES","NO"),"N/A")</f>
        <v>NO</v>
      </c>
      <c r="P125" s="4" t="str">
        <f>IF(OR($A125="RTD"),IF(AND($AH125&lt;&gt;""),"YES","NO"),"N/A")</f>
        <v>N/A</v>
      </c>
      <c r="Q125" s="4" t="str">
        <f>IF(OR($A125="RTD"),IF(AND($AI125&lt;&gt;""),"YES","NO"),"N/A")</f>
        <v>N/A</v>
      </c>
      <c r="R125" s="4" t="str">
        <f>IF(OR($AM125&lt;&gt;"",$Z125&lt;&gt;"",$AC125&lt;&gt;""),"YES","NO")</f>
        <v>NO</v>
      </c>
      <c r="S125" s="4" t="str">
        <f>IF(COUNTIF(I125:R125,"NO")=0,"YES","NO")</f>
        <v>NO</v>
      </c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inlineStr">
        <is>
          <t>Teck</t>
        </is>
      </c>
      <c r="AK125" s="9" t="inlineStr">
        <is>
          <t>10AWG</t>
        </is>
      </c>
      <c r="AL125" s="9" t="inlineStr">
        <is>
          <t>Levy Ostrup</t>
        </is>
      </c>
      <c r="AM125" s="9" t="n"/>
      <c r="AN125" s="9" t="n"/>
    </row>
    <row r="126">
      <c r="A126" s="9" t="inlineStr">
        <is>
          <t>Power Cable</t>
        </is>
      </c>
      <c r="B126" s="9" t="inlineStr">
        <is>
          <t>29103-ET-P2501-1-PWK-1</t>
        </is>
      </c>
      <c r="C126" s="9" t="inlineStr">
        <is>
          <t>29103-ET-P2501-1</t>
        </is>
      </c>
      <c r="D126" s="9" t="inlineStr">
        <is>
          <t>29103-HTP-005 HTC-04</t>
        </is>
      </c>
      <c r="E126" s="9" t="inlineStr">
        <is>
          <t>29103-HTP-005</t>
        </is>
      </c>
      <c r="F126" s="9" t="inlineStr"/>
      <c r="G126" s="9" t="inlineStr">
        <is>
          <t>113</t>
        </is>
      </c>
      <c r="H126" s="9" t="inlineStr">
        <is>
          <t>29103-ET-P2501-1-PWK-1.pdf</t>
        </is>
      </c>
      <c r="I126" s="4" t="str">
        <f>IF($H126&lt;&gt;"","YES","NO")</f>
        <v>YES</v>
      </c>
      <c r="J126" s="4" t="str">
        <f>IF(N($T126)&gt;0,"YES","NO")</f>
        <v>NO</v>
      </c>
      <c r="K126" s="4" t="str">
        <f>IF(OR($A126="EHT Trace"),IF(AND($U126&lt;&gt;"",$V126&lt;&gt;""),"YES","NO"),"N/A")</f>
        <v>N/A</v>
      </c>
      <c r="L126" s="4" t="str">
        <f>IF(OR($A126="EHT Trace"),IF(AND($X126&lt;&gt;"",$Y126&lt;&gt;""),"YES","NO"),"N/A")</f>
        <v>N/A</v>
      </c>
      <c r="M126" s="4" t="str">
        <f>IF(OR($A126="EHT Trace"),IF(AND($AA126&lt;&gt;"",$AB126&lt;&gt;""),"YES","NO"),"N/A")</f>
        <v>N/A</v>
      </c>
      <c r="N126" s="4" t="str">
        <f>IF(OR($A126="Power Cable"),IF(AND($AD126&lt;&gt;""),"YES","NO"),"N/A")</f>
        <v>NO</v>
      </c>
      <c r="O126" s="4" t="str">
        <f>IF(OR($A126="Power Cable",$A126="RTD Cable",$A126="Fieldbus Cable"),IF(AND($AE126&lt;&gt;""),"YES","NO"),"N/A")</f>
        <v>NO</v>
      </c>
      <c r="P126" s="4" t="str">
        <f>IF(OR($A126="RTD"),IF(AND($AH126&lt;&gt;""),"YES","NO"),"N/A")</f>
        <v>N/A</v>
      </c>
      <c r="Q126" s="4" t="str">
        <f>IF(OR($A126="RTD"),IF(AND($AI126&lt;&gt;""),"YES","NO"),"N/A")</f>
        <v>N/A</v>
      </c>
      <c r="R126" s="4" t="str">
        <f>IF(OR($AM126&lt;&gt;"",$Z126&lt;&gt;"",$AC126&lt;&gt;""),"YES","NO")</f>
        <v>NO</v>
      </c>
      <c r="S126" s="4" t="str">
        <f>IF(COUNTIF(I126:R126,"NO")=0,"YES","NO")</f>
        <v>NO</v>
      </c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inlineStr">
        <is>
          <t>Teck</t>
        </is>
      </c>
      <c r="AK126" s="9" t="inlineStr">
        <is>
          <t>10AWG</t>
        </is>
      </c>
      <c r="AL126" s="9" t="inlineStr">
        <is>
          <t>Levy Ostrup</t>
        </is>
      </c>
      <c r="AM126" s="9" t="n"/>
      <c r="AN126" s="9" t="n"/>
    </row>
    <row r="127">
      <c r="A127" s="9" t="inlineStr">
        <is>
          <t>Power Cable</t>
        </is>
      </c>
      <c r="B127" s="9" t="inlineStr">
        <is>
          <t>29103-ET-P2504-1-PWK-1</t>
        </is>
      </c>
      <c r="C127" s="9" t="inlineStr">
        <is>
          <t>29103-ET-P2504-1</t>
        </is>
      </c>
      <c r="D127" s="9" t="inlineStr">
        <is>
          <t>29103-HTP-005 HTC-09</t>
        </is>
      </c>
      <c r="E127" s="9" t="inlineStr">
        <is>
          <t>29103-HTP-005</t>
        </is>
      </c>
      <c r="F127" s="9" t="inlineStr"/>
      <c r="G127" s="9" t="inlineStr">
        <is>
          <t>113</t>
        </is>
      </c>
      <c r="H127" s="9" t="inlineStr">
        <is>
          <t>29103-ET-P2504-1-PWK-1.pdf</t>
        </is>
      </c>
      <c r="I127" s="4" t="str">
        <f>IF($H127&lt;&gt;"","YES","NO")</f>
        <v>YES</v>
      </c>
      <c r="J127" s="4" t="str">
        <f>IF(N($T127)&gt;0,"YES","NO")</f>
        <v>NO</v>
      </c>
      <c r="K127" s="4" t="str">
        <f>IF(OR($A127="EHT Trace"),IF(AND($U127&lt;&gt;"",$V127&lt;&gt;""),"YES","NO"),"N/A")</f>
        <v>N/A</v>
      </c>
      <c r="L127" s="4" t="str">
        <f>IF(OR($A127="EHT Trace"),IF(AND($X127&lt;&gt;"",$Y127&lt;&gt;""),"YES","NO"),"N/A")</f>
        <v>N/A</v>
      </c>
      <c r="M127" s="4" t="str">
        <f>IF(OR($A127="EHT Trace"),IF(AND($AA127&lt;&gt;"",$AB127&lt;&gt;""),"YES","NO"),"N/A")</f>
        <v>N/A</v>
      </c>
      <c r="N127" s="4" t="str">
        <f>IF(OR($A127="Power Cable"),IF(AND($AD127&lt;&gt;""),"YES","NO"),"N/A")</f>
        <v>NO</v>
      </c>
      <c r="O127" s="4" t="str">
        <f>IF(OR($A127="Power Cable",$A127="RTD Cable",$A127="Fieldbus Cable"),IF(AND($AE127&lt;&gt;""),"YES","NO"),"N/A")</f>
        <v>NO</v>
      </c>
      <c r="P127" s="4" t="str">
        <f>IF(OR($A127="RTD"),IF(AND($AH127&lt;&gt;""),"YES","NO"),"N/A")</f>
        <v>N/A</v>
      </c>
      <c r="Q127" s="4" t="str">
        <f>IF(OR($A127="RTD"),IF(AND($AI127&lt;&gt;""),"YES","NO"),"N/A")</f>
        <v>N/A</v>
      </c>
      <c r="R127" s="4" t="str">
        <f>IF(OR($AM127&lt;&gt;"",$Z127&lt;&gt;"",$AC127&lt;&gt;""),"YES","NO")</f>
        <v>NO</v>
      </c>
      <c r="S127" s="4" t="str">
        <f>IF(COUNTIF(I127:R127,"NO")=0,"YES","NO")</f>
        <v>NO</v>
      </c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inlineStr">
        <is>
          <t>Teck</t>
        </is>
      </c>
      <c r="AK127" s="9" t="inlineStr">
        <is>
          <t>10AWG</t>
        </is>
      </c>
      <c r="AL127" s="9" t="inlineStr">
        <is>
          <t>Levy Ostrup</t>
        </is>
      </c>
      <c r="AM127" s="9" t="n"/>
      <c r="AN127" s="9" t="n"/>
    </row>
    <row r="128">
      <c r="A128" s="9" t="inlineStr">
        <is>
          <t>Power Cable</t>
        </is>
      </c>
      <c r="B128" s="9" t="inlineStr">
        <is>
          <t>29103-ET-P2504-2-PWK-1</t>
        </is>
      </c>
      <c r="C128" s="9" t="inlineStr">
        <is>
          <t>29103-ET-P2504-2</t>
        </is>
      </c>
      <c r="D128" s="9" t="inlineStr">
        <is>
          <t>29103-HTP-005 HTC-20</t>
        </is>
      </c>
      <c r="E128" s="9" t="inlineStr">
        <is>
          <t>29103-HTP-005</t>
        </is>
      </c>
      <c r="F128" s="9" t="inlineStr"/>
      <c r="G128" s="9" t="inlineStr">
        <is>
          <t>113</t>
        </is>
      </c>
      <c r="H128" s="9" t="inlineStr">
        <is>
          <t>29103-ET-P2504-2-PWK-1.pdf</t>
        </is>
      </c>
      <c r="I128" s="4" t="str">
        <f>IF($H128&lt;&gt;"","YES","NO")</f>
        <v>YES</v>
      </c>
      <c r="J128" s="4" t="str">
        <f>IF(N($T128)&gt;0,"YES","NO")</f>
        <v>NO</v>
      </c>
      <c r="K128" s="4" t="str">
        <f>IF(OR($A128="EHT Trace"),IF(AND($U128&lt;&gt;"",$V128&lt;&gt;""),"YES","NO"),"N/A")</f>
        <v>N/A</v>
      </c>
      <c r="L128" s="4" t="str">
        <f>IF(OR($A128="EHT Trace"),IF(AND($X128&lt;&gt;"",$Y128&lt;&gt;""),"YES","NO"),"N/A")</f>
        <v>N/A</v>
      </c>
      <c r="M128" s="4" t="str">
        <f>IF(OR($A128="EHT Trace"),IF(AND($AA128&lt;&gt;"",$AB128&lt;&gt;""),"YES","NO"),"N/A")</f>
        <v>N/A</v>
      </c>
      <c r="N128" s="4" t="str">
        <f>IF(OR($A128="Power Cable"),IF(AND($AD128&lt;&gt;""),"YES","NO"),"N/A")</f>
        <v>NO</v>
      </c>
      <c r="O128" s="4" t="str">
        <f>IF(OR($A128="Power Cable",$A128="RTD Cable",$A128="Fieldbus Cable"),IF(AND($AE128&lt;&gt;""),"YES","NO"),"N/A")</f>
        <v>NO</v>
      </c>
      <c r="P128" s="4" t="str">
        <f>IF(OR($A128="RTD"),IF(AND($AH128&lt;&gt;""),"YES","NO"),"N/A")</f>
        <v>N/A</v>
      </c>
      <c r="Q128" s="4" t="str">
        <f>IF(OR($A128="RTD"),IF(AND($AI128&lt;&gt;""),"YES","NO"),"N/A")</f>
        <v>N/A</v>
      </c>
      <c r="R128" s="4" t="str">
        <f>IF(OR($AM128&lt;&gt;"",$Z128&lt;&gt;"",$AC128&lt;&gt;""),"YES","NO")</f>
        <v>NO</v>
      </c>
      <c r="S128" s="4" t="str">
        <f>IF(COUNTIF(I128:R128,"NO")=0,"YES","NO")</f>
        <v>NO</v>
      </c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inlineStr">
        <is>
          <t>Teck</t>
        </is>
      </c>
      <c r="AK128" s="9" t="inlineStr">
        <is>
          <t>10AWG</t>
        </is>
      </c>
      <c r="AL128" s="9" t="inlineStr">
        <is>
          <t>Levy Ostrup</t>
        </is>
      </c>
      <c r="AM128" s="9" t="n"/>
      <c r="AN128" s="9" t="n"/>
    </row>
    <row r="129">
      <c r="A129" s="9" t="inlineStr">
        <is>
          <t>Power Cable</t>
        </is>
      </c>
      <c r="B129" s="9" t="inlineStr">
        <is>
          <t>29103-ET-P2601-1-PWK-1</t>
        </is>
      </c>
      <c r="C129" s="9" t="inlineStr">
        <is>
          <t>29103-ET-P2601-1</t>
        </is>
      </c>
      <c r="D129" s="9" t="inlineStr">
        <is>
          <t>29103-HTP-005 HTC-35</t>
        </is>
      </c>
      <c r="E129" s="9" t="inlineStr">
        <is>
          <t>29103-HTP-005</t>
        </is>
      </c>
      <c r="F129" s="9" t="inlineStr"/>
      <c r="G129" s="9" t="inlineStr">
        <is>
          <t>113</t>
        </is>
      </c>
      <c r="H129" s="9" t="inlineStr">
        <is>
          <t>29103-ET-P2601-1-PWK-1.pdf</t>
        </is>
      </c>
      <c r="I129" s="4" t="str">
        <f>IF($H129&lt;&gt;"","YES","NO")</f>
        <v>YES</v>
      </c>
      <c r="J129" s="4" t="str">
        <f>IF(N($T129)&gt;0,"YES","NO")</f>
        <v>NO</v>
      </c>
      <c r="K129" s="4" t="str">
        <f>IF(OR($A129="EHT Trace"),IF(AND($U129&lt;&gt;"",$V129&lt;&gt;""),"YES","NO"),"N/A")</f>
        <v>N/A</v>
      </c>
      <c r="L129" s="4" t="str">
        <f>IF(OR($A129="EHT Trace"),IF(AND($X129&lt;&gt;"",$Y129&lt;&gt;""),"YES","NO"),"N/A")</f>
        <v>N/A</v>
      </c>
      <c r="M129" s="4" t="str">
        <f>IF(OR($A129="EHT Trace"),IF(AND($AA129&lt;&gt;"",$AB129&lt;&gt;""),"YES","NO"),"N/A")</f>
        <v>N/A</v>
      </c>
      <c r="N129" s="4" t="str">
        <f>IF(OR($A129="Power Cable"),IF(AND($AD129&lt;&gt;""),"YES","NO"),"N/A")</f>
        <v>NO</v>
      </c>
      <c r="O129" s="4" t="str">
        <f>IF(OR($A129="Power Cable",$A129="RTD Cable",$A129="Fieldbus Cable"),IF(AND($AE129&lt;&gt;""),"YES","NO"),"N/A")</f>
        <v>NO</v>
      </c>
      <c r="P129" s="4" t="str">
        <f>IF(OR($A129="RTD"),IF(AND($AH129&lt;&gt;""),"YES","NO"),"N/A")</f>
        <v>N/A</v>
      </c>
      <c r="Q129" s="4" t="str">
        <f>IF(OR($A129="RTD"),IF(AND($AI129&lt;&gt;""),"YES","NO"),"N/A")</f>
        <v>N/A</v>
      </c>
      <c r="R129" s="4" t="str">
        <f>IF(OR($AM129&lt;&gt;"",$Z129&lt;&gt;"",$AC129&lt;&gt;""),"YES","NO")</f>
        <v>NO</v>
      </c>
      <c r="S129" s="4" t="str">
        <f>IF(COUNTIF(I129:R129,"NO")=0,"YES","NO")</f>
        <v>NO</v>
      </c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inlineStr">
        <is>
          <t>Teck</t>
        </is>
      </c>
      <c r="AK129" s="9" t="inlineStr">
        <is>
          <t>10AWG</t>
        </is>
      </c>
      <c r="AL129" s="9" t="inlineStr">
        <is>
          <t>Levy Ostrup</t>
        </is>
      </c>
      <c r="AM129" s="9" t="n"/>
      <c r="AN129" s="9" t="n"/>
    </row>
    <row r="130">
      <c r="A130" s="9" t="inlineStr">
        <is>
          <t>Power Cable</t>
        </is>
      </c>
      <c r="B130" s="9" t="inlineStr">
        <is>
          <t>29103-ET-P2604-1-PWK-1</t>
        </is>
      </c>
      <c r="C130" s="9" t="inlineStr">
        <is>
          <t>29103-ET-P2604-1</t>
        </is>
      </c>
      <c r="D130" s="9" t="inlineStr">
        <is>
          <t>29103-HTP-005 HTC-32</t>
        </is>
      </c>
      <c r="E130" s="9" t="inlineStr">
        <is>
          <t>29103-HTP-005</t>
        </is>
      </c>
      <c r="F130" s="9" t="inlineStr"/>
      <c r="G130" s="9" t="inlineStr">
        <is>
          <t>113</t>
        </is>
      </c>
      <c r="H130" s="9" t="inlineStr">
        <is>
          <t>29103-ET-P2604-1-PWK-1.pdf</t>
        </is>
      </c>
      <c r="I130" s="4" t="str">
        <f>IF($H130&lt;&gt;"","YES","NO")</f>
        <v>YES</v>
      </c>
      <c r="J130" s="4" t="str">
        <f>IF(N($T130)&gt;0,"YES","NO")</f>
        <v>NO</v>
      </c>
      <c r="K130" s="4" t="str">
        <f>IF(OR($A130="EHT Trace"),IF(AND($U130&lt;&gt;"",$V130&lt;&gt;""),"YES","NO"),"N/A")</f>
        <v>N/A</v>
      </c>
      <c r="L130" s="4" t="str">
        <f>IF(OR($A130="EHT Trace"),IF(AND($X130&lt;&gt;"",$Y130&lt;&gt;""),"YES","NO"),"N/A")</f>
        <v>N/A</v>
      </c>
      <c r="M130" s="4" t="str">
        <f>IF(OR($A130="EHT Trace"),IF(AND($AA130&lt;&gt;"",$AB130&lt;&gt;""),"YES","NO"),"N/A")</f>
        <v>N/A</v>
      </c>
      <c r="N130" s="4" t="str">
        <f>IF(OR($A130="Power Cable"),IF(AND($AD130&lt;&gt;""),"YES","NO"),"N/A")</f>
        <v>NO</v>
      </c>
      <c r="O130" s="4" t="str">
        <f>IF(OR($A130="Power Cable",$A130="RTD Cable",$A130="Fieldbus Cable"),IF(AND($AE130&lt;&gt;""),"YES","NO"),"N/A")</f>
        <v>NO</v>
      </c>
      <c r="P130" s="4" t="str">
        <f>IF(OR($A130="RTD"),IF(AND($AH130&lt;&gt;""),"YES","NO"),"N/A")</f>
        <v>N/A</v>
      </c>
      <c r="Q130" s="4" t="str">
        <f>IF(OR($A130="RTD"),IF(AND($AI130&lt;&gt;""),"YES","NO"),"N/A")</f>
        <v>N/A</v>
      </c>
      <c r="R130" s="4" t="str">
        <f>IF(OR($AM130&lt;&gt;"",$Z130&lt;&gt;"",$AC130&lt;&gt;""),"YES","NO")</f>
        <v>NO</v>
      </c>
      <c r="S130" s="4" t="str">
        <f>IF(COUNTIF(I130:R130,"NO")=0,"YES","NO")</f>
        <v>NO</v>
      </c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inlineStr">
        <is>
          <t>Teck</t>
        </is>
      </c>
      <c r="AK130" s="9" t="inlineStr">
        <is>
          <t>10AWG</t>
        </is>
      </c>
      <c r="AL130" s="9" t="inlineStr">
        <is>
          <t>Levy Ostrup</t>
        </is>
      </c>
      <c r="AM130" s="9" t="n"/>
      <c r="AN130" s="9" t="n"/>
    </row>
    <row r="131">
      <c r="A131" s="9" t="inlineStr">
        <is>
          <t>Power Cable</t>
        </is>
      </c>
      <c r="B131" s="9" t="inlineStr">
        <is>
          <t>29103-ET-P2604-2-PWK-1</t>
        </is>
      </c>
      <c r="C131" s="9" t="inlineStr">
        <is>
          <t>29103-ET-P2604-2</t>
        </is>
      </c>
      <c r="D131" s="9" t="inlineStr">
        <is>
          <t>29103-HTP-005 HTC-24</t>
        </is>
      </c>
      <c r="E131" s="9" t="inlineStr">
        <is>
          <t>29103-HTP-005</t>
        </is>
      </c>
      <c r="F131" s="9" t="inlineStr"/>
      <c r="G131" s="9" t="inlineStr">
        <is>
          <t>113</t>
        </is>
      </c>
      <c r="H131" s="9" t="inlineStr">
        <is>
          <t>29103-ET-P2604-2-PWK-1.pdf</t>
        </is>
      </c>
      <c r="I131" s="4" t="str">
        <f>IF($H131&lt;&gt;"","YES","NO")</f>
        <v>YES</v>
      </c>
      <c r="J131" s="4" t="str">
        <f>IF(N($T131)&gt;0,"YES","NO")</f>
        <v>NO</v>
      </c>
      <c r="K131" s="4" t="str">
        <f>IF(OR($A131="EHT Trace"),IF(AND($U131&lt;&gt;"",$V131&lt;&gt;""),"YES","NO"),"N/A")</f>
        <v>N/A</v>
      </c>
      <c r="L131" s="4" t="str">
        <f>IF(OR($A131="EHT Trace"),IF(AND($X131&lt;&gt;"",$Y131&lt;&gt;""),"YES","NO"),"N/A")</f>
        <v>N/A</v>
      </c>
      <c r="M131" s="4" t="str">
        <f>IF(OR($A131="EHT Trace"),IF(AND($AA131&lt;&gt;"",$AB131&lt;&gt;""),"YES","NO"),"N/A")</f>
        <v>N/A</v>
      </c>
      <c r="N131" s="4" t="str">
        <f>IF(OR($A131="Power Cable"),IF(AND($AD131&lt;&gt;""),"YES","NO"),"N/A")</f>
        <v>NO</v>
      </c>
      <c r="O131" s="4" t="str">
        <f>IF(OR($A131="Power Cable",$A131="RTD Cable",$A131="Fieldbus Cable"),IF(AND($AE131&lt;&gt;""),"YES","NO"),"N/A")</f>
        <v>NO</v>
      </c>
      <c r="P131" s="4" t="str">
        <f>IF(OR($A131="RTD"),IF(AND($AH131&lt;&gt;""),"YES","NO"),"N/A")</f>
        <v>N/A</v>
      </c>
      <c r="Q131" s="4" t="str">
        <f>IF(OR($A131="RTD"),IF(AND($AI131&lt;&gt;""),"YES","NO"),"N/A")</f>
        <v>N/A</v>
      </c>
      <c r="R131" s="4" t="str">
        <f>IF(OR($AM131&lt;&gt;"",$Z131&lt;&gt;"",$AC131&lt;&gt;""),"YES","NO")</f>
        <v>NO</v>
      </c>
      <c r="S131" s="4" t="str">
        <f>IF(COUNTIF(I131:R131,"NO")=0,"YES","NO")</f>
        <v>NO</v>
      </c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inlineStr">
        <is>
          <t>Teck</t>
        </is>
      </c>
      <c r="AK131" s="9" t="inlineStr">
        <is>
          <t>10AWG</t>
        </is>
      </c>
      <c r="AL131" s="9" t="inlineStr">
        <is>
          <t>Levy Ostrup</t>
        </is>
      </c>
      <c r="AM131" s="9" t="n"/>
      <c r="AN131" s="9" t="n"/>
    </row>
    <row r="132">
      <c r="A132" s="9" t="inlineStr">
        <is>
          <t>Power Cable</t>
        </is>
      </c>
      <c r="B132" s="9" t="inlineStr">
        <is>
          <t>29103-ET-P2701-1-PWK-1</t>
        </is>
      </c>
      <c r="C132" s="9" t="inlineStr">
        <is>
          <t>29103-ET-P2701-1</t>
        </is>
      </c>
      <c r="D132" s="9" t="inlineStr">
        <is>
          <t>29103-HTP-005 HTC-22</t>
        </is>
      </c>
      <c r="E132" s="9" t="inlineStr">
        <is>
          <t>29103-HTP-005</t>
        </is>
      </c>
      <c r="F132" s="9" t="inlineStr"/>
      <c r="G132" s="9" t="inlineStr">
        <is>
          <t>113</t>
        </is>
      </c>
      <c r="H132" s="9" t="inlineStr">
        <is>
          <t>29103-ET-P2701-1-PWK-1.pdf</t>
        </is>
      </c>
      <c r="I132" s="4" t="str">
        <f>IF($H132&lt;&gt;"","YES","NO")</f>
        <v>YES</v>
      </c>
      <c r="J132" s="4" t="str">
        <f>IF(N($T132)&gt;0,"YES","NO")</f>
        <v>NO</v>
      </c>
      <c r="K132" s="4" t="str">
        <f>IF(OR($A132="EHT Trace"),IF(AND($U132&lt;&gt;"",$V132&lt;&gt;""),"YES","NO"),"N/A")</f>
        <v>N/A</v>
      </c>
      <c r="L132" s="4" t="str">
        <f>IF(OR($A132="EHT Trace"),IF(AND($X132&lt;&gt;"",$Y132&lt;&gt;""),"YES","NO"),"N/A")</f>
        <v>N/A</v>
      </c>
      <c r="M132" s="4" t="str">
        <f>IF(OR($A132="EHT Trace"),IF(AND($AA132&lt;&gt;"",$AB132&lt;&gt;""),"YES","NO"),"N/A")</f>
        <v>N/A</v>
      </c>
      <c r="N132" s="4" t="str">
        <f>IF(OR($A132="Power Cable"),IF(AND($AD132&lt;&gt;""),"YES","NO"),"N/A")</f>
        <v>NO</v>
      </c>
      <c r="O132" s="4" t="str">
        <f>IF(OR($A132="Power Cable",$A132="RTD Cable",$A132="Fieldbus Cable"),IF(AND($AE132&lt;&gt;""),"YES","NO"),"N/A")</f>
        <v>NO</v>
      </c>
      <c r="P132" s="4" t="str">
        <f>IF(OR($A132="RTD"),IF(AND($AH132&lt;&gt;""),"YES","NO"),"N/A")</f>
        <v>N/A</v>
      </c>
      <c r="Q132" s="4" t="str">
        <f>IF(OR($A132="RTD"),IF(AND($AI132&lt;&gt;""),"YES","NO"),"N/A")</f>
        <v>N/A</v>
      </c>
      <c r="R132" s="4" t="str">
        <f>IF(OR($AM132&lt;&gt;"",$Z132&lt;&gt;"",$AC132&lt;&gt;""),"YES","NO")</f>
        <v>NO</v>
      </c>
      <c r="S132" s="4" t="str">
        <f>IF(COUNTIF(I132:R132,"NO")=0,"YES","NO")</f>
        <v>NO</v>
      </c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inlineStr">
        <is>
          <t>Teck</t>
        </is>
      </c>
      <c r="AK132" s="9" t="inlineStr">
        <is>
          <t>10AWG</t>
        </is>
      </c>
      <c r="AL132" s="9" t="inlineStr">
        <is>
          <t>Levy Ostrup</t>
        </is>
      </c>
      <c r="AM132" s="9" t="n"/>
      <c r="AN132" s="9" t="n"/>
    </row>
    <row r="133">
      <c r="A133" s="9" t="inlineStr">
        <is>
          <t>Power Cable</t>
        </is>
      </c>
      <c r="B133" s="9" t="inlineStr">
        <is>
          <t>29103-ET-P2704-1-PWK-1</t>
        </is>
      </c>
      <c r="C133" s="9" t="inlineStr">
        <is>
          <t>29103-ET-P2704-1</t>
        </is>
      </c>
      <c r="D133" s="9" t="inlineStr">
        <is>
          <t>29103-HTP-005 HTC-29</t>
        </is>
      </c>
      <c r="E133" s="9" t="inlineStr">
        <is>
          <t>29103-HTP-005</t>
        </is>
      </c>
      <c r="F133" s="9" t="inlineStr"/>
      <c r="G133" s="9" t="inlineStr">
        <is>
          <t>113</t>
        </is>
      </c>
      <c r="H133" s="9" t="inlineStr">
        <is>
          <t>29103-ET-P2704-1-PWK-1.pdf</t>
        </is>
      </c>
      <c r="I133" s="4" t="str">
        <f>IF($H133&lt;&gt;"","YES","NO")</f>
        <v>YES</v>
      </c>
      <c r="J133" s="4" t="str">
        <f>IF(N($T133)&gt;0,"YES","NO")</f>
        <v>NO</v>
      </c>
      <c r="K133" s="4" t="str">
        <f>IF(OR($A133="EHT Trace"),IF(AND($U133&lt;&gt;"",$V133&lt;&gt;""),"YES","NO"),"N/A")</f>
        <v>N/A</v>
      </c>
      <c r="L133" s="4" t="str">
        <f>IF(OR($A133="EHT Trace"),IF(AND($X133&lt;&gt;"",$Y133&lt;&gt;""),"YES","NO"),"N/A")</f>
        <v>N/A</v>
      </c>
      <c r="M133" s="4" t="str">
        <f>IF(OR($A133="EHT Trace"),IF(AND($AA133&lt;&gt;"",$AB133&lt;&gt;""),"YES","NO"),"N/A")</f>
        <v>N/A</v>
      </c>
      <c r="N133" s="4" t="str">
        <f>IF(OR($A133="Power Cable"),IF(AND($AD133&lt;&gt;""),"YES","NO"),"N/A")</f>
        <v>NO</v>
      </c>
      <c r="O133" s="4" t="str">
        <f>IF(OR($A133="Power Cable",$A133="RTD Cable",$A133="Fieldbus Cable"),IF(AND($AE133&lt;&gt;""),"YES","NO"),"N/A")</f>
        <v>NO</v>
      </c>
      <c r="P133" s="4" t="str">
        <f>IF(OR($A133="RTD"),IF(AND($AH133&lt;&gt;""),"YES","NO"),"N/A")</f>
        <v>N/A</v>
      </c>
      <c r="Q133" s="4" t="str">
        <f>IF(OR($A133="RTD"),IF(AND($AI133&lt;&gt;""),"YES","NO"),"N/A")</f>
        <v>N/A</v>
      </c>
      <c r="R133" s="4" t="str">
        <f>IF(OR($AM133&lt;&gt;"",$Z133&lt;&gt;"",$AC133&lt;&gt;""),"YES","NO")</f>
        <v>NO</v>
      </c>
      <c r="S133" s="4" t="str">
        <f>IF(COUNTIF(I133:R133,"NO")=0,"YES","NO")</f>
        <v>NO</v>
      </c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inlineStr">
        <is>
          <t>Teck</t>
        </is>
      </c>
      <c r="AK133" s="9" t="inlineStr">
        <is>
          <t>10AWG</t>
        </is>
      </c>
      <c r="AL133" s="9" t="inlineStr">
        <is>
          <t>Levy Ostrup</t>
        </is>
      </c>
      <c r="AM133" s="9" t="n"/>
      <c r="AN133" s="9" t="n"/>
    </row>
    <row r="134">
      <c r="A134" s="9" t="inlineStr">
        <is>
          <t>Power Cable</t>
        </is>
      </c>
      <c r="B134" s="9" t="inlineStr">
        <is>
          <t>29103-ET-P2704-2-PWK-1</t>
        </is>
      </c>
      <c r="C134" s="9" t="inlineStr">
        <is>
          <t>29103-ET-P2704-2</t>
        </is>
      </c>
      <c r="D134" s="9" t="inlineStr">
        <is>
          <t>29103-HTP-005 HTC-27</t>
        </is>
      </c>
      <c r="E134" s="9" t="inlineStr">
        <is>
          <t>29103-HTP-005</t>
        </is>
      </c>
      <c r="F134" s="9" t="inlineStr"/>
      <c r="G134" s="9" t="inlineStr">
        <is>
          <t>113</t>
        </is>
      </c>
      <c r="H134" s="9" t="inlineStr">
        <is>
          <t>29103-ET-P2704-2-PWK-1.pdf</t>
        </is>
      </c>
      <c r="I134" s="4" t="str">
        <f>IF($H134&lt;&gt;"","YES","NO")</f>
        <v>YES</v>
      </c>
      <c r="J134" s="4" t="str">
        <f>IF(N($T134)&gt;0,"YES","NO")</f>
        <v>NO</v>
      </c>
      <c r="K134" s="4" t="str">
        <f>IF(OR($A134="EHT Trace"),IF(AND($U134&lt;&gt;"",$V134&lt;&gt;""),"YES","NO"),"N/A")</f>
        <v>N/A</v>
      </c>
      <c r="L134" s="4" t="str">
        <f>IF(OR($A134="EHT Trace"),IF(AND($X134&lt;&gt;"",$Y134&lt;&gt;""),"YES","NO"),"N/A")</f>
        <v>N/A</v>
      </c>
      <c r="M134" s="4" t="str">
        <f>IF(OR($A134="EHT Trace"),IF(AND($AA134&lt;&gt;"",$AB134&lt;&gt;""),"YES","NO"),"N/A")</f>
        <v>N/A</v>
      </c>
      <c r="N134" s="4" t="str">
        <f>IF(OR($A134="Power Cable"),IF(AND($AD134&lt;&gt;""),"YES","NO"),"N/A")</f>
        <v>NO</v>
      </c>
      <c r="O134" s="4" t="str">
        <f>IF(OR($A134="Power Cable",$A134="RTD Cable",$A134="Fieldbus Cable"),IF(AND($AE134&lt;&gt;""),"YES","NO"),"N/A")</f>
        <v>NO</v>
      </c>
      <c r="P134" s="4" t="str">
        <f>IF(OR($A134="RTD"),IF(AND($AH134&lt;&gt;""),"YES","NO"),"N/A")</f>
        <v>N/A</v>
      </c>
      <c r="Q134" s="4" t="str">
        <f>IF(OR($A134="RTD"),IF(AND($AI134&lt;&gt;""),"YES","NO"),"N/A")</f>
        <v>N/A</v>
      </c>
      <c r="R134" s="4" t="str">
        <f>IF(OR($AM134&lt;&gt;"",$Z134&lt;&gt;"",$AC134&lt;&gt;""),"YES","NO")</f>
        <v>NO</v>
      </c>
      <c r="S134" s="4" t="str">
        <f>IF(COUNTIF(I134:R134,"NO")=0,"YES","NO")</f>
        <v>NO</v>
      </c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inlineStr">
        <is>
          <t>Teck</t>
        </is>
      </c>
      <c r="AK134" s="9" t="inlineStr">
        <is>
          <t>10AWG</t>
        </is>
      </c>
      <c r="AL134" s="9" t="inlineStr">
        <is>
          <t>Levy Ostrup</t>
        </is>
      </c>
      <c r="AM134" s="9" t="n"/>
      <c r="AN134" s="9" t="n"/>
    </row>
    <row r="135">
      <c r="A135" s="9" t="inlineStr">
        <is>
          <t>Power Cable</t>
        </is>
      </c>
      <c r="B135" s="9" t="inlineStr">
        <is>
          <t>29103-ET-P2800-1-PWK-1</t>
        </is>
      </c>
      <c r="C135" s="9" t="inlineStr">
        <is>
          <t>29103-ET-P2800-1</t>
        </is>
      </c>
      <c r="D135" s="9" t="inlineStr">
        <is>
          <t>29103-HTP-005 HTC-17</t>
        </is>
      </c>
      <c r="E135" s="9" t="inlineStr">
        <is>
          <t>29103-HTP-005</t>
        </is>
      </c>
      <c r="F135" s="9" t="inlineStr"/>
      <c r="G135" s="9" t="inlineStr">
        <is>
          <t>113</t>
        </is>
      </c>
      <c r="H135" s="9" t="inlineStr">
        <is>
          <t>29103-ET-P2800-1-PWK-1.pdf</t>
        </is>
      </c>
      <c r="I135" s="4" t="str">
        <f>IF($H135&lt;&gt;"","YES","NO")</f>
        <v>YES</v>
      </c>
      <c r="J135" s="4" t="str">
        <f>IF(N($T135)&gt;0,"YES","NO")</f>
        <v>NO</v>
      </c>
      <c r="K135" s="4" t="str">
        <f>IF(OR($A135="EHT Trace"),IF(AND($U135&lt;&gt;"",$V135&lt;&gt;""),"YES","NO"),"N/A")</f>
        <v>N/A</v>
      </c>
      <c r="L135" s="4" t="str">
        <f>IF(OR($A135="EHT Trace"),IF(AND($X135&lt;&gt;"",$Y135&lt;&gt;""),"YES","NO"),"N/A")</f>
        <v>N/A</v>
      </c>
      <c r="M135" s="4" t="str">
        <f>IF(OR($A135="EHT Trace"),IF(AND($AA135&lt;&gt;"",$AB135&lt;&gt;""),"YES","NO"),"N/A")</f>
        <v>N/A</v>
      </c>
      <c r="N135" s="4" t="str">
        <f>IF(OR($A135="Power Cable"),IF(AND($AD135&lt;&gt;""),"YES","NO"),"N/A")</f>
        <v>NO</v>
      </c>
      <c r="O135" s="4" t="str">
        <f>IF(OR($A135="Power Cable",$A135="RTD Cable",$A135="Fieldbus Cable"),IF(AND($AE135&lt;&gt;""),"YES","NO"),"N/A")</f>
        <v>NO</v>
      </c>
      <c r="P135" s="4" t="str">
        <f>IF(OR($A135="RTD"),IF(AND($AH135&lt;&gt;""),"YES","NO"),"N/A")</f>
        <v>N/A</v>
      </c>
      <c r="Q135" s="4" t="str">
        <f>IF(OR($A135="RTD"),IF(AND($AI135&lt;&gt;""),"YES","NO"),"N/A")</f>
        <v>N/A</v>
      </c>
      <c r="R135" s="4" t="str">
        <f>IF(OR($AM135&lt;&gt;"",$Z135&lt;&gt;"",$AC135&lt;&gt;""),"YES","NO")</f>
        <v>NO</v>
      </c>
      <c r="S135" s="4" t="str">
        <f>IF(COUNTIF(I135:R135,"NO")=0,"YES","NO")</f>
        <v>NO</v>
      </c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inlineStr">
        <is>
          <t>Teck</t>
        </is>
      </c>
      <c r="AK135" s="9" t="inlineStr">
        <is>
          <t>10AWG</t>
        </is>
      </c>
      <c r="AL135" s="9" t="inlineStr">
        <is>
          <t>Levy Ostrup</t>
        </is>
      </c>
      <c r="AM135" s="9" t="n"/>
      <c r="AN135" s="9" t="n"/>
    </row>
    <row r="136">
      <c r="A136" s="9" t="inlineStr">
        <is>
          <t>Power Cable</t>
        </is>
      </c>
      <c r="B136" s="9" t="inlineStr">
        <is>
          <t>29103-ET-PE2401-1-PWK-1</t>
        </is>
      </c>
      <c r="C136" s="9" t="inlineStr">
        <is>
          <t>29103-ET-PE2401-1</t>
        </is>
      </c>
      <c r="D136" s="9" t="inlineStr">
        <is>
          <t>29103-HTP-005 HTC-08</t>
        </is>
      </c>
      <c r="E136" s="9" t="inlineStr">
        <is>
          <t>29103-HTP-005</t>
        </is>
      </c>
      <c r="F136" s="9" t="inlineStr"/>
      <c r="G136" s="9" t="inlineStr">
        <is>
          <t>113</t>
        </is>
      </c>
      <c r="H136" s="9" t="inlineStr">
        <is>
          <t>29103-ET-PE2401-1-PWK-1.pdf</t>
        </is>
      </c>
      <c r="I136" s="4" t="str">
        <f>IF($H136&lt;&gt;"","YES","NO")</f>
        <v>YES</v>
      </c>
      <c r="J136" s="4" t="str">
        <f>IF(N($T136)&gt;0,"YES","NO")</f>
        <v>NO</v>
      </c>
      <c r="K136" s="4" t="str">
        <f>IF(OR($A136="EHT Trace"),IF(AND($U136&lt;&gt;"",$V136&lt;&gt;""),"YES","NO"),"N/A")</f>
        <v>N/A</v>
      </c>
      <c r="L136" s="4" t="str">
        <f>IF(OR($A136="EHT Trace"),IF(AND($X136&lt;&gt;"",$Y136&lt;&gt;""),"YES","NO"),"N/A")</f>
        <v>N/A</v>
      </c>
      <c r="M136" s="4" t="str">
        <f>IF(OR($A136="EHT Trace"),IF(AND($AA136&lt;&gt;"",$AB136&lt;&gt;""),"YES","NO"),"N/A")</f>
        <v>N/A</v>
      </c>
      <c r="N136" s="4" t="str">
        <f>IF(OR($A136="Power Cable"),IF(AND($AD136&lt;&gt;""),"YES","NO"),"N/A")</f>
        <v>NO</v>
      </c>
      <c r="O136" s="4" t="str">
        <f>IF(OR($A136="Power Cable",$A136="RTD Cable",$A136="Fieldbus Cable"),IF(AND($AE136&lt;&gt;""),"YES","NO"),"N/A")</f>
        <v>NO</v>
      </c>
      <c r="P136" s="4" t="str">
        <f>IF(OR($A136="RTD"),IF(AND($AH136&lt;&gt;""),"YES","NO"),"N/A")</f>
        <v>N/A</v>
      </c>
      <c r="Q136" s="4" t="str">
        <f>IF(OR($A136="RTD"),IF(AND($AI136&lt;&gt;""),"YES","NO"),"N/A")</f>
        <v>N/A</v>
      </c>
      <c r="R136" s="4" t="str">
        <f>IF(OR($AM136&lt;&gt;"",$Z136&lt;&gt;"",$AC136&lt;&gt;""),"YES","NO")</f>
        <v>NO</v>
      </c>
      <c r="S136" s="4" t="str">
        <f>IF(COUNTIF(I136:R136,"NO")=0,"YES","NO")</f>
        <v>NO</v>
      </c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inlineStr">
        <is>
          <t>Teck</t>
        </is>
      </c>
      <c r="AK136" s="9" t="inlineStr">
        <is>
          <t>10AWG</t>
        </is>
      </c>
      <c r="AL136" s="9" t="inlineStr">
        <is>
          <t>Levy Ostrup</t>
        </is>
      </c>
      <c r="AM136" s="9" t="n"/>
      <c r="AN136" s="9" t="n"/>
    </row>
    <row r="137">
      <c r="A137" s="9" t="inlineStr">
        <is>
          <t>Power Cable</t>
        </is>
      </c>
      <c r="B137" s="9" t="inlineStr">
        <is>
          <t>29103-ET-PE2501-1-PWK-1</t>
        </is>
      </c>
      <c r="C137" s="9" t="inlineStr">
        <is>
          <t>29103-ET-PE2501-1</t>
        </is>
      </c>
      <c r="D137" s="9" t="inlineStr">
        <is>
          <t>29103-HTP-005 HTC-10</t>
        </is>
      </c>
      <c r="E137" s="9" t="inlineStr">
        <is>
          <t>29103-HTP-005</t>
        </is>
      </c>
      <c r="F137" s="9" t="inlineStr"/>
      <c r="G137" s="9" t="inlineStr">
        <is>
          <t>113</t>
        </is>
      </c>
      <c r="H137" s="9" t="inlineStr">
        <is>
          <t>29103-ET-PE2501-1-PWK-1.pdf</t>
        </is>
      </c>
      <c r="I137" s="4" t="str">
        <f>IF($H137&lt;&gt;"","YES","NO")</f>
        <v>YES</v>
      </c>
      <c r="J137" s="4" t="str">
        <f>IF(N($T137)&gt;0,"YES","NO")</f>
        <v>NO</v>
      </c>
      <c r="K137" s="4" t="str">
        <f>IF(OR($A137="EHT Trace"),IF(AND($U137&lt;&gt;"",$V137&lt;&gt;""),"YES","NO"),"N/A")</f>
        <v>N/A</v>
      </c>
      <c r="L137" s="4" t="str">
        <f>IF(OR($A137="EHT Trace"),IF(AND($X137&lt;&gt;"",$Y137&lt;&gt;""),"YES","NO"),"N/A")</f>
        <v>N/A</v>
      </c>
      <c r="M137" s="4" t="str">
        <f>IF(OR($A137="EHT Trace"),IF(AND($AA137&lt;&gt;"",$AB137&lt;&gt;""),"YES","NO"),"N/A")</f>
        <v>N/A</v>
      </c>
      <c r="N137" s="4" t="str">
        <f>IF(OR($A137="Power Cable"),IF(AND($AD137&lt;&gt;""),"YES","NO"),"N/A")</f>
        <v>NO</v>
      </c>
      <c r="O137" s="4" t="str">
        <f>IF(OR($A137="Power Cable",$A137="RTD Cable",$A137="Fieldbus Cable"),IF(AND($AE137&lt;&gt;""),"YES","NO"),"N/A")</f>
        <v>NO</v>
      </c>
      <c r="P137" s="4" t="str">
        <f>IF(OR($A137="RTD"),IF(AND($AH137&lt;&gt;""),"YES","NO"),"N/A")</f>
        <v>N/A</v>
      </c>
      <c r="Q137" s="4" t="str">
        <f>IF(OR($A137="RTD"),IF(AND($AI137&lt;&gt;""),"YES","NO"),"N/A")</f>
        <v>N/A</v>
      </c>
      <c r="R137" s="4" t="str">
        <f>IF(OR($AM137&lt;&gt;"",$Z137&lt;&gt;"",$AC137&lt;&gt;""),"YES","NO")</f>
        <v>NO</v>
      </c>
      <c r="S137" s="4" t="str">
        <f>IF(COUNTIF(I137:R137,"NO")=0,"YES","NO")</f>
        <v>NO</v>
      </c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inlineStr">
        <is>
          <t>Teck</t>
        </is>
      </c>
      <c r="AK137" s="9" t="inlineStr">
        <is>
          <t>10AWG</t>
        </is>
      </c>
      <c r="AL137" s="9" t="inlineStr">
        <is>
          <t>Levy Ostrup</t>
        </is>
      </c>
      <c r="AM137" s="9" t="n"/>
      <c r="AN137" s="9" t="n"/>
    </row>
    <row r="138">
      <c r="A138" s="9" t="inlineStr">
        <is>
          <t>Power Cable</t>
        </is>
      </c>
      <c r="B138" s="9" t="inlineStr">
        <is>
          <t>29103-ET-PE2501-2-PWK-1</t>
        </is>
      </c>
      <c r="C138" s="9" t="inlineStr">
        <is>
          <t>29103-ET-PE2501-2</t>
        </is>
      </c>
      <c r="D138" s="9" t="inlineStr">
        <is>
          <t>29103-HTP-005 HTC-07</t>
        </is>
      </c>
      <c r="E138" s="9" t="inlineStr">
        <is>
          <t>29103-HTP-005</t>
        </is>
      </c>
      <c r="F138" s="9" t="inlineStr"/>
      <c r="G138" s="9" t="inlineStr">
        <is>
          <t>113</t>
        </is>
      </c>
      <c r="H138" s="9" t="inlineStr">
        <is>
          <t>29103-ET-PE2501-2-PWK-1.pdf</t>
        </is>
      </c>
      <c r="I138" s="4" t="str">
        <f>IF($H138&lt;&gt;"","YES","NO")</f>
        <v>YES</v>
      </c>
      <c r="J138" s="4" t="str">
        <f>IF(N($T138)&gt;0,"YES","NO")</f>
        <v>NO</v>
      </c>
      <c r="K138" s="4" t="str">
        <f>IF(OR($A138="EHT Trace"),IF(AND($U138&lt;&gt;"",$V138&lt;&gt;""),"YES","NO"),"N/A")</f>
        <v>N/A</v>
      </c>
      <c r="L138" s="4" t="str">
        <f>IF(OR($A138="EHT Trace"),IF(AND($X138&lt;&gt;"",$Y138&lt;&gt;""),"YES","NO"),"N/A")</f>
        <v>N/A</v>
      </c>
      <c r="M138" s="4" t="str">
        <f>IF(OR($A138="EHT Trace"),IF(AND($AA138&lt;&gt;"",$AB138&lt;&gt;""),"YES","NO"),"N/A")</f>
        <v>N/A</v>
      </c>
      <c r="N138" s="4" t="str">
        <f>IF(OR($A138="Power Cable"),IF(AND($AD138&lt;&gt;""),"YES","NO"),"N/A")</f>
        <v>NO</v>
      </c>
      <c r="O138" s="4" t="str">
        <f>IF(OR($A138="Power Cable",$A138="RTD Cable",$A138="Fieldbus Cable"),IF(AND($AE138&lt;&gt;""),"YES","NO"),"N/A")</f>
        <v>NO</v>
      </c>
      <c r="P138" s="4" t="str">
        <f>IF(OR($A138="RTD"),IF(AND($AH138&lt;&gt;""),"YES","NO"),"N/A")</f>
        <v>N/A</v>
      </c>
      <c r="Q138" s="4" t="str">
        <f>IF(OR($A138="RTD"),IF(AND($AI138&lt;&gt;""),"YES","NO"),"N/A")</f>
        <v>N/A</v>
      </c>
      <c r="R138" s="4" t="str">
        <f>IF(OR($AM138&lt;&gt;"",$Z138&lt;&gt;"",$AC138&lt;&gt;""),"YES","NO")</f>
        <v>NO</v>
      </c>
      <c r="S138" s="4" t="str">
        <f>IF(COUNTIF(I138:R138,"NO")=0,"YES","NO")</f>
        <v>NO</v>
      </c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inlineStr">
        <is>
          <t>Teck</t>
        </is>
      </c>
      <c r="AK138" s="9" t="inlineStr">
        <is>
          <t>10AWG</t>
        </is>
      </c>
      <c r="AL138" s="9" t="inlineStr">
        <is>
          <t>Levy Ostrup</t>
        </is>
      </c>
      <c r="AM138" s="9" t="n"/>
      <c r="AN138" s="9" t="n"/>
    </row>
    <row r="139">
      <c r="A139" s="9" t="inlineStr">
        <is>
          <t>Power Cable</t>
        </is>
      </c>
      <c r="B139" s="9" t="inlineStr">
        <is>
          <t>29103-ET-PE2502-1-PWK-1</t>
        </is>
      </c>
      <c r="C139" s="9" t="inlineStr">
        <is>
          <t>29103-ET-PE2502-1</t>
        </is>
      </c>
      <c r="D139" s="9" t="inlineStr">
        <is>
          <t>29103-HTP-005 HTC-06</t>
        </is>
      </c>
      <c r="E139" s="9" t="inlineStr">
        <is>
          <t>29103-HTP-005</t>
        </is>
      </c>
      <c r="F139" s="9" t="inlineStr"/>
      <c r="G139" s="9" t="inlineStr">
        <is>
          <t>113</t>
        </is>
      </c>
      <c r="H139" s="9" t="inlineStr">
        <is>
          <t>29103-ET-PE2502-1-PWK-1.pdf</t>
        </is>
      </c>
      <c r="I139" s="4" t="str">
        <f>IF($H139&lt;&gt;"","YES","NO")</f>
        <v>YES</v>
      </c>
      <c r="J139" s="4" t="str">
        <f>IF(N($T139)&gt;0,"YES","NO")</f>
        <v>NO</v>
      </c>
      <c r="K139" s="4" t="str">
        <f>IF(OR($A139="EHT Trace"),IF(AND($U139&lt;&gt;"",$V139&lt;&gt;""),"YES","NO"),"N/A")</f>
        <v>N/A</v>
      </c>
      <c r="L139" s="4" t="str">
        <f>IF(OR($A139="EHT Trace"),IF(AND($X139&lt;&gt;"",$Y139&lt;&gt;""),"YES","NO"),"N/A")</f>
        <v>N/A</v>
      </c>
      <c r="M139" s="4" t="str">
        <f>IF(OR($A139="EHT Trace"),IF(AND($AA139&lt;&gt;"",$AB139&lt;&gt;""),"YES","NO"),"N/A")</f>
        <v>N/A</v>
      </c>
      <c r="N139" s="4" t="str">
        <f>IF(OR($A139="Power Cable"),IF(AND($AD139&lt;&gt;""),"YES","NO"),"N/A")</f>
        <v>NO</v>
      </c>
      <c r="O139" s="4" t="str">
        <f>IF(OR($A139="Power Cable",$A139="RTD Cable",$A139="Fieldbus Cable"),IF(AND($AE139&lt;&gt;""),"YES","NO"),"N/A")</f>
        <v>NO</v>
      </c>
      <c r="P139" s="4" t="str">
        <f>IF(OR($A139="RTD"),IF(AND($AH139&lt;&gt;""),"YES","NO"),"N/A")</f>
        <v>N/A</v>
      </c>
      <c r="Q139" s="4" t="str">
        <f>IF(OR($A139="RTD"),IF(AND($AI139&lt;&gt;""),"YES","NO"),"N/A")</f>
        <v>N/A</v>
      </c>
      <c r="R139" s="4" t="str">
        <f>IF(OR($AM139&lt;&gt;"",$Z139&lt;&gt;"",$AC139&lt;&gt;""),"YES","NO")</f>
        <v>NO</v>
      </c>
      <c r="S139" s="4" t="str">
        <f>IF(COUNTIF(I139:R139,"NO")=0,"YES","NO")</f>
        <v>NO</v>
      </c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inlineStr">
        <is>
          <t>Teck</t>
        </is>
      </c>
      <c r="AK139" s="9" t="inlineStr">
        <is>
          <t>10AWG</t>
        </is>
      </c>
      <c r="AL139" s="9" t="inlineStr">
        <is>
          <t>Levy Ostrup</t>
        </is>
      </c>
      <c r="AM139" s="9" t="n"/>
      <c r="AN139" s="9" t="n"/>
    </row>
    <row r="140">
      <c r="A140" s="9" t="inlineStr">
        <is>
          <t>Power Cable</t>
        </is>
      </c>
      <c r="B140" s="9" t="inlineStr">
        <is>
          <t>29103-ET-PE2601-1-PWK-1</t>
        </is>
      </c>
      <c r="C140" s="9" t="inlineStr">
        <is>
          <t>29103-ET-PE2601-1</t>
        </is>
      </c>
      <c r="D140" s="9" t="inlineStr">
        <is>
          <t>29103-HTP-005 HTC-31</t>
        </is>
      </c>
      <c r="E140" s="9" t="inlineStr">
        <is>
          <t>29103-HTP-005</t>
        </is>
      </c>
      <c r="F140" s="9" t="inlineStr"/>
      <c r="G140" s="9" t="inlineStr">
        <is>
          <t>113</t>
        </is>
      </c>
      <c r="H140" s="9" t="inlineStr">
        <is>
          <t>29103-ET-PE2601-1-PWK-1.pdf</t>
        </is>
      </c>
      <c r="I140" s="4" t="str">
        <f>IF($H140&lt;&gt;"","YES","NO")</f>
        <v>YES</v>
      </c>
      <c r="J140" s="4" t="str">
        <f>IF(N($T140)&gt;0,"YES","NO")</f>
        <v>NO</v>
      </c>
      <c r="K140" s="4" t="str">
        <f>IF(OR($A140="EHT Trace"),IF(AND($U140&lt;&gt;"",$V140&lt;&gt;""),"YES","NO"),"N/A")</f>
        <v>N/A</v>
      </c>
      <c r="L140" s="4" t="str">
        <f>IF(OR($A140="EHT Trace"),IF(AND($X140&lt;&gt;"",$Y140&lt;&gt;""),"YES","NO"),"N/A")</f>
        <v>N/A</v>
      </c>
      <c r="M140" s="4" t="str">
        <f>IF(OR($A140="EHT Trace"),IF(AND($AA140&lt;&gt;"",$AB140&lt;&gt;""),"YES","NO"),"N/A")</f>
        <v>N/A</v>
      </c>
      <c r="N140" s="4" t="str">
        <f>IF(OR($A140="Power Cable"),IF(AND($AD140&lt;&gt;""),"YES","NO"),"N/A")</f>
        <v>NO</v>
      </c>
      <c r="O140" s="4" t="str">
        <f>IF(OR($A140="Power Cable",$A140="RTD Cable",$A140="Fieldbus Cable"),IF(AND($AE140&lt;&gt;""),"YES","NO"),"N/A")</f>
        <v>NO</v>
      </c>
      <c r="P140" s="4" t="str">
        <f>IF(OR($A140="RTD"),IF(AND($AH140&lt;&gt;""),"YES","NO"),"N/A")</f>
        <v>N/A</v>
      </c>
      <c r="Q140" s="4" t="str">
        <f>IF(OR($A140="RTD"),IF(AND($AI140&lt;&gt;""),"YES","NO"),"N/A")</f>
        <v>N/A</v>
      </c>
      <c r="R140" s="4" t="str">
        <f>IF(OR($AM140&lt;&gt;"",$Z140&lt;&gt;"",$AC140&lt;&gt;""),"YES","NO")</f>
        <v>NO</v>
      </c>
      <c r="S140" s="4" t="str">
        <f>IF(COUNTIF(I140:R140,"NO")=0,"YES","NO")</f>
        <v>NO</v>
      </c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inlineStr">
        <is>
          <t>Teck</t>
        </is>
      </c>
      <c r="AK140" s="9" t="inlineStr">
        <is>
          <t>10AWG</t>
        </is>
      </c>
      <c r="AL140" s="9" t="inlineStr">
        <is>
          <t>Levy Ostrup</t>
        </is>
      </c>
      <c r="AM140" s="9" t="n"/>
      <c r="AN140" s="9" t="n"/>
    </row>
    <row r="141">
      <c r="A141" s="9" t="inlineStr">
        <is>
          <t>Power Cable</t>
        </is>
      </c>
      <c r="B141" s="9" t="inlineStr">
        <is>
          <t>29103-ET-PE2601-2-PWK-1</t>
        </is>
      </c>
      <c r="C141" s="9" t="inlineStr">
        <is>
          <t>29103-ET-PE2601-2</t>
        </is>
      </c>
      <c r="D141" s="9" t="inlineStr">
        <is>
          <t>29103-HTP-005 HTC-12</t>
        </is>
      </c>
      <c r="E141" s="9" t="inlineStr">
        <is>
          <t>29103-HTP-005</t>
        </is>
      </c>
      <c r="F141" s="9" t="inlineStr"/>
      <c r="G141" s="9" t="inlineStr">
        <is>
          <t>113</t>
        </is>
      </c>
      <c r="H141" s="9" t="inlineStr">
        <is>
          <t>29103-ET-PE2601-2-PWK-1.pdf</t>
        </is>
      </c>
      <c r="I141" s="4" t="str">
        <f>IF($H141&lt;&gt;"","YES","NO")</f>
        <v>YES</v>
      </c>
      <c r="J141" s="4" t="str">
        <f>IF(N($T141)&gt;0,"YES","NO")</f>
        <v>NO</v>
      </c>
      <c r="K141" s="4" t="str">
        <f>IF(OR($A141="EHT Trace"),IF(AND($U141&lt;&gt;"",$V141&lt;&gt;""),"YES","NO"),"N/A")</f>
        <v>N/A</v>
      </c>
      <c r="L141" s="4" t="str">
        <f>IF(OR($A141="EHT Trace"),IF(AND($X141&lt;&gt;"",$Y141&lt;&gt;""),"YES","NO"),"N/A")</f>
        <v>N/A</v>
      </c>
      <c r="M141" s="4" t="str">
        <f>IF(OR($A141="EHT Trace"),IF(AND($AA141&lt;&gt;"",$AB141&lt;&gt;""),"YES","NO"),"N/A")</f>
        <v>N/A</v>
      </c>
      <c r="N141" s="4" t="str">
        <f>IF(OR($A141="Power Cable"),IF(AND($AD141&lt;&gt;""),"YES","NO"),"N/A")</f>
        <v>NO</v>
      </c>
      <c r="O141" s="4" t="str">
        <f>IF(OR($A141="Power Cable",$A141="RTD Cable",$A141="Fieldbus Cable"),IF(AND($AE141&lt;&gt;""),"YES","NO"),"N/A")</f>
        <v>NO</v>
      </c>
      <c r="P141" s="4" t="str">
        <f>IF(OR($A141="RTD"),IF(AND($AH141&lt;&gt;""),"YES","NO"),"N/A")</f>
        <v>N/A</v>
      </c>
      <c r="Q141" s="4" t="str">
        <f>IF(OR($A141="RTD"),IF(AND($AI141&lt;&gt;""),"YES","NO"),"N/A")</f>
        <v>N/A</v>
      </c>
      <c r="R141" s="4" t="str">
        <f>IF(OR($AM141&lt;&gt;"",$Z141&lt;&gt;"",$AC141&lt;&gt;""),"YES","NO")</f>
        <v>NO</v>
      </c>
      <c r="S141" s="4" t="str">
        <f>IF(COUNTIF(I141:R141,"NO")=0,"YES","NO")</f>
        <v>NO</v>
      </c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inlineStr">
        <is>
          <t>Teck</t>
        </is>
      </c>
      <c r="AK141" s="9" t="inlineStr">
        <is>
          <t>10AWG</t>
        </is>
      </c>
      <c r="AL141" s="9" t="inlineStr">
        <is>
          <t>Levy Ostrup</t>
        </is>
      </c>
      <c r="AM141" s="9" t="n"/>
      <c r="AN141" s="9" t="n"/>
    </row>
    <row r="142">
      <c r="A142" s="9" t="inlineStr">
        <is>
          <t>Power Cable</t>
        </is>
      </c>
      <c r="B142" s="9" t="inlineStr">
        <is>
          <t>29103-ET-PE2602-1-PWK-1</t>
        </is>
      </c>
      <c r="C142" s="9" t="inlineStr">
        <is>
          <t>29103-ET-PE2602-1</t>
        </is>
      </c>
      <c r="D142" s="9" t="inlineStr">
        <is>
          <t>29103-HTP-005 HTC-25</t>
        </is>
      </c>
      <c r="E142" s="9" t="inlineStr">
        <is>
          <t>29103-HTP-005</t>
        </is>
      </c>
      <c r="F142" s="9" t="inlineStr"/>
      <c r="G142" s="9" t="inlineStr">
        <is>
          <t>113</t>
        </is>
      </c>
      <c r="H142" s="9" t="inlineStr">
        <is>
          <t>29103-ET-PE2602-1-PWK-1.pdf</t>
        </is>
      </c>
      <c r="I142" s="4" t="str">
        <f>IF($H142&lt;&gt;"","YES","NO")</f>
        <v>YES</v>
      </c>
      <c r="J142" s="4" t="str">
        <f>IF(N($T142)&gt;0,"YES","NO")</f>
        <v>NO</v>
      </c>
      <c r="K142" s="4" t="str">
        <f>IF(OR($A142="EHT Trace"),IF(AND($U142&lt;&gt;"",$V142&lt;&gt;""),"YES","NO"),"N/A")</f>
        <v>N/A</v>
      </c>
      <c r="L142" s="4" t="str">
        <f>IF(OR($A142="EHT Trace"),IF(AND($X142&lt;&gt;"",$Y142&lt;&gt;""),"YES","NO"),"N/A")</f>
        <v>N/A</v>
      </c>
      <c r="M142" s="4" t="str">
        <f>IF(OR($A142="EHT Trace"),IF(AND($AA142&lt;&gt;"",$AB142&lt;&gt;""),"YES","NO"),"N/A")</f>
        <v>N/A</v>
      </c>
      <c r="N142" s="4" t="str">
        <f>IF(OR($A142="Power Cable"),IF(AND($AD142&lt;&gt;""),"YES","NO"),"N/A")</f>
        <v>NO</v>
      </c>
      <c r="O142" s="4" t="str">
        <f>IF(OR($A142="Power Cable",$A142="RTD Cable",$A142="Fieldbus Cable"),IF(AND($AE142&lt;&gt;""),"YES","NO"),"N/A")</f>
        <v>NO</v>
      </c>
      <c r="P142" s="4" t="str">
        <f>IF(OR($A142="RTD"),IF(AND($AH142&lt;&gt;""),"YES","NO"),"N/A")</f>
        <v>N/A</v>
      </c>
      <c r="Q142" s="4" t="str">
        <f>IF(OR($A142="RTD"),IF(AND($AI142&lt;&gt;""),"YES","NO"),"N/A")</f>
        <v>N/A</v>
      </c>
      <c r="R142" s="4" t="str">
        <f>IF(OR($AM142&lt;&gt;"",$Z142&lt;&gt;"",$AC142&lt;&gt;""),"YES","NO")</f>
        <v>NO</v>
      </c>
      <c r="S142" s="4" t="str">
        <f>IF(COUNTIF(I142:R142,"NO")=0,"YES","NO")</f>
        <v>NO</v>
      </c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inlineStr">
        <is>
          <t>Teck</t>
        </is>
      </c>
      <c r="AK142" s="9" t="inlineStr">
        <is>
          <t>10AWG</t>
        </is>
      </c>
      <c r="AL142" s="9" t="inlineStr">
        <is>
          <t>Levy Ostrup</t>
        </is>
      </c>
      <c r="AM142" s="9" t="n"/>
      <c r="AN142" s="9" t="n"/>
    </row>
    <row r="143">
      <c r="A143" s="9" t="inlineStr">
        <is>
          <t>Power Cable</t>
        </is>
      </c>
      <c r="B143" s="9" t="inlineStr">
        <is>
          <t>29103-ET-PE2701-1-PWK-1</t>
        </is>
      </c>
      <c r="C143" s="9" t="inlineStr">
        <is>
          <t>29103-ET-PE2701-1</t>
        </is>
      </c>
      <c r="D143" s="9" t="inlineStr">
        <is>
          <t>29103-HTP-005 HTC-33</t>
        </is>
      </c>
      <c r="E143" s="9" t="inlineStr">
        <is>
          <t>29103-HTP-005</t>
        </is>
      </c>
      <c r="F143" s="9" t="inlineStr"/>
      <c r="G143" s="9" t="inlineStr">
        <is>
          <t>113</t>
        </is>
      </c>
      <c r="H143" s="9" t="inlineStr">
        <is>
          <t>29103-ET-PE2701-1-PWK-1.pdf</t>
        </is>
      </c>
      <c r="I143" s="4" t="str">
        <f>IF($H143&lt;&gt;"","YES","NO")</f>
        <v>YES</v>
      </c>
      <c r="J143" s="4" t="str">
        <f>IF(N($T143)&gt;0,"YES","NO")</f>
        <v>NO</v>
      </c>
      <c r="K143" s="4" t="str">
        <f>IF(OR($A143="EHT Trace"),IF(AND($U143&lt;&gt;"",$V143&lt;&gt;""),"YES","NO"),"N/A")</f>
        <v>N/A</v>
      </c>
      <c r="L143" s="4" t="str">
        <f>IF(OR($A143="EHT Trace"),IF(AND($X143&lt;&gt;"",$Y143&lt;&gt;""),"YES","NO"),"N/A")</f>
        <v>N/A</v>
      </c>
      <c r="M143" s="4" t="str">
        <f>IF(OR($A143="EHT Trace"),IF(AND($AA143&lt;&gt;"",$AB143&lt;&gt;""),"YES","NO"),"N/A")</f>
        <v>N/A</v>
      </c>
      <c r="N143" s="4" t="str">
        <f>IF(OR($A143="Power Cable"),IF(AND($AD143&lt;&gt;""),"YES","NO"),"N/A")</f>
        <v>NO</v>
      </c>
      <c r="O143" s="4" t="str">
        <f>IF(OR($A143="Power Cable",$A143="RTD Cable",$A143="Fieldbus Cable"),IF(AND($AE143&lt;&gt;""),"YES","NO"),"N/A")</f>
        <v>NO</v>
      </c>
      <c r="P143" s="4" t="str">
        <f>IF(OR($A143="RTD"),IF(AND($AH143&lt;&gt;""),"YES","NO"),"N/A")</f>
        <v>N/A</v>
      </c>
      <c r="Q143" s="4" t="str">
        <f>IF(OR($A143="RTD"),IF(AND($AI143&lt;&gt;""),"YES","NO"),"N/A")</f>
        <v>N/A</v>
      </c>
      <c r="R143" s="4" t="str">
        <f>IF(OR($AM143&lt;&gt;"",$Z143&lt;&gt;"",$AC143&lt;&gt;""),"YES","NO")</f>
        <v>NO</v>
      </c>
      <c r="S143" s="4" t="str">
        <f>IF(COUNTIF(I143:R143,"NO")=0,"YES","NO")</f>
        <v>NO</v>
      </c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inlineStr">
        <is>
          <t>Teck</t>
        </is>
      </c>
      <c r="AK143" s="9" t="inlineStr">
        <is>
          <t>10AWG</t>
        </is>
      </c>
      <c r="AL143" s="9" t="inlineStr">
        <is>
          <t>Levy Ostrup</t>
        </is>
      </c>
      <c r="AM143" s="9" t="n"/>
      <c r="AN143" s="9" t="n"/>
    </row>
    <row r="144">
      <c r="A144" s="9" t="inlineStr">
        <is>
          <t>Power Cable</t>
        </is>
      </c>
      <c r="B144" s="9" t="inlineStr">
        <is>
          <t>29103-ET-PE2701-2-PWK-1</t>
        </is>
      </c>
      <c r="C144" s="9" t="inlineStr">
        <is>
          <t>29103-ET-PE2701-2</t>
        </is>
      </c>
      <c r="D144" s="9" t="inlineStr">
        <is>
          <t>29103-HTP-005 HTC-03</t>
        </is>
      </c>
      <c r="E144" s="9" t="inlineStr">
        <is>
          <t>29103-HTP-005</t>
        </is>
      </c>
      <c r="F144" s="9" t="inlineStr"/>
      <c r="G144" s="9" t="inlineStr">
        <is>
          <t>113</t>
        </is>
      </c>
      <c r="H144" s="9" t="inlineStr">
        <is>
          <t>29103-ET-PE2701-2-PWK-1.pdf</t>
        </is>
      </c>
      <c r="I144" s="4" t="str">
        <f>IF($H144&lt;&gt;"","YES","NO")</f>
        <v>YES</v>
      </c>
      <c r="J144" s="4" t="str">
        <f>IF(N($T144)&gt;0,"YES","NO")</f>
        <v>NO</v>
      </c>
      <c r="K144" s="4" t="str">
        <f>IF(OR($A144="EHT Trace"),IF(AND($U144&lt;&gt;"",$V144&lt;&gt;""),"YES","NO"),"N/A")</f>
        <v>N/A</v>
      </c>
      <c r="L144" s="4" t="str">
        <f>IF(OR($A144="EHT Trace"),IF(AND($X144&lt;&gt;"",$Y144&lt;&gt;""),"YES","NO"),"N/A")</f>
        <v>N/A</v>
      </c>
      <c r="M144" s="4" t="str">
        <f>IF(OR($A144="EHT Trace"),IF(AND($AA144&lt;&gt;"",$AB144&lt;&gt;""),"YES","NO"),"N/A")</f>
        <v>N/A</v>
      </c>
      <c r="N144" s="4" t="str">
        <f>IF(OR($A144="Power Cable"),IF(AND($AD144&lt;&gt;""),"YES","NO"),"N/A")</f>
        <v>NO</v>
      </c>
      <c r="O144" s="4" t="str">
        <f>IF(OR($A144="Power Cable",$A144="RTD Cable",$A144="Fieldbus Cable"),IF(AND($AE144&lt;&gt;""),"YES","NO"),"N/A")</f>
        <v>NO</v>
      </c>
      <c r="P144" s="4" t="str">
        <f>IF(OR($A144="RTD"),IF(AND($AH144&lt;&gt;""),"YES","NO"),"N/A")</f>
        <v>N/A</v>
      </c>
      <c r="Q144" s="4" t="str">
        <f>IF(OR($A144="RTD"),IF(AND($AI144&lt;&gt;""),"YES","NO"),"N/A")</f>
        <v>N/A</v>
      </c>
      <c r="R144" s="4" t="str">
        <f>IF(OR($AM144&lt;&gt;"",$Z144&lt;&gt;"",$AC144&lt;&gt;""),"YES","NO")</f>
        <v>NO</v>
      </c>
      <c r="S144" s="4" t="str">
        <f>IF(COUNTIF(I144:R144,"NO")=0,"YES","NO")</f>
        <v>NO</v>
      </c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inlineStr">
        <is>
          <t>Teck</t>
        </is>
      </c>
      <c r="AK144" s="9" t="inlineStr">
        <is>
          <t>10AWG</t>
        </is>
      </c>
      <c r="AL144" s="9" t="inlineStr">
        <is>
          <t>Levy Ostrup</t>
        </is>
      </c>
      <c r="AM144" s="9" t="n"/>
      <c r="AN144" s="9" t="n"/>
    </row>
    <row r="145">
      <c r="A145" s="9" t="inlineStr">
        <is>
          <t>Power Cable</t>
        </is>
      </c>
      <c r="B145" s="9" t="inlineStr">
        <is>
          <t>29103-ET-PE2702-1-PWK-1</t>
        </is>
      </c>
      <c r="C145" s="9" t="inlineStr">
        <is>
          <t>29103-ET-PE2702-1</t>
        </is>
      </c>
      <c r="D145" s="9" t="inlineStr">
        <is>
          <t>29103-HTP-005 HTC-26</t>
        </is>
      </c>
      <c r="E145" s="9" t="inlineStr">
        <is>
          <t>29103-HTP-005</t>
        </is>
      </c>
      <c r="F145" s="9" t="inlineStr"/>
      <c r="G145" s="9" t="inlineStr">
        <is>
          <t>113</t>
        </is>
      </c>
      <c r="H145" s="9" t="inlineStr">
        <is>
          <t>29103-ET-PE2702-1-PWK-1.pdf</t>
        </is>
      </c>
      <c r="I145" s="4" t="str">
        <f>IF($H145&lt;&gt;"","YES","NO")</f>
        <v>YES</v>
      </c>
      <c r="J145" s="4" t="str">
        <f>IF(N($T145)&gt;0,"YES","NO")</f>
        <v>NO</v>
      </c>
      <c r="K145" s="4" t="str">
        <f>IF(OR($A145="EHT Trace"),IF(AND($U145&lt;&gt;"",$V145&lt;&gt;""),"YES","NO"),"N/A")</f>
        <v>N/A</v>
      </c>
      <c r="L145" s="4" t="str">
        <f>IF(OR($A145="EHT Trace"),IF(AND($X145&lt;&gt;"",$Y145&lt;&gt;""),"YES","NO"),"N/A")</f>
        <v>N/A</v>
      </c>
      <c r="M145" s="4" t="str">
        <f>IF(OR($A145="EHT Trace"),IF(AND($AA145&lt;&gt;"",$AB145&lt;&gt;""),"YES","NO"),"N/A")</f>
        <v>N/A</v>
      </c>
      <c r="N145" s="4" t="str">
        <f>IF(OR($A145="Power Cable"),IF(AND($AD145&lt;&gt;""),"YES","NO"),"N/A")</f>
        <v>NO</v>
      </c>
      <c r="O145" s="4" t="str">
        <f>IF(OR($A145="Power Cable",$A145="RTD Cable",$A145="Fieldbus Cable"),IF(AND($AE145&lt;&gt;""),"YES","NO"),"N/A")</f>
        <v>NO</v>
      </c>
      <c r="P145" s="4" t="str">
        <f>IF(OR($A145="RTD"),IF(AND($AH145&lt;&gt;""),"YES","NO"),"N/A")</f>
        <v>N/A</v>
      </c>
      <c r="Q145" s="4" t="str">
        <f>IF(OR($A145="RTD"),IF(AND($AI145&lt;&gt;""),"YES","NO"),"N/A")</f>
        <v>N/A</v>
      </c>
      <c r="R145" s="4" t="str">
        <f>IF(OR($AM145&lt;&gt;"",$Z145&lt;&gt;"",$AC145&lt;&gt;""),"YES","NO")</f>
        <v>NO</v>
      </c>
      <c r="S145" s="4" t="str">
        <f>IF(COUNTIF(I145:R145,"NO")=0,"YES","NO")</f>
        <v>NO</v>
      </c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inlineStr">
        <is>
          <t>Teck</t>
        </is>
      </c>
      <c r="AK145" s="9" t="inlineStr">
        <is>
          <t>10AWG</t>
        </is>
      </c>
      <c r="AL145" s="9" t="inlineStr">
        <is>
          <t>Levy Ostrup</t>
        </is>
      </c>
      <c r="AM145" s="9" t="n"/>
      <c r="AN145" s="9" t="n"/>
    </row>
    <row r="146">
      <c r="A146" s="9" t="inlineStr">
        <is>
          <t>Power Cable</t>
        </is>
      </c>
      <c r="B146" s="9" t="inlineStr">
        <is>
          <t>29103-ET-PE2802-1-PWK-1</t>
        </is>
      </c>
      <c r="C146" s="9" t="inlineStr">
        <is>
          <t>29103-ET-PE2802-1</t>
        </is>
      </c>
      <c r="D146" s="9" t="inlineStr">
        <is>
          <t>29103-HTP-005 HTC-02</t>
        </is>
      </c>
      <c r="E146" s="9" t="inlineStr">
        <is>
          <t>29103-HTP-005</t>
        </is>
      </c>
      <c r="F146" s="9" t="inlineStr"/>
      <c r="G146" s="9" t="inlineStr">
        <is>
          <t>113</t>
        </is>
      </c>
      <c r="H146" s="9" t="inlineStr">
        <is>
          <t>29103-ET-PE2802-1-PWK-1.pdf</t>
        </is>
      </c>
      <c r="I146" s="4" t="str">
        <f>IF($H146&lt;&gt;"","YES","NO")</f>
        <v>YES</v>
      </c>
      <c r="J146" s="4" t="str">
        <f>IF(N($T146)&gt;0,"YES","NO")</f>
        <v>NO</v>
      </c>
      <c r="K146" s="4" t="str">
        <f>IF(OR($A146="EHT Trace"),IF(AND($U146&lt;&gt;"",$V146&lt;&gt;""),"YES","NO"),"N/A")</f>
        <v>N/A</v>
      </c>
      <c r="L146" s="4" t="str">
        <f>IF(OR($A146="EHT Trace"),IF(AND($X146&lt;&gt;"",$Y146&lt;&gt;""),"YES","NO"),"N/A")</f>
        <v>N/A</v>
      </c>
      <c r="M146" s="4" t="str">
        <f>IF(OR($A146="EHT Trace"),IF(AND($AA146&lt;&gt;"",$AB146&lt;&gt;""),"YES","NO"),"N/A")</f>
        <v>N/A</v>
      </c>
      <c r="N146" s="4" t="str">
        <f>IF(OR($A146="Power Cable"),IF(AND($AD146&lt;&gt;""),"YES","NO"),"N/A")</f>
        <v>NO</v>
      </c>
      <c r="O146" s="4" t="str">
        <f>IF(OR($A146="Power Cable",$A146="RTD Cable",$A146="Fieldbus Cable"),IF(AND($AE146&lt;&gt;""),"YES","NO"),"N/A")</f>
        <v>NO</v>
      </c>
      <c r="P146" s="4" t="str">
        <f>IF(OR($A146="RTD"),IF(AND($AH146&lt;&gt;""),"YES","NO"),"N/A")</f>
        <v>N/A</v>
      </c>
      <c r="Q146" s="4" t="str">
        <f>IF(OR($A146="RTD"),IF(AND($AI146&lt;&gt;""),"YES","NO"),"N/A")</f>
        <v>N/A</v>
      </c>
      <c r="R146" s="4" t="str">
        <f>IF(OR($AM146&lt;&gt;"",$Z146&lt;&gt;"",$AC146&lt;&gt;""),"YES","NO")</f>
        <v>NO</v>
      </c>
      <c r="S146" s="4" t="str">
        <f>IF(COUNTIF(I146:R146,"NO")=0,"YES","NO")</f>
        <v>NO</v>
      </c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inlineStr">
        <is>
          <t>Teck</t>
        </is>
      </c>
      <c r="AK146" s="9" t="inlineStr">
        <is>
          <t>10AWG</t>
        </is>
      </c>
      <c r="AL146" s="9" t="inlineStr">
        <is>
          <t>Levy Ostrup</t>
        </is>
      </c>
      <c r="AM146" s="9" t="n"/>
      <c r="AN146" s="9" t="n"/>
    </row>
    <row r="147">
      <c r="A147" s="9" t="inlineStr">
        <is>
          <t>Power Cable</t>
        </is>
      </c>
      <c r="B147" s="9" t="inlineStr">
        <is>
          <t>29103-ET-PE2802-2-PWK-1</t>
        </is>
      </c>
      <c r="C147" s="9" t="inlineStr">
        <is>
          <t>29103-ET-PE2802-2</t>
        </is>
      </c>
      <c r="D147" s="9" t="inlineStr">
        <is>
          <t>29103-HTP-005 HTC-18</t>
        </is>
      </c>
      <c r="E147" s="9" t="inlineStr">
        <is>
          <t>29103-HTP-005</t>
        </is>
      </c>
      <c r="F147" s="9" t="inlineStr"/>
      <c r="G147" s="9" t="inlineStr">
        <is>
          <t>113</t>
        </is>
      </c>
      <c r="H147" s="9" t="inlineStr">
        <is>
          <t>29103-ET-PE2802-2-PWK-1.pdf</t>
        </is>
      </c>
      <c r="I147" s="4" t="str">
        <f>IF($H147&lt;&gt;"","YES","NO")</f>
        <v>YES</v>
      </c>
      <c r="J147" s="4" t="str">
        <f>IF(N($T147)&gt;0,"YES","NO")</f>
        <v>NO</v>
      </c>
      <c r="K147" s="4" t="str">
        <f>IF(OR($A147="EHT Trace"),IF(AND($U147&lt;&gt;"",$V147&lt;&gt;""),"YES","NO"),"N/A")</f>
        <v>N/A</v>
      </c>
      <c r="L147" s="4" t="str">
        <f>IF(OR($A147="EHT Trace"),IF(AND($X147&lt;&gt;"",$Y147&lt;&gt;""),"YES","NO"),"N/A")</f>
        <v>N/A</v>
      </c>
      <c r="M147" s="4" t="str">
        <f>IF(OR($A147="EHT Trace"),IF(AND($AA147&lt;&gt;"",$AB147&lt;&gt;""),"YES","NO"),"N/A")</f>
        <v>N/A</v>
      </c>
      <c r="N147" s="4" t="str">
        <f>IF(OR($A147="Power Cable"),IF(AND($AD147&lt;&gt;""),"YES","NO"),"N/A")</f>
        <v>NO</v>
      </c>
      <c r="O147" s="4" t="str">
        <f>IF(OR($A147="Power Cable",$A147="RTD Cable",$A147="Fieldbus Cable"),IF(AND($AE147&lt;&gt;""),"YES","NO"),"N/A")</f>
        <v>NO</v>
      </c>
      <c r="P147" s="4" t="str">
        <f>IF(OR($A147="RTD"),IF(AND($AH147&lt;&gt;""),"YES","NO"),"N/A")</f>
        <v>N/A</v>
      </c>
      <c r="Q147" s="4" t="str">
        <f>IF(OR($A147="RTD"),IF(AND($AI147&lt;&gt;""),"YES","NO"),"N/A")</f>
        <v>N/A</v>
      </c>
      <c r="R147" s="4" t="str">
        <f>IF(OR($AM147&lt;&gt;"",$Z147&lt;&gt;"",$AC147&lt;&gt;""),"YES","NO")</f>
        <v>NO</v>
      </c>
      <c r="S147" s="4" t="str">
        <f>IF(COUNTIF(I147:R147,"NO")=0,"YES","NO")</f>
        <v>NO</v>
      </c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inlineStr">
        <is>
          <t>Teck</t>
        </is>
      </c>
      <c r="AK147" s="9" t="inlineStr">
        <is>
          <t>10AWG</t>
        </is>
      </c>
      <c r="AL147" s="9" t="inlineStr">
        <is>
          <t>Levy Ostrup</t>
        </is>
      </c>
      <c r="AM147" s="9" t="n"/>
      <c r="AN147" s="9" t="n"/>
    </row>
    <row r="148">
      <c r="A148" s="9" t="inlineStr">
        <is>
          <t>Power Cable</t>
        </is>
      </c>
      <c r="B148" s="9" t="inlineStr">
        <is>
          <t>29103-ET-PE2803-1-PWK-1</t>
        </is>
      </c>
      <c r="C148" s="9" t="inlineStr">
        <is>
          <t>29103-ET-PE2803-1</t>
        </is>
      </c>
      <c r="D148" s="9" t="inlineStr">
        <is>
          <t>29103-HTP-005 HTC-21</t>
        </is>
      </c>
      <c r="E148" s="9" t="inlineStr">
        <is>
          <t>29103-HTP-005</t>
        </is>
      </c>
      <c r="F148" s="9" t="inlineStr"/>
      <c r="G148" s="9" t="inlineStr">
        <is>
          <t>113</t>
        </is>
      </c>
      <c r="H148" s="9" t="inlineStr">
        <is>
          <t>29103-ET-PE2803-1-PWK-1.pdf</t>
        </is>
      </c>
      <c r="I148" s="4" t="str">
        <f>IF($H148&lt;&gt;"","YES","NO")</f>
        <v>YES</v>
      </c>
      <c r="J148" s="4" t="str">
        <f>IF(N($T148)&gt;0,"YES","NO")</f>
        <v>NO</v>
      </c>
      <c r="K148" s="4" t="str">
        <f>IF(OR($A148="EHT Trace"),IF(AND($U148&lt;&gt;"",$V148&lt;&gt;""),"YES","NO"),"N/A")</f>
        <v>N/A</v>
      </c>
      <c r="L148" s="4" t="str">
        <f>IF(OR($A148="EHT Trace"),IF(AND($X148&lt;&gt;"",$Y148&lt;&gt;""),"YES","NO"),"N/A")</f>
        <v>N/A</v>
      </c>
      <c r="M148" s="4" t="str">
        <f>IF(OR($A148="EHT Trace"),IF(AND($AA148&lt;&gt;"",$AB148&lt;&gt;""),"YES","NO"),"N/A")</f>
        <v>N/A</v>
      </c>
      <c r="N148" s="4" t="str">
        <f>IF(OR($A148="Power Cable"),IF(AND($AD148&lt;&gt;""),"YES","NO"),"N/A")</f>
        <v>NO</v>
      </c>
      <c r="O148" s="4" t="str">
        <f>IF(OR($A148="Power Cable",$A148="RTD Cable",$A148="Fieldbus Cable"),IF(AND($AE148&lt;&gt;""),"YES","NO"),"N/A")</f>
        <v>NO</v>
      </c>
      <c r="P148" s="4" t="str">
        <f>IF(OR($A148="RTD"),IF(AND($AH148&lt;&gt;""),"YES","NO"),"N/A")</f>
        <v>N/A</v>
      </c>
      <c r="Q148" s="4" t="str">
        <f>IF(OR($A148="RTD"),IF(AND($AI148&lt;&gt;""),"YES","NO"),"N/A")</f>
        <v>N/A</v>
      </c>
      <c r="R148" s="4" t="str">
        <f>IF(OR($AM148&lt;&gt;"",$Z148&lt;&gt;"",$AC148&lt;&gt;""),"YES","NO")</f>
        <v>NO</v>
      </c>
      <c r="S148" s="4" t="str">
        <f>IF(COUNTIF(I148:R148,"NO")=0,"YES","NO")</f>
        <v>NO</v>
      </c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inlineStr">
        <is>
          <t>Teck</t>
        </is>
      </c>
      <c r="AK148" s="9" t="inlineStr">
        <is>
          <t>10AWG</t>
        </is>
      </c>
      <c r="AL148" s="9" t="inlineStr">
        <is>
          <t>Levy Ostrup</t>
        </is>
      </c>
      <c r="AM148" s="9" t="n"/>
      <c r="AN148" s="9" t="n"/>
    </row>
    <row r="149">
      <c r="A149" s="9" t="inlineStr">
        <is>
          <t>Power Cable</t>
        </is>
      </c>
      <c r="B149" s="9" t="inlineStr">
        <is>
          <t>29103-ET-PG2401-1-PWK-1</t>
        </is>
      </c>
      <c r="C149" s="9" t="inlineStr">
        <is>
          <t>29103-ET-PG2401-1</t>
        </is>
      </c>
      <c r="D149" s="9" t="inlineStr">
        <is>
          <t>29103-HTP-005 HTC-14</t>
        </is>
      </c>
      <c r="E149" s="9" t="inlineStr">
        <is>
          <t>29103-HTP-005</t>
        </is>
      </c>
      <c r="F149" s="9" t="inlineStr"/>
      <c r="G149" s="9" t="inlineStr">
        <is>
          <t>113</t>
        </is>
      </c>
      <c r="H149" s="9" t="inlineStr">
        <is>
          <t>29103-ET-PG2401-1-PWK-1.pdf</t>
        </is>
      </c>
      <c r="I149" s="4" t="str">
        <f>IF($H149&lt;&gt;"","YES","NO")</f>
        <v>YES</v>
      </c>
      <c r="J149" s="4" t="str">
        <f>IF(N($T149)&gt;0,"YES","NO")</f>
        <v>NO</v>
      </c>
      <c r="K149" s="4" t="str">
        <f>IF(OR($A149="EHT Trace"),IF(AND($U149&lt;&gt;"",$V149&lt;&gt;""),"YES","NO"),"N/A")</f>
        <v>N/A</v>
      </c>
      <c r="L149" s="4" t="str">
        <f>IF(OR($A149="EHT Trace"),IF(AND($X149&lt;&gt;"",$Y149&lt;&gt;""),"YES","NO"),"N/A")</f>
        <v>N/A</v>
      </c>
      <c r="M149" s="4" t="str">
        <f>IF(OR($A149="EHT Trace"),IF(AND($AA149&lt;&gt;"",$AB149&lt;&gt;""),"YES","NO"),"N/A")</f>
        <v>N/A</v>
      </c>
      <c r="N149" s="4" t="str">
        <f>IF(OR($A149="Power Cable"),IF(AND($AD149&lt;&gt;""),"YES","NO"),"N/A")</f>
        <v>NO</v>
      </c>
      <c r="O149" s="4" t="str">
        <f>IF(OR($A149="Power Cable",$A149="RTD Cable",$A149="Fieldbus Cable"),IF(AND($AE149&lt;&gt;""),"YES","NO"),"N/A")</f>
        <v>NO</v>
      </c>
      <c r="P149" s="4" t="str">
        <f>IF(OR($A149="RTD"),IF(AND($AH149&lt;&gt;""),"YES","NO"),"N/A")</f>
        <v>N/A</v>
      </c>
      <c r="Q149" s="4" t="str">
        <f>IF(OR($A149="RTD"),IF(AND($AI149&lt;&gt;""),"YES","NO"),"N/A")</f>
        <v>N/A</v>
      </c>
      <c r="R149" s="4" t="str">
        <f>IF(OR($AM149&lt;&gt;"",$Z149&lt;&gt;"",$AC149&lt;&gt;""),"YES","NO")</f>
        <v>NO</v>
      </c>
      <c r="S149" s="4" t="str">
        <f>IF(COUNTIF(I149:R149,"NO")=0,"YES","NO")</f>
        <v>NO</v>
      </c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inlineStr">
        <is>
          <t>Teck</t>
        </is>
      </c>
      <c r="AK149" s="9" t="inlineStr">
        <is>
          <t>10AWG</t>
        </is>
      </c>
      <c r="AL149" s="9" t="inlineStr">
        <is>
          <t>Levy Ostrup</t>
        </is>
      </c>
      <c r="AM149" s="9" t="n"/>
      <c r="AN149" s="9" t="n"/>
    </row>
    <row r="150">
      <c r="A150" s="9" t="inlineStr">
        <is>
          <t>Power Cable</t>
        </is>
      </c>
      <c r="B150" s="9" t="inlineStr">
        <is>
          <t>29103-ET-PG2501-1-PWK-1</t>
        </is>
      </c>
      <c r="C150" s="9" t="inlineStr">
        <is>
          <t>29103-ET-PG2501-1</t>
        </is>
      </c>
      <c r="D150" s="9" t="inlineStr">
        <is>
          <t>29103-HTP-005 HTC-11</t>
        </is>
      </c>
      <c r="E150" s="9" t="inlineStr">
        <is>
          <t>29103-HTP-005</t>
        </is>
      </c>
      <c r="F150" s="9" t="inlineStr"/>
      <c r="G150" s="9" t="inlineStr">
        <is>
          <t>113</t>
        </is>
      </c>
      <c r="H150" s="9" t="inlineStr">
        <is>
          <t>29103-ET-PG2501-1-PWK-1.pdf</t>
        </is>
      </c>
      <c r="I150" s="4" t="str">
        <f>IF($H150&lt;&gt;"","YES","NO")</f>
        <v>YES</v>
      </c>
      <c r="J150" s="4" t="str">
        <f>IF(N($T150)&gt;0,"YES","NO")</f>
        <v>NO</v>
      </c>
      <c r="K150" s="4" t="str">
        <f>IF(OR($A150="EHT Trace"),IF(AND($U150&lt;&gt;"",$V150&lt;&gt;""),"YES","NO"),"N/A")</f>
        <v>N/A</v>
      </c>
      <c r="L150" s="4" t="str">
        <f>IF(OR($A150="EHT Trace"),IF(AND($X150&lt;&gt;"",$Y150&lt;&gt;""),"YES","NO"),"N/A")</f>
        <v>N/A</v>
      </c>
      <c r="M150" s="4" t="str">
        <f>IF(OR($A150="EHT Trace"),IF(AND($AA150&lt;&gt;"",$AB150&lt;&gt;""),"YES","NO"),"N/A")</f>
        <v>N/A</v>
      </c>
      <c r="N150" s="4" t="str">
        <f>IF(OR($A150="Power Cable"),IF(AND($AD150&lt;&gt;""),"YES","NO"),"N/A")</f>
        <v>NO</v>
      </c>
      <c r="O150" s="4" t="str">
        <f>IF(OR($A150="Power Cable",$A150="RTD Cable",$A150="Fieldbus Cable"),IF(AND($AE150&lt;&gt;""),"YES","NO"),"N/A")</f>
        <v>NO</v>
      </c>
      <c r="P150" s="4" t="str">
        <f>IF(OR($A150="RTD"),IF(AND($AH150&lt;&gt;""),"YES","NO"),"N/A")</f>
        <v>N/A</v>
      </c>
      <c r="Q150" s="4" t="str">
        <f>IF(OR($A150="RTD"),IF(AND($AI150&lt;&gt;""),"YES","NO"),"N/A")</f>
        <v>N/A</v>
      </c>
      <c r="R150" s="4" t="str">
        <f>IF(OR($AM150&lt;&gt;"",$Z150&lt;&gt;"",$AC150&lt;&gt;""),"YES","NO")</f>
        <v>NO</v>
      </c>
      <c r="S150" s="4" t="str">
        <f>IF(COUNTIF(I150:R150,"NO")=0,"YES","NO")</f>
        <v>NO</v>
      </c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inlineStr">
        <is>
          <t>Teck</t>
        </is>
      </c>
      <c r="AK150" s="9" t="inlineStr">
        <is>
          <t>10AWG</t>
        </is>
      </c>
      <c r="AL150" s="9" t="inlineStr">
        <is>
          <t>Levy Ostrup</t>
        </is>
      </c>
      <c r="AM150" s="9" t="n"/>
      <c r="AN150" s="9" t="n"/>
    </row>
    <row r="151">
      <c r="A151" s="9" t="inlineStr">
        <is>
          <t>Power Cable</t>
        </is>
      </c>
      <c r="B151" s="9" t="inlineStr">
        <is>
          <t>29103-ET-PG2501-2-PWK-1</t>
        </is>
      </c>
      <c r="C151" s="9" t="inlineStr">
        <is>
          <t>29103-ET-PG2501-2</t>
        </is>
      </c>
      <c r="D151" s="9" t="inlineStr">
        <is>
          <t>29103-HTP-005 HTC-13</t>
        </is>
      </c>
      <c r="E151" s="9" t="inlineStr">
        <is>
          <t>29103-HTP-005</t>
        </is>
      </c>
      <c r="F151" s="9" t="inlineStr"/>
      <c r="G151" s="9" t="inlineStr">
        <is>
          <t>113</t>
        </is>
      </c>
      <c r="H151" s="9" t="inlineStr">
        <is>
          <t>29103-ET-PG2501-2-PWK-1.pdf</t>
        </is>
      </c>
      <c r="I151" s="4" t="str">
        <f>IF($H151&lt;&gt;"","YES","NO")</f>
        <v>YES</v>
      </c>
      <c r="J151" s="4" t="str">
        <f>IF(N($T151)&gt;0,"YES","NO")</f>
        <v>NO</v>
      </c>
      <c r="K151" s="4" t="str">
        <f>IF(OR($A151="EHT Trace"),IF(AND($U151&lt;&gt;"",$V151&lt;&gt;""),"YES","NO"),"N/A")</f>
        <v>N/A</v>
      </c>
      <c r="L151" s="4" t="str">
        <f>IF(OR($A151="EHT Trace"),IF(AND($X151&lt;&gt;"",$Y151&lt;&gt;""),"YES","NO"),"N/A")</f>
        <v>N/A</v>
      </c>
      <c r="M151" s="4" t="str">
        <f>IF(OR($A151="EHT Trace"),IF(AND($AA151&lt;&gt;"",$AB151&lt;&gt;""),"YES","NO"),"N/A")</f>
        <v>N/A</v>
      </c>
      <c r="N151" s="4" t="str">
        <f>IF(OR($A151="Power Cable"),IF(AND($AD151&lt;&gt;""),"YES","NO"),"N/A")</f>
        <v>NO</v>
      </c>
      <c r="O151" s="4" t="str">
        <f>IF(OR($A151="Power Cable",$A151="RTD Cable",$A151="Fieldbus Cable"),IF(AND($AE151&lt;&gt;""),"YES","NO"),"N/A")</f>
        <v>NO</v>
      </c>
      <c r="P151" s="4" t="str">
        <f>IF(OR($A151="RTD"),IF(AND($AH151&lt;&gt;""),"YES","NO"),"N/A")</f>
        <v>N/A</v>
      </c>
      <c r="Q151" s="4" t="str">
        <f>IF(OR($A151="RTD"),IF(AND($AI151&lt;&gt;""),"YES","NO"),"N/A")</f>
        <v>N/A</v>
      </c>
      <c r="R151" s="4" t="str">
        <f>IF(OR($AM151&lt;&gt;"",$Z151&lt;&gt;"",$AC151&lt;&gt;""),"YES","NO")</f>
        <v>NO</v>
      </c>
      <c r="S151" s="4" t="str">
        <f>IF(COUNTIF(I151:R151,"NO")=0,"YES","NO")</f>
        <v>NO</v>
      </c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inlineStr">
        <is>
          <t>Teck</t>
        </is>
      </c>
      <c r="AK151" s="9" t="inlineStr">
        <is>
          <t>10AWG</t>
        </is>
      </c>
      <c r="AL151" s="9" t="inlineStr">
        <is>
          <t>Levy Ostrup</t>
        </is>
      </c>
      <c r="AM151" s="9" t="n"/>
      <c r="AN151" s="9" t="n"/>
    </row>
    <row r="152">
      <c r="A152" s="9" t="inlineStr">
        <is>
          <t>Power Cable</t>
        </is>
      </c>
      <c r="B152" s="9" t="inlineStr">
        <is>
          <t>29103-ET-PG2601-1-PWK-1</t>
        </is>
      </c>
      <c r="C152" s="9" t="inlineStr">
        <is>
          <t>29103-ET-PG2601-1</t>
        </is>
      </c>
      <c r="D152" s="9" t="inlineStr">
        <is>
          <t>29103-HTP-005 HTC-28</t>
        </is>
      </c>
      <c r="E152" s="9" t="inlineStr">
        <is>
          <t>29103-HTP-005</t>
        </is>
      </c>
      <c r="F152" s="9" t="inlineStr"/>
      <c r="G152" s="9" t="inlineStr">
        <is>
          <t>113</t>
        </is>
      </c>
      <c r="H152" s="9" t="inlineStr">
        <is>
          <t>29103-ET-PG2601-1-PWK-1.pdf</t>
        </is>
      </c>
      <c r="I152" s="4" t="str">
        <f>IF($H152&lt;&gt;"","YES","NO")</f>
        <v>YES</v>
      </c>
      <c r="J152" s="4" t="str">
        <f>IF(N($T152)&gt;0,"YES","NO")</f>
        <v>NO</v>
      </c>
      <c r="K152" s="4" t="str">
        <f>IF(OR($A152="EHT Trace"),IF(AND($U152&lt;&gt;"",$V152&lt;&gt;""),"YES","NO"),"N/A")</f>
        <v>N/A</v>
      </c>
      <c r="L152" s="4" t="str">
        <f>IF(OR($A152="EHT Trace"),IF(AND($X152&lt;&gt;"",$Y152&lt;&gt;""),"YES","NO"),"N/A")</f>
        <v>N/A</v>
      </c>
      <c r="M152" s="4" t="str">
        <f>IF(OR($A152="EHT Trace"),IF(AND($AA152&lt;&gt;"",$AB152&lt;&gt;""),"YES","NO"),"N/A")</f>
        <v>N/A</v>
      </c>
      <c r="N152" s="4" t="str">
        <f>IF(OR($A152="Power Cable"),IF(AND($AD152&lt;&gt;""),"YES","NO"),"N/A")</f>
        <v>NO</v>
      </c>
      <c r="O152" s="4" t="str">
        <f>IF(OR($A152="Power Cable",$A152="RTD Cable",$A152="Fieldbus Cable"),IF(AND($AE152&lt;&gt;""),"YES","NO"),"N/A")</f>
        <v>NO</v>
      </c>
      <c r="P152" s="4" t="str">
        <f>IF(OR($A152="RTD"),IF(AND($AH152&lt;&gt;""),"YES","NO"),"N/A")</f>
        <v>N/A</v>
      </c>
      <c r="Q152" s="4" t="str">
        <f>IF(OR($A152="RTD"),IF(AND($AI152&lt;&gt;""),"YES","NO"),"N/A")</f>
        <v>N/A</v>
      </c>
      <c r="R152" s="4" t="str">
        <f>IF(OR($AM152&lt;&gt;"",$Z152&lt;&gt;"",$AC152&lt;&gt;""),"YES","NO")</f>
        <v>NO</v>
      </c>
      <c r="S152" s="4" t="str">
        <f>IF(COUNTIF(I152:R152,"NO")=0,"YES","NO")</f>
        <v>NO</v>
      </c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inlineStr">
        <is>
          <t>Teck</t>
        </is>
      </c>
      <c r="AK152" s="9" t="inlineStr">
        <is>
          <t>10AWG</t>
        </is>
      </c>
      <c r="AL152" s="9" t="inlineStr">
        <is>
          <t>Levy Ostrup</t>
        </is>
      </c>
      <c r="AM152" s="9" t="n"/>
      <c r="AN152" s="9" t="n"/>
    </row>
    <row r="153">
      <c r="A153" s="9" t="inlineStr">
        <is>
          <t>Power Cable</t>
        </is>
      </c>
      <c r="B153" s="9" t="inlineStr">
        <is>
          <t>29103-ET-PG2601-2-PWK-1</t>
        </is>
      </c>
      <c r="C153" s="9" t="inlineStr">
        <is>
          <t>29103-ET-PG2601-2</t>
        </is>
      </c>
      <c r="D153" s="9" t="inlineStr">
        <is>
          <t>29103-HTP-005 HTC-19</t>
        </is>
      </c>
      <c r="E153" s="9" t="inlineStr">
        <is>
          <t>29103-HTP-005</t>
        </is>
      </c>
      <c r="F153" s="9" t="inlineStr"/>
      <c r="G153" s="9" t="inlineStr">
        <is>
          <t>113</t>
        </is>
      </c>
      <c r="H153" s="9" t="inlineStr">
        <is>
          <t>29103-ET-PG2601-2-PWK-1.pdf</t>
        </is>
      </c>
      <c r="I153" s="4" t="str">
        <f>IF($H153&lt;&gt;"","YES","NO")</f>
        <v>YES</v>
      </c>
      <c r="J153" s="4" t="str">
        <f>IF(N($T153)&gt;0,"YES","NO")</f>
        <v>NO</v>
      </c>
      <c r="K153" s="4" t="str">
        <f>IF(OR($A153="EHT Trace"),IF(AND($U153&lt;&gt;"",$V153&lt;&gt;""),"YES","NO"),"N/A")</f>
        <v>N/A</v>
      </c>
      <c r="L153" s="4" t="str">
        <f>IF(OR($A153="EHT Trace"),IF(AND($X153&lt;&gt;"",$Y153&lt;&gt;""),"YES","NO"),"N/A")</f>
        <v>N/A</v>
      </c>
      <c r="M153" s="4" t="str">
        <f>IF(OR($A153="EHT Trace"),IF(AND($AA153&lt;&gt;"",$AB153&lt;&gt;""),"YES","NO"),"N/A")</f>
        <v>N/A</v>
      </c>
      <c r="N153" s="4" t="str">
        <f>IF(OR($A153="Power Cable"),IF(AND($AD153&lt;&gt;""),"YES","NO"),"N/A")</f>
        <v>NO</v>
      </c>
      <c r="O153" s="4" t="str">
        <f>IF(OR($A153="Power Cable",$A153="RTD Cable",$A153="Fieldbus Cable"),IF(AND($AE153&lt;&gt;""),"YES","NO"),"N/A")</f>
        <v>NO</v>
      </c>
      <c r="P153" s="4" t="str">
        <f>IF(OR($A153="RTD"),IF(AND($AH153&lt;&gt;""),"YES","NO"),"N/A")</f>
        <v>N/A</v>
      </c>
      <c r="Q153" s="4" t="str">
        <f>IF(OR($A153="RTD"),IF(AND($AI153&lt;&gt;""),"YES","NO"),"N/A")</f>
        <v>N/A</v>
      </c>
      <c r="R153" s="4" t="str">
        <f>IF(OR($AM153&lt;&gt;"",$Z153&lt;&gt;"",$AC153&lt;&gt;""),"YES","NO")</f>
        <v>NO</v>
      </c>
      <c r="S153" s="4" t="str">
        <f>IF(COUNTIF(I153:R153,"NO")=0,"YES","NO")</f>
        <v>NO</v>
      </c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inlineStr">
        <is>
          <t>Teck</t>
        </is>
      </c>
      <c r="AK153" s="9" t="inlineStr">
        <is>
          <t>10AWG</t>
        </is>
      </c>
      <c r="AL153" s="9" t="inlineStr">
        <is>
          <t>Levy Ostrup</t>
        </is>
      </c>
      <c r="AM153" s="9" t="n"/>
      <c r="AN153" s="9" t="n"/>
    </row>
    <row r="154">
      <c r="A154" s="9" t="inlineStr">
        <is>
          <t>Power Cable</t>
        </is>
      </c>
      <c r="B154" s="9" t="inlineStr">
        <is>
          <t>29103-ET-PG2701-1-PWK-1</t>
        </is>
      </c>
      <c r="C154" s="9" t="inlineStr">
        <is>
          <t>29103-ET-PG2701-1</t>
        </is>
      </c>
      <c r="D154" s="9" t="inlineStr">
        <is>
          <t>29103-HTP-005 HTC-23</t>
        </is>
      </c>
      <c r="E154" s="9" t="inlineStr">
        <is>
          <t>29103-HTP-005</t>
        </is>
      </c>
      <c r="F154" s="9" t="inlineStr"/>
      <c r="G154" s="9" t="inlineStr">
        <is>
          <t>113</t>
        </is>
      </c>
      <c r="H154" s="9" t="inlineStr">
        <is>
          <t>29103-ET-PG2701-1-PWK-1.pdf</t>
        </is>
      </c>
      <c r="I154" s="4" t="str">
        <f>IF($H154&lt;&gt;"","YES","NO")</f>
        <v>YES</v>
      </c>
      <c r="J154" s="4" t="str">
        <f>IF(N($T154)&gt;0,"YES","NO")</f>
        <v>NO</v>
      </c>
      <c r="K154" s="4" t="str">
        <f>IF(OR($A154="EHT Trace"),IF(AND($U154&lt;&gt;"",$V154&lt;&gt;""),"YES","NO"),"N/A")</f>
        <v>N/A</v>
      </c>
      <c r="L154" s="4" t="str">
        <f>IF(OR($A154="EHT Trace"),IF(AND($X154&lt;&gt;"",$Y154&lt;&gt;""),"YES","NO"),"N/A")</f>
        <v>N/A</v>
      </c>
      <c r="M154" s="4" t="str">
        <f>IF(OR($A154="EHT Trace"),IF(AND($AA154&lt;&gt;"",$AB154&lt;&gt;""),"YES","NO"),"N/A")</f>
        <v>N/A</v>
      </c>
      <c r="N154" s="4" t="str">
        <f>IF(OR($A154="Power Cable"),IF(AND($AD154&lt;&gt;""),"YES","NO"),"N/A")</f>
        <v>NO</v>
      </c>
      <c r="O154" s="4" t="str">
        <f>IF(OR($A154="Power Cable",$A154="RTD Cable",$A154="Fieldbus Cable"),IF(AND($AE154&lt;&gt;""),"YES","NO"),"N/A")</f>
        <v>NO</v>
      </c>
      <c r="P154" s="4" t="str">
        <f>IF(OR($A154="RTD"),IF(AND($AH154&lt;&gt;""),"YES","NO"),"N/A")</f>
        <v>N/A</v>
      </c>
      <c r="Q154" s="4" t="str">
        <f>IF(OR($A154="RTD"),IF(AND($AI154&lt;&gt;""),"YES","NO"),"N/A")</f>
        <v>N/A</v>
      </c>
      <c r="R154" s="4" t="str">
        <f>IF(OR($AM154&lt;&gt;"",$Z154&lt;&gt;"",$AC154&lt;&gt;""),"YES","NO")</f>
        <v>NO</v>
      </c>
      <c r="S154" s="4" t="str">
        <f>IF(COUNTIF(I154:R154,"NO")=0,"YES","NO")</f>
        <v>NO</v>
      </c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inlineStr">
        <is>
          <t>Teck</t>
        </is>
      </c>
      <c r="AK154" s="9" t="inlineStr">
        <is>
          <t>10AWG</t>
        </is>
      </c>
      <c r="AL154" s="9" t="inlineStr">
        <is>
          <t>Levy Ostrup</t>
        </is>
      </c>
      <c r="AM154" s="9" t="n"/>
      <c r="AN154" s="9" t="n"/>
    </row>
    <row r="155">
      <c r="A155" s="9" t="inlineStr">
        <is>
          <t>Power Cable</t>
        </is>
      </c>
      <c r="B155" s="9" t="inlineStr">
        <is>
          <t>29103-ET-PG2701-2-PWK-1</t>
        </is>
      </c>
      <c r="C155" s="9" t="inlineStr">
        <is>
          <t>29103-ET-PG2701-2</t>
        </is>
      </c>
      <c r="D155" s="9" t="inlineStr">
        <is>
          <t>29103-HTP-005 HTC-30</t>
        </is>
      </c>
      <c r="E155" s="9" t="inlineStr">
        <is>
          <t>29103-HTP-005</t>
        </is>
      </c>
      <c r="F155" s="9" t="inlineStr"/>
      <c r="G155" s="9" t="inlineStr">
        <is>
          <t>113</t>
        </is>
      </c>
      <c r="H155" s="9" t="inlineStr">
        <is>
          <t>29103-ET-PG2701-2-PWK-1.pdf</t>
        </is>
      </c>
      <c r="I155" s="4" t="str">
        <f>IF($H155&lt;&gt;"","YES","NO")</f>
        <v>YES</v>
      </c>
      <c r="J155" s="4" t="str">
        <f>IF(N($T155)&gt;0,"YES","NO")</f>
        <v>NO</v>
      </c>
      <c r="K155" s="4" t="str">
        <f>IF(OR($A155="EHT Trace"),IF(AND($U155&lt;&gt;"",$V155&lt;&gt;""),"YES","NO"),"N/A")</f>
        <v>N/A</v>
      </c>
      <c r="L155" s="4" t="str">
        <f>IF(OR($A155="EHT Trace"),IF(AND($X155&lt;&gt;"",$Y155&lt;&gt;""),"YES","NO"),"N/A")</f>
        <v>N/A</v>
      </c>
      <c r="M155" s="4" t="str">
        <f>IF(OR($A155="EHT Trace"),IF(AND($AA155&lt;&gt;"",$AB155&lt;&gt;""),"YES","NO"),"N/A")</f>
        <v>N/A</v>
      </c>
      <c r="N155" s="4" t="str">
        <f>IF(OR($A155="Power Cable"),IF(AND($AD155&lt;&gt;""),"YES","NO"),"N/A")</f>
        <v>NO</v>
      </c>
      <c r="O155" s="4" t="str">
        <f>IF(OR($A155="Power Cable",$A155="RTD Cable",$A155="Fieldbus Cable"),IF(AND($AE155&lt;&gt;""),"YES","NO"),"N/A")</f>
        <v>NO</v>
      </c>
      <c r="P155" s="4" t="str">
        <f>IF(OR($A155="RTD"),IF(AND($AH155&lt;&gt;""),"YES","NO"),"N/A")</f>
        <v>N/A</v>
      </c>
      <c r="Q155" s="4" t="str">
        <f>IF(OR($A155="RTD"),IF(AND($AI155&lt;&gt;""),"YES","NO"),"N/A")</f>
        <v>N/A</v>
      </c>
      <c r="R155" s="4" t="str">
        <f>IF(OR($AM155&lt;&gt;"",$Z155&lt;&gt;"",$AC155&lt;&gt;""),"YES","NO")</f>
        <v>NO</v>
      </c>
      <c r="S155" s="4" t="str">
        <f>IF(COUNTIF(I155:R155,"NO")=0,"YES","NO")</f>
        <v>NO</v>
      </c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inlineStr">
        <is>
          <t>Teck</t>
        </is>
      </c>
      <c r="AK155" s="9" t="inlineStr">
        <is>
          <t>10AWG</t>
        </is>
      </c>
      <c r="AL155" s="9" t="inlineStr">
        <is>
          <t>Levy Ostrup</t>
        </is>
      </c>
      <c r="AM155" s="9" t="n"/>
      <c r="AN155" s="9" t="n"/>
    </row>
    <row r="156">
      <c r="A156" s="9" t="inlineStr">
        <is>
          <t>Power Cable</t>
        </is>
      </c>
      <c r="B156" s="9" t="inlineStr">
        <is>
          <t>29103-ET-SC2800-1-PWK-1</t>
        </is>
      </c>
      <c r="C156" s="9" t="inlineStr">
        <is>
          <t>29103-ET-SC2800-1</t>
        </is>
      </c>
      <c r="D156" s="9" t="inlineStr">
        <is>
          <t>29103-AMB-012</t>
        </is>
      </c>
      <c r="E156" s="9" t="inlineStr">
        <is>
          <t>29103-HTP-005</t>
        </is>
      </c>
      <c r="F156" s="9" t="inlineStr"/>
      <c r="G156" s="9" t="inlineStr">
        <is>
          <t>113</t>
        </is>
      </c>
      <c r="H156" s="9" t="inlineStr">
        <is>
          <t>29103-ET-SC2800-1-PWK-1.pdf</t>
        </is>
      </c>
      <c r="I156" s="4" t="str">
        <f>IF($H156&lt;&gt;"","YES","NO")</f>
        <v>YES</v>
      </c>
      <c r="J156" s="4" t="str">
        <f>IF(N($T156)&gt;0,"YES","NO")</f>
        <v>NO</v>
      </c>
      <c r="K156" s="4" t="str">
        <f>IF(OR($A156="EHT Trace"),IF(AND($U156&lt;&gt;"",$V156&lt;&gt;""),"YES","NO"),"N/A")</f>
        <v>N/A</v>
      </c>
      <c r="L156" s="4" t="str">
        <f>IF(OR($A156="EHT Trace"),IF(AND($X156&lt;&gt;"",$Y156&lt;&gt;""),"YES","NO"),"N/A")</f>
        <v>N/A</v>
      </c>
      <c r="M156" s="4" t="str">
        <f>IF(OR($A156="EHT Trace"),IF(AND($AA156&lt;&gt;"",$AB156&lt;&gt;""),"YES","NO"),"N/A")</f>
        <v>N/A</v>
      </c>
      <c r="N156" s="4" t="str">
        <f>IF(OR($A156="Power Cable"),IF(AND($AD156&lt;&gt;""),"YES","NO"),"N/A")</f>
        <v>NO</v>
      </c>
      <c r="O156" s="4" t="str">
        <f>IF(OR($A156="Power Cable",$A156="RTD Cable",$A156="Fieldbus Cable"),IF(AND($AE156&lt;&gt;""),"YES","NO"),"N/A")</f>
        <v>NO</v>
      </c>
      <c r="P156" s="4" t="str">
        <f>IF(OR($A156="RTD"),IF(AND($AH156&lt;&gt;""),"YES","NO"),"N/A")</f>
        <v>N/A</v>
      </c>
      <c r="Q156" s="4" t="str">
        <f>IF(OR($A156="RTD"),IF(AND($AI156&lt;&gt;""),"YES","NO"),"N/A")</f>
        <v>N/A</v>
      </c>
      <c r="R156" s="4" t="str">
        <f>IF(OR($AM156&lt;&gt;"",$Z156&lt;&gt;"",$AC156&lt;&gt;""),"YES","NO")</f>
        <v>NO</v>
      </c>
      <c r="S156" s="4" t="str">
        <f>IF(COUNTIF(I156:R156,"NO")=0,"YES","NO")</f>
        <v>NO</v>
      </c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inlineStr">
        <is>
          <t>Teck</t>
        </is>
      </c>
      <c r="AK156" s="9" t="inlineStr">
        <is>
          <t>10AWG</t>
        </is>
      </c>
      <c r="AL156" s="9" t="inlineStr">
        <is>
          <t>Levy Ostrup</t>
        </is>
      </c>
      <c r="AM156" s="9" t="n"/>
      <c r="AN156" s="9" t="n"/>
    </row>
    <row r="157">
      <c r="A157" s="9" t="inlineStr">
        <is>
          <t>Power Cable</t>
        </is>
      </c>
      <c r="B157" s="9" t="inlineStr">
        <is>
          <t>29103-ET-ST2001-1-PWK-1</t>
        </is>
      </c>
      <c r="C157" s="9" t="inlineStr">
        <is>
          <t>29103-ET-ST2001-1</t>
        </is>
      </c>
      <c r="D157" s="9" t="inlineStr">
        <is>
          <t>29103-AMB-012</t>
        </is>
      </c>
      <c r="E157" s="9" t="inlineStr">
        <is>
          <t>29103-HTP-005</t>
        </is>
      </c>
      <c r="F157" s="9" t="inlineStr"/>
      <c r="G157" s="9" t="inlineStr">
        <is>
          <t>113</t>
        </is>
      </c>
      <c r="H157" s="9" t="inlineStr">
        <is>
          <t>29103-ET-ST2001-1-PWK-1.pdf</t>
        </is>
      </c>
      <c r="I157" s="4" t="str">
        <f>IF($H157&lt;&gt;"","YES","NO")</f>
        <v>YES</v>
      </c>
      <c r="J157" s="4" t="str">
        <f>IF(N($T157)&gt;0,"YES","NO")</f>
        <v>NO</v>
      </c>
      <c r="K157" s="4" t="str">
        <f>IF(OR($A157="EHT Trace"),IF(AND($U157&lt;&gt;"",$V157&lt;&gt;""),"YES","NO"),"N/A")</f>
        <v>N/A</v>
      </c>
      <c r="L157" s="4" t="str">
        <f>IF(OR($A157="EHT Trace"),IF(AND($X157&lt;&gt;"",$Y157&lt;&gt;""),"YES","NO"),"N/A")</f>
        <v>N/A</v>
      </c>
      <c r="M157" s="4" t="str">
        <f>IF(OR($A157="EHT Trace"),IF(AND($AA157&lt;&gt;"",$AB157&lt;&gt;""),"YES","NO"),"N/A")</f>
        <v>N/A</v>
      </c>
      <c r="N157" s="4" t="str">
        <f>IF(OR($A157="Power Cable"),IF(AND($AD157&lt;&gt;""),"YES","NO"),"N/A")</f>
        <v>NO</v>
      </c>
      <c r="O157" s="4" t="str">
        <f>IF(OR($A157="Power Cable",$A157="RTD Cable",$A157="Fieldbus Cable"),IF(AND($AE157&lt;&gt;""),"YES","NO"),"N/A")</f>
        <v>NO</v>
      </c>
      <c r="P157" s="4" t="str">
        <f>IF(OR($A157="RTD"),IF(AND($AH157&lt;&gt;""),"YES","NO"),"N/A")</f>
        <v>N/A</v>
      </c>
      <c r="Q157" s="4" t="str">
        <f>IF(OR($A157="RTD"),IF(AND($AI157&lt;&gt;""),"YES","NO"),"N/A")</f>
        <v>N/A</v>
      </c>
      <c r="R157" s="4" t="str">
        <f>IF(OR($AM157&lt;&gt;"",$Z157&lt;&gt;"",$AC157&lt;&gt;""),"YES","NO")</f>
        <v>NO</v>
      </c>
      <c r="S157" s="4" t="str">
        <f>IF(COUNTIF(I157:R157,"NO")=0,"YES","NO")</f>
        <v>NO</v>
      </c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inlineStr">
        <is>
          <t>Teck</t>
        </is>
      </c>
      <c r="AK157" s="9" t="inlineStr">
        <is>
          <t>10AWG</t>
        </is>
      </c>
      <c r="AL157" s="9" t="inlineStr">
        <is>
          <t>Levy Ostrup</t>
        </is>
      </c>
      <c r="AM157" s="9" t="n"/>
      <c r="AN157" s="9" t="n"/>
    </row>
    <row r="158">
      <c r="A158" s="9" t="inlineStr">
        <is>
          <t>Power Cable</t>
        </is>
      </c>
      <c r="B158" s="9" t="inlineStr">
        <is>
          <t>29103-ET-ST2603-1-PWK-1</t>
        </is>
      </c>
      <c r="C158" s="9" t="inlineStr">
        <is>
          <t>29103-ET-ST2603-1</t>
        </is>
      </c>
      <c r="D158" s="9" t="inlineStr">
        <is>
          <t>29103-AMB-012</t>
        </is>
      </c>
      <c r="E158" s="9" t="inlineStr">
        <is>
          <t>29103-HTP-005</t>
        </is>
      </c>
      <c r="F158" s="9" t="inlineStr"/>
      <c r="G158" s="9" t="inlineStr">
        <is>
          <t>113</t>
        </is>
      </c>
      <c r="H158" s="9" t="inlineStr">
        <is>
          <t>29103-ET-ST2603-1-PWK-1.pdf</t>
        </is>
      </c>
      <c r="I158" s="4" t="str">
        <f>IF($H158&lt;&gt;"","YES","NO")</f>
        <v>YES</v>
      </c>
      <c r="J158" s="4" t="str">
        <f>IF(N($T158)&gt;0,"YES","NO")</f>
        <v>NO</v>
      </c>
      <c r="K158" s="4" t="str">
        <f>IF(OR($A158="EHT Trace"),IF(AND($U158&lt;&gt;"",$V158&lt;&gt;""),"YES","NO"),"N/A")</f>
        <v>N/A</v>
      </c>
      <c r="L158" s="4" t="str">
        <f>IF(OR($A158="EHT Trace"),IF(AND($X158&lt;&gt;"",$Y158&lt;&gt;""),"YES","NO"),"N/A")</f>
        <v>N/A</v>
      </c>
      <c r="M158" s="4" t="str">
        <f>IF(OR($A158="EHT Trace"),IF(AND($AA158&lt;&gt;"",$AB158&lt;&gt;""),"YES","NO"),"N/A")</f>
        <v>N/A</v>
      </c>
      <c r="N158" s="4" t="str">
        <f>IF(OR($A158="Power Cable"),IF(AND($AD158&lt;&gt;""),"YES","NO"),"N/A")</f>
        <v>NO</v>
      </c>
      <c r="O158" s="4" t="str">
        <f>IF(OR($A158="Power Cable",$A158="RTD Cable",$A158="Fieldbus Cable"),IF(AND($AE158&lt;&gt;""),"YES","NO"),"N/A")</f>
        <v>NO</v>
      </c>
      <c r="P158" s="4" t="str">
        <f>IF(OR($A158="RTD"),IF(AND($AH158&lt;&gt;""),"YES","NO"),"N/A")</f>
        <v>N/A</v>
      </c>
      <c r="Q158" s="4" t="str">
        <f>IF(OR($A158="RTD"),IF(AND($AI158&lt;&gt;""),"YES","NO"),"N/A")</f>
        <v>N/A</v>
      </c>
      <c r="R158" s="4" t="str">
        <f>IF(OR($AM158&lt;&gt;"",$Z158&lt;&gt;"",$AC158&lt;&gt;""),"YES","NO")</f>
        <v>NO</v>
      </c>
      <c r="S158" s="4" t="str">
        <f>IF(COUNTIF(I158:R158,"NO")=0,"YES","NO")</f>
        <v>NO</v>
      </c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inlineStr">
        <is>
          <t>Teck</t>
        </is>
      </c>
      <c r="AK158" s="9" t="inlineStr">
        <is>
          <t>10AWG</t>
        </is>
      </c>
      <c r="AL158" s="9" t="inlineStr">
        <is>
          <t>Levy Ostrup</t>
        </is>
      </c>
      <c r="AM158" s="9" t="n"/>
      <c r="AN158" s="9" t="n"/>
    </row>
    <row r="159">
      <c r="A159" s="9" t="inlineStr">
        <is>
          <t>Power Cable</t>
        </is>
      </c>
      <c r="B159" s="9" t="inlineStr">
        <is>
          <t>29103-ET-ST2703-1-PWK-1</t>
        </is>
      </c>
      <c r="C159" s="9" t="inlineStr">
        <is>
          <t>29103-ET-ST2703-1</t>
        </is>
      </c>
      <c r="D159" s="9" t="inlineStr">
        <is>
          <t>29103-AMB-012</t>
        </is>
      </c>
      <c r="E159" s="9" t="inlineStr">
        <is>
          <t>29103-HTP-005</t>
        </is>
      </c>
      <c r="F159" s="9" t="inlineStr"/>
      <c r="G159" s="9" t="inlineStr">
        <is>
          <t>113</t>
        </is>
      </c>
      <c r="H159" s="9" t="inlineStr">
        <is>
          <t>29103-ET-ST2703-1-PWK-1.pdf</t>
        </is>
      </c>
      <c r="I159" s="4" t="str">
        <f>IF($H159&lt;&gt;"","YES","NO")</f>
        <v>YES</v>
      </c>
      <c r="J159" s="4" t="str">
        <f>IF(N($T159)&gt;0,"YES","NO")</f>
        <v>NO</v>
      </c>
      <c r="K159" s="4" t="str">
        <f>IF(OR($A159="EHT Trace"),IF(AND($U159&lt;&gt;"",$V159&lt;&gt;""),"YES","NO"),"N/A")</f>
        <v>N/A</v>
      </c>
      <c r="L159" s="4" t="str">
        <f>IF(OR($A159="EHT Trace"),IF(AND($X159&lt;&gt;"",$Y159&lt;&gt;""),"YES","NO"),"N/A")</f>
        <v>N/A</v>
      </c>
      <c r="M159" s="4" t="str">
        <f>IF(OR($A159="EHT Trace"),IF(AND($AA159&lt;&gt;"",$AB159&lt;&gt;""),"YES","NO"),"N/A")</f>
        <v>N/A</v>
      </c>
      <c r="N159" s="4" t="str">
        <f>IF(OR($A159="Power Cable"),IF(AND($AD159&lt;&gt;""),"YES","NO"),"N/A")</f>
        <v>NO</v>
      </c>
      <c r="O159" s="4" t="str">
        <f>IF(OR($A159="Power Cable",$A159="RTD Cable",$A159="Fieldbus Cable"),IF(AND($AE159&lt;&gt;""),"YES","NO"),"N/A")</f>
        <v>NO</v>
      </c>
      <c r="P159" s="4" t="str">
        <f>IF(OR($A159="RTD"),IF(AND($AH159&lt;&gt;""),"YES","NO"),"N/A")</f>
        <v>N/A</v>
      </c>
      <c r="Q159" s="4" t="str">
        <f>IF(OR($A159="RTD"),IF(AND($AI159&lt;&gt;""),"YES","NO"),"N/A")</f>
        <v>N/A</v>
      </c>
      <c r="R159" s="4" t="str">
        <f>IF(OR($AM159&lt;&gt;"",$Z159&lt;&gt;"",$AC159&lt;&gt;""),"YES","NO")</f>
        <v>NO</v>
      </c>
      <c r="S159" s="4" t="str">
        <f>IF(COUNTIF(I159:R159,"NO")=0,"YES","NO")</f>
        <v>NO</v>
      </c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inlineStr">
        <is>
          <t>Teck</t>
        </is>
      </c>
      <c r="AK159" s="9" t="inlineStr">
        <is>
          <t>10AWG</t>
        </is>
      </c>
      <c r="AL159" s="9" t="inlineStr">
        <is>
          <t>Levy Ostrup</t>
        </is>
      </c>
      <c r="AM159" s="9" t="n"/>
      <c r="AN159" s="9" t="n"/>
    </row>
    <row r="160">
      <c r="A160" s="9" t="inlineStr">
        <is>
          <t>RTD</t>
        </is>
      </c>
      <c r="B160" s="9" t="inlineStr">
        <is>
          <t>29103-ET-P2401-1-R-1</t>
        </is>
      </c>
      <c r="C160" s="9" t="inlineStr">
        <is>
          <t>29103-ET-P2401-1</t>
        </is>
      </c>
      <c r="D160" s="9" t="inlineStr">
        <is>
          <t>29103-HTP-005 HTC-05</t>
        </is>
      </c>
      <c r="E160" s="9" t="inlineStr">
        <is>
          <t>PRODUCED EMULSION</t>
        </is>
      </c>
      <c r="F160" s="9" t="inlineStr">
        <is>
          <t>29103-65R-ET-P2401-01-01</t>
        </is>
      </c>
      <c r="G160" s="9" t="inlineStr">
        <is>
          <t>13.2</t>
        </is>
      </c>
      <c r="H160" s="9" t="inlineStr">
        <is>
          <t>29103-ET-P2401-1-R-1.pdf</t>
        </is>
      </c>
      <c r="I160" s="4" t="str">
        <f>IF($H160&lt;&gt;"","YES","NO")</f>
        <v>YES</v>
      </c>
      <c r="J160" s="4" t="str">
        <f>IF(N($T160)&gt;0,"YES","NO")</f>
        <v>NO</v>
      </c>
      <c r="K160" s="4" t="str">
        <f>IF(OR($A160="EHT Trace"),IF(AND($U160&lt;&gt;"",$V160&lt;&gt;""),"YES","NO"),"N/A")</f>
        <v>N/A</v>
      </c>
      <c r="L160" s="4" t="str">
        <f>IF(OR($A160="EHT Trace"),IF(AND($X160&lt;&gt;"",$Y160&lt;&gt;""),"YES","NO"),"N/A")</f>
        <v>N/A</v>
      </c>
      <c r="M160" s="4" t="str">
        <f>IF(OR($A160="EHT Trace"),IF(AND($AA160&lt;&gt;"",$AB160&lt;&gt;""),"YES","NO"),"N/A")</f>
        <v>N/A</v>
      </c>
      <c r="N160" s="4" t="str">
        <f>IF(OR($A160="Power Cable"),IF(AND($AD160&lt;&gt;""),"YES","NO"),"N/A")</f>
        <v>N/A</v>
      </c>
      <c r="O160" s="4" t="str">
        <f>IF(OR($A160="Power Cable",$A160="RTD Cable",$A160="Fieldbus Cable"),IF(AND($AE160&lt;&gt;""),"YES","NO"),"N/A")</f>
        <v>N/A</v>
      </c>
      <c r="P160" s="4" t="str">
        <f>IF(OR($A160="RTD"),IF(AND($AH160&lt;&gt;""),"YES","NO"),"N/A")</f>
        <v>NO</v>
      </c>
      <c r="Q160" s="4" t="str">
        <f>IF(OR($A160="RTD"),IF(AND($AI160&lt;&gt;""),"YES","NO"),"N/A")</f>
        <v>NO</v>
      </c>
      <c r="R160" s="4" t="str">
        <f>IF(OR($AM160&lt;&gt;"",$Z160&lt;&gt;"",$AC160&lt;&gt;""),"YES","NO")</f>
        <v>NO</v>
      </c>
      <c r="S160" s="4" t="str">
        <f>IF(COUNTIF(I160:R160,"NO")=0,"YES","NO")</f>
        <v>NO</v>
      </c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inlineStr">
        <is>
          <t>Levy Ostrup</t>
        </is>
      </c>
      <c r="AM160" s="9" t="n"/>
      <c r="AN160" s="9" t="n"/>
    </row>
    <row r="161">
      <c r="A161" s="9" t="inlineStr">
        <is>
          <t>RTD</t>
        </is>
      </c>
      <c r="B161" s="9" t="inlineStr">
        <is>
          <t>29103-ET-P2501-1-R-1</t>
        </is>
      </c>
      <c r="C161" s="9" t="inlineStr">
        <is>
          <t>29103-ET-P2501-1</t>
        </is>
      </c>
      <c r="D161" s="9" t="inlineStr">
        <is>
          <t>29103-HTP-005 HTC-04</t>
        </is>
      </c>
      <c r="E161" s="9" t="inlineStr">
        <is>
          <t>PRODUCED EMULSION</t>
        </is>
      </c>
      <c r="F161" s="9" t="inlineStr">
        <is>
          <t>29103-65R-ET-P2501-01-01</t>
        </is>
      </c>
      <c r="G161" s="9" t="inlineStr">
        <is>
          <t>13.2</t>
        </is>
      </c>
      <c r="H161" s="9" t="inlineStr">
        <is>
          <t>29103-ET-P2501-1-R-1.pdf</t>
        </is>
      </c>
      <c r="I161" s="4" t="str">
        <f>IF($H161&lt;&gt;"","YES","NO")</f>
        <v>YES</v>
      </c>
      <c r="J161" s="4" t="str">
        <f>IF(N($T161)&gt;0,"YES","NO")</f>
        <v>NO</v>
      </c>
      <c r="K161" s="4" t="str">
        <f>IF(OR($A161="EHT Trace"),IF(AND($U161&lt;&gt;"",$V161&lt;&gt;""),"YES","NO"),"N/A")</f>
        <v>N/A</v>
      </c>
      <c r="L161" s="4" t="str">
        <f>IF(OR($A161="EHT Trace"),IF(AND($X161&lt;&gt;"",$Y161&lt;&gt;""),"YES","NO"),"N/A")</f>
        <v>N/A</v>
      </c>
      <c r="M161" s="4" t="str">
        <f>IF(OR($A161="EHT Trace"),IF(AND($AA161&lt;&gt;"",$AB161&lt;&gt;""),"YES","NO"),"N/A")</f>
        <v>N/A</v>
      </c>
      <c r="N161" s="4" t="str">
        <f>IF(OR($A161="Power Cable"),IF(AND($AD161&lt;&gt;""),"YES","NO"),"N/A")</f>
        <v>N/A</v>
      </c>
      <c r="O161" s="4" t="str">
        <f>IF(OR($A161="Power Cable",$A161="RTD Cable",$A161="Fieldbus Cable"),IF(AND($AE161&lt;&gt;""),"YES","NO"),"N/A")</f>
        <v>N/A</v>
      </c>
      <c r="P161" s="4" t="str">
        <f>IF(OR($A161="RTD"),IF(AND($AH161&lt;&gt;""),"YES","NO"),"N/A")</f>
        <v>NO</v>
      </c>
      <c r="Q161" s="4" t="str">
        <f>IF(OR($A161="RTD"),IF(AND($AI161&lt;&gt;""),"YES","NO"),"N/A")</f>
        <v>NO</v>
      </c>
      <c r="R161" s="4" t="str">
        <f>IF(OR($AM161&lt;&gt;"",$Z161&lt;&gt;"",$AC161&lt;&gt;""),"YES","NO")</f>
        <v>NO</v>
      </c>
      <c r="S161" s="4" t="str">
        <f>IF(COUNTIF(I161:R161,"NO")=0,"YES","NO")</f>
        <v>NO</v>
      </c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inlineStr">
        <is>
          <t>Levy Ostrup</t>
        </is>
      </c>
      <c r="AM161" s="9" t="n"/>
      <c r="AN161" s="9" t="n"/>
    </row>
    <row r="162">
      <c r="A162" s="9" t="inlineStr">
        <is>
          <t>RTD</t>
        </is>
      </c>
      <c r="B162" s="9" t="inlineStr">
        <is>
          <t>29103-ET-P2504-1-R-1</t>
        </is>
      </c>
      <c r="C162" s="9" t="inlineStr">
        <is>
          <t>29103-ET-P2504-1</t>
        </is>
      </c>
      <c r="D162" s="9" t="inlineStr">
        <is>
          <t>29103-HTP-005 HTC-09</t>
        </is>
      </c>
      <c r="E162" s="9" t="inlineStr">
        <is>
          <t>PRODUCED EMULSION</t>
        </is>
      </c>
      <c r="F162" s="9" t="inlineStr">
        <is>
          <t>29103-65R-ET-P2504-01-01</t>
        </is>
      </c>
      <c r="G162" s="9" t="inlineStr">
        <is>
          <t>13.2</t>
        </is>
      </c>
      <c r="H162" s="9" t="inlineStr">
        <is>
          <t>29103-ET-P2504-1-R-1.pdf</t>
        </is>
      </c>
      <c r="I162" s="4" t="str">
        <f>IF($H162&lt;&gt;"","YES","NO")</f>
        <v>YES</v>
      </c>
      <c r="J162" s="4" t="str">
        <f>IF(N($T162)&gt;0,"YES","NO")</f>
        <v>NO</v>
      </c>
      <c r="K162" s="4" t="str">
        <f>IF(OR($A162="EHT Trace"),IF(AND($U162&lt;&gt;"",$V162&lt;&gt;""),"YES","NO"),"N/A")</f>
        <v>N/A</v>
      </c>
      <c r="L162" s="4" t="str">
        <f>IF(OR($A162="EHT Trace"),IF(AND($X162&lt;&gt;"",$Y162&lt;&gt;""),"YES","NO"),"N/A")</f>
        <v>N/A</v>
      </c>
      <c r="M162" s="4" t="str">
        <f>IF(OR($A162="EHT Trace"),IF(AND($AA162&lt;&gt;"",$AB162&lt;&gt;""),"YES","NO"),"N/A")</f>
        <v>N/A</v>
      </c>
      <c r="N162" s="4" t="str">
        <f>IF(OR($A162="Power Cable"),IF(AND($AD162&lt;&gt;""),"YES","NO"),"N/A")</f>
        <v>N/A</v>
      </c>
      <c r="O162" s="4" t="str">
        <f>IF(OR($A162="Power Cable",$A162="RTD Cable",$A162="Fieldbus Cable"),IF(AND($AE162&lt;&gt;""),"YES","NO"),"N/A")</f>
        <v>N/A</v>
      </c>
      <c r="P162" s="4" t="str">
        <f>IF(OR($A162="RTD"),IF(AND($AH162&lt;&gt;""),"YES","NO"),"N/A")</f>
        <v>NO</v>
      </c>
      <c r="Q162" s="4" t="str">
        <f>IF(OR($A162="RTD"),IF(AND($AI162&lt;&gt;""),"YES","NO"),"N/A")</f>
        <v>NO</v>
      </c>
      <c r="R162" s="4" t="str">
        <f>IF(OR($AM162&lt;&gt;"",$Z162&lt;&gt;"",$AC162&lt;&gt;""),"YES","NO")</f>
        <v>NO</v>
      </c>
      <c r="S162" s="4" t="str">
        <f>IF(COUNTIF(I162:R162,"NO")=0,"YES","NO")</f>
        <v>NO</v>
      </c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inlineStr">
        <is>
          <t>Levy Ostrup</t>
        </is>
      </c>
      <c r="AM162" s="9" t="n"/>
      <c r="AN162" s="9" t="n"/>
    </row>
    <row r="163">
      <c r="A163" s="9" t="inlineStr">
        <is>
          <t>RTD</t>
        </is>
      </c>
      <c r="B163" s="9" t="inlineStr">
        <is>
          <t>29103-ET-P2504-1-R-2</t>
        </is>
      </c>
      <c r="C163" s="9" t="inlineStr">
        <is>
          <t>29103-ET-P2504-1</t>
        </is>
      </c>
      <c r="D163" s="9" t="inlineStr">
        <is>
          <t>29103-HTP-005 I/O-1-4</t>
        </is>
      </c>
      <c r="E163" s="9" t="inlineStr">
        <is>
          <t>PRODUCED EMULSION</t>
        </is>
      </c>
      <c r="F163" s="9" t="inlineStr">
        <is>
          <t>29103-65R-ET-P2504-01-01</t>
        </is>
      </c>
      <c r="G163" s="9" t="inlineStr">
        <is>
          <t>13.2</t>
        </is>
      </c>
      <c r="H163" s="9" t="inlineStr">
        <is>
          <t>29103-ET-P2504-1-R-2.pdf</t>
        </is>
      </c>
      <c r="I163" s="4" t="str">
        <f>IF($H163&lt;&gt;"","YES","NO")</f>
        <v>YES</v>
      </c>
      <c r="J163" s="4" t="str">
        <f>IF(N($T163)&gt;0,"YES","NO")</f>
        <v>NO</v>
      </c>
      <c r="K163" s="4" t="str">
        <f>IF(OR($A163="EHT Trace"),IF(AND($U163&lt;&gt;"",$V163&lt;&gt;""),"YES","NO"),"N/A")</f>
        <v>N/A</v>
      </c>
      <c r="L163" s="4" t="str">
        <f>IF(OR($A163="EHT Trace"),IF(AND($X163&lt;&gt;"",$Y163&lt;&gt;""),"YES","NO"),"N/A")</f>
        <v>N/A</v>
      </c>
      <c r="M163" s="4" t="str">
        <f>IF(OR($A163="EHT Trace"),IF(AND($AA163&lt;&gt;"",$AB163&lt;&gt;""),"YES","NO"),"N/A")</f>
        <v>N/A</v>
      </c>
      <c r="N163" s="4" t="str">
        <f>IF(OR($A163="Power Cable"),IF(AND($AD163&lt;&gt;""),"YES","NO"),"N/A")</f>
        <v>N/A</v>
      </c>
      <c r="O163" s="4" t="str">
        <f>IF(OR($A163="Power Cable",$A163="RTD Cable",$A163="Fieldbus Cable"),IF(AND($AE163&lt;&gt;""),"YES","NO"),"N/A")</f>
        <v>N/A</v>
      </c>
      <c r="P163" s="4" t="str">
        <f>IF(OR($A163="RTD"),IF(AND($AH163&lt;&gt;""),"YES","NO"),"N/A")</f>
        <v>NO</v>
      </c>
      <c r="Q163" s="4" t="str">
        <f>IF(OR($A163="RTD"),IF(AND($AI163&lt;&gt;""),"YES","NO"),"N/A")</f>
        <v>NO</v>
      </c>
      <c r="R163" s="4" t="str">
        <f>IF(OR($AM163&lt;&gt;"",$Z163&lt;&gt;"",$AC163&lt;&gt;""),"YES","NO")</f>
        <v>NO</v>
      </c>
      <c r="S163" s="4" t="str">
        <f>IF(COUNTIF(I163:R163,"NO")=0,"YES","NO")</f>
        <v>NO</v>
      </c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inlineStr">
        <is>
          <t>Levy Ostrup</t>
        </is>
      </c>
      <c r="AM163" s="9" t="n"/>
      <c r="AN163" s="9" t="n"/>
    </row>
    <row r="164">
      <c r="A164" s="9" t="inlineStr">
        <is>
          <t>RTD</t>
        </is>
      </c>
      <c r="B164" s="9" t="inlineStr">
        <is>
          <t>29103-ET-P2504-2-R-1</t>
        </is>
      </c>
      <c r="C164" s="9" t="inlineStr">
        <is>
          <t>29103-ET-P2504-2</t>
        </is>
      </c>
      <c r="D164" s="9" t="inlineStr">
        <is>
          <t>29103-HTP-005 HTC-20</t>
        </is>
      </c>
      <c r="E164" s="9" t="inlineStr">
        <is>
          <t>PRODUCED EMULSION</t>
        </is>
      </c>
      <c r="F164" s="9" t="inlineStr">
        <is>
          <t>29103-65R-ET-P2504-02-01</t>
        </is>
      </c>
      <c r="G164" s="9" t="inlineStr">
        <is>
          <t>13.2</t>
        </is>
      </c>
      <c r="H164" s="9" t="inlineStr">
        <is>
          <t>29103-ET-P2504-2-R-1.pdf</t>
        </is>
      </c>
      <c r="I164" s="4" t="str">
        <f>IF($H164&lt;&gt;"","YES","NO")</f>
        <v>YES</v>
      </c>
      <c r="J164" s="4" t="str">
        <f>IF(N($T164)&gt;0,"YES","NO")</f>
        <v>NO</v>
      </c>
      <c r="K164" s="4" t="str">
        <f>IF(OR($A164="EHT Trace"),IF(AND($U164&lt;&gt;"",$V164&lt;&gt;""),"YES","NO"),"N/A")</f>
        <v>N/A</v>
      </c>
      <c r="L164" s="4" t="str">
        <f>IF(OR($A164="EHT Trace"),IF(AND($X164&lt;&gt;"",$Y164&lt;&gt;""),"YES","NO"),"N/A")</f>
        <v>N/A</v>
      </c>
      <c r="M164" s="4" t="str">
        <f>IF(OR($A164="EHT Trace"),IF(AND($AA164&lt;&gt;"",$AB164&lt;&gt;""),"YES","NO"),"N/A")</f>
        <v>N/A</v>
      </c>
      <c r="N164" s="4" t="str">
        <f>IF(OR($A164="Power Cable"),IF(AND($AD164&lt;&gt;""),"YES","NO"),"N/A")</f>
        <v>N/A</v>
      </c>
      <c r="O164" s="4" t="str">
        <f>IF(OR($A164="Power Cable",$A164="RTD Cable",$A164="Fieldbus Cable"),IF(AND($AE164&lt;&gt;""),"YES","NO"),"N/A")</f>
        <v>N/A</v>
      </c>
      <c r="P164" s="4" t="str">
        <f>IF(OR($A164="RTD"),IF(AND($AH164&lt;&gt;""),"YES","NO"),"N/A")</f>
        <v>NO</v>
      </c>
      <c r="Q164" s="4" t="str">
        <f>IF(OR($A164="RTD"),IF(AND($AI164&lt;&gt;""),"YES","NO"),"N/A")</f>
        <v>NO</v>
      </c>
      <c r="R164" s="4" t="str">
        <f>IF(OR($AM164&lt;&gt;"",$Z164&lt;&gt;"",$AC164&lt;&gt;""),"YES","NO")</f>
        <v>NO</v>
      </c>
      <c r="S164" s="4" t="str">
        <f>IF(COUNTIF(I164:R164,"NO")=0,"YES","NO")</f>
        <v>NO</v>
      </c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inlineStr">
        <is>
          <t>Levy Ostrup</t>
        </is>
      </c>
      <c r="AM164" s="9" t="n"/>
      <c r="AN164" s="9" t="n"/>
    </row>
    <row r="165">
      <c r="A165" s="9" t="inlineStr">
        <is>
          <t>RTD</t>
        </is>
      </c>
      <c r="B165" s="9" t="inlineStr">
        <is>
          <t>29103-ET-P2504-2-R-2</t>
        </is>
      </c>
      <c r="C165" s="9" t="inlineStr">
        <is>
          <t>29103-ET-P2504-2</t>
        </is>
      </c>
      <c r="D165" s="9" t="inlineStr">
        <is>
          <t>29103-HTP-005 I/O-3-4</t>
        </is>
      </c>
      <c r="E165" s="9" t="inlineStr">
        <is>
          <t>PRODUCED EMULSION</t>
        </is>
      </c>
      <c r="F165" s="9" t="inlineStr">
        <is>
          <t>29103-65R-ET-P2504-02-01</t>
        </is>
      </c>
      <c r="G165" s="9" t="inlineStr">
        <is>
          <t>13.2</t>
        </is>
      </c>
      <c r="H165" s="9" t="inlineStr">
        <is>
          <t>29103-ET-P2504-2-R-2.pdf</t>
        </is>
      </c>
      <c r="I165" s="4" t="str">
        <f>IF($H165&lt;&gt;"","YES","NO")</f>
        <v>YES</v>
      </c>
      <c r="J165" s="4" t="str">
        <f>IF(N($T165)&gt;0,"YES","NO")</f>
        <v>NO</v>
      </c>
      <c r="K165" s="4" t="str">
        <f>IF(OR($A165="EHT Trace"),IF(AND($U165&lt;&gt;"",$V165&lt;&gt;""),"YES","NO"),"N/A")</f>
        <v>N/A</v>
      </c>
      <c r="L165" s="4" t="str">
        <f>IF(OR($A165="EHT Trace"),IF(AND($X165&lt;&gt;"",$Y165&lt;&gt;""),"YES","NO"),"N/A")</f>
        <v>N/A</v>
      </c>
      <c r="M165" s="4" t="str">
        <f>IF(OR($A165="EHT Trace"),IF(AND($AA165&lt;&gt;"",$AB165&lt;&gt;""),"YES","NO"),"N/A")</f>
        <v>N/A</v>
      </c>
      <c r="N165" s="4" t="str">
        <f>IF(OR($A165="Power Cable"),IF(AND($AD165&lt;&gt;""),"YES","NO"),"N/A")</f>
        <v>N/A</v>
      </c>
      <c r="O165" s="4" t="str">
        <f>IF(OR($A165="Power Cable",$A165="RTD Cable",$A165="Fieldbus Cable"),IF(AND($AE165&lt;&gt;""),"YES","NO"),"N/A")</f>
        <v>N/A</v>
      </c>
      <c r="P165" s="4" t="str">
        <f>IF(OR($A165="RTD"),IF(AND($AH165&lt;&gt;""),"YES","NO"),"N/A")</f>
        <v>NO</v>
      </c>
      <c r="Q165" s="4" t="str">
        <f>IF(OR($A165="RTD"),IF(AND($AI165&lt;&gt;""),"YES","NO"),"N/A")</f>
        <v>NO</v>
      </c>
      <c r="R165" s="4" t="str">
        <f>IF(OR($AM165&lt;&gt;"",$Z165&lt;&gt;"",$AC165&lt;&gt;""),"YES","NO")</f>
        <v>NO</v>
      </c>
      <c r="S165" s="4" t="str">
        <f>IF(COUNTIF(I165:R165,"NO")=0,"YES","NO")</f>
        <v>NO</v>
      </c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inlineStr">
        <is>
          <t>Levy Ostrup</t>
        </is>
      </c>
      <c r="AM165" s="9" t="n"/>
      <c r="AN165" s="9" t="n"/>
    </row>
    <row r="166">
      <c r="A166" s="9" t="inlineStr">
        <is>
          <t>RTD</t>
        </is>
      </c>
      <c r="B166" s="9" t="inlineStr">
        <is>
          <t>29103-ET-P2601-1-R-1</t>
        </is>
      </c>
      <c r="C166" s="9" t="inlineStr">
        <is>
          <t>29103-ET-P2601-1</t>
        </is>
      </c>
      <c r="D166" s="9" t="inlineStr">
        <is>
          <t>29103-HTP-005 HTC-35</t>
        </is>
      </c>
      <c r="E166" s="9" t="inlineStr">
        <is>
          <t>PRODUCED EMULSION</t>
        </is>
      </c>
      <c r="F166" s="9" t="inlineStr">
        <is>
          <t>29103-65R-ET-P2601-01-01</t>
        </is>
      </c>
      <c r="G166" s="9" t="inlineStr">
        <is>
          <t>13.2</t>
        </is>
      </c>
      <c r="H166" s="9" t="inlineStr">
        <is>
          <t>29103-ET-P2601-1-R-1.pdf</t>
        </is>
      </c>
      <c r="I166" s="4" t="str">
        <f>IF($H166&lt;&gt;"","YES","NO")</f>
        <v>YES</v>
      </c>
      <c r="J166" s="4" t="str">
        <f>IF(N($T166)&gt;0,"YES","NO")</f>
        <v>NO</v>
      </c>
      <c r="K166" s="4" t="str">
        <f>IF(OR($A166="EHT Trace"),IF(AND($U166&lt;&gt;"",$V166&lt;&gt;""),"YES","NO"),"N/A")</f>
        <v>N/A</v>
      </c>
      <c r="L166" s="4" t="str">
        <f>IF(OR($A166="EHT Trace"),IF(AND($X166&lt;&gt;"",$Y166&lt;&gt;""),"YES","NO"),"N/A")</f>
        <v>N/A</v>
      </c>
      <c r="M166" s="4" t="str">
        <f>IF(OR($A166="EHT Trace"),IF(AND($AA166&lt;&gt;"",$AB166&lt;&gt;""),"YES","NO"),"N/A")</f>
        <v>N/A</v>
      </c>
      <c r="N166" s="4" t="str">
        <f>IF(OR($A166="Power Cable"),IF(AND($AD166&lt;&gt;""),"YES","NO"),"N/A")</f>
        <v>N/A</v>
      </c>
      <c r="O166" s="4" t="str">
        <f>IF(OR($A166="Power Cable",$A166="RTD Cable",$A166="Fieldbus Cable"),IF(AND($AE166&lt;&gt;""),"YES","NO"),"N/A")</f>
        <v>N/A</v>
      </c>
      <c r="P166" s="4" t="str">
        <f>IF(OR($A166="RTD"),IF(AND($AH166&lt;&gt;""),"YES","NO"),"N/A")</f>
        <v>NO</v>
      </c>
      <c r="Q166" s="4" t="str">
        <f>IF(OR($A166="RTD"),IF(AND($AI166&lt;&gt;""),"YES","NO"),"N/A")</f>
        <v>NO</v>
      </c>
      <c r="R166" s="4" t="str">
        <f>IF(OR($AM166&lt;&gt;"",$Z166&lt;&gt;"",$AC166&lt;&gt;""),"YES","NO")</f>
        <v>NO</v>
      </c>
      <c r="S166" s="4" t="str">
        <f>IF(COUNTIF(I166:R166,"NO")=0,"YES","NO")</f>
        <v>NO</v>
      </c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inlineStr">
        <is>
          <t>Levy Ostrup</t>
        </is>
      </c>
      <c r="AM166" s="9" t="n"/>
      <c r="AN166" s="9" t="n"/>
    </row>
    <row r="167">
      <c r="A167" s="9" t="inlineStr">
        <is>
          <t>RTD</t>
        </is>
      </c>
      <c r="B167" s="9" t="inlineStr">
        <is>
          <t>29103-ET-P2604-1-R-1</t>
        </is>
      </c>
      <c r="C167" s="9" t="inlineStr">
        <is>
          <t>29103-ET-P2604-1</t>
        </is>
      </c>
      <c r="D167" s="9" t="inlineStr">
        <is>
          <t>29103-HTP-005 HTC-32</t>
        </is>
      </c>
      <c r="E167" s="9" t="inlineStr">
        <is>
          <t>PRODUCED EMULSION</t>
        </is>
      </c>
      <c r="F167" s="9" t="inlineStr">
        <is>
          <t>29103-65R-ET-P2604-01-01</t>
        </is>
      </c>
      <c r="G167" s="9" t="inlineStr">
        <is>
          <t>13.2</t>
        </is>
      </c>
      <c r="H167" s="9" t="inlineStr">
        <is>
          <t>29103-ET-P2604-1-R-1.pdf</t>
        </is>
      </c>
      <c r="I167" s="4" t="str">
        <f>IF($H167&lt;&gt;"","YES","NO")</f>
        <v>YES</v>
      </c>
      <c r="J167" s="4" t="str">
        <f>IF(N($T167)&gt;0,"YES","NO")</f>
        <v>NO</v>
      </c>
      <c r="K167" s="4" t="str">
        <f>IF(OR($A167="EHT Trace"),IF(AND($U167&lt;&gt;"",$V167&lt;&gt;""),"YES","NO"),"N/A")</f>
        <v>N/A</v>
      </c>
      <c r="L167" s="4" t="str">
        <f>IF(OR($A167="EHT Trace"),IF(AND($X167&lt;&gt;"",$Y167&lt;&gt;""),"YES","NO"),"N/A")</f>
        <v>N/A</v>
      </c>
      <c r="M167" s="4" t="str">
        <f>IF(OR($A167="EHT Trace"),IF(AND($AA167&lt;&gt;"",$AB167&lt;&gt;""),"YES","NO"),"N/A")</f>
        <v>N/A</v>
      </c>
      <c r="N167" s="4" t="str">
        <f>IF(OR($A167="Power Cable"),IF(AND($AD167&lt;&gt;""),"YES","NO"),"N/A")</f>
        <v>N/A</v>
      </c>
      <c r="O167" s="4" t="str">
        <f>IF(OR($A167="Power Cable",$A167="RTD Cable",$A167="Fieldbus Cable"),IF(AND($AE167&lt;&gt;""),"YES","NO"),"N/A")</f>
        <v>N/A</v>
      </c>
      <c r="P167" s="4" t="str">
        <f>IF(OR($A167="RTD"),IF(AND($AH167&lt;&gt;""),"YES","NO"),"N/A")</f>
        <v>NO</v>
      </c>
      <c r="Q167" s="4" t="str">
        <f>IF(OR($A167="RTD"),IF(AND($AI167&lt;&gt;""),"YES","NO"),"N/A")</f>
        <v>NO</v>
      </c>
      <c r="R167" s="4" t="str">
        <f>IF(OR($AM167&lt;&gt;"",$Z167&lt;&gt;"",$AC167&lt;&gt;""),"YES","NO")</f>
        <v>NO</v>
      </c>
      <c r="S167" s="4" t="str">
        <f>IF(COUNTIF(I167:R167,"NO")=0,"YES","NO")</f>
        <v>NO</v>
      </c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inlineStr">
        <is>
          <t>Levy Ostrup</t>
        </is>
      </c>
      <c r="AM167" s="9" t="n"/>
      <c r="AN167" s="9" t="n"/>
    </row>
    <row r="168">
      <c r="A168" s="9" t="inlineStr">
        <is>
          <t>RTD</t>
        </is>
      </c>
      <c r="B168" s="9" t="inlineStr">
        <is>
          <t>29103-ET-P2604-1-R-2</t>
        </is>
      </c>
      <c r="C168" s="9" t="inlineStr">
        <is>
          <t>29103-ET-P2604-1</t>
        </is>
      </c>
      <c r="D168" s="9" t="inlineStr">
        <is>
          <t>29103-HTP-005 I/O-2-1</t>
        </is>
      </c>
      <c r="E168" s="9" t="inlineStr">
        <is>
          <t>PRODUCED EMULSION</t>
        </is>
      </c>
      <c r="F168" s="9" t="inlineStr">
        <is>
          <t>29103-65R-ET-P2604-01-01</t>
        </is>
      </c>
      <c r="G168" s="9" t="inlineStr">
        <is>
          <t>13.2</t>
        </is>
      </c>
      <c r="H168" s="9" t="inlineStr">
        <is>
          <t>29103-ET-P2604-1-R-2.pdf</t>
        </is>
      </c>
      <c r="I168" s="4" t="str">
        <f>IF($H168&lt;&gt;"","YES","NO")</f>
        <v>YES</v>
      </c>
      <c r="J168" s="4" t="str">
        <f>IF(N($T168)&gt;0,"YES","NO")</f>
        <v>NO</v>
      </c>
      <c r="K168" s="4" t="str">
        <f>IF(OR($A168="EHT Trace"),IF(AND($U168&lt;&gt;"",$V168&lt;&gt;""),"YES","NO"),"N/A")</f>
        <v>N/A</v>
      </c>
      <c r="L168" s="4" t="str">
        <f>IF(OR($A168="EHT Trace"),IF(AND($X168&lt;&gt;"",$Y168&lt;&gt;""),"YES","NO"),"N/A")</f>
        <v>N/A</v>
      </c>
      <c r="M168" s="4" t="str">
        <f>IF(OR($A168="EHT Trace"),IF(AND($AA168&lt;&gt;"",$AB168&lt;&gt;""),"YES","NO"),"N/A")</f>
        <v>N/A</v>
      </c>
      <c r="N168" s="4" t="str">
        <f>IF(OR($A168="Power Cable"),IF(AND($AD168&lt;&gt;""),"YES","NO"),"N/A")</f>
        <v>N/A</v>
      </c>
      <c r="O168" s="4" t="str">
        <f>IF(OR($A168="Power Cable",$A168="RTD Cable",$A168="Fieldbus Cable"),IF(AND($AE168&lt;&gt;""),"YES","NO"),"N/A")</f>
        <v>N/A</v>
      </c>
      <c r="P168" s="4" t="str">
        <f>IF(OR($A168="RTD"),IF(AND($AH168&lt;&gt;""),"YES","NO"),"N/A")</f>
        <v>NO</v>
      </c>
      <c r="Q168" s="4" t="str">
        <f>IF(OR($A168="RTD"),IF(AND($AI168&lt;&gt;""),"YES","NO"),"N/A")</f>
        <v>NO</v>
      </c>
      <c r="R168" s="4" t="str">
        <f>IF(OR($AM168&lt;&gt;"",$Z168&lt;&gt;"",$AC168&lt;&gt;""),"YES","NO")</f>
        <v>NO</v>
      </c>
      <c r="S168" s="4" t="str">
        <f>IF(COUNTIF(I168:R168,"NO")=0,"YES","NO")</f>
        <v>NO</v>
      </c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inlineStr">
        <is>
          <t>Levy Ostrup</t>
        </is>
      </c>
      <c r="AM168" s="9" t="n"/>
      <c r="AN168" s="9" t="n"/>
    </row>
    <row r="169">
      <c r="A169" s="9" t="inlineStr">
        <is>
          <t>RTD</t>
        </is>
      </c>
      <c r="B169" s="9" t="inlineStr">
        <is>
          <t>29103-ET-P2604-2-R-1</t>
        </is>
      </c>
      <c r="C169" s="9" t="inlineStr">
        <is>
          <t>29103-ET-P2604-2</t>
        </is>
      </c>
      <c r="D169" s="9" t="inlineStr">
        <is>
          <t>29103-HTP-005 HTC-24</t>
        </is>
      </c>
      <c r="E169" s="9" t="inlineStr">
        <is>
          <t>PRODUCED EMULSION</t>
        </is>
      </c>
      <c r="F169" s="9" t="inlineStr">
        <is>
          <t>29103-65R-ET-P2604-02-01</t>
        </is>
      </c>
      <c r="G169" s="9" t="inlineStr">
        <is>
          <t>13.2</t>
        </is>
      </c>
      <c r="H169" s="9" t="inlineStr">
        <is>
          <t>29103-ET-P2604-2-R-1.pdf</t>
        </is>
      </c>
      <c r="I169" s="4" t="str">
        <f>IF($H169&lt;&gt;"","YES","NO")</f>
        <v>YES</v>
      </c>
      <c r="J169" s="4" t="str">
        <f>IF(N($T169)&gt;0,"YES","NO")</f>
        <v>NO</v>
      </c>
      <c r="K169" s="4" t="str">
        <f>IF(OR($A169="EHT Trace"),IF(AND($U169&lt;&gt;"",$V169&lt;&gt;""),"YES","NO"),"N/A")</f>
        <v>N/A</v>
      </c>
      <c r="L169" s="4" t="str">
        <f>IF(OR($A169="EHT Trace"),IF(AND($X169&lt;&gt;"",$Y169&lt;&gt;""),"YES","NO"),"N/A")</f>
        <v>N/A</v>
      </c>
      <c r="M169" s="4" t="str">
        <f>IF(OR($A169="EHT Trace"),IF(AND($AA169&lt;&gt;"",$AB169&lt;&gt;""),"YES","NO"),"N/A")</f>
        <v>N/A</v>
      </c>
      <c r="N169" s="4" t="str">
        <f>IF(OR($A169="Power Cable"),IF(AND($AD169&lt;&gt;""),"YES","NO"),"N/A")</f>
        <v>N/A</v>
      </c>
      <c r="O169" s="4" t="str">
        <f>IF(OR($A169="Power Cable",$A169="RTD Cable",$A169="Fieldbus Cable"),IF(AND($AE169&lt;&gt;""),"YES","NO"),"N/A")</f>
        <v>N/A</v>
      </c>
      <c r="P169" s="4" t="str">
        <f>IF(OR($A169="RTD"),IF(AND($AH169&lt;&gt;""),"YES","NO"),"N/A")</f>
        <v>NO</v>
      </c>
      <c r="Q169" s="4" t="str">
        <f>IF(OR($A169="RTD"),IF(AND($AI169&lt;&gt;""),"YES","NO"),"N/A")</f>
        <v>NO</v>
      </c>
      <c r="R169" s="4" t="str">
        <f>IF(OR($AM169&lt;&gt;"",$Z169&lt;&gt;"",$AC169&lt;&gt;""),"YES","NO")</f>
        <v>NO</v>
      </c>
      <c r="S169" s="4" t="str">
        <f>IF(COUNTIF(I169:R169,"NO")=0,"YES","NO")</f>
        <v>NO</v>
      </c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inlineStr">
        <is>
          <t>Levy Ostrup</t>
        </is>
      </c>
      <c r="AM169" s="9" t="n"/>
      <c r="AN169" s="9" t="n"/>
    </row>
    <row r="170">
      <c r="A170" s="9" t="inlineStr">
        <is>
          <t>RTD</t>
        </is>
      </c>
      <c r="B170" s="9" t="inlineStr">
        <is>
          <t>29103-ET-P2604-2-R-2</t>
        </is>
      </c>
      <c r="C170" s="9" t="inlineStr">
        <is>
          <t>29103-ET-P2604-2</t>
        </is>
      </c>
      <c r="D170" s="9" t="inlineStr">
        <is>
          <t>29103-HTP-005 I/O-2-2</t>
        </is>
      </c>
      <c r="E170" s="9" t="inlineStr">
        <is>
          <t>PRODUCED EMULSION</t>
        </is>
      </c>
      <c r="F170" s="9" t="inlineStr">
        <is>
          <t>29103-65R-ET-P2604-02-01</t>
        </is>
      </c>
      <c r="G170" s="9" t="inlineStr">
        <is>
          <t>13.2</t>
        </is>
      </c>
      <c r="H170" s="9" t="inlineStr">
        <is>
          <t>29103-ET-P2604-2-R-2.pdf</t>
        </is>
      </c>
      <c r="I170" s="4" t="str">
        <f>IF($H170&lt;&gt;"","YES","NO")</f>
        <v>YES</v>
      </c>
      <c r="J170" s="4" t="str">
        <f>IF(N($T170)&gt;0,"YES","NO")</f>
        <v>NO</v>
      </c>
      <c r="K170" s="4" t="str">
        <f>IF(OR($A170="EHT Trace"),IF(AND($U170&lt;&gt;"",$V170&lt;&gt;""),"YES","NO"),"N/A")</f>
        <v>N/A</v>
      </c>
      <c r="L170" s="4" t="str">
        <f>IF(OR($A170="EHT Trace"),IF(AND($X170&lt;&gt;"",$Y170&lt;&gt;""),"YES","NO"),"N/A")</f>
        <v>N/A</v>
      </c>
      <c r="M170" s="4" t="str">
        <f>IF(OR($A170="EHT Trace"),IF(AND($AA170&lt;&gt;"",$AB170&lt;&gt;""),"YES","NO"),"N/A")</f>
        <v>N/A</v>
      </c>
      <c r="N170" s="4" t="str">
        <f>IF(OR($A170="Power Cable"),IF(AND($AD170&lt;&gt;""),"YES","NO"),"N/A")</f>
        <v>N/A</v>
      </c>
      <c r="O170" s="4" t="str">
        <f>IF(OR($A170="Power Cable",$A170="RTD Cable",$A170="Fieldbus Cable"),IF(AND($AE170&lt;&gt;""),"YES","NO"),"N/A")</f>
        <v>N/A</v>
      </c>
      <c r="P170" s="4" t="str">
        <f>IF(OR($A170="RTD"),IF(AND($AH170&lt;&gt;""),"YES","NO"),"N/A")</f>
        <v>NO</v>
      </c>
      <c r="Q170" s="4" t="str">
        <f>IF(OR($A170="RTD"),IF(AND($AI170&lt;&gt;""),"YES","NO"),"N/A")</f>
        <v>NO</v>
      </c>
      <c r="R170" s="4" t="str">
        <f>IF(OR($AM170&lt;&gt;"",$Z170&lt;&gt;"",$AC170&lt;&gt;""),"YES","NO")</f>
        <v>NO</v>
      </c>
      <c r="S170" s="4" t="str">
        <f>IF(COUNTIF(I170:R170,"NO")=0,"YES","NO")</f>
        <v>NO</v>
      </c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inlineStr">
        <is>
          <t>Levy Ostrup</t>
        </is>
      </c>
      <c r="AM170" s="9" t="n"/>
      <c r="AN170" s="9" t="n"/>
    </row>
    <row r="171">
      <c r="A171" s="9" t="inlineStr">
        <is>
          <t>RTD</t>
        </is>
      </c>
      <c r="B171" s="9" t="inlineStr">
        <is>
          <t>29103-ET-P2701-1-R-1</t>
        </is>
      </c>
      <c r="C171" s="9" t="inlineStr">
        <is>
          <t>29103-ET-P2701-1</t>
        </is>
      </c>
      <c r="D171" s="9" t="inlineStr">
        <is>
          <t>29103-HTP-005 HTC-22</t>
        </is>
      </c>
      <c r="E171" s="9" t="inlineStr">
        <is>
          <t>PRODUCED EMULSION</t>
        </is>
      </c>
      <c r="F171" s="9" t="inlineStr">
        <is>
          <t>29103-65R-ET-P2701-01-01</t>
        </is>
      </c>
      <c r="G171" s="9" t="inlineStr">
        <is>
          <t>13.2</t>
        </is>
      </c>
      <c r="H171" s="9" t="inlineStr">
        <is>
          <t>29103-ET-P2701-1-R-1.pdf</t>
        </is>
      </c>
      <c r="I171" s="4" t="str">
        <f>IF($H171&lt;&gt;"","YES","NO")</f>
        <v>YES</v>
      </c>
      <c r="J171" s="4" t="str">
        <f>IF(N($T171)&gt;0,"YES","NO")</f>
        <v>NO</v>
      </c>
      <c r="K171" s="4" t="str">
        <f>IF(OR($A171="EHT Trace"),IF(AND($U171&lt;&gt;"",$V171&lt;&gt;""),"YES","NO"),"N/A")</f>
        <v>N/A</v>
      </c>
      <c r="L171" s="4" t="str">
        <f>IF(OR($A171="EHT Trace"),IF(AND($X171&lt;&gt;"",$Y171&lt;&gt;""),"YES","NO"),"N/A")</f>
        <v>N/A</v>
      </c>
      <c r="M171" s="4" t="str">
        <f>IF(OR($A171="EHT Trace"),IF(AND($AA171&lt;&gt;"",$AB171&lt;&gt;""),"YES","NO"),"N/A")</f>
        <v>N/A</v>
      </c>
      <c r="N171" s="4" t="str">
        <f>IF(OR($A171="Power Cable"),IF(AND($AD171&lt;&gt;""),"YES","NO"),"N/A")</f>
        <v>N/A</v>
      </c>
      <c r="O171" s="4" t="str">
        <f>IF(OR($A171="Power Cable",$A171="RTD Cable",$A171="Fieldbus Cable"),IF(AND($AE171&lt;&gt;""),"YES","NO"),"N/A")</f>
        <v>N/A</v>
      </c>
      <c r="P171" s="4" t="str">
        <f>IF(OR($A171="RTD"),IF(AND($AH171&lt;&gt;""),"YES","NO"),"N/A")</f>
        <v>NO</v>
      </c>
      <c r="Q171" s="4" t="str">
        <f>IF(OR($A171="RTD"),IF(AND($AI171&lt;&gt;""),"YES","NO"),"N/A")</f>
        <v>NO</v>
      </c>
      <c r="R171" s="4" t="str">
        <f>IF(OR($AM171&lt;&gt;"",$Z171&lt;&gt;"",$AC171&lt;&gt;""),"YES","NO")</f>
        <v>NO</v>
      </c>
      <c r="S171" s="4" t="str">
        <f>IF(COUNTIF(I171:R171,"NO")=0,"YES","NO")</f>
        <v>NO</v>
      </c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inlineStr">
        <is>
          <t>Levy Ostrup</t>
        </is>
      </c>
      <c r="AM171" s="9" t="n"/>
      <c r="AN171" s="9" t="n"/>
    </row>
    <row r="172">
      <c r="A172" s="9" t="inlineStr">
        <is>
          <t>RTD</t>
        </is>
      </c>
      <c r="B172" s="9" t="inlineStr">
        <is>
          <t>29103-ET-P2704-1-R-1</t>
        </is>
      </c>
      <c r="C172" s="9" t="inlineStr">
        <is>
          <t>29103-ET-P2704-1</t>
        </is>
      </c>
      <c r="D172" s="9" t="inlineStr">
        <is>
          <t>29103-HTP-005 HTC-29</t>
        </is>
      </c>
      <c r="E172" s="9" t="inlineStr">
        <is>
          <t>PRODUCED EMULSION</t>
        </is>
      </c>
      <c r="F172" s="9" t="inlineStr">
        <is>
          <t>29103-65R-ET-P2704-01-01</t>
        </is>
      </c>
      <c r="G172" s="9" t="inlineStr">
        <is>
          <t>13.2</t>
        </is>
      </c>
      <c r="H172" s="9" t="inlineStr">
        <is>
          <t>29103-ET-P2704-1-R-1.pdf</t>
        </is>
      </c>
      <c r="I172" s="4" t="str">
        <f>IF($H172&lt;&gt;"","YES","NO")</f>
        <v>YES</v>
      </c>
      <c r="J172" s="4" t="str">
        <f>IF(N($T172)&gt;0,"YES","NO")</f>
        <v>NO</v>
      </c>
      <c r="K172" s="4" t="str">
        <f>IF(OR($A172="EHT Trace"),IF(AND($U172&lt;&gt;"",$V172&lt;&gt;""),"YES","NO"),"N/A")</f>
        <v>N/A</v>
      </c>
      <c r="L172" s="4" t="str">
        <f>IF(OR($A172="EHT Trace"),IF(AND($X172&lt;&gt;"",$Y172&lt;&gt;""),"YES","NO"),"N/A")</f>
        <v>N/A</v>
      </c>
      <c r="M172" s="4" t="str">
        <f>IF(OR($A172="EHT Trace"),IF(AND($AA172&lt;&gt;"",$AB172&lt;&gt;""),"YES","NO"),"N/A")</f>
        <v>N/A</v>
      </c>
      <c r="N172" s="4" t="str">
        <f>IF(OR($A172="Power Cable"),IF(AND($AD172&lt;&gt;""),"YES","NO"),"N/A")</f>
        <v>N/A</v>
      </c>
      <c r="O172" s="4" t="str">
        <f>IF(OR($A172="Power Cable",$A172="RTD Cable",$A172="Fieldbus Cable"),IF(AND($AE172&lt;&gt;""),"YES","NO"),"N/A")</f>
        <v>N/A</v>
      </c>
      <c r="P172" s="4" t="str">
        <f>IF(OR($A172="RTD"),IF(AND($AH172&lt;&gt;""),"YES","NO"),"N/A")</f>
        <v>NO</v>
      </c>
      <c r="Q172" s="4" t="str">
        <f>IF(OR($A172="RTD"),IF(AND($AI172&lt;&gt;""),"YES","NO"),"N/A")</f>
        <v>NO</v>
      </c>
      <c r="R172" s="4" t="str">
        <f>IF(OR($AM172&lt;&gt;"",$Z172&lt;&gt;"",$AC172&lt;&gt;""),"YES","NO")</f>
        <v>NO</v>
      </c>
      <c r="S172" s="4" t="str">
        <f>IF(COUNTIF(I172:R172,"NO")=0,"YES","NO")</f>
        <v>NO</v>
      </c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inlineStr">
        <is>
          <t>Levy Ostrup</t>
        </is>
      </c>
      <c r="AM172" s="9" t="n"/>
      <c r="AN172" s="9" t="n"/>
    </row>
    <row r="173">
      <c r="A173" s="9" t="inlineStr">
        <is>
          <t>RTD</t>
        </is>
      </c>
      <c r="B173" s="9" t="inlineStr">
        <is>
          <t>29103-ET-P2704-1-R-2</t>
        </is>
      </c>
      <c r="C173" s="9" t="inlineStr">
        <is>
          <t>29103-ET-P2704-1</t>
        </is>
      </c>
      <c r="D173" s="9" t="inlineStr">
        <is>
          <t>29103-HTP-005 I/O-4-2</t>
        </is>
      </c>
      <c r="E173" s="9" t="inlineStr">
        <is>
          <t>PRODUCED EMULSION</t>
        </is>
      </c>
      <c r="F173" s="9" t="inlineStr">
        <is>
          <t>29103-65R-ET-P2704-01-01</t>
        </is>
      </c>
      <c r="G173" s="9" t="inlineStr">
        <is>
          <t>13.2</t>
        </is>
      </c>
      <c r="H173" s="9" t="inlineStr">
        <is>
          <t>29103-ET-P2704-1-R-2.pdf</t>
        </is>
      </c>
      <c r="I173" s="4" t="str">
        <f>IF($H173&lt;&gt;"","YES","NO")</f>
        <v>YES</v>
      </c>
      <c r="J173" s="4" t="str">
        <f>IF(N($T173)&gt;0,"YES","NO")</f>
        <v>NO</v>
      </c>
      <c r="K173" s="4" t="str">
        <f>IF(OR($A173="EHT Trace"),IF(AND($U173&lt;&gt;"",$V173&lt;&gt;""),"YES","NO"),"N/A")</f>
        <v>N/A</v>
      </c>
      <c r="L173" s="4" t="str">
        <f>IF(OR($A173="EHT Trace"),IF(AND($X173&lt;&gt;"",$Y173&lt;&gt;""),"YES","NO"),"N/A")</f>
        <v>N/A</v>
      </c>
      <c r="M173" s="4" t="str">
        <f>IF(OR($A173="EHT Trace"),IF(AND($AA173&lt;&gt;"",$AB173&lt;&gt;""),"YES","NO"),"N/A")</f>
        <v>N/A</v>
      </c>
      <c r="N173" s="4" t="str">
        <f>IF(OR($A173="Power Cable"),IF(AND($AD173&lt;&gt;""),"YES","NO"),"N/A")</f>
        <v>N/A</v>
      </c>
      <c r="O173" s="4" t="str">
        <f>IF(OR($A173="Power Cable",$A173="RTD Cable",$A173="Fieldbus Cable"),IF(AND($AE173&lt;&gt;""),"YES","NO"),"N/A")</f>
        <v>N/A</v>
      </c>
      <c r="P173" s="4" t="str">
        <f>IF(OR($A173="RTD"),IF(AND($AH173&lt;&gt;""),"YES","NO"),"N/A")</f>
        <v>NO</v>
      </c>
      <c r="Q173" s="4" t="str">
        <f>IF(OR($A173="RTD"),IF(AND($AI173&lt;&gt;""),"YES","NO"),"N/A")</f>
        <v>NO</v>
      </c>
      <c r="R173" s="4" t="str">
        <f>IF(OR($AM173&lt;&gt;"",$Z173&lt;&gt;"",$AC173&lt;&gt;""),"YES","NO")</f>
        <v>NO</v>
      </c>
      <c r="S173" s="4" t="str">
        <f>IF(COUNTIF(I173:R173,"NO")=0,"YES","NO")</f>
        <v>NO</v>
      </c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inlineStr">
        <is>
          <t>Levy Ostrup</t>
        </is>
      </c>
      <c r="AM173" s="9" t="n"/>
      <c r="AN173" s="9" t="n"/>
    </row>
    <row r="174">
      <c r="A174" s="9" t="inlineStr">
        <is>
          <t>RTD</t>
        </is>
      </c>
      <c r="B174" s="9" t="inlineStr">
        <is>
          <t>29103-ET-P2704-2-R-1</t>
        </is>
      </c>
      <c r="C174" s="9" t="inlineStr">
        <is>
          <t>29103-ET-P2704-2</t>
        </is>
      </c>
      <c r="D174" s="9" t="inlineStr">
        <is>
          <t>29103-HTP-005 HTC-27</t>
        </is>
      </c>
      <c r="E174" s="9" t="inlineStr">
        <is>
          <t>PRODUCED EMULSION</t>
        </is>
      </c>
      <c r="F174" s="9" t="inlineStr">
        <is>
          <t>29103-65R-ET-P2704-02-01</t>
        </is>
      </c>
      <c r="G174" s="9" t="inlineStr">
        <is>
          <t>13.2</t>
        </is>
      </c>
      <c r="H174" s="9" t="inlineStr">
        <is>
          <t>29103-ET-P2704-2-R-1.pdf</t>
        </is>
      </c>
      <c r="I174" s="4" t="str">
        <f>IF($H174&lt;&gt;"","YES","NO")</f>
        <v>YES</v>
      </c>
      <c r="J174" s="4" t="str">
        <f>IF(N($T174)&gt;0,"YES","NO")</f>
        <v>NO</v>
      </c>
      <c r="K174" s="4" t="str">
        <f>IF(OR($A174="EHT Trace"),IF(AND($U174&lt;&gt;"",$V174&lt;&gt;""),"YES","NO"),"N/A")</f>
        <v>N/A</v>
      </c>
      <c r="L174" s="4" t="str">
        <f>IF(OR($A174="EHT Trace"),IF(AND($X174&lt;&gt;"",$Y174&lt;&gt;""),"YES","NO"),"N/A")</f>
        <v>N/A</v>
      </c>
      <c r="M174" s="4" t="str">
        <f>IF(OR($A174="EHT Trace"),IF(AND($AA174&lt;&gt;"",$AB174&lt;&gt;""),"YES","NO"),"N/A")</f>
        <v>N/A</v>
      </c>
      <c r="N174" s="4" t="str">
        <f>IF(OR($A174="Power Cable"),IF(AND($AD174&lt;&gt;""),"YES","NO"),"N/A")</f>
        <v>N/A</v>
      </c>
      <c r="O174" s="4" t="str">
        <f>IF(OR($A174="Power Cable",$A174="RTD Cable",$A174="Fieldbus Cable"),IF(AND($AE174&lt;&gt;""),"YES","NO"),"N/A")</f>
        <v>N/A</v>
      </c>
      <c r="P174" s="4" t="str">
        <f>IF(OR($A174="RTD"),IF(AND($AH174&lt;&gt;""),"YES","NO"),"N/A")</f>
        <v>NO</v>
      </c>
      <c r="Q174" s="4" t="str">
        <f>IF(OR($A174="RTD"),IF(AND($AI174&lt;&gt;""),"YES","NO"),"N/A")</f>
        <v>NO</v>
      </c>
      <c r="R174" s="4" t="str">
        <f>IF(OR($AM174&lt;&gt;"",$Z174&lt;&gt;"",$AC174&lt;&gt;""),"YES","NO")</f>
        <v>NO</v>
      </c>
      <c r="S174" s="4" t="str">
        <f>IF(COUNTIF(I174:R174,"NO")=0,"YES","NO")</f>
        <v>NO</v>
      </c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inlineStr">
        <is>
          <t>Levy Ostrup</t>
        </is>
      </c>
      <c r="AM174" s="9" t="n"/>
      <c r="AN174" s="9" t="n"/>
    </row>
    <row r="175">
      <c r="A175" s="9" t="inlineStr">
        <is>
          <t>RTD</t>
        </is>
      </c>
      <c r="B175" s="9" t="inlineStr">
        <is>
          <t>29103-ET-P2704-2-R-2</t>
        </is>
      </c>
      <c r="C175" s="9" t="inlineStr">
        <is>
          <t>29103-ET-P2704-2</t>
        </is>
      </c>
      <c r="D175" s="9" t="inlineStr">
        <is>
          <t>29103-HTP-005 I/O-4-3</t>
        </is>
      </c>
      <c r="E175" s="9" t="inlineStr">
        <is>
          <t>PRODUCED EMULSION</t>
        </is>
      </c>
      <c r="F175" s="9" t="inlineStr">
        <is>
          <t>29103-65R-ET-P2704-02-01</t>
        </is>
      </c>
      <c r="G175" s="9" t="inlineStr">
        <is>
          <t>13.2</t>
        </is>
      </c>
      <c r="H175" s="9" t="inlineStr">
        <is>
          <t>29103-ET-P2704-2-R-2.pdf</t>
        </is>
      </c>
      <c r="I175" s="4" t="str">
        <f>IF($H175&lt;&gt;"","YES","NO")</f>
        <v>YES</v>
      </c>
      <c r="J175" s="4" t="str">
        <f>IF(N($T175)&gt;0,"YES","NO")</f>
        <v>NO</v>
      </c>
      <c r="K175" s="4" t="str">
        <f>IF(OR($A175="EHT Trace"),IF(AND($U175&lt;&gt;"",$V175&lt;&gt;""),"YES","NO"),"N/A")</f>
        <v>N/A</v>
      </c>
      <c r="L175" s="4" t="str">
        <f>IF(OR($A175="EHT Trace"),IF(AND($X175&lt;&gt;"",$Y175&lt;&gt;""),"YES","NO"),"N/A")</f>
        <v>N/A</v>
      </c>
      <c r="M175" s="4" t="str">
        <f>IF(OR($A175="EHT Trace"),IF(AND($AA175&lt;&gt;"",$AB175&lt;&gt;""),"YES","NO"),"N/A")</f>
        <v>N/A</v>
      </c>
      <c r="N175" s="4" t="str">
        <f>IF(OR($A175="Power Cable"),IF(AND($AD175&lt;&gt;""),"YES","NO"),"N/A")</f>
        <v>N/A</v>
      </c>
      <c r="O175" s="4" t="str">
        <f>IF(OR($A175="Power Cable",$A175="RTD Cable",$A175="Fieldbus Cable"),IF(AND($AE175&lt;&gt;""),"YES","NO"),"N/A")</f>
        <v>N/A</v>
      </c>
      <c r="P175" s="4" t="str">
        <f>IF(OR($A175="RTD"),IF(AND($AH175&lt;&gt;""),"YES","NO"),"N/A")</f>
        <v>NO</v>
      </c>
      <c r="Q175" s="4" t="str">
        <f>IF(OR($A175="RTD"),IF(AND($AI175&lt;&gt;""),"YES","NO"),"N/A")</f>
        <v>NO</v>
      </c>
      <c r="R175" s="4" t="str">
        <f>IF(OR($AM175&lt;&gt;"",$Z175&lt;&gt;"",$AC175&lt;&gt;""),"YES","NO")</f>
        <v>NO</v>
      </c>
      <c r="S175" s="4" t="str">
        <f>IF(COUNTIF(I175:R175,"NO")=0,"YES","NO")</f>
        <v>NO</v>
      </c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inlineStr">
        <is>
          <t>Levy Ostrup</t>
        </is>
      </c>
      <c r="AM175" s="9" t="n"/>
      <c r="AN175" s="9" t="n"/>
    </row>
    <row r="176">
      <c r="A176" s="9" t="inlineStr">
        <is>
          <t>RTD</t>
        </is>
      </c>
      <c r="B176" s="9" t="inlineStr">
        <is>
          <t>29103-ET-P2800-1-R-1</t>
        </is>
      </c>
      <c r="C176" s="9" t="inlineStr">
        <is>
          <t>29103-ET-P2800-1</t>
        </is>
      </c>
      <c r="D176" s="9" t="inlineStr">
        <is>
          <t>29103-HTP-005 HTC-17</t>
        </is>
      </c>
      <c r="E176" s="9" t="inlineStr">
        <is>
          <t>PRODUCED EMULSION</t>
        </is>
      </c>
      <c r="F176" s="9" t="inlineStr">
        <is>
          <t>29103-65R-ET-P2800-01-01</t>
        </is>
      </c>
      <c r="G176" s="9" t="inlineStr">
        <is>
          <t>13.2</t>
        </is>
      </c>
      <c r="H176" s="9" t="inlineStr">
        <is>
          <t>29103-ET-P2800-1-R-1.pdf</t>
        </is>
      </c>
      <c r="I176" s="4" t="str">
        <f>IF($H176&lt;&gt;"","YES","NO")</f>
        <v>YES</v>
      </c>
      <c r="J176" s="4" t="str">
        <f>IF(N($T176)&gt;0,"YES","NO")</f>
        <v>NO</v>
      </c>
      <c r="K176" s="4" t="str">
        <f>IF(OR($A176="EHT Trace"),IF(AND($U176&lt;&gt;"",$V176&lt;&gt;""),"YES","NO"),"N/A")</f>
        <v>N/A</v>
      </c>
      <c r="L176" s="4" t="str">
        <f>IF(OR($A176="EHT Trace"),IF(AND($X176&lt;&gt;"",$Y176&lt;&gt;""),"YES","NO"),"N/A")</f>
        <v>N/A</v>
      </c>
      <c r="M176" s="4" t="str">
        <f>IF(OR($A176="EHT Trace"),IF(AND($AA176&lt;&gt;"",$AB176&lt;&gt;""),"YES","NO"),"N/A")</f>
        <v>N/A</v>
      </c>
      <c r="N176" s="4" t="str">
        <f>IF(OR($A176="Power Cable"),IF(AND($AD176&lt;&gt;""),"YES","NO"),"N/A")</f>
        <v>N/A</v>
      </c>
      <c r="O176" s="4" t="str">
        <f>IF(OR($A176="Power Cable",$A176="RTD Cable",$A176="Fieldbus Cable"),IF(AND($AE176&lt;&gt;""),"YES","NO"),"N/A")</f>
        <v>N/A</v>
      </c>
      <c r="P176" s="4" t="str">
        <f>IF(OR($A176="RTD"),IF(AND($AH176&lt;&gt;""),"YES","NO"),"N/A")</f>
        <v>NO</v>
      </c>
      <c r="Q176" s="4" t="str">
        <f>IF(OR($A176="RTD"),IF(AND($AI176&lt;&gt;""),"YES","NO"),"N/A")</f>
        <v>NO</v>
      </c>
      <c r="R176" s="4" t="str">
        <f>IF(OR($AM176&lt;&gt;"",$Z176&lt;&gt;"",$AC176&lt;&gt;""),"YES","NO")</f>
        <v>NO</v>
      </c>
      <c r="S176" s="4" t="str">
        <f>IF(COUNTIF(I176:R176,"NO")=0,"YES","NO")</f>
        <v>NO</v>
      </c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inlineStr">
        <is>
          <t>Levy Ostrup</t>
        </is>
      </c>
      <c r="AM176" s="9" t="n"/>
      <c r="AN176" s="9" t="n"/>
    </row>
    <row r="177">
      <c r="A177" s="9" t="inlineStr">
        <is>
          <t>RTD</t>
        </is>
      </c>
      <c r="B177" s="9" t="inlineStr">
        <is>
          <t>29103-ET-PE2401-1-R-1</t>
        </is>
      </c>
      <c r="C177" s="9" t="inlineStr">
        <is>
          <t>29103-ET-PE2401-1</t>
        </is>
      </c>
      <c r="D177" s="9" t="inlineStr">
        <is>
          <t>29103-HTP-005 HTC-08</t>
        </is>
      </c>
      <c r="E177" s="9" t="inlineStr">
        <is>
          <t>PRODUCED EMULSION</t>
        </is>
      </c>
      <c r="F177" s="9" t="inlineStr">
        <is>
          <t>29103-65R-ET-PE2401-01-01</t>
        </is>
      </c>
      <c r="G177" s="9" t="inlineStr">
        <is>
          <t>13.2</t>
        </is>
      </c>
      <c r="H177" s="9" t="inlineStr">
        <is>
          <t>29103-ET-PE2401-1-R-1.pdf</t>
        </is>
      </c>
      <c r="I177" s="4" t="str">
        <f>IF($H177&lt;&gt;"","YES","NO")</f>
        <v>YES</v>
      </c>
      <c r="J177" s="4" t="str">
        <f>IF(N($T177)&gt;0,"YES","NO")</f>
        <v>NO</v>
      </c>
      <c r="K177" s="4" t="str">
        <f>IF(OR($A177="EHT Trace"),IF(AND($U177&lt;&gt;"",$V177&lt;&gt;""),"YES","NO"),"N/A")</f>
        <v>N/A</v>
      </c>
      <c r="L177" s="4" t="str">
        <f>IF(OR($A177="EHT Trace"),IF(AND($X177&lt;&gt;"",$Y177&lt;&gt;""),"YES","NO"),"N/A")</f>
        <v>N/A</v>
      </c>
      <c r="M177" s="4" t="str">
        <f>IF(OR($A177="EHT Trace"),IF(AND($AA177&lt;&gt;"",$AB177&lt;&gt;""),"YES","NO"),"N/A")</f>
        <v>N/A</v>
      </c>
      <c r="N177" s="4" t="str">
        <f>IF(OR($A177="Power Cable"),IF(AND($AD177&lt;&gt;""),"YES","NO"),"N/A")</f>
        <v>N/A</v>
      </c>
      <c r="O177" s="4" t="str">
        <f>IF(OR($A177="Power Cable",$A177="RTD Cable",$A177="Fieldbus Cable"),IF(AND($AE177&lt;&gt;""),"YES","NO"),"N/A")</f>
        <v>N/A</v>
      </c>
      <c r="P177" s="4" t="str">
        <f>IF(OR($A177="RTD"),IF(AND($AH177&lt;&gt;""),"YES","NO"),"N/A")</f>
        <v>NO</v>
      </c>
      <c r="Q177" s="4" t="str">
        <f>IF(OR($A177="RTD"),IF(AND($AI177&lt;&gt;""),"YES","NO"),"N/A")</f>
        <v>NO</v>
      </c>
      <c r="R177" s="4" t="str">
        <f>IF(OR($AM177&lt;&gt;"",$Z177&lt;&gt;"",$AC177&lt;&gt;""),"YES","NO")</f>
        <v>NO</v>
      </c>
      <c r="S177" s="4" t="str">
        <f>IF(COUNTIF(I177:R177,"NO")=0,"YES","NO")</f>
        <v>NO</v>
      </c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inlineStr">
        <is>
          <t>Levy Ostrup</t>
        </is>
      </c>
      <c r="AM177" s="9" t="n"/>
      <c r="AN177" s="9" t="n"/>
    </row>
    <row r="178">
      <c r="A178" s="9" t="inlineStr">
        <is>
          <t>RTD</t>
        </is>
      </c>
      <c r="B178" s="9" t="inlineStr">
        <is>
          <t>29103-ET-PE2501-1-R-1</t>
        </is>
      </c>
      <c r="C178" s="9" t="inlineStr">
        <is>
          <t>29103-ET-PE2501-1</t>
        </is>
      </c>
      <c r="D178" s="9" t="inlineStr">
        <is>
          <t>29103-HTP-005 HTC-10</t>
        </is>
      </c>
      <c r="E178" s="9" t="inlineStr">
        <is>
          <t>PRODUCED EMULSION</t>
        </is>
      </c>
      <c r="F178" s="9" t="inlineStr">
        <is>
          <t>29103-65R-ET-PE2501-01-01</t>
        </is>
      </c>
      <c r="G178" s="9" t="inlineStr">
        <is>
          <t>13.2</t>
        </is>
      </c>
      <c r="H178" s="9" t="inlineStr">
        <is>
          <t>29103-ET-PE2501-1-R-1.pdf</t>
        </is>
      </c>
      <c r="I178" s="4" t="str">
        <f>IF($H178&lt;&gt;"","YES","NO")</f>
        <v>YES</v>
      </c>
      <c r="J178" s="4" t="str">
        <f>IF(N($T178)&gt;0,"YES","NO")</f>
        <v>NO</v>
      </c>
      <c r="K178" s="4" t="str">
        <f>IF(OR($A178="EHT Trace"),IF(AND($U178&lt;&gt;"",$V178&lt;&gt;""),"YES","NO"),"N/A")</f>
        <v>N/A</v>
      </c>
      <c r="L178" s="4" t="str">
        <f>IF(OR($A178="EHT Trace"),IF(AND($X178&lt;&gt;"",$Y178&lt;&gt;""),"YES","NO"),"N/A")</f>
        <v>N/A</v>
      </c>
      <c r="M178" s="4" t="str">
        <f>IF(OR($A178="EHT Trace"),IF(AND($AA178&lt;&gt;"",$AB178&lt;&gt;""),"YES","NO"),"N/A")</f>
        <v>N/A</v>
      </c>
      <c r="N178" s="4" t="str">
        <f>IF(OR($A178="Power Cable"),IF(AND($AD178&lt;&gt;""),"YES","NO"),"N/A")</f>
        <v>N/A</v>
      </c>
      <c r="O178" s="4" t="str">
        <f>IF(OR($A178="Power Cable",$A178="RTD Cable",$A178="Fieldbus Cable"),IF(AND($AE178&lt;&gt;""),"YES","NO"),"N/A")</f>
        <v>N/A</v>
      </c>
      <c r="P178" s="4" t="str">
        <f>IF(OR($A178="RTD"),IF(AND($AH178&lt;&gt;""),"YES","NO"),"N/A")</f>
        <v>NO</v>
      </c>
      <c r="Q178" s="4" t="str">
        <f>IF(OR($A178="RTD"),IF(AND($AI178&lt;&gt;""),"YES","NO"),"N/A")</f>
        <v>NO</v>
      </c>
      <c r="R178" s="4" t="str">
        <f>IF(OR($AM178&lt;&gt;"",$Z178&lt;&gt;"",$AC178&lt;&gt;""),"YES","NO")</f>
        <v>NO</v>
      </c>
      <c r="S178" s="4" t="str">
        <f>IF(COUNTIF(I178:R178,"NO")=0,"YES","NO")</f>
        <v>NO</v>
      </c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inlineStr">
        <is>
          <t>Levy Ostrup</t>
        </is>
      </c>
      <c r="AM178" s="9" t="n"/>
      <c r="AN178" s="9" t="n"/>
    </row>
    <row r="179">
      <c r="A179" s="9" t="inlineStr">
        <is>
          <t>RTD</t>
        </is>
      </c>
      <c r="B179" s="9" t="inlineStr">
        <is>
          <t>29103-ET-PE2501-2-R-2</t>
        </is>
      </c>
      <c r="C179" s="9" t="inlineStr">
        <is>
          <t>29103-ET-PE2501-2</t>
        </is>
      </c>
      <c r="D179" s="9" t="inlineStr">
        <is>
          <t>29103-HTP-005 I/O-2-3</t>
        </is>
      </c>
      <c r="E179" s="9" t="inlineStr">
        <is>
          <t>PRODUCED EMULSION</t>
        </is>
      </c>
      <c r="F179" s="9" t="inlineStr">
        <is>
          <t>29103-65R-ET-PE2501-02-01</t>
        </is>
      </c>
      <c r="G179" s="9" t="inlineStr">
        <is>
          <t>13.2</t>
        </is>
      </c>
      <c r="H179" s="9" t="inlineStr">
        <is>
          <t>29103-ET-PE2501-2-R-2.pdf</t>
        </is>
      </c>
      <c r="I179" s="4" t="str">
        <f>IF($H179&lt;&gt;"","YES","NO")</f>
        <v>YES</v>
      </c>
      <c r="J179" s="4" t="str">
        <f>IF(N($T179)&gt;0,"YES","NO")</f>
        <v>NO</v>
      </c>
      <c r="K179" s="4" t="str">
        <f>IF(OR($A179="EHT Trace"),IF(AND($U179&lt;&gt;"",$V179&lt;&gt;""),"YES","NO"),"N/A")</f>
        <v>N/A</v>
      </c>
      <c r="L179" s="4" t="str">
        <f>IF(OR($A179="EHT Trace"),IF(AND($X179&lt;&gt;"",$Y179&lt;&gt;""),"YES","NO"),"N/A")</f>
        <v>N/A</v>
      </c>
      <c r="M179" s="4" t="str">
        <f>IF(OR($A179="EHT Trace"),IF(AND($AA179&lt;&gt;"",$AB179&lt;&gt;""),"YES","NO"),"N/A")</f>
        <v>N/A</v>
      </c>
      <c r="N179" s="4" t="str">
        <f>IF(OR($A179="Power Cable"),IF(AND($AD179&lt;&gt;""),"YES","NO"),"N/A")</f>
        <v>N/A</v>
      </c>
      <c r="O179" s="4" t="str">
        <f>IF(OR($A179="Power Cable",$A179="RTD Cable",$A179="Fieldbus Cable"),IF(AND($AE179&lt;&gt;""),"YES","NO"),"N/A")</f>
        <v>N/A</v>
      </c>
      <c r="P179" s="4" t="str">
        <f>IF(OR($A179="RTD"),IF(AND($AH179&lt;&gt;""),"YES","NO"),"N/A")</f>
        <v>NO</v>
      </c>
      <c r="Q179" s="4" t="str">
        <f>IF(OR($A179="RTD"),IF(AND($AI179&lt;&gt;""),"YES","NO"),"N/A")</f>
        <v>NO</v>
      </c>
      <c r="R179" s="4" t="str">
        <f>IF(OR($AM179&lt;&gt;"",$Z179&lt;&gt;"",$AC179&lt;&gt;""),"YES","NO")</f>
        <v>NO</v>
      </c>
      <c r="S179" s="4" t="str">
        <f>IF(COUNTIF(I179:R179,"NO")=0,"YES","NO")</f>
        <v>NO</v>
      </c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inlineStr">
        <is>
          <t>Levy Ostrup</t>
        </is>
      </c>
      <c r="AM179" s="9" t="n"/>
      <c r="AN179" s="9" t="n"/>
    </row>
    <row r="180">
      <c r="A180" s="9" t="inlineStr">
        <is>
          <t>RTD</t>
        </is>
      </c>
      <c r="B180" s="9" t="inlineStr">
        <is>
          <t>29103-ET-PE2502-1-R-1</t>
        </is>
      </c>
      <c r="C180" s="9" t="inlineStr">
        <is>
          <t>29103-ET-PE2502-1</t>
        </is>
      </c>
      <c r="D180" s="9" t="inlineStr">
        <is>
          <t>29103-HTP-005 HTC-06</t>
        </is>
      </c>
      <c r="E180" s="9" t="inlineStr">
        <is>
          <t>PRODUCED EMULSION</t>
        </is>
      </c>
      <c r="F180" s="9" t="inlineStr">
        <is>
          <t>29103-65R-ET-PE2502-01-01</t>
        </is>
      </c>
      <c r="G180" s="9" t="inlineStr">
        <is>
          <t>13.2</t>
        </is>
      </c>
      <c r="H180" s="9" t="inlineStr">
        <is>
          <t>29103-ET-PE2502-1-R-1.pdf</t>
        </is>
      </c>
      <c r="I180" s="4" t="str">
        <f>IF($H180&lt;&gt;"","YES","NO")</f>
        <v>YES</v>
      </c>
      <c r="J180" s="4" t="str">
        <f>IF(N($T180)&gt;0,"YES","NO")</f>
        <v>NO</v>
      </c>
      <c r="K180" s="4" t="str">
        <f>IF(OR($A180="EHT Trace"),IF(AND($U180&lt;&gt;"",$V180&lt;&gt;""),"YES","NO"),"N/A")</f>
        <v>N/A</v>
      </c>
      <c r="L180" s="4" t="str">
        <f>IF(OR($A180="EHT Trace"),IF(AND($X180&lt;&gt;"",$Y180&lt;&gt;""),"YES","NO"),"N/A")</f>
        <v>N/A</v>
      </c>
      <c r="M180" s="4" t="str">
        <f>IF(OR($A180="EHT Trace"),IF(AND($AA180&lt;&gt;"",$AB180&lt;&gt;""),"YES","NO"),"N/A")</f>
        <v>N/A</v>
      </c>
      <c r="N180" s="4" t="str">
        <f>IF(OR($A180="Power Cable"),IF(AND($AD180&lt;&gt;""),"YES","NO"),"N/A")</f>
        <v>N/A</v>
      </c>
      <c r="O180" s="4" t="str">
        <f>IF(OR($A180="Power Cable",$A180="RTD Cable",$A180="Fieldbus Cable"),IF(AND($AE180&lt;&gt;""),"YES","NO"),"N/A")</f>
        <v>N/A</v>
      </c>
      <c r="P180" s="4" t="str">
        <f>IF(OR($A180="RTD"),IF(AND($AH180&lt;&gt;""),"YES","NO"),"N/A")</f>
        <v>NO</v>
      </c>
      <c r="Q180" s="4" t="str">
        <f>IF(OR($A180="RTD"),IF(AND($AI180&lt;&gt;""),"YES","NO"),"N/A")</f>
        <v>NO</v>
      </c>
      <c r="R180" s="4" t="str">
        <f>IF(OR($AM180&lt;&gt;"",$Z180&lt;&gt;"",$AC180&lt;&gt;""),"YES","NO")</f>
        <v>NO</v>
      </c>
      <c r="S180" s="4" t="str">
        <f>IF(COUNTIF(I180:R180,"NO")=0,"YES","NO")</f>
        <v>NO</v>
      </c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inlineStr">
        <is>
          <t>Levy Ostrup</t>
        </is>
      </c>
      <c r="AM180" s="9" t="n"/>
      <c r="AN180" s="9" t="n"/>
    </row>
    <row r="181">
      <c r="A181" s="9" t="inlineStr">
        <is>
          <t>RTD</t>
        </is>
      </c>
      <c r="B181" s="9" t="inlineStr">
        <is>
          <t>29103-ET-PE2502-1-R-2</t>
        </is>
      </c>
      <c r="C181" s="9" t="inlineStr">
        <is>
          <t>29103-ET-PE2502-1</t>
        </is>
      </c>
      <c r="D181" s="9" t="inlineStr">
        <is>
          <t>29103-HTP-005 I/O-2-4</t>
        </is>
      </c>
      <c r="E181" s="9" t="inlineStr">
        <is>
          <t>PRODUCED EMULSION</t>
        </is>
      </c>
      <c r="F181" s="9" t="inlineStr">
        <is>
          <t>29103-65R-ET-PE2502-01-01</t>
        </is>
      </c>
      <c r="G181" s="9" t="inlineStr">
        <is>
          <t>13.2</t>
        </is>
      </c>
      <c r="H181" s="9" t="inlineStr">
        <is>
          <t>29103-ET-PE2502-1-R-2.pdf</t>
        </is>
      </c>
      <c r="I181" s="4" t="str">
        <f>IF($H181&lt;&gt;"","YES","NO")</f>
        <v>YES</v>
      </c>
      <c r="J181" s="4" t="str">
        <f>IF(N($T181)&gt;0,"YES","NO")</f>
        <v>NO</v>
      </c>
      <c r="K181" s="4" t="str">
        <f>IF(OR($A181="EHT Trace"),IF(AND($U181&lt;&gt;"",$V181&lt;&gt;""),"YES","NO"),"N/A")</f>
        <v>N/A</v>
      </c>
      <c r="L181" s="4" t="str">
        <f>IF(OR($A181="EHT Trace"),IF(AND($X181&lt;&gt;"",$Y181&lt;&gt;""),"YES","NO"),"N/A")</f>
        <v>N/A</v>
      </c>
      <c r="M181" s="4" t="str">
        <f>IF(OR($A181="EHT Trace"),IF(AND($AA181&lt;&gt;"",$AB181&lt;&gt;""),"YES","NO"),"N/A")</f>
        <v>N/A</v>
      </c>
      <c r="N181" s="4" t="str">
        <f>IF(OR($A181="Power Cable"),IF(AND($AD181&lt;&gt;""),"YES","NO"),"N/A")</f>
        <v>N/A</v>
      </c>
      <c r="O181" s="4" t="str">
        <f>IF(OR($A181="Power Cable",$A181="RTD Cable",$A181="Fieldbus Cable"),IF(AND($AE181&lt;&gt;""),"YES","NO"),"N/A")</f>
        <v>N/A</v>
      </c>
      <c r="P181" s="4" t="str">
        <f>IF(OR($A181="RTD"),IF(AND($AH181&lt;&gt;""),"YES","NO"),"N/A")</f>
        <v>NO</v>
      </c>
      <c r="Q181" s="4" t="str">
        <f>IF(OR($A181="RTD"),IF(AND($AI181&lt;&gt;""),"YES","NO"),"N/A")</f>
        <v>NO</v>
      </c>
      <c r="R181" s="4" t="str">
        <f>IF(OR($AM181&lt;&gt;"",$Z181&lt;&gt;"",$AC181&lt;&gt;""),"YES","NO")</f>
        <v>NO</v>
      </c>
      <c r="S181" s="4" t="str">
        <f>IF(COUNTIF(I181:R181,"NO")=0,"YES","NO")</f>
        <v>NO</v>
      </c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inlineStr">
        <is>
          <t>Levy Ostrup</t>
        </is>
      </c>
      <c r="AM181" s="9" t="n"/>
      <c r="AN181" s="9" t="n"/>
    </row>
    <row r="182">
      <c r="A182" s="9" t="inlineStr">
        <is>
          <t>RTD</t>
        </is>
      </c>
      <c r="B182" s="9" t="inlineStr">
        <is>
          <t>29103-ET-PE2601-1-R-1</t>
        </is>
      </c>
      <c r="C182" s="9" t="inlineStr">
        <is>
          <t>29103-ET-PE2601-1</t>
        </is>
      </c>
      <c r="D182" s="9" t="inlineStr">
        <is>
          <t>29103-HTP-005 HTC-31</t>
        </is>
      </c>
      <c r="E182" s="9" t="inlineStr">
        <is>
          <t>PRODUCED EMULSION</t>
        </is>
      </c>
      <c r="F182" s="9" t="inlineStr">
        <is>
          <t>29103-65R-ET-PE2601-01-01</t>
        </is>
      </c>
      <c r="G182" s="9" t="inlineStr">
        <is>
          <t>13.2</t>
        </is>
      </c>
      <c r="H182" s="9" t="inlineStr">
        <is>
          <t>29103-ET-PE2601-1-R-1.pdf</t>
        </is>
      </c>
      <c r="I182" s="4" t="str">
        <f>IF($H182&lt;&gt;"","YES","NO")</f>
        <v>YES</v>
      </c>
      <c r="J182" s="4" t="str">
        <f>IF(N($T182)&gt;0,"YES","NO")</f>
        <v>NO</v>
      </c>
      <c r="K182" s="4" t="str">
        <f>IF(OR($A182="EHT Trace"),IF(AND($U182&lt;&gt;"",$V182&lt;&gt;""),"YES","NO"),"N/A")</f>
        <v>N/A</v>
      </c>
      <c r="L182" s="4" t="str">
        <f>IF(OR($A182="EHT Trace"),IF(AND($X182&lt;&gt;"",$Y182&lt;&gt;""),"YES","NO"),"N/A")</f>
        <v>N/A</v>
      </c>
      <c r="M182" s="4" t="str">
        <f>IF(OR($A182="EHT Trace"),IF(AND($AA182&lt;&gt;"",$AB182&lt;&gt;""),"YES","NO"),"N/A")</f>
        <v>N/A</v>
      </c>
      <c r="N182" s="4" t="str">
        <f>IF(OR($A182="Power Cable"),IF(AND($AD182&lt;&gt;""),"YES","NO"),"N/A")</f>
        <v>N/A</v>
      </c>
      <c r="O182" s="4" t="str">
        <f>IF(OR($A182="Power Cable",$A182="RTD Cable",$A182="Fieldbus Cable"),IF(AND($AE182&lt;&gt;""),"YES","NO"),"N/A")</f>
        <v>N/A</v>
      </c>
      <c r="P182" s="4" t="str">
        <f>IF(OR($A182="RTD"),IF(AND($AH182&lt;&gt;""),"YES","NO"),"N/A")</f>
        <v>NO</v>
      </c>
      <c r="Q182" s="4" t="str">
        <f>IF(OR($A182="RTD"),IF(AND($AI182&lt;&gt;""),"YES","NO"),"N/A")</f>
        <v>NO</v>
      </c>
      <c r="R182" s="4" t="str">
        <f>IF(OR($AM182&lt;&gt;"",$Z182&lt;&gt;"",$AC182&lt;&gt;""),"YES","NO")</f>
        <v>NO</v>
      </c>
      <c r="S182" s="4" t="str">
        <f>IF(COUNTIF(I182:R182,"NO")=0,"YES","NO")</f>
        <v>NO</v>
      </c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inlineStr">
        <is>
          <t>Levy Ostrup</t>
        </is>
      </c>
      <c r="AM182" s="9" t="n"/>
      <c r="AN182" s="9" t="n"/>
    </row>
    <row r="183">
      <c r="A183" s="9" t="inlineStr">
        <is>
          <t>RTD</t>
        </is>
      </c>
      <c r="B183" s="9" t="inlineStr">
        <is>
          <t>29103-ET-PE2601-2-R-2</t>
        </is>
      </c>
      <c r="C183" s="9" t="inlineStr">
        <is>
          <t>29103-ET-PE2601-2</t>
        </is>
      </c>
      <c r="D183" s="9" t="inlineStr">
        <is>
          <t>29103-HTP-005 I/O-1-3</t>
        </is>
      </c>
      <c r="E183" s="9" t="inlineStr">
        <is>
          <t>PRODUCED EMULSION</t>
        </is>
      </c>
      <c r="F183" s="9" t="inlineStr">
        <is>
          <t>29103-65R-ET-PE2601-02-01</t>
        </is>
      </c>
      <c r="G183" s="9" t="inlineStr">
        <is>
          <t>13.2</t>
        </is>
      </c>
      <c r="H183" s="9" t="inlineStr">
        <is>
          <t>29103-ET-PE2601-2-R-2.pdf</t>
        </is>
      </c>
      <c r="I183" s="4" t="str">
        <f>IF($H183&lt;&gt;"","YES","NO")</f>
        <v>YES</v>
      </c>
      <c r="J183" s="4" t="str">
        <f>IF(N($T183)&gt;0,"YES","NO")</f>
        <v>NO</v>
      </c>
      <c r="K183" s="4" t="str">
        <f>IF(OR($A183="EHT Trace"),IF(AND($U183&lt;&gt;"",$V183&lt;&gt;""),"YES","NO"),"N/A")</f>
        <v>N/A</v>
      </c>
      <c r="L183" s="4" t="str">
        <f>IF(OR($A183="EHT Trace"),IF(AND($X183&lt;&gt;"",$Y183&lt;&gt;""),"YES","NO"),"N/A")</f>
        <v>N/A</v>
      </c>
      <c r="M183" s="4" t="str">
        <f>IF(OR($A183="EHT Trace"),IF(AND($AA183&lt;&gt;"",$AB183&lt;&gt;""),"YES","NO"),"N/A")</f>
        <v>N/A</v>
      </c>
      <c r="N183" s="4" t="str">
        <f>IF(OR($A183="Power Cable"),IF(AND($AD183&lt;&gt;""),"YES","NO"),"N/A")</f>
        <v>N/A</v>
      </c>
      <c r="O183" s="4" t="str">
        <f>IF(OR($A183="Power Cable",$A183="RTD Cable",$A183="Fieldbus Cable"),IF(AND($AE183&lt;&gt;""),"YES","NO"),"N/A")</f>
        <v>N/A</v>
      </c>
      <c r="P183" s="4" t="str">
        <f>IF(OR($A183="RTD"),IF(AND($AH183&lt;&gt;""),"YES","NO"),"N/A")</f>
        <v>NO</v>
      </c>
      <c r="Q183" s="4" t="str">
        <f>IF(OR($A183="RTD"),IF(AND($AI183&lt;&gt;""),"YES","NO"),"N/A")</f>
        <v>NO</v>
      </c>
      <c r="R183" s="4" t="str">
        <f>IF(OR($AM183&lt;&gt;"",$Z183&lt;&gt;"",$AC183&lt;&gt;""),"YES","NO")</f>
        <v>NO</v>
      </c>
      <c r="S183" s="4" t="str">
        <f>IF(COUNTIF(I183:R183,"NO")=0,"YES","NO")</f>
        <v>NO</v>
      </c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inlineStr">
        <is>
          <t>Levy Ostrup</t>
        </is>
      </c>
      <c r="AM183" s="9" t="n"/>
      <c r="AN183" s="9" t="n"/>
    </row>
    <row r="184">
      <c r="A184" s="9" t="inlineStr">
        <is>
          <t>RTD</t>
        </is>
      </c>
      <c r="B184" s="9" t="inlineStr">
        <is>
          <t>29103-ET-PE2602-1-R-1</t>
        </is>
      </c>
      <c r="C184" s="9" t="inlineStr">
        <is>
          <t>29103-ET-PE2602-1</t>
        </is>
      </c>
      <c r="D184" s="9" t="inlineStr">
        <is>
          <t>29103-HTP-005 HTC-25</t>
        </is>
      </c>
      <c r="E184" s="9" t="inlineStr">
        <is>
          <t>PRODUCED EMULSION</t>
        </is>
      </c>
      <c r="F184" s="9" t="inlineStr">
        <is>
          <t>29103-65R-ET-PE2602-01-01</t>
        </is>
      </c>
      <c r="G184" s="9" t="inlineStr">
        <is>
          <t>13.2</t>
        </is>
      </c>
      <c r="H184" s="9" t="inlineStr">
        <is>
          <t>29103-ET-PE2602-1-R-1.pdf</t>
        </is>
      </c>
      <c r="I184" s="4" t="str">
        <f>IF($H184&lt;&gt;"","YES","NO")</f>
        <v>YES</v>
      </c>
      <c r="J184" s="4" t="str">
        <f>IF(N($T184)&gt;0,"YES","NO")</f>
        <v>NO</v>
      </c>
      <c r="K184" s="4" t="str">
        <f>IF(OR($A184="EHT Trace"),IF(AND($U184&lt;&gt;"",$V184&lt;&gt;""),"YES","NO"),"N/A")</f>
        <v>N/A</v>
      </c>
      <c r="L184" s="4" t="str">
        <f>IF(OR($A184="EHT Trace"),IF(AND($X184&lt;&gt;"",$Y184&lt;&gt;""),"YES","NO"),"N/A")</f>
        <v>N/A</v>
      </c>
      <c r="M184" s="4" t="str">
        <f>IF(OR($A184="EHT Trace"),IF(AND($AA184&lt;&gt;"",$AB184&lt;&gt;""),"YES","NO"),"N/A")</f>
        <v>N/A</v>
      </c>
      <c r="N184" s="4" t="str">
        <f>IF(OR($A184="Power Cable"),IF(AND($AD184&lt;&gt;""),"YES","NO"),"N/A")</f>
        <v>N/A</v>
      </c>
      <c r="O184" s="4" t="str">
        <f>IF(OR($A184="Power Cable",$A184="RTD Cable",$A184="Fieldbus Cable"),IF(AND($AE184&lt;&gt;""),"YES","NO"),"N/A")</f>
        <v>N/A</v>
      </c>
      <c r="P184" s="4" t="str">
        <f>IF(OR($A184="RTD"),IF(AND($AH184&lt;&gt;""),"YES","NO"),"N/A")</f>
        <v>NO</v>
      </c>
      <c r="Q184" s="4" t="str">
        <f>IF(OR($A184="RTD"),IF(AND($AI184&lt;&gt;""),"YES","NO"),"N/A")</f>
        <v>NO</v>
      </c>
      <c r="R184" s="4" t="str">
        <f>IF(OR($AM184&lt;&gt;"",$Z184&lt;&gt;"",$AC184&lt;&gt;""),"YES","NO")</f>
        <v>NO</v>
      </c>
      <c r="S184" s="4" t="str">
        <f>IF(COUNTIF(I184:R184,"NO")=0,"YES","NO")</f>
        <v>NO</v>
      </c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inlineStr">
        <is>
          <t>Levy Ostrup</t>
        </is>
      </c>
      <c r="AM184" s="9" t="n"/>
      <c r="AN184" s="9" t="n"/>
    </row>
    <row r="185">
      <c r="A185" s="9" t="inlineStr">
        <is>
          <t>RTD</t>
        </is>
      </c>
      <c r="B185" s="9" t="inlineStr">
        <is>
          <t>29103-ET-PE2602-1-R-2</t>
        </is>
      </c>
      <c r="C185" s="9" t="inlineStr">
        <is>
          <t>29103-ET-PE2602-1</t>
        </is>
      </c>
      <c r="D185" s="9" t="inlineStr">
        <is>
          <t>29103-HTP-005 I/O-3-3</t>
        </is>
      </c>
      <c r="E185" s="9" t="inlineStr">
        <is>
          <t>PRODUCED EMULSION</t>
        </is>
      </c>
      <c r="F185" s="9" t="inlineStr">
        <is>
          <t>29103-65R-ET-PE2602-01-01</t>
        </is>
      </c>
      <c r="G185" s="9" t="inlineStr">
        <is>
          <t>13.2</t>
        </is>
      </c>
      <c r="H185" s="9" t="inlineStr">
        <is>
          <t>29103-ET-PE2602-1-R-2.pdf</t>
        </is>
      </c>
      <c r="I185" s="4" t="str">
        <f>IF($H185&lt;&gt;"","YES","NO")</f>
        <v>YES</v>
      </c>
      <c r="J185" s="4" t="str">
        <f>IF(N($T185)&gt;0,"YES","NO")</f>
        <v>NO</v>
      </c>
      <c r="K185" s="4" t="str">
        <f>IF(OR($A185="EHT Trace"),IF(AND($U185&lt;&gt;"",$V185&lt;&gt;""),"YES","NO"),"N/A")</f>
        <v>N/A</v>
      </c>
      <c r="L185" s="4" t="str">
        <f>IF(OR($A185="EHT Trace"),IF(AND($X185&lt;&gt;"",$Y185&lt;&gt;""),"YES","NO"),"N/A")</f>
        <v>N/A</v>
      </c>
      <c r="M185" s="4" t="str">
        <f>IF(OR($A185="EHT Trace"),IF(AND($AA185&lt;&gt;"",$AB185&lt;&gt;""),"YES","NO"),"N/A")</f>
        <v>N/A</v>
      </c>
      <c r="N185" s="4" t="str">
        <f>IF(OR($A185="Power Cable"),IF(AND($AD185&lt;&gt;""),"YES","NO"),"N/A")</f>
        <v>N/A</v>
      </c>
      <c r="O185" s="4" t="str">
        <f>IF(OR($A185="Power Cable",$A185="RTD Cable",$A185="Fieldbus Cable"),IF(AND($AE185&lt;&gt;""),"YES","NO"),"N/A")</f>
        <v>N/A</v>
      </c>
      <c r="P185" s="4" t="str">
        <f>IF(OR($A185="RTD"),IF(AND($AH185&lt;&gt;""),"YES","NO"),"N/A")</f>
        <v>NO</v>
      </c>
      <c r="Q185" s="4" t="str">
        <f>IF(OR($A185="RTD"),IF(AND($AI185&lt;&gt;""),"YES","NO"),"N/A")</f>
        <v>NO</v>
      </c>
      <c r="R185" s="4" t="str">
        <f>IF(OR($AM185&lt;&gt;"",$Z185&lt;&gt;"",$AC185&lt;&gt;""),"YES","NO")</f>
        <v>NO</v>
      </c>
      <c r="S185" s="4" t="str">
        <f>IF(COUNTIF(I185:R185,"NO")=0,"YES","NO")</f>
        <v>NO</v>
      </c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inlineStr">
        <is>
          <t>Levy Ostrup</t>
        </is>
      </c>
      <c r="AM185" s="9" t="n"/>
      <c r="AN185" s="9" t="n"/>
    </row>
    <row r="186">
      <c r="A186" s="9" t="inlineStr">
        <is>
          <t>RTD</t>
        </is>
      </c>
      <c r="B186" s="9" t="inlineStr">
        <is>
          <t>29103-ET-PE2701-1-R-1</t>
        </is>
      </c>
      <c r="C186" s="9" t="inlineStr">
        <is>
          <t>29103-ET-PE2701-1</t>
        </is>
      </c>
      <c r="D186" s="9" t="inlineStr">
        <is>
          <t>29103-HTP-005 HTC-33</t>
        </is>
      </c>
      <c r="E186" s="9" t="inlineStr">
        <is>
          <t>PRODUCED EMULSION</t>
        </is>
      </c>
      <c r="F186" s="9" t="inlineStr">
        <is>
          <t>29103-65R-ET-PE2701-01-01</t>
        </is>
      </c>
      <c r="G186" s="9" t="inlineStr">
        <is>
          <t>13.2</t>
        </is>
      </c>
      <c r="H186" s="9" t="inlineStr">
        <is>
          <t>29103-ET-PE2701-1-R-1.pdf</t>
        </is>
      </c>
      <c r="I186" s="4" t="str">
        <f>IF($H186&lt;&gt;"","YES","NO")</f>
        <v>YES</v>
      </c>
      <c r="J186" s="4" t="str">
        <f>IF(N($T186)&gt;0,"YES","NO")</f>
        <v>NO</v>
      </c>
      <c r="K186" s="4" t="str">
        <f>IF(OR($A186="EHT Trace"),IF(AND($U186&lt;&gt;"",$V186&lt;&gt;""),"YES","NO"),"N/A")</f>
        <v>N/A</v>
      </c>
      <c r="L186" s="4" t="str">
        <f>IF(OR($A186="EHT Trace"),IF(AND($X186&lt;&gt;"",$Y186&lt;&gt;""),"YES","NO"),"N/A")</f>
        <v>N/A</v>
      </c>
      <c r="M186" s="4" t="str">
        <f>IF(OR($A186="EHT Trace"),IF(AND($AA186&lt;&gt;"",$AB186&lt;&gt;""),"YES","NO"),"N/A")</f>
        <v>N/A</v>
      </c>
      <c r="N186" s="4" t="str">
        <f>IF(OR($A186="Power Cable"),IF(AND($AD186&lt;&gt;""),"YES","NO"),"N/A")</f>
        <v>N/A</v>
      </c>
      <c r="O186" s="4" t="str">
        <f>IF(OR($A186="Power Cable",$A186="RTD Cable",$A186="Fieldbus Cable"),IF(AND($AE186&lt;&gt;""),"YES","NO"),"N/A")</f>
        <v>N/A</v>
      </c>
      <c r="P186" s="4" t="str">
        <f>IF(OR($A186="RTD"),IF(AND($AH186&lt;&gt;""),"YES","NO"),"N/A")</f>
        <v>NO</v>
      </c>
      <c r="Q186" s="4" t="str">
        <f>IF(OR($A186="RTD"),IF(AND($AI186&lt;&gt;""),"YES","NO"),"N/A")</f>
        <v>NO</v>
      </c>
      <c r="R186" s="4" t="str">
        <f>IF(OR($AM186&lt;&gt;"",$Z186&lt;&gt;"",$AC186&lt;&gt;""),"YES","NO")</f>
        <v>NO</v>
      </c>
      <c r="S186" s="4" t="str">
        <f>IF(COUNTIF(I186:R186,"NO")=0,"YES","NO")</f>
        <v>NO</v>
      </c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inlineStr">
        <is>
          <t>Levy Ostrup</t>
        </is>
      </c>
      <c r="AM186" s="9" t="n"/>
      <c r="AN186" s="9" t="n"/>
    </row>
    <row r="187">
      <c r="A187" s="9" t="inlineStr">
        <is>
          <t>RTD</t>
        </is>
      </c>
      <c r="B187" s="9" t="inlineStr">
        <is>
          <t>29103-ET-PE2701-2-R-2</t>
        </is>
      </c>
      <c r="C187" s="9" t="inlineStr">
        <is>
          <t>29103-ET-PE2701-2</t>
        </is>
      </c>
      <c r="D187" s="9" t="inlineStr">
        <is>
          <t>29103-HTP-005 I/O-4-4</t>
        </is>
      </c>
      <c r="E187" s="9" t="inlineStr">
        <is>
          <t>PRODUCED EMULSION</t>
        </is>
      </c>
      <c r="F187" s="9" t="inlineStr">
        <is>
          <t>29103-65R-ET-PE2701-02-01</t>
        </is>
      </c>
      <c r="G187" s="9" t="inlineStr">
        <is>
          <t>13.2</t>
        </is>
      </c>
      <c r="H187" s="9" t="inlineStr">
        <is>
          <t>29103-ET-PE2701-2-R-2.pdf</t>
        </is>
      </c>
      <c r="I187" s="4" t="str">
        <f>IF($H187&lt;&gt;"","YES","NO")</f>
        <v>YES</v>
      </c>
      <c r="J187" s="4" t="str">
        <f>IF(N($T187)&gt;0,"YES","NO")</f>
        <v>NO</v>
      </c>
      <c r="K187" s="4" t="str">
        <f>IF(OR($A187="EHT Trace"),IF(AND($U187&lt;&gt;"",$V187&lt;&gt;""),"YES","NO"),"N/A")</f>
        <v>N/A</v>
      </c>
      <c r="L187" s="4" t="str">
        <f>IF(OR($A187="EHT Trace"),IF(AND($X187&lt;&gt;"",$Y187&lt;&gt;""),"YES","NO"),"N/A")</f>
        <v>N/A</v>
      </c>
      <c r="M187" s="4" t="str">
        <f>IF(OR($A187="EHT Trace"),IF(AND($AA187&lt;&gt;"",$AB187&lt;&gt;""),"YES","NO"),"N/A")</f>
        <v>N/A</v>
      </c>
      <c r="N187" s="4" t="str">
        <f>IF(OR($A187="Power Cable"),IF(AND($AD187&lt;&gt;""),"YES","NO"),"N/A")</f>
        <v>N/A</v>
      </c>
      <c r="O187" s="4" t="str">
        <f>IF(OR($A187="Power Cable",$A187="RTD Cable",$A187="Fieldbus Cable"),IF(AND($AE187&lt;&gt;""),"YES","NO"),"N/A")</f>
        <v>N/A</v>
      </c>
      <c r="P187" s="4" t="str">
        <f>IF(OR($A187="RTD"),IF(AND($AH187&lt;&gt;""),"YES","NO"),"N/A")</f>
        <v>NO</v>
      </c>
      <c r="Q187" s="4" t="str">
        <f>IF(OR($A187="RTD"),IF(AND($AI187&lt;&gt;""),"YES","NO"),"N/A")</f>
        <v>NO</v>
      </c>
      <c r="R187" s="4" t="str">
        <f>IF(OR($AM187&lt;&gt;"",$Z187&lt;&gt;"",$AC187&lt;&gt;""),"YES","NO")</f>
        <v>NO</v>
      </c>
      <c r="S187" s="4" t="str">
        <f>IF(COUNTIF(I187:R187,"NO")=0,"YES","NO")</f>
        <v>NO</v>
      </c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inlineStr">
        <is>
          <t>Levy Ostrup</t>
        </is>
      </c>
      <c r="AM187" s="9" t="n"/>
      <c r="AN187" s="9" t="n"/>
    </row>
    <row r="188">
      <c r="A188" s="9" t="inlineStr">
        <is>
          <t>RTD</t>
        </is>
      </c>
      <c r="B188" s="9" t="inlineStr">
        <is>
          <t>29103-ET-PE2702-1-R-1</t>
        </is>
      </c>
      <c r="C188" s="9" t="inlineStr">
        <is>
          <t>29103-ET-PE2702-1</t>
        </is>
      </c>
      <c r="D188" s="9" t="inlineStr">
        <is>
          <t>29103-HTP-005 HTC-26</t>
        </is>
      </c>
      <c r="E188" s="9" t="inlineStr">
        <is>
          <t>PRODUCED EMULSION</t>
        </is>
      </c>
      <c r="F188" s="9" t="inlineStr">
        <is>
          <t>29103-65R-ET-PE2702-01-01</t>
        </is>
      </c>
      <c r="G188" s="9" t="inlineStr">
        <is>
          <t>13.2</t>
        </is>
      </c>
      <c r="H188" s="9" t="inlineStr">
        <is>
          <t>29103-ET-PE2702-1-R-1.pdf</t>
        </is>
      </c>
      <c r="I188" s="4" t="str">
        <f>IF($H188&lt;&gt;"","YES","NO")</f>
        <v>YES</v>
      </c>
      <c r="J188" s="4" t="str">
        <f>IF(N($T188)&gt;0,"YES","NO")</f>
        <v>NO</v>
      </c>
      <c r="K188" s="4" t="str">
        <f>IF(OR($A188="EHT Trace"),IF(AND($U188&lt;&gt;"",$V188&lt;&gt;""),"YES","NO"),"N/A")</f>
        <v>N/A</v>
      </c>
      <c r="L188" s="4" t="str">
        <f>IF(OR($A188="EHT Trace"),IF(AND($X188&lt;&gt;"",$Y188&lt;&gt;""),"YES","NO"),"N/A")</f>
        <v>N/A</v>
      </c>
      <c r="M188" s="4" t="str">
        <f>IF(OR($A188="EHT Trace"),IF(AND($AA188&lt;&gt;"",$AB188&lt;&gt;""),"YES","NO"),"N/A")</f>
        <v>N/A</v>
      </c>
      <c r="N188" s="4" t="str">
        <f>IF(OR($A188="Power Cable"),IF(AND($AD188&lt;&gt;""),"YES","NO"),"N/A")</f>
        <v>N/A</v>
      </c>
      <c r="O188" s="4" t="str">
        <f>IF(OR($A188="Power Cable",$A188="RTD Cable",$A188="Fieldbus Cable"),IF(AND($AE188&lt;&gt;""),"YES","NO"),"N/A")</f>
        <v>N/A</v>
      </c>
      <c r="P188" s="4" t="str">
        <f>IF(OR($A188="RTD"),IF(AND($AH188&lt;&gt;""),"YES","NO"),"N/A")</f>
        <v>NO</v>
      </c>
      <c r="Q188" s="4" t="str">
        <f>IF(OR($A188="RTD"),IF(AND($AI188&lt;&gt;""),"YES","NO"),"N/A")</f>
        <v>NO</v>
      </c>
      <c r="R188" s="4" t="str">
        <f>IF(OR($AM188&lt;&gt;"",$Z188&lt;&gt;"",$AC188&lt;&gt;""),"YES","NO")</f>
        <v>NO</v>
      </c>
      <c r="S188" s="4" t="str">
        <f>IF(COUNTIF(I188:R188,"NO")=0,"YES","NO")</f>
        <v>NO</v>
      </c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inlineStr">
        <is>
          <t>Levy Ostrup</t>
        </is>
      </c>
      <c r="AM188" s="9" t="n"/>
      <c r="AN188" s="9" t="n"/>
    </row>
    <row r="189">
      <c r="A189" s="9" t="inlineStr">
        <is>
          <t>RTD</t>
        </is>
      </c>
      <c r="B189" s="9" t="inlineStr">
        <is>
          <t>29103-ET-PE2702-1-R-2</t>
        </is>
      </c>
      <c r="C189" s="9" t="inlineStr">
        <is>
          <t>29103-ET-PE2702-1</t>
        </is>
      </c>
      <c r="D189" s="9" t="inlineStr">
        <is>
          <t>29103-HTP-005 HTC-01</t>
        </is>
      </c>
      <c r="E189" s="9" t="inlineStr">
        <is>
          <t>PRODUCED EMULSION</t>
        </is>
      </c>
      <c r="F189" s="9" t="inlineStr">
        <is>
          <t>29103-65R-ET-PE2702-01-01</t>
        </is>
      </c>
      <c r="G189" s="9" t="inlineStr">
        <is>
          <t>13.2</t>
        </is>
      </c>
      <c r="H189" s="9" t="inlineStr">
        <is>
          <t>29103-ET-PE2702-1-R-2.pdf</t>
        </is>
      </c>
      <c r="I189" s="4" t="str">
        <f>IF($H189&lt;&gt;"","YES","NO")</f>
        <v>YES</v>
      </c>
      <c r="J189" s="4" t="str">
        <f>IF(N($T189)&gt;0,"YES","NO")</f>
        <v>NO</v>
      </c>
      <c r="K189" s="4" t="str">
        <f>IF(OR($A189="EHT Trace"),IF(AND($U189&lt;&gt;"",$V189&lt;&gt;""),"YES","NO"),"N/A")</f>
        <v>N/A</v>
      </c>
      <c r="L189" s="4" t="str">
        <f>IF(OR($A189="EHT Trace"),IF(AND($X189&lt;&gt;"",$Y189&lt;&gt;""),"YES","NO"),"N/A")</f>
        <v>N/A</v>
      </c>
      <c r="M189" s="4" t="str">
        <f>IF(OR($A189="EHT Trace"),IF(AND($AA189&lt;&gt;"",$AB189&lt;&gt;""),"YES","NO"),"N/A")</f>
        <v>N/A</v>
      </c>
      <c r="N189" s="4" t="str">
        <f>IF(OR($A189="Power Cable"),IF(AND($AD189&lt;&gt;""),"YES","NO"),"N/A")</f>
        <v>N/A</v>
      </c>
      <c r="O189" s="4" t="str">
        <f>IF(OR($A189="Power Cable",$A189="RTD Cable",$A189="Fieldbus Cable"),IF(AND($AE189&lt;&gt;""),"YES","NO"),"N/A")</f>
        <v>N/A</v>
      </c>
      <c r="P189" s="4" t="str">
        <f>IF(OR($A189="RTD"),IF(AND($AH189&lt;&gt;""),"YES","NO"),"N/A")</f>
        <v>NO</v>
      </c>
      <c r="Q189" s="4" t="str">
        <f>IF(OR($A189="RTD"),IF(AND($AI189&lt;&gt;""),"YES","NO"),"N/A")</f>
        <v>NO</v>
      </c>
      <c r="R189" s="4" t="str">
        <f>IF(OR($AM189&lt;&gt;"",$Z189&lt;&gt;"",$AC189&lt;&gt;""),"YES","NO")</f>
        <v>NO</v>
      </c>
      <c r="S189" s="4" t="str">
        <f>IF(COUNTIF(I189:R189,"NO")=0,"YES","NO")</f>
        <v>NO</v>
      </c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inlineStr">
        <is>
          <t>Levy Ostrup</t>
        </is>
      </c>
      <c r="AM189" s="9" t="n"/>
      <c r="AN189" s="9" t="n"/>
    </row>
    <row r="190">
      <c r="A190" s="9" t="inlineStr">
        <is>
          <t>RTD</t>
        </is>
      </c>
      <c r="B190" s="9" t="inlineStr">
        <is>
          <t>29103-ET-PE2802-1-R-1</t>
        </is>
      </c>
      <c r="C190" s="9" t="inlineStr">
        <is>
          <t>29103-ET-PE2802-1</t>
        </is>
      </c>
      <c r="D190" s="9" t="inlineStr">
        <is>
          <t>29103-HTP-005 HTC-02</t>
        </is>
      </c>
      <c r="E190" s="9" t="inlineStr">
        <is>
          <t>PRODUCED EMULSION</t>
        </is>
      </c>
      <c r="F190" s="9" t="inlineStr">
        <is>
          <t>29103-65R-ET-PE2802-01-01</t>
        </is>
      </c>
      <c r="G190" s="9" t="inlineStr">
        <is>
          <t>13.2</t>
        </is>
      </c>
      <c r="H190" s="9" t="inlineStr">
        <is>
          <t>29103-ET-PE2802-1-R-1.pdf</t>
        </is>
      </c>
      <c r="I190" s="4" t="str">
        <f>IF($H190&lt;&gt;"","YES","NO")</f>
        <v>YES</v>
      </c>
      <c r="J190" s="4" t="str">
        <f>IF(N($T190)&gt;0,"YES","NO")</f>
        <v>NO</v>
      </c>
      <c r="K190" s="4" t="str">
        <f>IF(OR($A190="EHT Trace"),IF(AND($U190&lt;&gt;"",$V190&lt;&gt;""),"YES","NO"),"N/A")</f>
        <v>N/A</v>
      </c>
      <c r="L190" s="4" t="str">
        <f>IF(OR($A190="EHT Trace"),IF(AND($X190&lt;&gt;"",$Y190&lt;&gt;""),"YES","NO"),"N/A")</f>
        <v>N/A</v>
      </c>
      <c r="M190" s="4" t="str">
        <f>IF(OR($A190="EHT Trace"),IF(AND($AA190&lt;&gt;"",$AB190&lt;&gt;""),"YES","NO"),"N/A")</f>
        <v>N/A</v>
      </c>
      <c r="N190" s="4" t="str">
        <f>IF(OR($A190="Power Cable"),IF(AND($AD190&lt;&gt;""),"YES","NO"),"N/A")</f>
        <v>N/A</v>
      </c>
      <c r="O190" s="4" t="str">
        <f>IF(OR($A190="Power Cable",$A190="RTD Cable",$A190="Fieldbus Cable"),IF(AND($AE190&lt;&gt;""),"YES","NO"),"N/A")</f>
        <v>N/A</v>
      </c>
      <c r="P190" s="4" t="str">
        <f>IF(OR($A190="RTD"),IF(AND($AH190&lt;&gt;""),"YES","NO"),"N/A")</f>
        <v>NO</v>
      </c>
      <c r="Q190" s="4" t="str">
        <f>IF(OR($A190="RTD"),IF(AND($AI190&lt;&gt;""),"YES","NO"),"N/A")</f>
        <v>NO</v>
      </c>
      <c r="R190" s="4" t="str">
        <f>IF(OR($AM190&lt;&gt;"",$Z190&lt;&gt;"",$AC190&lt;&gt;""),"YES","NO")</f>
        <v>NO</v>
      </c>
      <c r="S190" s="4" t="str">
        <f>IF(COUNTIF(I190:R190,"NO")=0,"YES","NO")</f>
        <v>NO</v>
      </c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inlineStr">
        <is>
          <t>Levy Ostrup</t>
        </is>
      </c>
      <c r="AM190" s="9" t="n"/>
      <c r="AN190" s="9" t="n"/>
    </row>
    <row r="191">
      <c r="A191" s="9" t="inlineStr">
        <is>
          <t>RTD</t>
        </is>
      </c>
      <c r="B191" s="9" t="inlineStr">
        <is>
          <t>29103-ET-PE2802-2-R-1</t>
        </is>
      </c>
      <c r="C191" s="9" t="inlineStr">
        <is>
          <t>29103-ET-PE2802-2</t>
        </is>
      </c>
      <c r="D191" s="9" t="inlineStr">
        <is>
          <t>29103-HTP-005 HTC-18</t>
        </is>
      </c>
      <c r="E191" s="9" t="inlineStr">
        <is>
          <t>PRODUCED EMULSION</t>
        </is>
      </c>
      <c r="F191" s="9" t="inlineStr">
        <is>
          <t>29103-65R-ET-PE2802-02-01</t>
        </is>
      </c>
      <c r="G191" s="9" t="inlineStr">
        <is>
          <t>13.2</t>
        </is>
      </c>
      <c r="H191" s="9" t="inlineStr">
        <is>
          <t>29103-ET-PE2802-2-R-1.pdf</t>
        </is>
      </c>
      <c r="I191" s="4" t="str">
        <f>IF($H191&lt;&gt;"","YES","NO")</f>
        <v>YES</v>
      </c>
      <c r="J191" s="4" t="str">
        <f>IF(N($T191)&gt;0,"YES","NO")</f>
        <v>NO</v>
      </c>
      <c r="K191" s="4" t="str">
        <f>IF(OR($A191="EHT Trace"),IF(AND($U191&lt;&gt;"",$V191&lt;&gt;""),"YES","NO"),"N/A")</f>
        <v>N/A</v>
      </c>
      <c r="L191" s="4" t="str">
        <f>IF(OR($A191="EHT Trace"),IF(AND($X191&lt;&gt;"",$Y191&lt;&gt;""),"YES","NO"),"N/A")</f>
        <v>N/A</v>
      </c>
      <c r="M191" s="4" t="str">
        <f>IF(OR($A191="EHT Trace"),IF(AND($AA191&lt;&gt;"",$AB191&lt;&gt;""),"YES","NO"),"N/A")</f>
        <v>N/A</v>
      </c>
      <c r="N191" s="4" t="str">
        <f>IF(OR($A191="Power Cable"),IF(AND($AD191&lt;&gt;""),"YES","NO"),"N/A")</f>
        <v>N/A</v>
      </c>
      <c r="O191" s="4" t="str">
        <f>IF(OR($A191="Power Cable",$A191="RTD Cable",$A191="Fieldbus Cable"),IF(AND($AE191&lt;&gt;""),"YES","NO"),"N/A")</f>
        <v>N/A</v>
      </c>
      <c r="P191" s="4" t="str">
        <f>IF(OR($A191="RTD"),IF(AND($AH191&lt;&gt;""),"YES","NO"),"N/A")</f>
        <v>NO</v>
      </c>
      <c r="Q191" s="4" t="str">
        <f>IF(OR($A191="RTD"),IF(AND($AI191&lt;&gt;""),"YES","NO"),"N/A")</f>
        <v>NO</v>
      </c>
      <c r="R191" s="4" t="str">
        <f>IF(OR($AM191&lt;&gt;"",$Z191&lt;&gt;"",$AC191&lt;&gt;""),"YES","NO")</f>
        <v>NO</v>
      </c>
      <c r="S191" s="4" t="str">
        <f>IF(COUNTIF(I191:R191,"NO")=0,"YES","NO")</f>
        <v>NO</v>
      </c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inlineStr">
        <is>
          <t>Levy Ostrup</t>
        </is>
      </c>
      <c r="AM191" s="9" t="n"/>
      <c r="AN191" s="9" t="n"/>
    </row>
    <row r="192">
      <c r="A192" s="9" t="inlineStr">
        <is>
          <t>RTD</t>
        </is>
      </c>
      <c r="B192" s="9" t="inlineStr">
        <is>
          <t>29103-ET-PE2803-1-R-1</t>
        </is>
      </c>
      <c r="C192" s="9" t="inlineStr">
        <is>
          <t>29103-ET-PE2803-1</t>
        </is>
      </c>
      <c r="D192" s="9" t="inlineStr">
        <is>
          <t>29103-HTP-005 HTC-21</t>
        </is>
      </c>
      <c r="E192" s="9" t="inlineStr">
        <is>
          <t>PRODUCED EMULSION</t>
        </is>
      </c>
      <c r="F192" s="9" t="inlineStr">
        <is>
          <t>29103-65R-ET-PE2803-01-01</t>
        </is>
      </c>
      <c r="G192" s="9" t="inlineStr">
        <is>
          <t>13.2</t>
        </is>
      </c>
      <c r="H192" s="9" t="inlineStr">
        <is>
          <t>29103-ET-PE2803-1-R-1.pdf</t>
        </is>
      </c>
      <c r="I192" s="4" t="str">
        <f>IF($H192&lt;&gt;"","YES","NO")</f>
        <v>YES</v>
      </c>
      <c r="J192" s="4" t="str">
        <f>IF(N($T192)&gt;0,"YES","NO")</f>
        <v>NO</v>
      </c>
      <c r="K192" s="4" t="str">
        <f>IF(OR($A192="EHT Trace"),IF(AND($U192&lt;&gt;"",$V192&lt;&gt;""),"YES","NO"),"N/A")</f>
        <v>N/A</v>
      </c>
      <c r="L192" s="4" t="str">
        <f>IF(OR($A192="EHT Trace"),IF(AND($X192&lt;&gt;"",$Y192&lt;&gt;""),"YES","NO"),"N/A")</f>
        <v>N/A</v>
      </c>
      <c r="M192" s="4" t="str">
        <f>IF(OR($A192="EHT Trace"),IF(AND($AA192&lt;&gt;"",$AB192&lt;&gt;""),"YES","NO"),"N/A")</f>
        <v>N/A</v>
      </c>
      <c r="N192" s="4" t="str">
        <f>IF(OR($A192="Power Cable"),IF(AND($AD192&lt;&gt;""),"YES","NO"),"N/A")</f>
        <v>N/A</v>
      </c>
      <c r="O192" s="4" t="str">
        <f>IF(OR($A192="Power Cable",$A192="RTD Cable",$A192="Fieldbus Cable"),IF(AND($AE192&lt;&gt;""),"YES","NO"),"N/A")</f>
        <v>N/A</v>
      </c>
      <c r="P192" s="4" t="str">
        <f>IF(OR($A192="RTD"),IF(AND($AH192&lt;&gt;""),"YES","NO"),"N/A")</f>
        <v>NO</v>
      </c>
      <c r="Q192" s="4" t="str">
        <f>IF(OR($A192="RTD"),IF(AND($AI192&lt;&gt;""),"YES","NO"),"N/A")</f>
        <v>NO</v>
      </c>
      <c r="R192" s="4" t="str">
        <f>IF(OR($AM192&lt;&gt;"",$Z192&lt;&gt;"",$AC192&lt;&gt;""),"YES","NO")</f>
        <v>NO</v>
      </c>
      <c r="S192" s="4" t="str">
        <f>IF(COUNTIF(I192:R192,"NO")=0,"YES","NO")</f>
        <v>NO</v>
      </c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inlineStr">
        <is>
          <t>Levy Ostrup</t>
        </is>
      </c>
      <c r="AM192" s="9" t="n"/>
      <c r="AN192" s="9" t="n"/>
    </row>
    <row r="193">
      <c r="A193" s="9" t="inlineStr">
        <is>
          <t>RTD</t>
        </is>
      </c>
      <c r="B193" s="9" t="inlineStr">
        <is>
          <t>29103-ET-PE2803-1-R-2</t>
        </is>
      </c>
      <c r="C193" s="9" t="inlineStr">
        <is>
          <t>29103-ET-PE2803-1</t>
        </is>
      </c>
      <c r="D193" s="9" t="inlineStr">
        <is>
          <t>29103-HTP-005 I/O-4-1</t>
        </is>
      </c>
      <c r="E193" s="9" t="inlineStr">
        <is>
          <t>PRODUCED EMULSION</t>
        </is>
      </c>
      <c r="F193" s="9" t="inlineStr">
        <is>
          <t>29103-65R-ET-PE2803-01-01</t>
        </is>
      </c>
      <c r="G193" s="9" t="inlineStr">
        <is>
          <t>13.2</t>
        </is>
      </c>
      <c r="H193" s="9" t="inlineStr">
        <is>
          <t>29103-ET-PE2803-1-R-2.pdf</t>
        </is>
      </c>
      <c r="I193" s="4" t="str">
        <f>IF($H193&lt;&gt;"","YES","NO")</f>
        <v>YES</v>
      </c>
      <c r="J193" s="4" t="str">
        <f>IF(N($T193)&gt;0,"YES","NO")</f>
        <v>NO</v>
      </c>
      <c r="K193" s="4" t="str">
        <f>IF(OR($A193="EHT Trace"),IF(AND($U193&lt;&gt;"",$V193&lt;&gt;""),"YES","NO"),"N/A")</f>
        <v>N/A</v>
      </c>
      <c r="L193" s="4" t="str">
        <f>IF(OR($A193="EHT Trace"),IF(AND($X193&lt;&gt;"",$Y193&lt;&gt;""),"YES","NO"),"N/A")</f>
        <v>N/A</v>
      </c>
      <c r="M193" s="4" t="str">
        <f>IF(OR($A193="EHT Trace"),IF(AND($AA193&lt;&gt;"",$AB193&lt;&gt;""),"YES","NO"),"N/A")</f>
        <v>N/A</v>
      </c>
      <c r="N193" s="4" t="str">
        <f>IF(OR($A193="Power Cable"),IF(AND($AD193&lt;&gt;""),"YES","NO"),"N/A")</f>
        <v>N/A</v>
      </c>
      <c r="O193" s="4" t="str">
        <f>IF(OR($A193="Power Cable",$A193="RTD Cable",$A193="Fieldbus Cable"),IF(AND($AE193&lt;&gt;""),"YES","NO"),"N/A")</f>
        <v>N/A</v>
      </c>
      <c r="P193" s="4" t="str">
        <f>IF(OR($A193="RTD"),IF(AND($AH193&lt;&gt;""),"YES","NO"),"N/A")</f>
        <v>NO</v>
      </c>
      <c r="Q193" s="4" t="str">
        <f>IF(OR($A193="RTD"),IF(AND($AI193&lt;&gt;""),"YES","NO"),"N/A")</f>
        <v>NO</v>
      </c>
      <c r="R193" s="4" t="str">
        <f>IF(OR($AM193&lt;&gt;"",$Z193&lt;&gt;"",$AC193&lt;&gt;""),"YES","NO")</f>
        <v>NO</v>
      </c>
      <c r="S193" s="4" t="str">
        <f>IF(COUNTIF(I193:R193,"NO")=0,"YES","NO")</f>
        <v>NO</v>
      </c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inlineStr">
        <is>
          <t>Levy Ostrup</t>
        </is>
      </c>
      <c r="AM193" s="9" t="n"/>
      <c r="AN193" s="9" t="n"/>
    </row>
    <row r="194">
      <c r="A194" s="9" t="inlineStr">
        <is>
          <t>RTD</t>
        </is>
      </c>
      <c r="B194" s="9" t="inlineStr">
        <is>
          <t>29103-ET-PG2401-1-R-1</t>
        </is>
      </c>
      <c r="C194" s="9" t="inlineStr">
        <is>
          <t>29103-ET-PG2401-1</t>
        </is>
      </c>
      <c r="D194" s="9" t="inlineStr">
        <is>
          <t>29103-HTP-005 HTC-14</t>
        </is>
      </c>
      <c r="E194" s="9" t="inlineStr">
        <is>
          <t>PRODUCED GAS</t>
        </is>
      </c>
      <c r="F194" s="9" t="inlineStr">
        <is>
          <t>29103-65R-ET-PG2401-01-01</t>
        </is>
      </c>
      <c r="G194" s="9" t="inlineStr">
        <is>
          <t>13.2</t>
        </is>
      </c>
      <c r="H194" s="9" t="inlineStr">
        <is>
          <t>29103-ET-PG2401-1-R-1.pdf</t>
        </is>
      </c>
      <c r="I194" s="4" t="str">
        <f>IF($H194&lt;&gt;"","YES","NO")</f>
        <v>YES</v>
      </c>
      <c r="J194" s="4" t="str">
        <f>IF(N($T194)&gt;0,"YES","NO")</f>
        <v>NO</v>
      </c>
      <c r="K194" s="4" t="str">
        <f>IF(OR($A194="EHT Trace"),IF(AND($U194&lt;&gt;"",$V194&lt;&gt;""),"YES","NO"),"N/A")</f>
        <v>N/A</v>
      </c>
      <c r="L194" s="4" t="str">
        <f>IF(OR($A194="EHT Trace"),IF(AND($X194&lt;&gt;"",$Y194&lt;&gt;""),"YES","NO"),"N/A")</f>
        <v>N/A</v>
      </c>
      <c r="M194" s="4" t="str">
        <f>IF(OR($A194="EHT Trace"),IF(AND($AA194&lt;&gt;"",$AB194&lt;&gt;""),"YES","NO"),"N/A")</f>
        <v>N/A</v>
      </c>
      <c r="N194" s="4" t="str">
        <f>IF(OR($A194="Power Cable"),IF(AND($AD194&lt;&gt;""),"YES","NO"),"N/A")</f>
        <v>N/A</v>
      </c>
      <c r="O194" s="4" t="str">
        <f>IF(OR($A194="Power Cable",$A194="RTD Cable",$A194="Fieldbus Cable"),IF(AND($AE194&lt;&gt;""),"YES","NO"),"N/A")</f>
        <v>N/A</v>
      </c>
      <c r="P194" s="4" t="str">
        <f>IF(OR($A194="RTD"),IF(AND($AH194&lt;&gt;""),"YES","NO"),"N/A")</f>
        <v>NO</v>
      </c>
      <c r="Q194" s="4" t="str">
        <f>IF(OR($A194="RTD"),IF(AND($AI194&lt;&gt;""),"YES","NO"),"N/A")</f>
        <v>NO</v>
      </c>
      <c r="R194" s="4" t="str">
        <f>IF(OR($AM194&lt;&gt;"",$Z194&lt;&gt;"",$AC194&lt;&gt;""),"YES","NO")</f>
        <v>NO</v>
      </c>
      <c r="S194" s="4" t="str">
        <f>IF(COUNTIF(I194:R194,"NO")=0,"YES","NO")</f>
        <v>NO</v>
      </c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inlineStr">
        <is>
          <t>Levy Ostrup</t>
        </is>
      </c>
      <c r="AM194" s="9" t="n"/>
      <c r="AN194" s="9" t="n"/>
    </row>
    <row r="195">
      <c r="A195" s="9" t="inlineStr">
        <is>
          <t>RTD</t>
        </is>
      </c>
      <c r="B195" s="9" t="inlineStr">
        <is>
          <t>29103-ET-PG2401-1-R-2</t>
        </is>
      </c>
      <c r="C195" s="9" t="inlineStr">
        <is>
          <t>29103-ET-PG2401-1</t>
        </is>
      </c>
      <c r="D195" s="9" t="inlineStr">
        <is>
          <t>29103-HTP-005 I/O-3-1</t>
        </is>
      </c>
      <c r="E195" s="9" t="inlineStr">
        <is>
          <t>PRODUCED GAS</t>
        </is>
      </c>
      <c r="F195" s="9" t="inlineStr">
        <is>
          <t>29103-65R-ET-PG2401-01-01</t>
        </is>
      </c>
      <c r="G195" s="9" t="inlineStr">
        <is>
          <t>13.2</t>
        </is>
      </c>
      <c r="H195" s="9" t="inlineStr">
        <is>
          <t>29103-ET-PG2401-1-R-2.pdf</t>
        </is>
      </c>
      <c r="I195" s="4" t="str">
        <f>IF($H195&lt;&gt;"","YES","NO")</f>
        <v>YES</v>
      </c>
      <c r="J195" s="4" t="str">
        <f>IF(N($T195)&gt;0,"YES","NO")</f>
        <v>NO</v>
      </c>
      <c r="K195" s="4" t="str">
        <f>IF(OR($A195="EHT Trace"),IF(AND($U195&lt;&gt;"",$V195&lt;&gt;""),"YES","NO"),"N/A")</f>
        <v>N/A</v>
      </c>
      <c r="L195" s="4" t="str">
        <f>IF(OR($A195="EHT Trace"),IF(AND($X195&lt;&gt;"",$Y195&lt;&gt;""),"YES","NO"),"N/A")</f>
        <v>N/A</v>
      </c>
      <c r="M195" s="4" t="str">
        <f>IF(OR($A195="EHT Trace"),IF(AND($AA195&lt;&gt;"",$AB195&lt;&gt;""),"YES","NO"),"N/A")</f>
        <v>N/A</v>
      </c>
      <c r="N195" s="4" t="str">
        <f>IF(OR($A195="Power Cable"),IF(AND($AD195&lt;&gt;""),"YES","NO"),"N/A")</f>
        <v>N/A</v>
      </c>
      <c r="O195" s="4" t="str">
        <f>IF(OR($A195="Power Cable",$A195="RTD Cable",$A195="Fieldbus Cable"),IF(AND($AE195&lt;&gt;""),"YES","NO"),"N/A")</f>
        <v>N/A</v>
      </c>
      <c r="P195" s="4" t="str">
        <f>IF(OR($A195="RTD"),IF(AND($AH195&lt;&gt;""),"YES","NO"),"N/A")</f>
        <v>NO</v>
      </c>
      <c r="Q195" s="4" t="str">
        <f>IF(OR($A195="RTD"),IF(AND($AI195&lt;&gt;""),"YES","NO"),"N/A")</f>
        <v>NO</v>
      </c>
      <c r="R195" s="4" t="str">
        <f>IF(OR($AM195&lt;&gt;"",$Z195&lt;&gt;"",$AC195&lt;&gt;""),"YES","NO")</f>
        <v>NO</v>
      </c>
      <c r="S195" s="4" t="str">
        <f>IF(COUNTIF(I195:R195,"NO")=0,"YES","NO")</f>
        <v>NO</v>
      </c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inlineStr">
        <is>
          <t>Levy Ostrup</t>
        </is>
      </c>
      <c r="AM195" s="9" t="n"/>
      <c r="AN195" s="9" t="n"/>
    </row>
    <row r="196">
      <c r="A196" s="9" t="inlineStr">
        <is>
          <t>RTD</t>
        </is>
      </c>
      <c r="B196" s="9" t="inlineStr">
        <is>
          <t>29103-ET-PG2501-1-R-1</t>
        </is>
      </c>
      <c r="C196" s="9" t="inlineStr">
        <is>
          <t>29103-ET-PG2501-1</t>
        </is>
      </c>
      <c r="D196" s="9" t="inlineStr">
        <is>
          <t>29103-HTP-005 HTC-11</t>
        </is>
      </c>
      <c r="E196" s="9" t="inlineStr">
        <is>
          <t>PRODUCED GAS</t>
        </is>
      </c>
      <c r="F196" s="9" t="inlineStr">
        <is>
          <t>29103-65R-ET-PG2501-01-01</t>
        </is>
      </c>
      <c r="G196" s="9" t="inlineStr">
        <is>
          <t>13.2</t>
        </is>
      </c>
      <c r="H196" s="9" t="inlineStr">
        <is>
          <t>29103-ET-PG2501-1-R-1.pdf</t>
        </is>
      </c>
      <c r="I196" s="4" t="str">
        <f>IF($H196&lt;&gt;"","YES","NO")</f>
        <v>YES</v>
      </c>
      <c r="J196" s="4" t="str">
        <f>IF(N($T196)&gt;0,"YES","NO")</f>
        <v>NO</v>
      </c>
      <c r="K196" s="4" t="str">
        <f>IF(OR($A196="EHT Trace"),IF(AND($U196&lt;&gt;"",$V196&lt;&gt;""),"YES","NO"),"N/A")</f>
        <v>N/A</v>
      </c>
      <c r="L196" s="4" t="str">
        <f>IF(OR($A196="EHT Trace"),IF(AND($X196&lt;&gt;"",$Y196&lt;&gt;""),"YES","NO"),"N/A")</f>
        <v>N/A</v>
      </c>
      <c r="M196" s="4" t="str">
        <f>IF(OR($A196="EHT Trace"),IF(AND($AA196&lt;&gt;"",$AB196&lt;&gt;""),"YES","NO"),"N/A")</f>
        <v>N/A</v>
      </c>
      <c r="N196" s="4" t="str">
        <f>IF(OR($A196="Power Cable"),IF(AND($AD196&lt;&gt;""),"YES","NO"),"N/A")</f>
        <v>N/A</v>
      </c>
      <c r="O196" s="4" t="str">
        <f>IF(OR($A196="Power Cable",$A196="RTD Cable",$A196="Fieldbus Cable"),IF(AND($AE196&lt;&gt;""),"YES","NO"),"N/A")</f>
        <v>N/A</v>
      </c>
      <c r="P196" s="4" t="str">
        <f>IF(OR($A196="RTD"),IF(AND($AH196&lt;&gt;""),"YES","NO"),"N/A")</f>
        <v>NO</v>
      </c>
      <c r="Q196" s="4" t="str">
        <f>IF(OR($A196="RTD"),IF(AND($AI196&lt;&gt;""),"YES","NO"),"N/A")</f>
        <v>NO</v>
      </c>
      <c r="R196" s="4" t="str">
        <f>IF(OR($AM196&lt;&gt;"",$Z196&lt;&gt;"",$AC196&lt;&gt;""),"YES","NO")</f>
        <v>NO</v>
      </c>
      <c r="S196" s="4" t="str">
        <f>IF(COUNTIF(I196:R196,"NO")=0,"YES","NO")</f>
        <v>NO</v>
      </c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inlineStr">
        <is>
          <t>Levy Ostrup</t>
        </is>
      </c>
      <c r="AM196" s="9" t="n"/>
      <c r="AN196" s="9" t="n"/>
    </row>
    <row r="197">
      <c r="A197" s="9" t="inlineStr">
        <is>
          <t>RTD</t>
        </is>
      </c>
      <c r="B197" s="9" t="inlineStr">
        <is>
          <t>29103-ET-PG2501-1-R-2</t>
        </is>
      </c>
      <c r="C197" s="9" t="inlineStr">
        <is>
          <t>29103-ET-PG2501-1</t>
        </is>
      </c>
      <c r="D197" s="9" t="inlineStr">
        <is>
          <t>29103-HTP-005 I/O-3-2</t>
        </is>
      </c>
      <c r="E197" s="9" t="inlineStr">
        <is>
          <t>PRODUCED GAS</t>
        </is>
      </c>
      <c r="F197" s="9" t="inlineStr">
        <is>
          <t>29103-65R-ET-PG2501-01-01</t>
        </is>
      </c>
      <c r="G197" s="9" t="inlineStr">
        <is>
          <t>13.2</t>
        </is>
      </c>
      <c r="H197" s="9" t="inlineStr">
        <is>
          <t>29103-ET-PG2501-1-R-2.pdf</t>
        </is>
      </c>
      <c r="I197" s="4" t="str">
        <f>IF($H197&lt;&gt;"","YES","NO")</f>
        <v>YES</v>
      </c>
      <c r="J197" s="4" t="str">
        <f>IF(N($T197)&gt;0,"YES","NO")</f>
        <v>NO</v>
      </c>
      <c r="K197" s="4" t="str">
        <f>IF(OR($A197="EHT Trace"),IF(AND($U197&lt;&gt;"",$V197&lt;&gt;""),"YES","NO"),"N/A")</f>
        <v>N/A</v>
      </c>
      <c r="L197" s="4" t="str">
        <f>IF(OR($A197="EHT Trace"),IF(AND($X197&lt;&gt;"",$Y197&lt;&gt;""),"YES","NO"),"N/A")</f>
        <v>N/A</v>
      </c>
      <c r="M197" s="4" t="str">
        <f>IF(OR($A197="EHT Trace"),IF(AND($AA197&lt;&gt;"",$AB197&lt;&gt;""),"YES","NO"),"N/A")</f>
        <v>N/A</v>
      </c>
      <c r="N197" s="4" t="str">
        <f>IF(OR($A197="Power Cable"),IF(AND($AD197&lt;&gt;""),"YES","NO"),"N/A")</f>
        <v>N/A</v>
      </c>
      <c r="O197" s="4" t="str">
        <f>IF(OR($A197="Power Cable",$A197="RTD Cable",$A197="Fieldbus Cable"),IF(AND($AE197&lt;&gt;""),"YES","NO"),"N/A")</f>
        <v>N/A</v>
      </c>
      <c r="P197" s="4" t="str">
        <f>IF(OR($A197="RTD"),IF(AND($AH197&lt;&gt;""),"YES","NO"),"N/A")</f>
        <v>NO</v>
      </c>
      <c r="Q197" s="4" t="str">
        <f>IF(OR($A197="RTD"),IF(AND($AI197&lt;&gt;""),"YES","NO"),"N/A")</f>
        <v>NO</v>
      </c>
      <c r="R197" s="4" t="str">
        <f>IF(OR($AM197&lt;&gt;"",$Z197&lt;&gt;"",$AC197&lt;&gt;""),"YES","NO")</f>
        <v>NO</v>
      </c>
      <c r="S197" s="4" t="str">
        <f>IF(COUNTIF(I197:R197,"NO")=0,"YES","NO")</f>
        <v>NO</v>
      </c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inlineStr">
        <is>
          <t>Levy Ostrup</t>
        </is>
      </c>
      <c r="AM197" s="9" t="n"/>
      <c r="AN197" s="9" t="n"/>
    </row>
    <row r="198">
      <c r="A198" s="9" t="inlineStr">
        <is>
          <t>RTD</t>
        </is>
      </c>
      <c r="B198" s="9" t="inlineStr">
        <is>
          <t>29103-ET-PG2501-2-R-1</t>
        </is>
      </c>
      <c r="C198" s="9" t="inlineStr">
        <is>
          <t>29103-ET-PG2501-2</t>
        </is>
      </c>
      <c r="D198" s="9" t="inlineStr">
        <is>
          <t>29103-HTP-005 HTC-13</t>
        </is>
      </c>
      <c r="E198" s="9" t="inlineStr">
        <is>
          <t>PRODUCED GAS</t>
        </is>
      </c>
      <c r="F198" s="9" t="inlineStr">
        <is>
          <t>29103-65R-ET-PG2501-02-01</t>
        </is>
      </c>
      <c r="G198" s="9" t="inlineStr">
        <is>
          <t>13.2</t>
        </is>
      </c>
      <c r="H198" s="9" t="inlineStr">
        <is>
          <t>29103-ET-PG2501-2-R-1.pdf</t>
        </is>
      </c>
      <c r="I198" s="4" t="str">
        <f>IF($H198&lt;&gt;"","YES","NO")</f>
        <v>YES</v>
      </c>
      <c r="J198" s="4" t="str">
        <f>IF(N($T198)&gt;0,"YES","NO")</f>
        <v>NO</v>
      </c>
      <c r="K198" s="4" t="str">
        <f>IF(OR($A198="EHT Trace"),IF(AND($U198&lt;&gt;"",$V198&lt;&gt;""),"YES","NO"),"N/A")</f>
        <v>N/A</v>
      </c>
      <c r="L198" s="4" t="str">
        <f>IF(OR($A198="EHT Trace"),IF(AND($X198&lt;&gt;"",$Y198&lt;&gt;""),"YES","NO"),"N/A")</f>
        <v>N/A</v>
      </c>
      <c r="M198" s="4" t="str">
        <f>IF(OR($A198="EHT Trace"),IF(AND($AA198&lt;&gt;"",$AB198&lt;&gt;""),"YES","NO"),"N/A")</f>
        <v>N/A</v>
      </c>
      <c r="N198" s="4" t="str">
        <f>IF(OR($A198="Power Cable"),IF(AND($AD198&lt;&gt;""),"YES","NO"),"N/A")</f>
        <v>N/A</v>
      </c>
      <c r="O198" s="4" t="str">
        <f>IF(OR($A198="Power Cable",$A198="RTD Cable",$A198="Fieldbus Cable"),IF(AND($AE198&lt;&gt;""),"YES","NO"),"N/A")</f>
        <v>N/A</v>
      </c>
      <c r="P198" s="4" t="str">
        <f>IF(OR($A198="RTD"),IF(AND($AH198&lt;&gt;""),"YES","NO"),"N/A")</f>
        <v>NO</v>
      </c>
      <c r="Q198" s="4" t="str">
        <f>IF(OR($A198="RTD"),IF(AND($AI198&lt;&gt;""),"YES","NO"),"N/A")</f>
        <v>NO</v>
      </c>
      <c r="R198" s="4" t="str">
        <f>IF(OR($AM198&lt;&gt;"",$Z198&lt;&gt;"",$AC198&lt;&gt;""),"YES","NO")</f>
        <v>NO</v>
      </c>
      <c r="S198" s="4" t="str">
        <f>IF(COUNTIF(I198:R198,"NO")=0,"YES","NO")</f>
        <v>NO</v>
      </c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inlineStr">
        <is>
          <t>Levy Ostrup</t>
        </is>
      </c>
      <c r="AM198" s="9" t="n"/>
      <c r="AN198" s="9" t="n"/>
    </row>
    <row r="199">
      <c r="A199" s="9" t="inlineStr">
        <is>
          <t>RTD</t>
        </is>
      </c>
      <c r="B199" s="9" t="inlineStr">
        <is>
          <t>29103-ET-PG2601-1-R-1</t>
        </is>
      </c>
      <c r="C199" s="9" t="inlineStr">
        <is>
          <t>29103-ET-PG2601-1</t>
        </is>
      </c>
      <c r="D199" s="9" t="inlineStr">
        <is>
          <t>29103-HTP-005 HTC-28</t>
        </is>
      </c>
      <c r="E199" s="9" t="inlineStr">
        <is>
          <t>PRODUCED GAS</t>
        </is>
      </c>
      <c r="F199" s="9" t="inlineStr">
        <is>
          <t>29103-65R-ET-PG2601-01-01</t>
        </is>
      </c>
      <c r="G199" s="9" t="inlineStr">
        <is>
          <t>13.2</t>
        </is>
      </c>
      <c r="H199" s="9" t="inlineStr">
        <is>
          <t>29103-ET-PG2601-1-R-1.pdf</t>
        </is>
      </c>
      <c r="I199" s="4" t="str">
        <f>IF($H199&lt;&gt;"","YES","NO")</f>
        <v>YES</v>
      </c>
      <c r="J199" s="4" t="str">
        <f>IF(N($T199)&gt;0,"YES","NO")</f>
        <v>NO</v>
      </c>
      <c r="K199" s="4" t="str">
        <f>IF(OR($A199="EHT Trace"),IF(AND($U199&lt;&gt;"",$V199&lt;&gt;""),"YES","NO"),"N/A")</f>
        <v>N/A</v>
      </c>
      <c r="L199" s="4" t="str">
        <f>IF(OR($A199="EHT Trace"),IF(AND($X199&lt;&gt;"",$Y199&lt;&gt;""),"YES","NO"),"N/A")</f>
        <v>N/A</v>
      </c>
      <c r="M199" s="4" t="str">
        <f>IF(OR($A199="EHT Trace"),IF(AND($AA199&lt;&gt;"",$AB199&lt;&gt;""),"YES","NO"),"N/A")</f>
        <v>N/A</v>
      </c>
      <c r="N199" s="4" t="str">
        <f>IF(OR($A199="Power Cable"),IF(AND($AD199&lt;&gt;""),"YES","NO"),"N/A")</f>
        <v>N/A</v>
      </c>
      <c r="O199" s="4" t="str">
        <f>IF(OR($A199="Power Cable",$A199="RTD Cable",$A199="Fieldbus Cable"),IF(AND($AE199&lt;&gt;""),"YES","NO"),"N/A")</f>
        <v>N/A</v>
      </c>
      <c r="P199" s="4" t="str">
        <f>IF(OR($A199="RTD"),IF(AND($AH199&lt;&gt;""),"YES","NO"),"N/A")</f>
        <v>NO</v>
      </c>
      <c r="Q199" s="4" t="str">
        <f>IF(OR($A199="RTD"),IF(AND($AI199&lt;&gt;""),"YES","NO"),"N/A")</f>
        <v>NO</v>
      </c>
      <c r="R199" s="4" t="str">
        <f>IF(OR($AM199&lt;&gt;"",$Z199&lt;&gt;"",$AC199&lt;&gt;""),"YES","NO")</f>
        <v>NO</v>
      </c>
      <c r="S199" s="4" t="str">
        <f>IF(COUNTIF(I199:R199,"NO")=0,"YES","NO")</f>
        <v>NO</v>
      </c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inlineStr">
        <is>
          <t>Levy Ostrup</t>
        </is>
      </c>
      <c r="AM199" s="9" t="n"/>
      <c r="AN199" s="9" t="n"/>
    </row>
    <row r="200">
      <c r="A200" s="9" t="inlineStr">
        <is>
          <t>RTD</t>
        </is>
      </c>
      <c r="B200" s="9" t="inlineStr">
        <is>
          <t>29103-ET-PG2601-1-R-2</t>
        </is>
      </c>
      <c r="C200" s="9" t="inlineStr">
        <is>
          <t>29103-ET-PG2601-1</t>
        </is>
      </c>
      <c r="D200" s="9" t="inlineStr">
        <is>
          <t>29103-HTP-005 HTC-15</t>
        </is>
      </c>
      <c r="E200" s="9" t="inlineStr">
        <is>
          <t>PRODUCED GAS</t>
        </is>
      </c>
      <c r="F200" s="9" t="inlineStr">
        <is>
          <t>29103-65R-ET-PG2601-01-01</t>
        </is>
      </c>
      <c r="G200" s="9" t="inlineStr">
        <is>
          <t>13.2</t>
        </is>
      </c>
      <c r="H200" s="9" t="inlineStr">
        <is>
          <t>29103-ET-PG2601-1-R-2.pdf</t>
        </is>
      </c>
      <c r="I200" s="4" t="str">
        <f>IF($H200&lt;&gt;"","YES","NO")</f>
        <v>YES</v>
      </c>
      <c r="J200" s="4" t="str">
        <f>IF(N($T200)&gt;0,"YES","NO")</f>
        <v>NO</v>
      </c>
      <c r="K200" s="4" t="str">
        <f>IF(OR($A200="EHT Trace"),IF(AND($U200&lt;&gt;"",$V200&lt;&gt;""),"YES","NO"),"N/A")</f>
        <v>N/A</v>
      </c>
      <c r="L200" s="4" t="str">
        <f>IF(OR($A200="EHT Trace"),IF(AND($X200&lt;&gt;"",$Y200&lt;&gt;""),"YES","NO"),"N/A")</f>
        <v>N/A</v>
      </c>
      <c r="M200" s="4" t="str">
        <f>IF(OR($A200="EHT Trace"),IF(AND($AA200&lt;&gt;"",$AB200&lt;&gt;""),"YES","NO"),"N/A")</f>
        <v>N/A</v>
      </c>
      <c r="N200" s="4" t="str">
        <f>IF(OR($A200="Power Cable"),IF(AND($AD200&lt;&gt;""),"YES","NO"),"N/A")</f>
        <v>N/A</v>
      </c>
      <c r="O200" s="4" t="str">
        <f>IF(OR($A200="Power Cable",$A200="RTD Cable",$A200="Fieldbus Cable"),IF(AND($AE200&lt;&gt;""),"YES","NO"),"N/A")</f>
        <v>N/A</v>
      </c>
      <c r="P200" s="4" t="str">
        <f>IF(OR($A200="RTD"),IF(AND($AH200&lt;&gt;""),"YES","NO"),"N/A")</f>
        <v>NO</v>
      </c>
      <c r="Q200" s="4" t="str">
        <f>IF(OR($A200="RTD"),IF(AND($AI200&lt;&gt;""),"YES","NO"),"N/A")</f>
        <v>NO</v>
      </c>
      <c r="R200" s="4" t="str">
        <f>IF(OR($AM200&lt;&gt;"",$Z200&lt;&gt;"",$AC200&lt;&gt;""),"YES","NO")</f>
        <v>NO</v>
      </c>
      <c r="S200" s="4" t="str">
        <f>IF(COUNTIF(I200:R200,"NO")=0,"YES","NO")</f>
        <v>NO</v>
      </c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inlineStr">
        <is>
          <t>Levy Ostrup</t>
        </is>
      </c>
      <c r="AM200" s="9" t="n"/>
      <c r="AN200" s="9" t="n"/>
    </row>
    <row r="201">
      <c r="A201" s="9" t="inlineStr">
        <is>
          <t>RTD</t>
        </is>
      </c>
      <c r="B201" s="9" t="inlineStr">
        <is>
          <t>29103-ET-PG2601-2-R-1</t>
        </is>
      </c>
      <c r="C201" s="9" t="inlineStr">
        <is>
          <t>29103-ET-PG2601-2</t>
        </is>
      </c>
      <c r="D201" s="9" t="inlineStr">
        <is>
          <t>29103-HTP-005 HTC-19</t>
        </is>
      </c>
      <c r="E201" s="9" t="inlineStr">
        <is>
          <t>PRODUCED GAS</t>
        </is>
      </c>
      <c r="F201" s="9" t="inlineStr">
        <is>
          <t>29103-65R-ET-PG2601-02-01</t>
        </is>
      </c>
      <c r="G201" s="9" t="inlineStr">
        <is>
          <t>13.2</t>
        </is>
      </c>
      <c r="H201" s="9" t="inlineStr">
        <is>
          <t>29103-ET-PG2601-2-R-1.pdf</t>
        </is>
      </c>
      <c r="I201" s="4" t="str">
        <f>IF($H201&lt;&gt;"","YES","NO")</f>
        <v>YES</v>
      </c>
      <c r="J201" s="4" t="str">
        <f>IF(N($T201)&gt;0,"YES","NO")</f>
        <v>NO</v>
      </c>
      <c r="K201" s="4" t="str">
        <f>IF(OR($A201="EHT Trace"),IF(AND($U201&lt;&gt;"",$V201&lt;&gt;""),"YES","NO"),"N/A")</f>
        <v>N/A</v>
      </c>
      <c r="L201" s="4" t="str">
        <f>IF(OR($A201="EHT Trace"),IF(AND($X201&lt;&gt;"",$Y201&lt;&gt;""),"YES","NO"),"N/A")</f>
        <v>N/A</v>
      </c>
      <c r="M201" s="4" t="str">
        <f>IF(OR($A201="EHT Trace"),IF(AND($AA201&lt;&gt;"",$AB201&lt;&gt;""),"YES","NO"),"N/A")</f>
        <v>N/A</v>
      </c>
      <c r="N201" s="4" t="str">
        <f>IF(OR($A201="Power Cable"),IF(AND($AD201&lt;&gt;""),"YES","NO"),"N/A")</f>
        <v>N/A</v>
      </c>
      <c r="O201" s="4" t="str">
        <f>IF(OR($A201="Power Cable",$A201="RTD Cable",$A201="Fieldbus Cable"),IF(AND($AE201&lt;&gt;""),"YES","NO"),"N/A")</f>
        <v>N/A</v>
      </c>
      <c r="P201" s="4" t="str">
        <f>IF(OR($A201="RTD"),IF(AND($AH201&lt;&gt;""),"YES","NO"),"N/A")</f>
        <v>NO</v>
      </c>
      <c r="Q201" s="4" t="str">
        <f>IF(OR($A201="RTD"),IF(AND($AI201&lt;&gt;""),"YES","NO"),"N/A")</f>
        <v>NO</v>
      </c>
      <c r="R201" s="4" t="str">
        <f>IF(OR($AM201&lt;&gt;"",$Z201&lt;&gt;"",$AC201&lt;&gt;""),"YES","NO")</f>
        <v>NO</v>
      </c>
      <c r="S201" s="4" t="str">
        <f>IF(COUNTIF(I201:R201,"NO")=0,"YES","NO")</f>
        <v>NO</v>
      </c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inlineStr">
        <is>
          <t>Levy Ostrup</t>
        </is>
      </c>
      <c r="AM201" s="9" t="n"/>
      <c r="AN201" s="9" t="n"/>
    </row>
    <row r="202">
      <c r="A202" s="9" t="inlineStr">
        <is>
          <t>RTD</t>
        </is>
      </c>
      <c r="B202" s="9" t="inlineStr">
        <is>
          <t>29103-ET-PG2701-1-R-1</t>
        </is>
      </c>
      <c r="C202" s="9" t="inlineStr">
        <is>
          <t>29103-ET-PG2701-1</t>
        </is>
      </c>
      <c r="D202" s="9" t="inlineStr">
        <is>
          <t>29103-HTP-005 HTC-23</t>
        </is>
      </c>
      <c r="E202" s="9" t="inlineStr">
        <is>
          <t>PRODUCED GAS</t>
        </is>
      </c>
      <c r="F202" s="9" t="inlineStr">
        <is>
          <t>29103-65R-ET-PG2701-01-01</t>
        </is>
      </c>
      <c r="G202" s="9" t="inlineStr">
        <is>
          <t>13.2</t>
        </is>
      </c>
      <c r="H202" s="9" t="inlineStr">
        <is>
          <t>29103-ET-PG2701-1-R-1.pdf</t>
        </is>
      </c>
      <c r="I202" s="4" t="str">
        <f>IF($H202&lt;&gt;"","YES","NO")</f>
        <v>YES</v>
      </c>
      <c r="J202" s="4" t="str">
        <f>IF(N($T202)&gt;0,"YES","NO")</f>
        <v>NO</v>
      </c>
      <c r="K202" s="4" t="str">
        <f>IF(OR($A202="EHT Trace"),IF(AND($U202&lt;&gt;"",$V202&lt;&gt;""),"YES","NO"),"N/A")</f>
        <v>N/A</v>
      </c>
      <c r="L202" s="4" t="str">
        <f>IF(OR($A202="EHT Trace"),IF(AND($X202&lt;&gt;"",$Y202&lt;&gt;""),"YES","NO"),"N/A")</f>
        <v>N/A</v>
      </c>
      <c r="M202" s="4" t="str">
        <f>IF(OR($A202="EHT Trace"),IF(AND($AA202&lt;&gt;"",$AB202&lt;&gt;""),"YES","NO"),"N/A")</f>
        <v>N/A</v>
      </c>
      <c r="N202" s="4" t="str">
        <f>IF(OR($A202="Power Cable"),IF(AND($AD202&lt;&gt;""),"YES","NO"),"N/A")</f>
        <v>N/A</v>
      </c>
      <c r="O202" s="4" t="str">
        <f>IF(OR($A202="Power Cable",$A202="RTD Cable",$A202="Fieldbus Cable"),IF(AND($AE202&lt;&gt;""),"YES","NO"),"N/A")</f>
        <v>N/A</v>
      </c>
      <c r="P202" s="4" t="str">
        <f>IF(OR($A202="RTD"),IF(AND($AH202&lt;&gt;""),"YES","NO"),"N/A")</f>
        <v>NO</v>
      </c>
      <c r="Q202" s="4" t="str">
        <f>IF(OR($A202="RTD"),IF(AND($AI202&lt;&gt;""),"YES","NO"),"N/A")</f>
        <v>NO</v>
      </c>
      <c r="R202" s="4" t="str">
        <f>IF(OR($AM202&lt;&gt;"",$Z202&lt;&gt;"",$AC202&lt;&gt;""),"YES","NO")</f>
        <v>NO</v>
      </c>
      <c r="S202" s="4" t="str">
        <f>IF(COUNTIF(I202:R202,"NO")=0,"YES","NO")</f>
        <v>NO</v>
      </c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inlineStr">
        <is>
          <t>Levy Ostrup</t>
        </is>
      </c>
      <c r="AM202" s="9" t="n"/>
      <c r="AN202" s="9" t="n"/>
    </row>
    <row r="203">
      <c r="A203" s="9" t="inlineStr">
        <is>
          <t>RTD</t>
        </is>
      </c>
      <c r="B203" s="9" t="inlineStr">
        <is>
          <t>29103-ET-PG2701-1-R-2</t>
        </is>
      </c>
      <c r="C203" s="9" t="inlineStr">
        <is>
          <t>29103-ET-PG2701-1</t>
        </is>
      </c>
      <c r="D203" s="9" t="inlineStr">
        <is>
          <t>29103-HTP-005 HTC-16</t>
        </is>
      </c>
      <c r="E203" s="9" t="inlineStr">
        <is>
          <t>PRODUCED GAS</t>
        </is>
      </c>
      <c r="F203" s="9" t="inlineStr">
        <is>
          <t>29103-65R-ET-PG2701-01-01</t>
        </is>
      </c>
      <c r="G203" s="9" t="inlineStr">
        <is>
          <t>13.2</t>
        </is>
      </c>
      <c r="H203" s="9" t="inlineStr">
        <is>
          <t>29103-ET-PG2701-1-R-2.pdf</t>
        </is>
      </c>
      <c r="I203" s="4" t="str">
        <f>IF($H203&lt;&gt;"","YES","NO")</f>
        <v>YES</v>
      </c>
      <c r="J203" s="4" t="str">
        <f>IF(N($T203)&gt;0,"YES","NO")</f>
        <v>NO</v>
      </c>
      <c r="K203" s="4" t="str">
        <f>IF(OR($A203="EHT Trace"),IF(AND($U203&lt;&gt;"",$V203&lt;&gt;""),"YES","NO"),"N/A")</f>
        <v>N/A</v>
      </c>
      <c r="L203" s="4" t="str">
        <f>IF(OR($A203="EHT Trace"),IF(AND($X203&lt;&gt;"",$Y203&lt;&gt;""),"YES","NO"),"N/A")</f>
        <v>N/A</v>
      </c>
      <c r="M203" s="4" t="str">
        <f>IF(OR($A203="EHT Trace"),IF(AND($AA203&lt;&gt;"",$AB203&lt;&gt;""),"YES","NO"),"N/A")</f>
        <v>N/A</v>
      </c>
      <c r="N203" s="4" t="str">
        <f>IF(OR($A203="Power Cable"),IF(AND($AD203&lt;&gt;""),"YES","NO"),"N/A")</f>
        <v>N/A</v>
      </c>
      <c r="O203" s="4" t="str">
        <f>IF(OR($A203="Power Cable",$A203="RTD Cable",$A203="Fieldbus Cable"),IF(AND($AE203&lt;&gt;""),"YES","NO"),"N/A")</f>
        <v>N/A</v>
      </c>
      <c r="P203" s="4" t="str">
        <f>IF(OR($A203="RTD"),IF(AND($AH203&lt;&gt;""),"YES","NO"),"N/A")</f>
        <v>NO</v>
      </c>
      <c r="Q203" s="4" t="str">
        <f>IF(OR($A203="RTD"),IF(AND($AI203&lt;&gt;""),"YES","NO"),"N/A")</f>
        <v>NO</v>
      </c>
      <c r="R203" s="4" t="str">
        <f>IF(OR($AM203&lt;&gt;"",$Z203&lt;&gt;"",$AC203&lt;&gt;""),"YES","NO")</f>
        <v>NO</v>
      </c>
      <c r="S203" s="4" t="str">
        <f>IF(COUNTIF(I203:R203,"NO")=0,"YES","NO")</f>
        <v>NO</v>
      </c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inlineStr">
        <is>
          <t>Levy Ostrup</t>
        </is>
      </c>
      <c r="AM203" s="9" t="n"/>
      <c r="AN203" s="9" t="n"/>
    </row>
    <row r="204">
      <c r="A204" s="9" t="inlineStr">
        <is>
          <t>RTD</t>
        </is>
      </c>
      <c r="B204" s="9" t="inlineStr">
        <is>
          <t>29103-ET-PG2701-2-R-1</t>
        </is>
      </c>
      <c r="C204" s="9" t="inlineStr">
        <is>
          <t>29103-ET-PG2701-2</t>
        </is>
      </c>
      <c r="D204" s="9" t="inlineStr">
        <is>
          <t>29103-HTP-005 HTC-30</t>
        </is>
      </c>
      <c r="E204" s="9" t="inlineStr">
        <is>
          <t>PRODUCED GAS</t>
        </is>
      </c>
      <c r="F204" s="9" t="inlineStr">
        <is>
          <t>29103-65R-ET-PG2701-02-01</t>
        </is>
      </c>
      <c r="G204" s="9" t="inlineStr">
        <is>
          <t>13.2</t>
        </is>
      </c>
      <c r="H204" s="9" t="inlineStr">
        <is>
          <t>29103-ET-PG2701-2-R-1.pdf</t>
        </is>
      </c>
      <c r="I204" s="4" t="str">
        <f>IF($H204&lt;&gt;"","YES","NO")</f>
        <v>YES</v>
      </c>
      <c r="J204" s="4" t="str">
        <f>IF(N($T204)&gt;0,"YES","NO")</f>
        <v>NO</v>
      </c>
      <c r="K204" s="4" t="str">
        <f>IF(OR($A204="EHT Trace"),IF(AND($U204&lt;&gt;"",$V204&lt;&gt;""),"YES","NO"),"N/A")</f>
        <v>N/A</v>
      </c>
      <c r="L204" s="4" t="str">
        <f>IF(OR($A204="EHT Trace"),IF(AND($X204&lt;&gt;"",$Y204&lt;&gt;""),"YES","NO"),"N/A")</f>
        <v>N/A</v>
      </c>
      <c r="M204" s="4" t="str">
        <f>IF(OR($A204="EHT Trace"),IF(AND($AA204&lt;&gt;"",$AB204&lt;&gt;""),"YES","NO"),"N/A")</f>
        <v>N/A</v>
      </c>
      <c r="N204" s="4" t="str">
        <f>IF(OR($A204="Power Cable"),IF(AND($AD204&lt;&gt;""),"YES","NO"),"N/A")</f>
        <v>N/A</v>
      </c>
      <c r="O204" s="4" t="str">
        <f>IF(OR($A204="Power Cable",$A204="RTD Cable",$A204="Fieldbus Cable"),IF(AND($AE204&lt;&gt;""),"YES","NO"),"N/A")</f>
        <v>N/A</v>
      </c>
      <c r="P204" s="4" t="str">
        <f>IF(OR($A204="RTD"),IF(AND($AH204&lt;&gt;""),"YES","NO"),"N/A")</f>
        <v>NO</v>
      </c>
      <c r="Q204" s="4" t="str">
        <f>IF(OR($A204="RTD"),IF(AND($AI204&lt;&gt;""),"YES","NO"),"N/A")</f>
        <v>NO</v>
      </c>
      <c r="R204" s="4" t="str">
        <f>IF(OR($AM204&lt;&gt;"",$Z204&lt;&gt;"",$AC204&lt;&gt;""),"YES","NO")</f>
        <v>NO</v>
      </c>
      <c r="S204" s="4" t="str">
        <f>IF(COUNTIF(I204:R204,"NO")=0,"YES","NO")</f>
        <v>NO</v>
      </c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inlineStr">
        <is>
          <t>Levy Ostrup</t>
        </is>
      </c>
      <c r="AM204" s="9" t="n"/>
      <c r="AN204" s="9" t="n"/>
    </row>
    <row r="205">
      <c r="A205" s="9" t="inlineStr">
        <is>
          <t>RTD Cable</t>
        </is>
      </c>
      <c r="B205" s="9" t="inlineStr">
        <is>
          <t>29103-ET-P2401-1-R-1</t>
        </is>
      </c>
      <c r="C205" s="9" t="inlineStr">
        <is>
          <t>29103-ET-P2401-1</t>
        </is>
      </c>
      <c r="D205" s="9" t="inlineStr">
        <is>
          <t>29103-HTP-005 HTC-05</t>
        </is>
      </c>
      <c r="E205" s="9" t="inlineStr">
        <is>
          <t>29103-HTP-005</t>
        </is>
      </c>
      <c r="F205" s="9" t="inlineStr"/>
      <c r="G205" s="9" t="inlineStr">
        <is>
          <t>113</t>
        </is>
      </c>
      <c r="H205" s="9" t="inlineStr">
        <is>
          <t>29103-ET-P2401-1-R-1.pdf</t>
        </is>
      </c>
      <c r="I205" s="4" t="str">
        <f>IF($H205&lt;&gt;"","YES","NO")</f>
        <v>YES</v>
      </c>
      <c r="J205" s="4" t="str">
        <f>IF(N($T205)&gt;0,"YES","NO")</f>
        <v>NO</v>
      </c>
      <c r="K205" s="4" t="str">
        <f>IF(OR($A205="EHT Trace"),IF(AND($U205&lt;&gt;"",$V205&lt;&gt;""),"YES","NO"),"N/A")</f>
        <v>N/A</v>
      </c>
      <c r="L205" s="4" t="str">
        <f>IF(OR($A205="EHT Trace"),IF(AND($X205&lt;&gt;"",$Y205&lt;&gt;""),"YES","NO"),"N/A")</f>
        <v>N/A</v>
      </c>
      <c r="M205" s="4" t="str">
        <f>IF(OR($A205="EHT Trace"),IF(AND($AA205&lt;&gt;"",$AB205&lt;&gt;""),"YES","NO"),"N/A")</f>
        <v>N/A</v>
      </c>
      <c r="N205" s="4" t="str">
        <f>IF(OR($A205="Power Cable"),IF(AND($AD205&lt;&gt;""),"YES","NO"),"N/A")</f>
        <v>N/A</v>
      </c>
      <c r="O205" s="4" t="str">
        <f>IF(OR($A205="Power Cable",$A205="RTD Cable",$A205="Fieldbus Cable"),IF(AND($AE205&lt;&gt;""),"YES","NO"),"N/A")</f>
        <v>NO</v>
      </c>
      <c r="P205" s="4" t="str">
        <f>IF(OR($A205="RTD"),IF(AND($AH205&lt;&gt;""),"YES","NO"),"N/A")</f>
        <v>N/A</v>
      </c>
      <c r="Q205" s="4" t="str">
        <f>IF(OR($A205="RTD"),IF(AND($AI205&lt;&gt;""),"YES","NO"),"N/A")</f>
        <v>N/A</v>
      </c>
      <c r="R205" s="4" t="str">
        <f>IF(OR($AM205&lt;&gt;"",$Z205&lt;&gt;"",$AC205&lt;&gt;""),"YES","NO")</f>
        <v>NO</v>
      </c>
      <c r="S205" s="4" t="str">
        <f>IF(COUNTIF(I205:R205,"NO")=0,"YES","NO")</f>
        <v>NO</v>
      </c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inlineStr">
        <is>
          <t>ACIC</t>
        </is>
      </c>
      <c r="AK205" s="9" t="inlineStr">
        <is>
          <t>16AWG</t>
        </is>
      </c>
      <c r="AL205" s="9" t="inlineStr">
        <is>
          <t>Levy Ostrup</t>
        </is>
      </c>
      <c r="AM205" s="9" t="n"/>
      <c r="AN205" s="9" t="n"/>
    </row>
    <row r="206">
      <c r="A206" s="9" t="inlineStr">
        <is>
          <t>RTD Cable</t>
        </is>
      </c>
      <c r="B206" s="9" t="inlineStr">
        <is>
          <t>29103-ET-P2501-1-R-1</t>
        </is>
      </c>
      <c r="C206" s="9" t="inlineStr">
        <is>
          <t>29103-ET-P2501-1</t>
        </is>
      </c>
      <c r="D206" s="9" t="inlineStr">
        <is>
          <t>29103-HTP-005 HTC-04</t>
        </is>
      </c>
      <c r="E206" s="9" t="inlineStr">
        <is>
          <t>29103-HTP-005</t>
        </is>
      </c>
      <c r="F206" s="9" t="inlineStr"/>
      <c r="G206" s="9" t="inlineStr">
        <is>
          <t>113</t>
        </is>
      </c>
      <c r="H206" s="9" t="inlineStr">
        <is>
          <t>29103-ET-P2501-1-R-1.pdf</t>
        </is>
      </c>
      <c r="I206" s="4" t="str">
        <f>IF($H206&lt;&gt;"","YES","NO")</f>
        <v>YES</v>
      </c>
      <c r="J206" s="4" t="str">
        <f>IF(N($T206)&gt;0,"YES","NO")</f>
        <v>NO</v>
      </c>
      <c r="K206" s="4" t="str">
        <f>IF(OR($A206="EHT Trace"),IF(AND($U206&lt;&gt;"",$V206&lt;&gt;""),"YES","NO"),"N/A")</f>
        <v>N/A</v>
      </c>
      <c r="L206" s="4" t="str">
        <f>IF(OR($A206="EHT Trace"),IF(AND($X206&lt;&gt;"",$Y206&lt;&gt;""),"YES","NO"),"N/A")</f>
        <v>N/A</v>
      </c>
      <c r="M206" s="4" t="str">
        <f>IF(OR($A206="EHT Trace"),IF(AND($AA206&lt;&gt;"",$AB206&lt;&gt;""),"YES","NO"),"N/A")</f>
        <v>N/A</v>
      </c>
      <c r="N206" s="4" t="str">
        <f>IF(OR($A206="Power Cable"),IF(AND($AD206&lt;&gt;""),"YES","NO"),"N/A")</f>
        <v>N/A</v>
      </c>
      <c r="O206" s="4" t="str">
        <f>IF(OR($A206="Power Cable",$A206="RTD Cable",$A206="Fieldbus Cable"),IF(AND($AE206&lt;&gt;""),"YES","NO"),"N/A")</f>
        <v>NO</v>
      </c>
      <c r="P206" s="4" t="str">
        <f>IF(OR($A206="RTD"),IF(AND($AH206&lt;&gt;""),"YES","NO"),"N/A")</f>
        <v>N/A</v>
      </c>
      <c r="Q206" s="4" t="str">
        <f>IF(OR($A206="RTD"),IF(AND($AI206&lt;&gt;""),"YES","NO"),"N/A")</f>
        <v>N/A</v>
      </c>
      <c r="R206" s="4" t="str">
        <f>IF(OR($AM206&lt;&gt;"",$Z206&lt;&gt;"",$AC206&lt;&gt;""),"YES","NO")</f>
        <v>NO</v>
      </c>
      <c r="S206" s="4" t="str">
        <f>IF(COUNTIF(I206:R206,"NO")=0,"YES","NO")</f>
        <v>NO</v>
      </c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inlineStr">
        <is>
          <t>ACIC</t>
        </is>
      </c>
      <c r="AK206" s="9" t="inlineStr">
        <is>
          <t>16AWG</t>
        </is>
      </c>
      <c r="AL206" s="9" t="inlineStr">
        <is>
          <t>Levy Ostrup</t>
        </is>
      </c>
      <c r="AM206" s="9" t="n"/>
      <c r="AN206" s="9" t="n"/>
    </row>
    <row r="207">
      <c r="A207" s="9" t="inlineStr">
        <is>
          <t>RTD Cable</t>
        </is>
      </c>
      <c r="B207" s="9" t="inlineStr">
        <is>
          <t>29103-ET-P2504-1-R-1</t>
        </is>
      </c>
      <c r="C207" s="9" t="inlineStr">
        <is>
          <t>29103-ET-P2504-1</t>
        </is>
      </c>
      <c r="D207" s="9" t="inlineStr">
        <is>
          <t>29103-HTP-005 HTC-09</t>
        </is>
      </c>
      <c r="E207" s="9" t="inlineStr">
        <is>
          <t>29103-HTP-005</t>
        </is>
      </c>
      <c r="F207" s="9" t="inlineStr"/>
      <c r="G207" s="9" t="inlineStr">
        <is>
          <t>113</t>
        </is>
      </c>
      <c r="H207" s="9" t="inlineStr">
        <is>
          <t>29103-ET-P2504-1-R-1.pdf</t>
        </is>
      </c>
      <c r="I207" s="4" t="str">
        <f>IF($H207&lt;&gt;"","YES","NO")</f>
        <v>YES</v>
      </c>
      <c r="J207" s="4" t="str">
        <f>IF(N($T207)&gt;0,"YES","NO")</f>
        <v>NO</v>
      </c>
      <c r="K207" s="4" t="str">
        <f>IF(OR($A207="EHT Trace"),IF(AND($U207&lt;&gt;"",$V207&lt;&gt;""),"YES","NO"),"N/A")</f>
        <v>N/A</v>
      </c>
      <c r="L207" s="4" t="str">
        <f>IF(OR($A207="EHT Trace"),IF(AND($X207&lt;&gt;"",$Y207&lt;&gt;""),"YES","NO"),"N/A")</f>
        <v>N/A</v>
      </c>
      <c r="M207" s="4" t="str">
        <f>IF(OR($A207="EHT Trace"),IF(AND($AA207&lt;&gt;"",$AB207&lt;&gt;""),"YES","NO"),"N/A")</f>
        <v>N/A</v>
      </c>
      <c r="N207" s="4" t="str">
        <f>IF(OR($A207="Power Cable"),IF(AND($AD207&lt;&gt;""),"YES","NO"),"N/A")</f>
        <v>N/A</v>
      </c>
      <c r="O207" s="4" t="str">
        <f>IF(OR($A207="Power Cable",$A207="RTD Cable",$A207="Fieldbus Cable"),IF(AND($AE207&lt;&gt;""),"YES","NO"),"N/A")</f>
        <v>NO</v>
      </c>
      <c r="P207" s="4" t="str">
        <f>IF(OR($A207="RTD"),IF(AND($AH207&lt;&gt;""),"YES","NO"),"N/A")</f>
        <v>N/A</v>
      </c>
      <c r="Q207" s="4" t="str">
        <f>IF(OR($A207="RTD"),IF(AND($AI207&lt;&gt;""),"YES","NO"),"N/A")</f>
        <v>N/A</v>
      </c>
      <c r="R207" s="4" t="str">
        <f>IF(OR($AM207&lt;&gt;"",$Z207&lt;&gt;"",$AC207&lt;&gt;""),"YES","NO")</f>
        <v>NO</v>
      </c>
      <c r="S207" s="4" t="str">
        <f>IF(COUNTIF(I207:R207,"NO")=0,"YES","NO")</f>
        <v>NO</v>
      </c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inlineStr">
        <is>
          <t>ACIC</t>
        </is>
      </c>
      <c r="AK207" s="9" t="inlineStr">
        <is>
          <t>16AWG</t>
        </is>
      </c>
      <c r="AL207" s="9" t="inlineStr">
        <is>
          <t>Levy Ostrup</t>
        </is>
      </c>
      <c r="AM207" s="9" t="n"/>
      <c r="AN207" s="9" t="n"/>
    </row>
    <row r="208">
      <c r="A208" s="9" t="inlineStr">
        <is>
          <t>RTD Cable</t>
        </is>
      </c>
      <c r="B208" s="9" t="inlineStr">
        <is>
          <t>29103-ET-P2504-1-R-2</t>
        </is>
      </c>
      <c r="C208" s="9" t="inlineStr">
        <is>
          <t>29103-ET-P2504-1</t>
        </is>
      </c>
      <c r="D208" s="9" t="inlineStr">
        <is>
          <t>29103-HTP-005 I/O-1-4</t>
        </is>
      </c>
      <c r="E208" s="9" t="inlineStr">
        <is>
          <t>29103-HTP-005</t>
        </is>
      </c>
      <c r="F208" s="9" t="inlineStr"/>
      <c r="G208" s="9" t="inlineStr">
        <is>
          <t>113</t>
        </is>
      </c>
      <c r="H208" s="9" t="inlineStr">
        <is>
          <t>29103-ET-P2504-1-R-2.pdf</t>
        </is>
      </c>
      <c r="I208" s="4" t="str">
        <f>IF($H208&lt;&gt;"","YES","NO")</f>
        <v>YES</v>
      </c>
      <c r="J208" s="4" t="str">
        <f>IF(N($T208)&gt;0,"YES","NO")</f>
        <v>NO</v>
      </c>
      <c r="K208" s="4" t="str">
        <f>IF(OR($A208="EHT Trace"),IF(AND($U208&lt;&gt;"",$V208&lt;&gt;""),"YES","NO"),"N/A")</f>
        <v>N/A</v>
      </c>
      <c r="L208" s="4" t="str">
        <f>IF(OR($A208="EHT Trace"),IF(AND($X208&lt;&gt;"",$Y208&lt;&gt;""),"YES","NO"),"N/A")</f>
        <v>N/A</v>
      </c>
      <c r="M208" s="4" t="str">
        <f>IF(OR($A208="EHT Trace"),IF(AND($AA208&lt;&gt;"",$AB208&lt;&gt;""),"YES","NO"),"N/A")</f>
        <v>N/A</v>
      </c>
      <c r="N208" s="4" t="str">
        <f>IF(OR($A208="Power Cable"),IF(AND($AD208&lt;&gt;""),"YES","NO"),"N/A")</f>
        <v>N/A</v>
      </c>
      <c r="O208" s="4" t="str">
        <f>IF(OR($A208="Power Cable",$A208="RTD Cable",$A208="Fieldbus Cable"),IF(AND($AE208&lt;&gt;""),"YES","NO"),"N/A")</f>
        <v>NO</v>
      </c>
      <c r="P208" s="4" t="str">
        <f>IF(OR($A208="RTD"),IF(AND($AH208&lt;&gt;""),"YES","NO"),"N/A")</f>
        <v>N/A</v>
      </c>
      <c r="Q208" s="4" t="str">
        <f>IF(OR($A208="RTD"),IF(AND($AI208&lt;&gt;""),"YES","NO"),"N/A")</f>
        <v>N/A</v>
      </c>
      <c r="R208" s="4" t="str">
        <f>IF(OR($AM208&lt;&gt;"",$Z208&lt;&gt;"",$AC208&lt;&gt;""),"YES","NO")</f>
        <v>NO</v>
      </c>
      <c r="S208" s="4" t="str">
        <f>IF(COUNTIF(I208:R208,"NO")=0,"YES","NO")</f>
        <v>NO</v>
      </c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inlineStr">
        <is>
          <t>ACIC</t>
        </is>
      </c>
      <c r="AK208" s="9" t="inlineStr">
        <is>
          <t>16AWG</t>
        </is>
      </c>
      <c r="AL208" s="9" t="inlineStr">
        <is>
          <t>Levy Ostrup</t>
        </is>
      </c>
      <c r="AM208" s="9" t="n"/>
      <c r="AN208" s="9" t="n"/>
    </row>
    <row r="209">
      <c r="A209" s="9" t="inlineStr">
        <is>
          <t>RTD Cable</t>
        </is>
      </c>
      <c r="B209" s="9" t="inlineStr">
        <is>
          <t>29103-ET-P2504-2-R-1</t>
        </is>
      </c>
      <c r="C209" s="9" t="inlineStr">
        <is>
          <t>29103-ET-P2504-2</t>
        </is>
      </c>
      <c r="D209" s="9" t="inlineStr">
        <is>
          <t>29103-HTP-005 HTC-20</t>
        </is>
      </c>
      <c r="E209" s="9" t="inlineStr">
        <is>
          <t>29103-HTP-005</t>
        </is>
      </c>
      <c r="F209" s="9" t="inlineStr"/>
      <c r="G209" s="9" t="inlineStr">
        <is>
          <t>113</t>
        </is>
      </c>
      <c r="H209" s="9" t="inlineStr">
        <is>
          <t>29103-ET-P2504-2-R-1.pdf</t>
        </is>
      </c>
      <c r="I209" s="4" t="str">
        <f>IF($H209&lt;&gt;"","YES","NO")</f>
        <v>YES</v>
      </c>
      <c r="J209" s="4" t="str">
        <f>IF(N($T209)&gt;0,"YES","NO")</f>
        <v>NO</v>
      </c>
      <c r="K209" s="4" t="str">
        <f>IF(OR($A209="EHT Trace"),IF(AND($U209&lt;&gt;"",$V209&lt;&gt;""),"YES","NO"),"N/A")</f>
        <v>N/A</v>
      </c>
      <c r="L209" s="4" t="str">
        <f>IF(OR($A209="EHT Trace"),IF(AND($X209&lt;&gt;"",$Y209&lt;&gt;""),"YES","NO"),"N/A")</f>
        <v>N/A</v>
      </c>
      <c r="M209" s="4" t="str">
        <f>IF(OR($A209="EHT Trace"),IF(AND($AA209&lt;&gt;"",$AB209&lt;&gt;""),"YES","NO"),"N/A")</f>
        <v>N/A</v>
      </c>
      <c r="N209" s="4" t="str">
        <f>IF(OR($A209="Power Cable"),IF(AND($AD209&lt;&gt;""),"YES","NO"),"N/A")</f>
        <v>N/A</v>
      </c>
      <c r="O209" s="4" t="str">
        <f>IF(OR($A209="Power Cable",$A209="RTD Cable",$A209="Fieldbus Cable"),IF(AND($AE209&lt;&gt;""),"YES","NO"),"N/A")</f>
        <v>NO</v>
      </c>
      <c r="P209" s="4" t="str">
        <f>IF(OR($A209="RTD"),IF(AND($AH209&lt;&gt;""),"YES","NO"),"N/A")</f>
        <v>N/A</v>
      </c>
      <c r="Q209" s="4" t="str">
        <f>IF(OR($A209="RTD"),IF(AND($AI209&lt;&gt;""),"YES","NO"),"N/A")</f>
        <v>N/A</v>
      </c>
      <c r="R209" s="4" t="str">
        <f>IF(OR($AM209&lt;&gt;"",$Z209&lt;&gt;"",$AC209&lt;&gt;""),"YES","NO")</f>
        <v>NO</v>
      </c>
      <c r="S209" s="4" t="str">
        <f>IF(COUNTIF(I209:R209,"NO")=0,"YES","NO")</f>
        <v>NO</v>
      </c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inlineStr">
        <is>
          <t>ACIC</t>
        </is>
      </c>
      <c r="AK209" s="9" t="inlineStr">
        <is>
          <t>16AWG</t>
        </is>
      </c>
      <c r="AL209" s="9" t="inlineStr">
        <is>
          <t>Levy Ostrup</t>
        </is>
      </c>
      <c r="AM209" s="9" t="n"/>
      <c r="AN209" s="9" t="n"/>
    </row>
    <row r="210">
      <c r="A210" s="9" t="inlineStr">
        <is>
          <t>RTD Cable</t>
        </is>
      </c>
      <c r="B210" s="9" t="inlineStr">
        <is>
          <t>29103-ET-P2504-2-R-2</t>
        </is>
      </c>
      <c r="C210" s="9" t="inlineStr">
        <is>
          <t>29103-ET-P2504-2</t>
        </is>
      </c>
      <c r="D210" s="9" t="inlineStr">
        <is>
          <t>29103-HTP-005 I/O-3-4</t>
        </is>
      </c>
      <c r="E210" s="9" t="inlineStr">
        <is>
          <t>29103-HTP-005</t>
        </is>
      </c>
      <c r="F210" s="9" t="inlineStr"/>
      <c r="G210" s="9" t="inlineStr">
        <is>
          <t>113</t>
        </is>
      </c>
      <c r="H210" s="9" t="inlineStr">
        <is>
          <t>29103-ET-P2504-2-R-2.pdf</t>
        </is>
      </c>
      <c r="I210" s="4" t="str">
        <f>IF($H210&lt;&gt;"","YES","NO")</f>
        <v>YES</v>
      </c>
      <c r="J210" s="4" t="str">
        <f>IF(N($T210)&gt;0,"YES","NO")</f>
        <v>NO</v>
      </c>
      <c r="K210" s="4" t="str">
        <f>IF(OR($A210="EHT Trace"),IF(AND($U210&lt;&gt;"",$V210&lt;&gt;""),"YES","NO"),"N/A")</f>
        <v>N/A</v>
      </c>
      <c r="L210" s="4" t="str">
        <f>IF(OR($A210="EHT Trace"),IF(AND($X210&lt;&gt;"",$Y210&lt;&gt;""),"YES","NO"),"N/A")</f>
        <v>N/A</v>
      </c>
      <c r="M210" s="4" t="str">
        <f>IF(OR($A210="EHT Trace"),IF(AND($AA210&lt;&gt;"",$AB210&lt;&gt;""),"YES","NO"),"N/A")</f>
        <v>N/A</v>
      </c>
      <c r="N210" s="4" t="str">
        <f>IF(OR($A210="Power Cable"),IF(AND($AD210&lt;&gt;""),"YES","NO"),"N/A")</f>
        <v>N/A</v>
      </c>
      <c r="O210" s="4" t="str">
        <f>IF(OR($A210="Power Cable",$A210="RTD Cable",$A210="Fieldbus Cable"),IF(AND($AE210&lt;&gt;""),"YES","NO"),"N/A")</f>
        <v>NO</v>
      </c>
      <c r="P210" s="4" t="str">
        <f>IF(OR($A210="RTD"),IF(AND($AH210&lt;&gt;""),"YES","NO"),"N/A")</f>
        <v>N/A</v>
      </c>
      <c r="Q210" s="4" t="str">
        <f>IF(OR($A210="RTD"),IF(AND($AI210&lt;&gt;""),"YES","NO"),"N/A")</f>
        <v>N/A</v>
      </c>
      <c r="R210" s="4" t="str">
        <f>IF(OR($AM210&lt;&gt;"",$Z210&lt;&gt;"",$AC210&lt;&gt;""),"YES","NO")</f>
        <v>NO</v>
      </c>
      <c r="S210" s="4" t="str">
        <f>IF(COUNTIF(I210:R210,"NO")=0,"YES","NO")</f>
        <v>NO</v>
      </c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inlineStr">
        <is>
          <t>ACIC</t>
        </is>
      </c>
      <c r="AK210" s="9" t="inlineStr">
        <is>
          <t>16AWG</t>
        </is>
      </c>
      <c r="AL210" s="9" t="inlineStr">
        <is>
          <t>Levy Ostrup</t>
        </is>
      </c>
      <c r="AM210" s="9" t="n"/>
      <c r="AN210" s="9" t="n"/>
    </row>
    <row r="211">
      <c r="A211" s="9" t="inlineStr">
        <is>
          <t>RTD Cable</t>
        </is>
      </c>
      <c r="B211" s="9" t="inlineStr">
        <is>
          <t>29103-ET-P2601-1-R-1</t>
        </is>
      </c>
      <c r="C211" s="9" t="inlineStr">
        <is>
          <t>29103-ET-P2601-1</t>
        </is>
      </c>
      <c r="D211" s="9" t="inlineStr">
        <is>
          <t>29103-HTP-005 HTC-35</t>
        </is>
      </c>
      <c r="E211" s="9" t="inlineStr">
        <is>
          <t>29103-HTP-005</t>
        </is>
      </c>
      <c r="F211" s="9" t="inlineStr"/>
      <c r="G211" s="9" t="inlineStr">
        <is>
          <t>113</t>
        </is>
      </c>
      <c r="H211" s="9" t="inlineStr">
        <is>
          <t>29103-ET-P2601-1-R-1.pdf</t>
        </is>
      </c>
      <c r="I211" s="4" t="str">
        <f>IF($H211&lt;&gt;"","YES","NO")</f>
        <v>YES</v>
      </c>
      <c r="J211" s="4" t="str">
        <f>IF(N($T211)&gt;0,"YES","NO")</f>
        <v>NO</v>
      </c>
      <c r="K211" s="4" t="str">
        <f>IF(OR($A211="EHT Trace"),IF(AND($U211&lt;&gt;"",$V211&lt;&gt;""),"YES","NO"),"N/A")</f>
        <v>N/A</v>
      </c>
      <c r="L211" s="4" t="str">
        <f>IF(OR($A211="EHT Trace"),IF(AND($X211&lt;&gt;"",$Y211&lt;&gt;""),"YES","NO"),"N/A")</f>
        <v>N/A</v>
      </c>
      <c r="M211" s="4" t="str">
        <f>IF(OR($A211="EHT Trace"),IF(AND($AA211&lt;&gt;"",$AB211&lt;&gt;""),"YES","NO"),"N/A")</f>
        <v>N/A</v>
      </c>
      <c r="N211" s="4" t="str">
        <f>IF(OR($A211="Power Cable"),IF(AND($AD211&lt;&gt;""),"YES","NO"),"N/A")</f>
        <v>N/A</v>
      </c>
      <c r="O211" s="4" t="str">
        <f>IF(OR($A211="Power Cable",$A211="RTD Cable",$A211="Fieldbus Cable"),IF(AND($AE211&lt;&gt;""),"YES","NO"),"N/A")</f>
        <v>NO</v>
      </c>
      <c r="P211" s="4" t="str">
        <f>IF(OR($A211="RTD"),IF(AND($AH211&lt;&gt;""),"YES","NO"),"N/A")</f>
        <v>N/A</v>
      </c>
      <c r="Q211" s="4" t="str">
        <f>IF(OR($A211="RTD"),IF(AND($AI211&lt;&gt;""),"YES","NO"),"N/A")</f>
        <v>N/A</v>
      </c>
      <c r="R211" s="4" t="str">
        <f>IF(OR($AM211&lt;&gt;"",$Z211&lt;&gt;"",$AC211&lt;&gt;""),"YES","NO")</f>
        <v>NO</v>
      </c>
      <c r="S211" s="4" t="str">
        <f>IF(COUNTIF(I211:R211,"NO")=0,"YES","NO")</f>
        <v>NO</v>
      </c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inlineStr">
        <is>
          <t>ACIC</t>
        </is>
      </c>
      <c r="AK211" s="9" t="inlineStr">
        <is>
          <t>16AWG</t>
        </is>
      </c>
      <c r="AL211" s="9" t="inlineStr">
        <is>
          <t>Levy Ostrup</t>
        </is>
      </c>
      <c r="AM211" s="9" t="n"/>
      <c r="AN211" s="9" t="n"/>
    </row>
    <row r="212">
      <c r="A212" s="9" t="inlineStr">
        <is>
          <t>RTD Cable</t>
        </is>
      </c>
      <c r="B212" s="9" t="inlineStr">
        <is>
          <t>29103-ET-P2604-1-R-1</t>
        </is>
      </c>
      <c r="C212" s="9" t="inlineStr">
        <is>
          <t>29103-ET-P2604-1</t>
        </is>
      </c>
      <c r="D212" s="9" t="inlineStr">
        <is>
          <t>29103-HTP-005 HTC-32</t>
        </is>
      </c>
      <c r="E212" s="9" t="inlineStr">
        <is>
          <t>29103-HTP-005</t>
        </is>
      </c>
      <c r="F212" s="9" t="inlineStr"/>
      <c r="G212" s="9" t="inlineStr">
        <is>
          <t>113</t>
        </is>
      </c>
      <c r="H212" s="9" t="inlineStr">
        <is>
          <t>29103-ET-P2604-1-R-1.pdf</t>
        </is>
      </c>
      <c r="I212" s="4" t="str">
        <f>IF($H212&lt;&gt;"","YES","NO")</f>
        <v>YES</v>
      </c>
      <c r="J212" s="4" t="str">
        <f>IF(N($T212)&gt;0,"YES","NO")</f>
        <v>NO</v>
      </c>
      <c r="K212" s="4" t="str">
        <f>IF(OR($A212="EHT Trace"),IF(AND($U212&lt;&gt;"",$V212&lt;&gt;""),"YES","NO"),"N/A")</f>
        <v>N/A</v>
      </c>
      <c r="L212" s="4" t="str">
        <f>IF(OR($A212="EHT Trace"),IF(AND($X212&lt;&gt;"",$Y212&lt;&gt;""),"YES","NO"),"N/A")</f>
        <v>N/A</v>
      </c>
      <c r="M212" s="4" t="str">
        <f>IF(OR($A212="EHT Trace"),IF(AND($AA212&lt;&gt;"",$AB212&lt;&gt;""),"YES","NO"),"N/A")</f>
        <v>N/A</v>
      </c>
      <c r="N212" s="4" t="str">
        <f>IF(OR($A212="Power Cable"),IF(AND($AD212&lt;&gt;""),"YES","NO"),"N/A")</f>
        <v>N/A</v>
      </c>
      <c r="O212" s="4" t="str">
        <f>IF(OR($A212="Power Cable",$A212="RTD Cable",$A212="Fieldbus Cable"),IF(AND($AE212&lt;&gt;""),"YES","NO"),"N/A")</f>
        <v>NO</v>
      </c>
      <c r="P212" s="4" t="str">
        <f>IF(OR($A212="RTD"),IF(AND($AH212&lt;&gt;""),"YES","NO"),"N/A")</f>
        <v>N/A</v>
      </c>
      <c r="Q212" s="4" t="str">
        <f>IF(OR($A212="RTD"),IF(AND($AI212&lt;&gt;""),"YES","NO"),"N/A")</f>
        <v>N/A</v>
      </c>
      <c r="R212" s="4" t="str">
        <f>IF(OR($AM212&lt;&gt;"",$Z212&lt;&gt;"",$AC212&lt;&gt;""),"YES","NO")</f>
        <v>NO</v>
      </c>
      <c r="S212" s="4" t="str">
        <f>IF(COUNTIF(I212:R212,"NO")=0,"YES","NO")</f>
        <v>NO</v>
      </c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inlineStr">
        <is>
          <t>ACIC</t>
        </is>
      </c>
      <c r="AK212" s="9" t="inlineStr">
        <is>
          <t>16AWG</t>
        </is>
      </c>
      <c r="AL212" s="9" t="inlineStr">
        <is>
          <t>Levy Ostrup</t>
        </is>
      </c>
      <c r="AM212" s="9" t="n"/>
      <c r="AN212" s="9" t="n"/>
    </row>
    <row r="213">
      <c r="A213" s="9" t="inlineStr">
        <is>
          <t>RTD Cable</t>
        </is>
      </c>
      <c r="B213" s="9" t="inlineStr">
        <is>
          <t>29103-ET-P2604-1-R-2</t>
        </is>
      </c>
      <c r="C213" s="9" t="inlineStr">
        <is>
          <t>29103-ET-P2604-1</t>
        </is>
      </c>
      <c r="D213" s="9" t="inlineStr">
        <is>
          <t>29103-HTP-005 I/O-2-1</t>
        </is>
      </c>
      <c r="E213" s="9" t="inlineStr">
        <is>
          <t>29103-HTP-005</t>
        </is>
      </c>
      <c r="F213" s="9" t="inlineStr"/>
      <c r="G213" s="9" t="inlineStr">
        <is>
          <t>113</t>
        </is>
      </c>
      <c r="H213" s="9" t="inlineStr">
        <is>
          <t>29103-ET-P2604-1-R-2.pdf</t>
        </is>
      </c>
      <c r="I213" s="4" t="str">
        <f>IF($H213&lt;&gt;"","YES","NO")</f>
        <v>YES</v>
      </c>
      <c r="J213" s="4" t="str">
        <f>IF(N($T213)&gt;0,"YES","NO")</f>
        <v>NO</v>
      </c>
      <c r="K213" s="4" t="str">
        <f>IF(OR($A213="EHT Trace"),IF(AND($U213&lt;&gt;"",$V213&lt;&gt;""),"YES","NO"),"N/A")</f>
        <v>N/A</v>
      </c>
      <c r="L213" s="4" t="str">
        <f>IF(OR($A213="EHT Trace"),IF(AND($X213&lt;&gt;"",$Y213&lt;&gt;""),"YES","NO"),"N/A")</f>
        <v>N/A</v>
      </c>
      <c r="M213" s="4" t="str">
        <f>IF(OR($A213="EHT Trace"),IF(AND($AA213&lt;&gt;"",$AB213&lt;&gt;""),"YES","NO"),"N/A")</f>
        <v>N/A</v>
      </c>
      <c r="N213" s="4" t="str">
        <f>IF(OR($A213="Power Cable"),IF(AND($AD213&lt;&gt;""),"YES","NO"),"N/A")</f>
        <v>N/A</v>
      </c>
      <c r="O213" s="4" t="str">
        <f>IF(OR($A213="Power Cable",$A213="RTD Cable",$A213="Fieldbus Cable"),IF(AND($AE213&lt;&gt;""),"YES","NO"),"N/A")</f>
        <v>NO</v>
      </c>
      <c r="P213" s="4" t="str">
        <f>IF(OR($A213="RTD"),IF(AND($AH213&lt;&gt;""),"YES","NO"),"N/A")</f>
        <v>N/A</v>
      </c>
      <c r="Q213" s="4" t="str">
        <f>IF(OR($A213="RTD"),IF(AND($AI213&lt;&gt;""),"YES","NO"),"N/A")</f>
        <v>N/A</v>
      </c>
      <c r="R213" s="4" t="str">
        <f>IF(OR($AM213&lt;&gt;"",$Z213&lt;&gt;"",$AC213&lt;&gt;""),"YES","NO")</f>
        <v>NO</v>
      </c>
      <c r="S213" s="4" t="str">
        <f>IF(COUNTIF(I213:R213,"NO")=0,"YES","NO")</f>
        <v>NO</v>
      </c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inlineStr">
        <is>
          <t>ACIC</t>
        </is>
      </c>
      <c r="AK213" s="9" t="inlineStr">
        <is>
          <t>16AWG</t>
        </is>
      </c>
      <c r="AL213" s="9" t="inlineStr">
        <is>
          <t>Levy Ostrup</t>
        </is>
      </c>
      <c r="AM213" s="9" t="n"/>
      <c r="AN213" s="9" t="n"/>
    </row>
    <row r="214">
      <c r="A214" s="9" t="inlineStr">
        <is>
          <t>RTD Cable</t>
        </is>
      </c>
      <c r="B214" s="9" t="inlineStr">
        <is>
          <t>29103-ET-P2604-2-R-1</t>
        </is>
      </c>
      <c r="C214" s="9" t="inlineStr">
        <is>
          <t>29103-ET-P2604-2</t>
        </is>
      </c>
      <c r="D214" s="9" t="inlineStr">
        <is>
          <t>29103-HTP-005 HTC-24</t>
        </is>
      </c>
      <c r="E214" s="9" t="inlineStr">
        <is>
          <t>29103-HTP-005</t>
        </is>
      </c>
      <c r="F214" s="9" t="inlineStr"/>
      <c r="G214" s="9" t="inlineStr">
        <is>
          <t>113</t>
        </is>
      </c>
      <c r="H214" s="9" t="inlineStr">
        <is>
          <t>29103-ET-P2604-2-R-1.pdf</t>
        </is>
      </c>
      <c r="I214" s="4" t="str">
        <f>IF($H214&lt;&gt;"","YES","NO")</f>
        <v>YES</v>
      </c>
      <c r="J214" s="4" t="str">
        <f>IF(N($T214)&gt;0,"YES","NO")</f>
        <v>NO</v>
      </c>
      <c r="K214" s="4" t="str">
        <f>IF(OR($A214="EHT Trace"),IF(AND($U214&lt;&gt;"",$V214&lt;&gt;""),"YES","NO"),"N/A")</f>
        <v>N/A</v>
      </c>
      <c r="L214" s="4" t="str">
        <f>IF(OR($A214="EHT Trace"),IF(AND($X214&lt;&gt;"",$Y214&lt;&gt;""),"YES","NO"),"N/A")</f>
        <v>N/A</v>
      </c>
      <c r="M214" s="4" t="str">
        <f>IF(OR($A214="EHT Trace"),IF(AND($AA214&lt;&gt;"",$AB214&lt;&gt;""),"YES","NO"),"N/A")</f>
        <v>N/A</v>
      </c>
      <c r="N214" s="4" t="str">
        <f>IF(OR($A214="Power Cable"),IF(AND($AD214&lt;&gt;""),"YES","NO"),"N/A")</f>
        <v>N/A</v>
      </c>
      <c r="O214" s="4" t="str">
        <f>IF(OR($A214="Power Cable",$A214="RTD Cable",$A214="Fieldbus Cable"),IF(AND($AE214&lt;&gt;""),"YES","NO"),"N/A")</f>
        <v>NO</v>
      </c>
      <c r="P214" s="4" t="str">
        <f>IF(OR($A214="RTD"),IF(AND($AH214&lt;&gt;""),"YES","NO"),"N/A")</f>
        <v>N/A</v>
      </c>
      <c r="Q214" s="4" t="str">
        <f>IF(OR($A214="RTD"),IF(AND($AI214&lt;&gt;""),"YES","NO"),"N/A")</f>
        <v>N/A</v>
      </c>
      <c r="R214" s="4" t="str">
        <f>IF(OR($AM214&lt;&gt;"",$Z214&lt;&gt;"",$AC214&lt;&gt;""),"YES","NO")</f>
        <v>NO</v>
      </c>
      <c r="S214" s="4" t="str">
        <f>IF(COUNTIF(I214:R214,"NO")=0,"YES","NO")</f>
        <v>NO</v>
      </c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inlineStr">
        <is>
          <t>ACIC</t>
        </is>
      </c>
      <c r="AK214" s="9" t="inlineStr">
        <is>
          <t>16AWG</t>
        </is>
      </c>
      <c r="AL214" s="9" t="inlineStr">
        <is>
          <t>Levy Ostrup</t>
        </is>
      </c>
      <c r="AM214" s="9" t="n"/>
      <c r="AN214" s="9" t="n"/>
    </row>
    <row r="215">
      <c r="A215" s="9" t="inlineStr">
        <is>
          <t>RTD Cable</t>
        </is>
      </c>
      <c r="B215" s="9" t="inlineStr">
        <is>
          <t>29103-ET-P2604-2-R-2</t>
        </is>
      </c>
      <c r="C215" s="9" t="inlineStr">
        <is>
          <t>29103-ET-P2604-2</t>
        </is>
      </c>
      <c r="D215" s="9" t="inlineStr">
        <is>
          <t>29103-HTP-005 I/O-2-2</t>
        </is>
      </c>
      <c r="E215" s="9" t="inlineStr">
        <is>
          <t>29103-HTP-005</t>
        </is>
      </c>
      <c r="F215" s="9" t="inlineStr"/>
      <c r="G215" s="9" t="inlineStr">
        <is>
          <t>113</t>
        </is>
      </c>
      <c r="H215" s="9" t="inlineStr">
        <is>
          <t>29103-ET-P2604-2-R-2.pdf</t>
        </is>
      </c>
      <c r="I215" s="4" t="str">
        <f>IF($H215&lt;&gt;"","YES","NO")</f>
        <v>YES</v>
      </c>
      <c r="J215" s="4" t="str">
        <f>IF(N($T215)&gt;0,"YES","NO")</f>
        <v>NO</v>
      </c>
      <c r="K215" s="4" t="str">
        <f>IF(OR($A215="EHT Trace"),IF(AND($U215&lt;&gt;"",$V215&lt;&gt;""),"YES","NO"),"N/A")</f>
        <v>N/A</v>
      </c>
      <c r="L215" s="4" t="str">
        <f>IF(OR($A215="EHT Trace"),IF(AND($X215&lt;&gt;"",$Y215&lt;&gt;""),"YES","NO"),"N/A")</f>
        <v>N/A</v>
      </c>
      <c r="M215" s="4" t="str">
        <f>IF(OR($A215="EHT Trace"),IF(AND($AA215&lt;&gt;"",$AB215&lt;&gt;""),"YES","NO"),"N/A")</f>
        <v>N/A</v>
      </c>
      <c r="N215" s="4" t="str">
        <f>IF(OR($A215="Power Cable"),IF(AND($AD215&lt;&gt;""),"YES","NO"),"N/A")</f>
        <v>N/A</v>
      </c>
      <c r="O215" s="4" t="str">
        <f>IF(OR($A215="Power Cable",$A215="RTD Cable",$A215="Fieldbus Cable"),IF(AND($AE215&lt;&gt;""),"YES","NO"),"N/A")</f>
        <v>NO</v>
      </c>
      <c r="P215" s="4" t="str">
        <f>IF(OR($A215="RTD"),IF(AND($AH215&lt;&gt;""),"YES","NO"),"N/A")</f>
        <v>N/A</v>
      </c>
      <c r="Q215" s="4" t="str">
        <f>IF(OR($A215="RTD"),IF(AND($AI215&lt;&gt;""),"YES","NO"),"N/A")</f>
        <v>N/A</v>
      </c>
      <c r="R215" s="4" t="str">
        <f>IF(OR($AM215&lt;&gt;"",$Z215&lt;&gt;"",$AC215&lt;&gt;""),"YES","NO")</f>
        <v>NO</v>
      </c>
      <c r="S215" s="4" t="str">
        <f>IF(COUNTIF(I215:R215,"NO")=0,"YES","NO")</f>
        <v>NO</v>
      </c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inlineStr">
        <is>
          <t>ACIC</t>
        </is>
      </c>
      <c r="AK215" s="9" t="inlineStr">
        <is>
          <t>16AWG</t>
        </is>
      </c>
      <c r="AL215" s="9" t="inlineStr">
        <is>
          <t>Levy Ostrup</t>
        </is>
      </c>
      <c r="AM215" s="9" t="n"/>
      <c r="AN215" s="9" t="n"/>
    </row>
    <row r="216">
      <c r="A216" s="9" t="inlineStr">
        <is>
          <t>RTD Cable</t>
        </is>
      </c>
      <c r="B216" s="9" t="inlineStr">
        <is>
          <t>29103-ET-P2701-1-R-1</t>
        </is>
      </c>
      <c r="C216" s="9" t="inlineStr">
        <is>
          <t>29103-ET-P2701-1</t>
        </is>
      </c>
      <c r="D216" s="9" t="inlineStr">
        <is>
          <t>29103-HTP-005 HTC-22</t>
        </is>
      </c>
      <c r="E216" s="9" t="inlineStr">
        <is>
          <t>29103-HTP-005</t>
        </is>
      </c>
      <c r="F216" s="9" t="inlineStr"/>
      <c r="G216" s="9" t="inlineStr">
        <is>
          <t>113</t>
        </is>
      </c>
      <c r="H216" s="9" t="inlineStr">
        <is>
          <t>29103-ET-P2701-1-R-1.pdf</t>
        </is>
      </c>
      <c r="I216" s="4" t="str">
        <f>IF($H216&lt;&gt;"","YES","NO")</f>
        <v>YES</v>
      </c>
      <c r="J216" s="4" t="str">
        <f>IF(N($T216)&gt;0,"YES","NO")</f>
        <v>NO</v>
      </c>
      <c r="K216" s="4" t="str">
        <f>IF(OR($A216="EHT Trace"),IF(AND($U216&lt;&gt;"",$V216&lt;&gt;""),"YES","NO"),"N/A")</f>
        <v>N/A</v>
      </c>
      <c r="L216" s="4" t="str">
        <f>IF(OR($A216="EHT Trace"),IF(AND($X216&lt;&gt;"",$Y216&lt;&gt;""),"YES","NO"),"N/A")</f>
        <v>N/A</v>
      </c>
      <c r="M216" s="4" t="str">
        <f>IF(OR($A216="EHT Trace"),IF(AND($AA216&lt;&gt;"",$AB216&lt;&gt;""),"YES","NO"),"N/A")</f>
        <v>N/A</v>
      </c>
      <c r="N216" s="4" t="str">
        <f>IF(OR($A216="Power Cable"),IF(AND($AD216&lt;&gt;""),"YES","NO"),"N/A")</f>
        <v>N/A</v>
      </c>
      <c r="O216" s="4" t="str">
        <f>IF(OR($A216="Power Cable",$A216="RTD Cable",$A216="Fieldbus Cable"),IF(AND($AE216&lt;&gt;""),"YES","NO"),"N/A")</f>
        <v>NO</v>
      </c>
      <c r="P216" s="4" t="str">
        <f>IF(OR($A216="RTD"),IF(AND($AH216&lt;&gt;""),"YES","NO"),"N/A")</f>
        <v>N/A</v>
      </c>
      <c r="Q216" s="4" t="str">
        <f>IF(OR($A216="RTD"),IF(AND($AI216&lt;&gt;""),"YES","NO"),"N/A")</f>
        <v>N/A</v>
      </c>
      <c r="R216" s="4" t="str">
        <f>IF(OR($AM216&lt;&gt;"",$Z216&lt;&gt;"",$AC216&lt;&gt;""),"YES","NO")</f>
        <v>NO</v>
      </c>
      <c r="S216" s="4" t="str">
        <f>IF(COUNTIF(I216:R216,"NO")=0,"YES","NO")</f>
        <v>NO</v>
      </c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inlineStr">
        <is>
          <t>ACIC</t>
        </is>
      </c>
      <c r="AK216" s="9" t="inlineStr">
        <is>
          <t>16AWG</t>
        </is>
      </c>
      <c r="AL216" s="9" t="inlineStr">
        <is>
          <t>Levy Ostrup</t>
        </is>
      </c>
      <c r="AM216" s="9" t="n"/>
      <c r="AN216" s="9" t="n"/>
    </row>
    <row r="217">
      <c r="A217" s="9" t="inlineStr">
        <is>
          <t>RTD Cable</t>
        </is>
      </c>
      <c r="B217" s="9" t="inlineStr">
        <is>
          <t>29103-ET-P2704-1-R-1</t>
        </is>
      </c>
      <c r="C217" s="9" t="inlineStr">
        <is>
          <t>29103-ET-P2704-1</t>
        </is>
      </c>
      <c r="D217" s="9" t="inlineStr">
        <is>
          <t>29103-HTP-005 HTC-29</t>
        </is>
      </c>
      <c r="E217" s="9" t="inlineStr">
        <is>
          <t>29103-HTP-005</t>
        </is>
      </c>
      <c r="F217" s="9" t="inlineStr"/>
      <c r="G217" s="9" t="inlineStr">
        <is>
          <t>113</t>
        </is>
      </c>
      <c r="H217" s="9" t="inlineStr">
        <is>
          <t>29103-ET-P2704-1-R-1.pdf</t>
        </is>
      </c>
      <c r="I217" s="4" t="str">
        <f>IF($H217&lt;&gt;"","YES","NO")</f>
        <v>YES</v>
      </c>
      <c r="J217" s="4" t="str">
        <f>IF(N($T217)&gt;0,"YES","NO")</f>
        <v>NO</v>
      </c>
      <c r="K217" s="4" t="str">
        <f>IF(OR($A217="EHT Trace"),IF(AND($U217&lt;&gt;"",$V217&lt;&gt;""),"YES","NO"),"N/A")</f>
        <v>N/A</v>
      </c>
      <c r="L217" s="4" t="str">
        <f>IF(OR($A217="EHT Trace"),IF(AND($X217&lt;&gt;"",$Y217&lt;&gt;""),"YES","NO"),"N/A")</f>
        <v>N/A</v>
      </c>
      <c r="M217" s="4" t="str">
        <f>IF(OR($A217="EHT Trace"),IF(AND($AA217&lt;&gt;"",$AB217&lt;&gt;""),"YES","NO"),"N/A")</f>
        <v>N/A</v>
      </c>
      <c r="N217" s="4" t="str">
        <f>IF(OR($A217="Power Cable"),IF(AND($AD217&lt;&gt;""),"YES","NO"),"N/A")</f>
        <v>N/A</v>
      </c>
      <c r="O217" s="4" t="str">
        <f>IF(OR($A217="Power Cable",$A217="RTD Cable",$A217="Fieldbus Cable"),IF(AND($AE217&lt;&gt;""),"YES","NO"),"N/A")</f>
        <v>NO</v>
      </c>
      <c r="P217" s="4" t="str">
        <f>IF(OR($A217="RTD"),IF(AND($AH217&lt;&gt;""),"YES","NO"),"N/A")</f>
        <v>N/A</v>
      </c>
      <c r="Q217" s="4" t="str">
        <f>IF(OR($A217="RTD"),IF(AND($AI217&lt;&gt;""),"YES","NO"),"N/A")</f>
        <v>N/A</v>
      </c>
      <c r="R217" s="4" t="str">
        <f>IF(OR($AM217&lt;&gt;"",$Z217&lt;&gt;"",$AC217&lt;&gt;""),"YES","NO")</f>
        <v>NO</v>
      </c>
      <c r="S217" s="4" t="str">
        <f>IF(COUNTIF(I217:R217,"NO")=0,"YES","NO")</f>
        <v>NO</v>
      </c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inlineStr">
        <is>
          <t>ACIC</t>
        </is>
      </c>
      <c r="AK217" s="9" t="inlineStr">
        <is>
          <t>16AWG</t>
        </is>
      </c>
      <c r="AL217" s="9" t="inlineStr">
        <is>
          <t>Levy Ostrup</t>
        </is>
      </c>
      <c r="AM217" s="9" t="n"/>
      <c r="AN217" s="9" t="n"/>
    </row>
    <row r="218">
      <c r="A218" s="9" t="inlineStr">
        <is>
          <t>RTD Cable</t>
        </is>
      </c>
      <c r="B218" s="9" t="inlineStr">
        <is>
          <t>29103-ET-P2704-1-R-2</t>
        </is>
      </c>
      <c r="C218" s="9" t="inlineStr">
        <is>
          <t>29103-ET-P2704-1</t>
        </is>
      </c>
      <c r="D218" s="9" t="inlineStr">
        <is>
          <t>29103-HTP-005 I/O-4-2</t>
        </is>
      </c>
      <c r="E218" s="9" t="inlineStr">
        <is>
          <t>29103-HTP-005</t>
        </is>
      </c>
      <c r="F218" s="9" t="inlineStr"/>
      <c r="G218" s="9" t="inlineStr">
        <is>
          <t>113</t>
        </is>
      </c>
      <c r="H218" s="9" t="inlineStr">
        <is>
          <t>29103-ET-P2704-1-R-2.pdf</t>
        </is>
      </c>
      <c r="I218" s="4" t="str">
        <f>IF($H218&lt;&gt;"","YES","NO")</f>
        <v>YES</v>
      </c>
      <c r="J218" s="4" t="str">
        <f>IF(N($T218)&gt;0,"YES","NO")</f>
        <v>NO</v>
      </c>
      <c r="K218" s="4" t="str">
        <f>IF(OR($A218="EHT Trace"),IF(AND($U218&lt;&gt;"",$V218&lt;&gt;""),"YES","NO"),"N/A")</f>
        <v>N/A</v>
      </c>
      <c r="L218" s="4" t="str">
        <f>IF(OR($A218="EHT Trace"),IF(AND($X218&lt;&gt;"",$Y218&lt;&gt;""),"YES","NO"),"N/A")</f>
        <v>N/A</v>
      </c>
      <c r="M218" s="4" t="str">
        <f>IF(OR($A218="EHT Trace"),IF(AND($AA218&lt;&gt;"",$AB218&lt;&gt;""),"YES","NO"),"N/A")</f>
        <v>N/A</v>
      </c>
      <c r="N218" s="4" t="str">
        <f>IF(OR($A218="Power Cable"),IF(AND($AD218&lt;&gt;""),"YES","NO"),"N/A")</f>
        <v>N/A</v>
      </c>
      <c r="O218" s="4" t="str">
        <f>IF(OR($A218="Power Cable",$A218="RTD Cable",$A218="Fieldbus Cable"),IF(AND($AE218&lt;&gt;""),"YES","NO"),"N/A")</f>
        <v>NO</v>
      </c>
      <c r="P218" s="4" t="str">
        <f>IF(OR($A218="RTD"),IF(AND($AH218&lt;&gt;""),"YES","NO"),"N/A")</f>
        <v>N/A</v>
      </c>
      <c r="Q218" s="4" t="str">
        <f>IF(OR($A218="RTD"),IF(AND($AI218&lt;&gt;""),"YES","NO"),"N/A")</f>
        <v>N/A</v>
      </c>
      <c r="R218" s="4" t="str">
        <f>IF(OR($AM218&lt;&gt;"",$Z218&lt;&gt;"",$AC218&lt;&gt;""),"YES","NO")</f>
        <v>NO</v>
      </c>
      <c r="S218" s="4" t="str">
        <f>IF(COUNTIF(I218:R218,"NO")=0,"YES","NO")</f>
        <v>NO</v>
      </c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inlineStr">
        <is>
          <t>ACIC</t>
        </is>
      </c>
      <c r="AK218" s="9" t="inlineStr">
        <is>
          <t>16AWG</t>
        </is>
      </c>
      <c r="AL218" s="9" t="inlineStr">
        <is>
          <t>Levy Ostrup</t>
        </is>
      </c>
      <c r="AM218" s="9" t="n"/>
      <c r="AN218" s="9" t="n"/>
    </row>
    <row r="219">
      <c r="A219" s="9" t="inlineStr">
        <is>
          <t>RTD Cable</t>
        </is>
      </c>
      <c r="B219" s="9" t="inlineStr">
        <is>
          <t>29103-ET-P2704-2-R-1</t>
        </is>
      </c>
      <c r="C219" s="9" t="inlineStr">
        <is>
          <t>29103-ET-P2704-2</t>
        </is>
      </c>
      <c r="D219" s="9" t="inlineStr">
        <is>
          <t>29103-HTP-005 HTC-27</t>
        </is>
      </c>
      <c r="E219" s="9" t="inlineStr">
        <is>
          <t>29103-HTP-005</t>
        </is>
      </c>
      <c r="F219" s="9" t="inlineStr"/>
      <c r="G219" s="9" t="inlineStr">
        <is>
          <t>113</t>
        </is>
      </c>
      <c r="H219" s="9" t="inlineStr">
        <is>
          <t>29103-ET-P2704-2-R-1.pdf</t>
        </is>
      </c>
      <c r="I219" s="4" t="str">
        <f>IF($H219&lt;&gt;"","YES","NO")</f>
        <v>YES</v>
      </c>
      <c r="J219" s="4" t="str">
        <f>IF(N($T219)&gt;0,"YES","NO")</f>
        <v>NO</v>
      </c>
      <c r="K219" s="4" t="str">
        <f>IF(OR($A219="EHT Trace"),IF(AND($U219&lt;&gt;"",$V219&lt;&gt;""),"YES","NO"),"N/A")</f>
        <v>N/A</v>
      </c>
      <c r="L219" s="4" t="str">
        <f>IF(OR($A219="EHT Trace"),IF(AND($X219&lt;&gt;"",$Y219&lt;&gt;""),"YES","NO"),"N/A")</f>
        <v>N/A</v>
      </c>
      <c r="M219" s="4" t="str">
        <f>IF(OR($A219="EHT Trace"),IF(AND($AA219&lt;&gt;"",$AB219&lt;&gt;""),"YES","NO"),"N/A")</f>
        <v>N/A</v>
      </c>
      <c r="N219" s="4" t="str">
        <f>IF(OR($A219="Power Cable"),IF(AND($AD219&lt;&gt;""),"YES","NO"),"N/A")</f>
        <v>N/A</v>
      </c>
      <c r="O219" s="4" t="str">
        <f>IF(OR($A219="Power Cable",$A219="RTD Cable",$A219="Fieldbus Cable"),IF(AND($AE219&lt;&gt;""),"YES","NO"),"N/A")</f>
        <v>NO</v>
      </c>
      <c r="P219" s="4" t="str">
        <f>IF(OR($A219="RTD"),IF(AND($AH219&lt;&gt;""),"YES","NO"),"N/A")</f>
        <v>N/A</v>
      </c>
      <c r="Q219" s="4" t="str">
        <f>IF(OR($A219="RTD"),IF(AND($AI219&lt;&gt;""),"YES","NO"),"N/A")</f>
        <v>N/A</v>
      </c>
      <c r="R219" s="4" t="str">
        <f>IF(OR($AM219&lt;&gt;"",$Z219&lt;&gt;"",$AC219&lt;&gt;""),"YES","NO")</f>
        <v>NO</v>
      </c>
      <c r="S219" s="4" t="str">
        <f>IF(COUNTIF(I219:R219,"NO")=0,"YES","NO")</f>
        <v>NO</v>
      </c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inlineStr">
        <is>
          <t>ACIC</t>
        </is>
      </c>
      <c r="AK219" s="9" t="inlineStr">
        <is>
          <t>16AWG</t>
        </is>
      </c>
      <c r="AL219" s="9" t="inlineStr">
        <is>
          <t>Levy Ostrup</t>
        </is>
      </c>
      <c r="AM219" s="9" t="n"/>
      <c r="AN219" s="9" t="n"/>
    </row>
    <row r="220">
      <c r="A220" s="9" t="inlineStr">
        <is>
          <t>RTD Cable</t>
        </is>
      </c>
      <c r="B220" s="9" t="inlineStr">
        <is>
          <t>29103-ET-P2704-2-R-2</t>
        </is>
      </c>
      <c r="C220" s="9" t="inlineStr">
        <is>
          <t>29103-ET-P2704-2</t>
        </is>
      </c>
      <c r="D220" s="9" t="inlineStr">
        <is>
          <t>29103-HTP-005 I/O-4-3</t>
        </is>
      </c>
      <c r="E220" s="9" t="inlineStr">
        <is>
          <t>29103-HTP-005</t>
        </is>
      </c>
      <c r="F220" s="9" t="inlineStr"/>
      <c r="G220" s="9" t="inlineStr">
        <is>
          <t>113</t>
        </is>
      </c>
      <c r="H220" s="9" t="inlineStr">
        <is>
          <t>29103-ET-P2704-2-R-2.pdf</t>
        </is>
      </c>
      <c r="I220" s="4" t="str">
        <f>IF($H220&lt;&gt;"","YES","NO")</f>
        <v>YES</v>
      </c>
      <c r="J220" s="4" t="str">
        <f>IF(N($T220)&gt;0,"YES","NO")</f>
        <v>NO</v>
      </c>
      <c r="K220" s="4" t="str">
        <f>IF(OR($A220="EHT Trace"),IF(AND($U220&lt;&gt;"",$V220&lt;&gt;""),"YES","NO"),"N/A")</f>
        <v>N/A</v>
      </c>
      <c r="L220" s="4" t="str">
        <f>IF(OR($A220="EHT Trace"),IF(AND($X220&lt;&gt;"",$Y220&lt;&gt;""),"YES","NO"),"N/A")</f>
        <v>N/A</v>
      </c>
      <c r="M220" s="4" t="str">
        <f>IF(OR($A220="EHT Trace"),IF(AND($AA220&lt;&gt;"",$AB220&lt;&gt;""),"YES","NO"),"N/A")</f>
        <v>N/A</v>
      </c>
      <c r="N220" s="4" t="str">
        <f>IF(OR($A220="Power Cable"),IF(AND($AD220&lt;&gt;""),"YES","NO"),"N/A")</f>
        <v>N/A</v>
      </c>
      <c r="O220" s="4" t="str">
        <f>IF(OR($A220="Power Cable",$A220="RTD Cable",$A220="Fieldbus Cable"),IF(AND($AE220&lt;&gt;""),"YES","NO"),"N/A")</f>
        <v>NO</v>
      </c>
      <c r="P220" s="4" t="str">
        <f>IF(OR($A220="RTD"),IF(AND($AH220&lt;&gt;""),"YES","NO"),"N/A")</f>
        <v>N/A</v>
      </c>
      <c r="Q220" s="4" t="str">
        <f>IF(OR($A220="RTD"),IF(AND($AI220&lt;&gt;""),"YES","NO"),"N/A")</f>
        <v>N/A</v>
      </c>
      <c r="R220" s="4" t="str">
        <f>IF(OR($AM220&lt;&gt;"",$Z220&lt;&gt;"",$AC220&lt;&gt;""),"YES","NO")</f>
        <v>NO</v>
      </c>
      <c r="S220" s="4" t="str">
        <f>IF(COUNTIF(I220:R220,"NO")=0,"YES","NO")</f>
        <v>NO</v>
      </c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inlineStr">
        <is>
          <t>ACIC</t>
        </is>
      </c>
      <c r="AK220" s="9" t="inlineStr">
        <is>
          <t>16AWG</t>
        </is>
      </c>
      <c r="AL220" s="9" t="inlineStr">
        <is>
          <t>Levy Ostrup</t>
        </is>
      </c>
      <c r="AM220" s="9" t="n"/>
      <c r="AN220" s="9" t="n"/>
    </row>
    <row r="221">
      <c r="A221" s="9" t="inlineStr">
        <is>
          <t>RTD Cable</t>
        </is>
      </c>
      <c r="B221" s="9" t="inlineStr">
        <is>
          <t>29103-ET-P2800-1-R-1</t>
        </is>
      </c>
      <c r="C221" s="9" t="inlineStr">
        <is>
          <t>29103-ET-P2800-1</t>
        </is>
      </c>
      <c r="D221" s="9" t="inlineStr">
        <is>
          <t>29103-HTP-005 HTC-17</t>
        </is>
      </c>
      <c r="E221" s="9" t="inlineStr">
        <is>
          <t>29103-HTP-005</t>
        </is>
      </c>
      <c r="F221" s="9" t="inlineStr"/>
      <c r="G221" s="9" t="inlineStr">
        <is>
          <t>113</t>
        </is>
      </c>
      <c r="H221" s="9" t="inlineStr">
        <is>
          <t>29103-ET-P2800-1-R-1.pdf</t>
        </is>
      </c>
      <c r="I221" s="4" t="str">
        <f>IF($H221&lt;&gt;"","YES","NO")</f>
        <v>YES</v>
      </c>
      <c r="J221" s="4" t="str">
        <f>IF(N($T221)&gt;0,"YES","NO")</f>
        <v>NO</v>
      </c>
      <c r="K221" s="4" t="str">
        <f>IF(OR($A221="EHT Trace"),IF(AND($U221&lt;&gt;"",$V221&lt;&gt;""),"YES","NO"),"N/A")</f>
        <v>N/A</v>
      </c>
      <c r="L221" s="4" t="str">
        <f>IF(OR($A221="EHT Trace"),IF(AND($X221&lt;&gt;"",$Y221&lt;&gt;""),"YES","NO"),"N/A")</f>
        <v>N/A</v>
      </c>
      <c r="M221" s="4" t="str">
        <f>IF(OR($A221="EHT Trace"),IF(AND($AA221&lt;&gt;"",$AB221&lt;&gt;""),"YES","NO"),"N/A")</f>
        <v>N/A</v>
      </c>
      <c r="N221" s="4" t="str">
        <f>IF(OR($A221="Power Cable"),IF(AND($AD221&lt;&gt;""),"YES","NO"),"N/A")</f>
        <v>N/A</v>
      </c>
      <c r="O221" s="4" t="str">
        <f>IF(OR($A221="Power Cable",$A221="RTD Cable",$A221="Fieldbus Cable"),IF(AND($AE221&lt;&gt;""),"YES","NO"),"N/A")</f>
        <v>NO</v>
      </c>
      <c r="P221" s="4" t="str">
        <f>IF(OR($A221="RTD"),IF(AND($AH221&lt;&gt;""),"YES","NO"),"N/A")</f>
        <v>N/A</v>
      </c>
      <c r="Q221" s="4" t="str">
        <f>IF(OR($A221="RTD"),IF(AND($AI221&lt;&gt;""),"YES","NO"),"N/A")</f>
        <v>N/A</v>
      </c>
      <c r="R221" s="4" t="str">
        <f>IF(OR($AM221&lt;&gt;"",$Z221&lt;&gt;"",$AC221&lt;&gt;""),"YES","NO")</f>
        <v>NO</v>
      </c>
      <c r="S221" s="4" t="str">
        <f>IF(COUNTIF(I221:R221,"NO")=0,"YES","NO")</f>
        <v>NO</v>
      </c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inlineStr">
        <is>
          <t>ACIC</t>
        </is>
      </c>
      <c r="AK221" s="9" t="inlineStr">
        <is>
          <t>16AWG</t>
        </is>
      </c>
      <c r="AL221" s="9" t="inlineStr">
        <is>
          <t>Levy Ostrup</t>
        </is>
      </c>
      <c r="AM221" s="9" t="n"/>
      <c r="AN221" s="9" t="n"/>
    </row>
    <row r="222">
      <c r="A222" s="9" t="inlineStr">
        <is>
          <t>RTD Cable</t>
        </is>
      </c>
      <c r="B222" s="9" t="inlineStr">
        <is>
          <t>29103-ET-PE2401-1-R-1</t>
        </is>
      </c>
      <c r="C222" s="9" t="inlineStr">
        <is>
          <t>29103-ET-PE2401-1</t>
        </is>
      </c>
      <c r="D222" s="9" t="inlineStr">
        <is>
          <t>29103-HTP-005 HTC-08</t>
        </is>
      </c>
      <c r="E222" s="9" t="inlineStr">
        <is>
          <t>29103-HTP-005</t>
        </is>
      </c>
      <c r="F222" s="9" t="inlineStr"/>
      <c r="G222" s="9" t="inlineStr">
        <is>
          <t>113</t>
        </is>
      </c>
      <c r="H222" s="9" t="inlineStr">
        <is>
          <t>29103-ET-PE2401-1-R-1.pdf</t>
        </is>
      </c>
      <c r="I222" s="4" t="str">
        <f>IF($H222&lt;&gt;"","YES","NO")</f>
        <v>YES</v>
      </c>
      <c r="J222" s="4" t="str">
        <f>IF(N($T222)&gt;0,"YES","NO")</f>
        <v>NO</v>
      </c>
      <c r="K222" s="4" t="str">
        <f>IF(OR($A222="EHT Trace"),IF(AND($U222&lt;&gt;"",$V222&lt;&gt;""),"YES","NO"),"N/A")</f>
        <v>N/A</v>
      </c>
      <c r="L222" s="4" t="str">
        <f>IF(OR($A222="EHT Trace"),IF(AND($X222&lt;&gt;"",$Y222&lt;&gt;""),"YES","NO"),"N/A")</f>
        <v>N/A</v>
      </c>
      <c r="M222" s="4" t="str">
        <f>IF(OR($A222="EHT Trace"),IF(AND($AA222&lt;&gt;"",$AB222&lt;&gt;""),"YES","NO"),"N/A")</f>
        <v>N/A</v>
      </c>
      <c r="N222" s="4" t="str">
        <f>IF(OR($A222="Power Cable"),IF(AND($AD222&lt;&gt;""),"YES","NO"),"N/A")</f>
        <v>N/A</v>
      </c>
      <c r="O222" s="4" t="str">
        <f>IF(OR($A222="Power Cable",$A222="RTD Cable",$A222="Fieldbus Cable"),IF(AND($AE222&lt;&gt;""),"YES","NO"),"N/A")</f>
        <v>NO</v>
      </c>
      <c r="P222" s="4" t="str">
        <f>IF(OR($A222="RTD"),IF(AND($AH222&lt;&gt;""),"YES","NO"),"N/A")</f>
        <v>N/A</v>
      </c>
      <c r="Q222" s="4" t="str">
        <f>IF(OR($A222="RTD"),IF(AND($AI222&lt;&gt;""),"YES","NO"),"N/A")</f>
        <v>N/A</v>
      </c>
      <c r="R222" s="4" t="str">
        <f>IF(OR($AM222&lt;&gt;"",$Z222&lt;&gt;"",$AC222&lt;&gt;""),"YES","NO")</f>
        <v>NO</v>
      </c>
      <c r="S222" s="4" t="str">
        <f>IF(COUNTIF(I222:R222,"NO")=0,"YES","NO")</f>
        <v>NO</v>
      </c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inlineStr">
        <is>
          <t>ACIC</t>
        </is>
      </c>
      <c r="AK222" s="9" t="inlineStr">
        <is>
          <t>16AWG</t>
        </is>
      </c>
      <c r="AL222" s="9" t="inlineStr">
        <is>
          <t>Levy Ostrup</t>
        </is>
      </c>
      <c r="AM222" s="9" t="n"/>
      <c r="AN222" s="9" t="n"/>
    </row>
    <row r="223">
      <c r="A223" s="9" t="inlineStr">
        <is>
          <t>RTD Cable</t>
        </is>
      </c>
      <c r="B223" s="9" t="inlineStr">
        <is>
          <t>29103-ET-PE2501-1-R-1</t>
        </is>
      </c>
      <c r="C223" s="9" t="inlineStr">
        <is>
          <t>29103-ET-PE2501-1</t>
        </is>
      </c>
      <c r="D223" s="9" t="inlineStr">
        <is>
          <t>29103-HTP-005 HTC-10</t>
        </is>
      </c>
      <c r="E223" s="9" t="inlineStr">
        <is>
          <t>29103-HTP-005</t>
        </is>
      </c>
      <c r="F223" s="9" t="inlineStr"/>
      <c r="G223" s="9" t="inlineStr">
        <is>
          <t>113</t>
        </is>
      </c>
      <c r="H223" s="9" t="inlineStr">
        <is>
          <t>29103-ET-PE2501-1-R-1.pdf</t>
        </is>
      </c>
      <c r="I223" s="4" t="str">
        <f>IF($H223&lt;&gt;"","YES","NO")</f>
        <v>YES</v>
      </c>
      <c r="J223" s="4" t="str">
        <f>IF(N($T223)&gt;0,"YES","NO")</f>
        <v>NO</v>
      </c>
      <c r="K223" s="4" t="str">
        <f>IF(OR($A223="EHT Trace"),IF(AND($U223&lt;&gt;"",$V223&lt;&gt;""),"YES","NO"),"N/A")</f>
        <v>N/A</v>
      </c>
      <c r="L223" s="4" t="str">
        <f>IF(OR($A223="EHT Trace"),IF(AND($X223&lt;&gt;"",$Y223&lt;&gt;""),"YES","NO"),"N/A")</f>
        <v>N/A</v>
      </c>
      <c r="M223" s="4" t="str">
        <f>IF(OR($A223="EHT Trace"),IF(AND($AA223&lt;&gt;"",$AB223&lt;&gt;""),"YES","NO"),"N/A")</f>
        <v>N/A</v>
      </c>
      <c r="N223" s="4" t="str">
        <f>IF(OR($A223="Power Cable"),IF(AND($AD223&lt;&gt;""),"YES","NO"),"N/A")</f>
        <v>N/A</v>
      </c>
      <c r="O223" s="4" t="str">
        <f>IF(OR($A223="Power Cable",$A223="RTD Cable",$A223="Fieldbus Cable"),IF(AND($AE223&lt;&gt;""),"YES","NO"),"N/A")</f>
        <v>NO</v>
      </c>
      <c r="P223" s="4" t="str">
        <f>IF(OR($A223="RTD"),IF(AND($AH223&lt;&gt;""),"YES","NO"),"N/A")</f>
        <v>N/A</v>
      </c>
      <c r="Q223" s="4" t="str">
        <f>IF(OR($A223="RTD"),IF(AND($AI223&lt;&gt;""),"YES","NO"),"N/A")</f>
        <v>N/A</v>
      </c>
      <c r="R223" s="4" t="str">
        <f>IF(OR($AM223&lt;&gt;"",$Z223&lt;&gt;"",$AC223&lt;&gt;""),"YES","NO")</f>
        <v>NO</v>
      </c>
      <c r="S223" s="4" t="str">
        <f>IF(COUNTIF(I223:R223,"NO")=0,"YES","NO")</f>
        <v>NO</v>
      </c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inlineStr">
        <is>
          <t>ACIC</t>
        </is>
      </c>
      <c r="AK223" s="9" t="inlineStr">
        <is>
          <t>16AWG</t>
        </is>
      </c>
      <c r="AL223" s="9" t="inlineStr">
        <is>
          <t>Levy Ostrup</t>
        </is>
      </c>
      <c r="AM223" s="9" t="n"/>
      <c r="AN223" s="9" t="n"/>
    </row>
    <row r="224">
      <c r="A224" s="9" t="inlineStr">
        <is>
          <t>RTD Cable</t>
        </is>
      </c>
      <c r="B224" s="9" t="inlineStr">
        <is>
          <t>29103-ET-PE2501-2-R-2</t>
        </is>
      </c>
      <c r="C224" s="9" t="inlineStr">
        <is>
          <t>29103-ET-PE2501-2</t>
        </is>
      </c>
      <c r="D224" s="9" t="inlineStr">
        <is>
          <t>29103-HTP-005 I/O-2-3</t>
        </is>
      </c>
      <c r="E224" s="9" t="inlineStr">
        <is>
          <t>29103-HTP-005</t>
        </is>
      </c>
      <c r="F224" s="9" t="inlineStr"/>
      <c r="G224" s="9" t="inlineStr">
        <is>
          <t>113</t>
        </is>
      </c>
      <c r="H224" s="9" t="inlineStr">
        <is>
          <t>29103-ET-PE2501-2-R-2.pdf</t>
        </is>
      </c>
      <c r="I224" s="4" t="str">
        <f>IF($H224&lt;&gt;"","YES","NO")</f>
        <v>YES</v>
      </c>
      <c r="J224" s="4" t="str">
        <f>IF(N($T224)&gt;0,"YES","NO")</f>
        <v>NO</v>
      </c>
      <c r="K224" s="4" t="str">
        <f>IF(OR($A224="EHT Trace"),IF(AND($U224&lt;&gt;"",$V224&lt;&gt;""),"YES","NO"),"N/A")</f>
        <v>N/A</v>
      </c>
      <c r="L224" s="4" t="str">
        <f>IF(OR($A224="EHT Trace"),IF(AND($X224&lt;&gt;"",$Y224&lt;&gt;""),"YES","NO"),"N/A")</f>
        <v>N/A</v>
      </c>
      <c r="M224" s="4" t="str">
        <f>IF(OR($A224="EHT Trace"),IF(AND($AA224&lt;&gt;"",$AB224&lt;&gt;""),"YES","NO"),"N/A")</f>
        <v>N/A</v>
      </c>
      <c r="N224" s="4" t="str">
        <f>IF(OR($A224="Power Cable"),IF(AND($AD224&lt;&gt;""),"YES","NO"),"N/A")</f>
        <v>N/A</v>
      </c>
      <c r="O224" s="4" t="str">
        <f>IF(OR($A224="Power Cable",$A224="RTD Cable",$A224="Fieldbus Cable"),IF(AND($AE224&lt;&gt;""),"YES","NO"),"N/A")</f>
        <v>NO</v>
      </c>
      <c r="P224" s="4" t="str">
        <f>IF(OR($A224="RTD"),IF(AND($AH224&lt;&gt;""),"YES","NO"),"N/A")</f>
        <v>N/A</v>
      </c>
      <c r="Q224" s="4" t="str">
        <f>IF(OR($A224="RTD"),IF(AND($AI224&lt;&gt;""),"YES","NO"),"N/A")</f>
        <v>N/A</v>
      </c>
      <c r="R224" s="4" t="str">
        <f>IF(OR($AM224&lt;&gt;"",$Z224&lt;&gt;"",$AC224&lt;&gt;""),"YES","NO")</f>
        <v>NO</v>
      </c>
      <c r="S224" s="4" t="str">
        <f>IF(COUNTIF(I224:R224,"NO")=0,"YES","NO")</f>
        <v>NO</v>
      </c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inlineStr">
        <is>
          <t>ACIC</t>
        </is>
      </c>
      <c r="AK224" s="9" t="inlineStr">
        <is>
          <t>16AWG</t>
        </is>
      </c>
      <c r="AL224" s="9" t="inlineStr">
        <is>
          <t>Levy Ostrup</t>
        </is>
      </c>
      <c r="AM224" s="9" t="n"/>
      <c r="AN224" s="9" t="n"/>
    </row>
    <row r="225">
      <c r="A225" s="9" t="inlineStr">
        <is>
          <t>RTD Cable</t>
        </is>
      </c>
      <c r="B225" s="9" t="inlineStr">
        <is>
          <t>29103-ET-PE2502-1-R-1</t>
        </is>
      </c>
      <c r="C225" s="9" t="inlineStr">
        <is>
          <t>29103-ET-PE2502-1</t>
        </is>
      </c>
      <c r="D225" s="9" t="inlineStr">
        <is>
          <t>29103-HTP-005 HTC-06</t>
        </is>
      </c>
      <c r="E225" s="9" t="inlineStr">
        <is>
          <t>29103-HTP-005</t>
        </is>
      </c>
      <c r="F225" s="9" t="inlineStr"/>
      <c r="G225" s="9" t="inlineStr">
        <is>
          <t>113</t>
        </is>
      </c>
      <c r="H225" s="9" t="inlineStr">
        <is>
          <t>29103-ET-PE2502-1-R-1.pdf</t>
        </is>
      </c>
      <c r="I225" s="4" t="str">
        <f>IF($H225&lt;&gt;"","YES","NO")</f>
        <v>YES</v>
      </c>
      <c r="J225" s="4" t="str">
        <f>IF(N($T225)&gt;0,"YES","NO")</f>
        <v>NO</v>
      </c>
      <c r="K225" s="4" t="str">
        <f>IF(OR($A225="EHT Trace"),IF(AND($U225&lt;&gt;"",$V225&lt;&gt;""),"YES","NO"),"N/A")</f>
        <v>N/A</v>
      </c>
      <c r="L225" s="4" t="str">
        <f>IF(OR($A225="EHT Trace"),IF(AND($X225&lt;&gt;"",$Y225&lt;&gt;""),"YES","NO"),"N/A")</f>
        <v>N/A</v>
      </c>
      <c r="M225" s="4" t="str">
        <f>IF(OR($A225="EHT Trace"),IF(AND($AA225&lt;&gt;"",$AB225&lt;&gt;""),"YES","NO"),"N/A")</f>
        <v>N/A</v>
      </c>
      <c r="N225" s="4" t="str">
        <f>IF(OR($A225="Power Cable"),IF(AND($AD225&lt;&gt;""),"YES","NO"),"N/A")</f>
        <v>N/A</v>
      </c>
      <c r="O225" s="4" t="str">
        <f>IF(OR($A225="Power Cable",$A225="RTD Cable",$A225="Fieldbus Cable"),IF(AND($AE225&lt;&gt;""),"YES","NO"),"N/A")</f>
        <v>NO</v>
      </c>
      <c r="P225" s="4" t="str">
        <f>IF(OR($A225="RTD"),IF(AND($AH225&lt;&gt;""),"YES","NO"),"N/A")</f>
        <v>N/A</v>
      </c>
      <c r="Q225" s="4" t="str">
        <f>IF(OR($A225="RTD"),IF(AND($AI225&lt;&gt;""),"YES","NO"),"N/A")</f>
        <v>N/A</v>
      </c>
      <c r="R225" s="4" t="str">
        <f>IF(OR($AM225&lt;&gt;"",$Z225&lt;&gt;"",$AC225&lt;&gt;""),"YES","NO")</f>
        <v>NO</v>
      </c>
      <c r="S225" s="4" t="str">
        <f>IF(COUNTIF(I225:R225,"NO")=0,"YES","NO")</f>
        <v>NO</v>
      </c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inlineStr">
        <is>
          <t>ACIC</t>
        </is>
      </c>
      <c r="AK225" s="9" t="inlineStr">
        <is>
          <t>16AWG</t>
        </is>
      </c>
      <c r="AL225" s="9" t="inlineStr">
        <is>
          <t>Levy Ostrup</t>
        </is>
      </c>
      <c r="AM225" s="9" t="n"/>
      <c r="AN225" s="9" t="n"/>
    </row>
    <row r="226">
      <c r="A226" s="9" t="inlineStr">
        <is>
          <t>RTD Cable</t>
        </is>
      </c>
      <c r="B226" s="9" t="inlineStr">
        <is>
          <t>29103-ET-PE2502-1-R-2</t>
        </is>
      </c>
      <c r="C226" s="9" t="inlineStr">
        <is>
          <t>29103-ET-PE2502-1</t>
        </is>
      </c>
      <c r="D226" s="9" t="inlineStr">
        <is>
          <t>29103-HTP-005 I/O-2-4</t>
        </is>
      </c>
      <c r="E226" s="9" t="inlineStr">
        <is>
          <t>29103-HTP-005</t>
        </is>
      </c>
      <c r="F226" s="9" t="inlineStr"/>
      <c r="G226" s="9" t="inlineStr">
        <is>
          <t>113</t>
        </is>
      </c>
      <c r="H226" s="9" t="inlineStr">
        <is>
          <t>29103-ET-PE2502-1-R-2.pdf</t>
        </is>
      </c>
      <c r="I226" s="4" t="str">
        <f>IF($H226&lt;&gt;"","YES","NO")</f>
        <v>YES</v>
      </c>
      <c r="J226" s="4" t="str">
        <f>IF(N($T226)&gt;0,"YES","NO")</f>
        <v>NO</v>
      </c>
      <c r="K226" s="4" t="str">
        <f>IF(OR($A226="EHT Trace"),IF(AND($U226&lt;&gt;"",$V226&lt;&gt;""),"YES","NO"),"N/A")</f>
        <v>N/A</v>
      </c>
      <c r="L226" s="4" t="str">
        <f>IF(OR($A226="EHT Trace"),IF(AND($X226&lt;&gt;"",$Y226&lt;&gt;""),"YES","NO"),"N/A")</f>
        <v>N/A</v>
      </c>
      <c r="M226" s="4" t="str">
        <f>IF(OR($A226="EHT Trace"),IF(AND($AA226&lt;&gt;"",$AB226&lt;&gt;""),"YES","NO"),"N/A")</f>
        <v>N/A</v>
      </c>
      <c r="N226" s="4" t="str">
        <f>IF(OR($A226="Power Cable"),IF(AND($AD226&lt;&gt;""),"YES","NO"),"N/A")</f>
        <v>N/A</v>
      </c>
      <c r="O226" s="4" t="str">
        <f>IF(OR($A226="Power Cable",$A226="RTD Cable",$A226="Fieldbus Cable"),IF(AND($AE226&lt;&gt;""),"YES","NO"),"N/A")</f>
        <v>NO</v>
      </c>
      <c r="P226" s="4" t="str">
        <f>IF(OR($A226="RTD"),IF(AND($AH226&lt;&gt;""),"YES","NO"),"N/A")</f>
        <v>N/A</v>
      </c>
      <c r="Q226" s="4" t="str">
        <f>IF(OR($A226="RTD"),IF(AND($AI226&lt;&gt;""),"YES","NO"),"N/A")</f>
        <v>N/A</v>
      </c>
      <c r="R226" s="4" t="str">
        <f>IF(OR($AM226&lt;&gt;"",$Z226&lt;&gt;"",$AC226&lt;&gt;""),"YES","NO")</f>
        <v>NO</v>
      </c>
      <c r="S226" s="4" t="str">
        <f>IF(COUNTIF(I226:R226,"NO")=0,"YES","NO")</f>
        <v>NO</v>
      </c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inlineStr">
        <is>
          <t>ACIC</t>
        </is>
      </c>
      <c r="AK226" s="9" t="inlineStr">
        <is>
          <t>16AWG</t>
        </is>
      </c>
      <c r="AL226" s="9" t="inlineStr">
        <is>
          <t>Levy Ostrup</t>
        </is>
      </c>
      <c r="AM226" s="9" t="n"/>
      <c r="AN226" s="9" t="n"/>
    </row>
    <row r="227">
      <c r="A227" s="9" t="inlineStr">
        <is>
          <t>RTD Cable</t>
        </is>
      </c>
      <c r="B227" s="9" t="inlineStr">
        <is>
          <t>29103-ET-PE2601-1-R-1</t>
        </is>
      </c>
      <c r="C227" s="9" t="inlineStr">
        <is>
          <t>29103-ET-PE2601-1</t>
        </is>
      </c>
      <c r="D227" s="9" t="inlineStr">
        <is>
          <t>29103-HTP-005 HTC-31</t>
        </is>
      </c>
      <c r="E227" s="9" t="inlineStr">
        <is>
          <t>29103-HTP-005</t>
        </is>
      </c>
      <c r="F227" s="9" t="inlineStr"/>
      <c r="G227" s="9" t="inlineStr">
        <is>
          <t>113</t>
        </is>
      </c>
      <c r="H227" s="9" t="inlineStr">
        <is>
          <t>29103-ET-PE2601-1-R-1.pdf</t>
        </is>
      </c>
      <c r="I227" s="4" t="str">
        <f>IF($H227&lt;&gt;"","YES","NO")</f>
        <v>YES</v>
      </c>
      <c r="J227" s="4" t="str">
        <f>IF(N($T227)&gt;0,"YES","NO")</f>
        <v>NO</v>
      </c>
      <c r="K227" s="4" t="str">
        <f>IF(OR($A227="EHT Trace"),IF(AND($U227&lt;&gt;"",$V227&lt;&gt;""),"YES","NO"),"N/A")</f>
        <v>N/A</v>
      </c>
      <c r="L227" s="4" t="str">
        <f>IF(OR($A227="EHT Trace"),IF(AND($X227&lt;&gt;"",$Y227&lt;&gt;""),"YES","NO"),"N/A")</f>
        <v>N/A</v>
      </c>
      <c r="M227" s="4" t="str">
        <f>IF(OR($A227="EHT Trace"),IF(AND($AA227&lt;&gt;"",$AB227&lt;&gt;""),"YES","NO"),"N/A")</f>
        <v>N/A</v>
      </c>
      <c r="N227" s="4" t="str">
        <f>IF(OR($A227="Power Cable"),IF(AND($AD227&lt;&gt;""),"YES","NO"),"N/A")</f>
        <v>N/A</v>
      </c>
      <c r="O227" s="4" t="str">
        <f>IF(OR($A227="Power Cable",$A227="RTD Cable",$A227="Fieldbus Cable"),IF(AND($AE227&lt;&gt;""),"YES","NO"),"N/A")</f>
        <v>NO</v>
      </c>
      <c r="P227" s="4" t="str">
        <f>IF(OR($A227="RTD"),IF(AND($AH227&lt;&gt;""),"YES","NO"),"N/A")</f>
        <v>N/A</v>
      </c>
      <c r="Q227" s="4" t="str">
        <f>IF(OR($A227="RTD"),IF(AND($AI227&lt;&gt;""),"YES","NO"),"N/A")</f>
        <v>N/A</v>
      </c>
      <c r="R227" s="4" t="str">
        <f>IF(OR($AM227&lt;&gt;"",$Z227&lt;&gt;"",$AC227&lt;&gt;""),"YES","NO")</f>
        <v>NO</v>
      </c>
      <c r="S227" s="4" t="str">
        <f>IF(COUNTIF(I227:R227,"NO")=0,"YES","NO")</f>
        <v>NO</v>
      </c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inlineStr">
        <is>
          <t>ACIC</t>
        </is>
      </c>
      <c r="AK227" s="9" t="inlineStr">
        <is>
          <t>16AWG</t>
        </is>
      </c>
      <c r="AL227" s="9" t="inlineStr">
        <is>
          <t>Levy Ostrup</t>
        </is>
      </c>
      <c r="AM227" s="9" t="n"/>
      <c r="AN227" s="9" t="n"/>
    </row>
    <row r="228">
      <c r="A228" s="9" t="inlineStr">
        <is>
          <t>RTD Cable</t>
        </is>
      </c>
      <c r="B228" s="9" t="inlineStr">
        <is>
          <t>29103-ET-PE2601-2-R-2</t>
        </is>
      </c>
      <c r="C228" s="9" t="inlineStr">
        <is>
          <t>29103-ET-PE2601-2</t>
        </is>
      </c>
      <c r="D228" s="9" t="inlineStr">
        <is>
          <t>29103-HTP-005 I/O-1-3</t>
        </is>
      </c>
      <c r="E228" s="9" t="inlineStr">
        <is>
          <t>29103-HTP-005</t>
        </is>
      </c>
      <c r="F228" s="9" t="inlineStr"/>
      <c r="G228" s="9" t="inlineStr">
        <is>
          <t>113</t>
        </is>
      </c>
      <c r="H228" s="9" t="inlineStr">
        <is>
          <t>29103-ET-PE2601-2-R-2.pdf</t>
        </is>
      </c>
      <c r="I228" s="4" t="str">
        <f>IF($H228&lt;&gt;"","YES","NO")</f>
        <v>YES</v>
      </c>
      <c r="J228" s="4" t="str">
        <f>IF(N($T228)&gt;0,"YES","NO")</f>
        <v>NO</v>
      </c>
      <c r="K228" s="4" t="str">
        <f>IF(OR($A228="EHT Trace"),IF(AND($U228&lt;&gt;"",$V228&lt;&gt;""),"YES","NO"),"N/A")</f>
        <v>N/A</v>
      </c>
      <c r="L228" s="4" t="str">
        <f>IF(OR($A228="EHT Trace"),IF(AND($X228&lt;&gt;"",$Y228&lt;&gt;""),"YES","NO"),"N/A")</f>
        <v>N/A</v>
      </c>
      <c r="M228" s="4" t="str">
        <f>IF(OR($A228="EHT Trace"),IF(AND($AA228&lt;&gt;"",$AB228&lt;&gt;""),"YES","NO"),"N/A")</f>
        <v>N/A</v>
      </c>
      <c r="N228" s="4" t="str">
        <f>IF(OR($A228="Power Cable"),IF(AND($AD228&lt;&gt;""),"YES","NO"),"N/A")</f>
        <v>N/A</v>
      </c>
      <c r="O228" s="4" t="str">
        <f>IF(OR($A228="Power Cable",$A228="RTD Cable",$A228="Fieldbus Cable"),IF(AND($AE228&lt;&gt;""),"YES","NO"),"N/A")</f>
        <v>NO</v>
      </c>
      <c r="P228" s="4" t="str">
        <f>IF(OR($A228="RTD"),IF(AND($AH228&lt;&gt;""),"YES","NO"),"N/A")</f>
        <v>N/A</v>
      </c>
      <c r="Q228" s="4" t="str">
        <f>IF(OR($A228="RTD"),IF(AND($AI228&lt;&gt;""),"YES","NO"),"N/A")</f>
        <v>N/A</v>
      </c>
      <c r="R228" s="4" t="str">
        <f>IF(OR($AM228&lt;&gt;"",$Z228&lt;&gt;"",$AC228&lt;&gt;""),"YES","NO")</f>
        <v>NO</v>
      </c>
      <c r="S228" s="4" t="str">
        <f>IF(COUNTIF(I228:R228,"NO")=0,"YES","NO")</f>
        <v>NO</v>
      </c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inlineStr">
        <is>
          <t>ACIC</t>
        </is>
      </c>
      <c r="AK228" s="9" t="inlineStr">
        <is>
          <t>16AWG</t>
        </is>
      </c>
      <c r="AL228" s="9" t="inlineStr">
        <is>
          <t>Levy Ostrup</t>
        </is>
      </c>
      <c r="AM228" s="9" t="n"/>
      <c r="AN228" s="9" t="n"/>
    </row>
    <row r="229">
      <c r="A229" s="9" t="inlineStr">
        <is>
          <t>RTD Cable</t>
        </is>
      </c>
      <c r="B229" s="9" t="inlineStr">
        <is>
          <t>29103-ET-PE2602-1-R-1</t>
        </is>
      </c>
      <c r="C229" s="9" t="inlineStr">
        <is>
          <t>29103-ET-PE2602-1</t>
        </is>
      </c>
      <c r="D229" s="9" t="inlineStr">
        <is>
          <t>29103-HTP-005 HTC-25</t>
        </is>
      </c>
      <c r="E229" s="9" t="inlineStr">
        <is>
          <t>29103-HTP-005</t>
        </is>
      </c>
      <c r="F229" s="9" t="inlineStr"/>
      <c r="G229" s="9" t="inlineStr">
        <is>
          <t>113</t>
        </is>
      </c>
      <c r="H229" s="9" t="inlineStr">
        <is>
          <t>29103-ET-PE2602-1-R-1.pdf</t>
        </is>
      </c>
      <c r="I229" s="4" t="str">
        <f>IF($H229&lt;&gt;"","YES","NO")</f>
        <v>YES</v>
      </c>
      <c r="J229" s="4" t="str">
        <f>IF(N($T229)&gt;0,"YES","NO")</f>
        <v>NO</v>
      </c>
      <c r="K229" s="4" t="str">
        <f>IF(OR($A229="EHT Trace"),IF(AND($U229&lt;&gt;"",$V229&lt;&gt;""),"YES","NO"),"N/A")</f>
        <v>N/A</v>
      </c>
      <c r="L229" s="4" t="str">
        <f>IF(OR($A229="EHT Trace"),IF(AND($X229&lt;&gt;"",$Y229&lt;&gt;""),"YES","NO"),"N/A")</f>
        <v>N/A</v>
      </c>
      <c r="M229" s="4" t="str">
        <f>IF(OR($A229="EHT Trace"),IF(AND($AA229&lt;&gt;"",$AB229&lt;&gt;""),"YES","NO"),"N/A")</f>
        <v>N/A</v>
      </c>
      <c r="N229" s="4" t="str">
        <f>IF(OR($A229="Power Cable"),IF(AND($AD229&lt;&gt;""),"YES","NO"),"N/A")</f>
        <v>N/A</v>
      </c>
      <c r="O229" s="4" t="str">
        <f>IF(OR($A229="Power Cable",$A229="RTD Cable",$A229="Fieldbus Cable"),IF(AND($AE229&lt;&gt;""),"YES","NO"),"N/A")</f>
        <v>NO</v>
      </c>
      <c r="P229" s="4" t="str">
        <f>IF(OR($A229="RTD"),IF(AND($AH229&lt;&gt;""),"YES","NO"),"N/A")</f>
        <v>N/A</v>
      </c>
      <c r="Q229" s="4" t="str">
        <f>IF(OR($A229="RTD"),IF(AND($AI229&lt;&gt;""),"YES","NO"),"N/A")</f>
        <v>N/A</v>
      </c>
      <c r="R229" s="4" t="str">
        <f>IF(OR($AM229&lt;&gt;"",$Z229&lt;&gt;"",$AC229&lt;&gt;""),"YES","NO")</f>
        <v>NO</v>
      </c>
      <c r="S229" s="4" t="str">
        <f>IF(COUNTIF(I229:R229,"NO")=0,"YES","NO")</f>
        <v>NO</v>
      </c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inlineStr">
        <is>
          <t>ACIC</t>
        </is>
      </c>
      <c r="AK229" s="9" t="inlineStr">
        <is>
          <t>16AWG</t>
        </is>
      </c>
      <c r="AL229" s="9" t="inlineStr">
        <is>
          <t>Levy Ostrup</t>
        </is>
      </c>
      <c r="AM229" s="9" t="n"/>
      <c r="AN229" s="9" t="n"/>
    </row>
    <row r="230">
      <c r="A230" s="9" t="inlineStr">
        <is>
          <t>RTD Cable</t>
        </is>
      </c>
      <c r="B230" s="9" t="inlineStr">
        <is>
          <t>29103-ET-PE2602-1-R-2</t>
        </is>
      </c>
      <c r="C230" s="9" t="inlineStr">
        <is>
          <t>29103-ET-PE2602-1</t>
        </is>
      </c>
      <c r="D230" s="9" t="inlineStr">
        <is>
          <t>29103-HTP-005 I/O-3-3</t>
        </is>
      </c>
      <c r="E230" s="9" t="inlineStr">
        <is>
          <t>29103-HTP-005</t>
        </is>
      </c>
      <c r="F230" s="9" t="inlineStr"/>
      <c r="G230" s="9" t="inlineStr">
        <is>
          <t>113</t>
        </is>
      </c>
      <c r="H230" s="9" t="inlineStr">
        <is>
          <t>29103-ET-PE2602-1-R-2.pdf</t>
        </is>
      </c>
      <c r="I230" s="4" t="str">
        <f>IF($H230&lt;&gt;"","YES","NO")</f>
        <v>YES</v>
      </c>
      <c r="J230" s="4" t="str">
        <f>IF(N($T230)&gt;0,"YES","NO")</f>
        <v>NO</v>
      </c>
      <c r="K230" s="4" t="str">
        <f>IF(OR($A230="EHT Trace"),IF(AND($U230&lt;&gt;"",$V230&lt;&gt;""),"YES","NO"),"N/A")</f>
        <v>N/A</v>
      </c>
      <c r="L230" s="4" t="str">
        <f>IF(OR($A230="EHT Trace"),IF(AND($X230&lt;&gt;"",$Y230&lt;&gt;""),"YES","NO"),"N/A")</f>
        <v>N/A</v>
      </c>
      <c r="M230" s="4" t="str">
        <f>IF(OR($A230="EHT Trace"),IF(AND($AA230&lt;&gt;"",$AB230&lt;&gt;""),"YES","NO"),"N/A")</f>
        <v>N/A</v>
      </c>
      <c r="N230" s="4" t="str">
        <f>IF(OR($A230="Power Cable"),IF(AND($AD230&lt;&gt;""),"YES","NO"),"N/A")</f>
        <v>N/A</v>
      </c>
      <c r="O230" s="4" t="str">
        <f>IF(OR($A230="Power Cable",$A230="RTD Cable",$A230="Fieldbus Cable"),IF(AND($AE230&lt;&gt;""),"YES","NO"),"N/A")</f>
        <v>NO</v>
      </c>
      <c r="P230" s="4" t="str">
        <f>IF(OR($A230="RTD"),IF(AND($AH230&lt;&gt;""),"YES","NO"),"N/A")</f>
        <v>N/A</v>
      </c>
      <c r="Q230" s="4" t="str">
        <f>IF(OR($A230="RTD"),IF(AND($AI230&lt;&gt;""),"YES","NO"),"N/A")</f>
        <v>N/A</v>
      </c>
      <c r="R230" s="4" t="str">
        <f>IF(OR($AM230&lt;&gt;"",$Z230&lt;&gt;"",$AC230&lt;&gt;""),"YES","NO")</f>
        <v>NO</v>
      </c>
      <c r="S230" s="4" t="str">
        <f>IF(COUNTIF(I230:R230,"NO")=0,"YES","NO")</f>
        <v>NO</v>
      </c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inlineStr">
        <is>
          <t>ACIC</t>
        </is>
      </c>
      <c r="AK230" s="9" t="inlineStr">
        <is>
          <t>16AWG</t>
        </is>
      </c>
      <c r="AL230" s="9" t="inlineStr">
        <is>
          <t>Levy Ostrup</t>
        </is>
      </c>
      <c r="AM230" s="9" t="n"/>
      <c r="AN230" s="9" t="n"/>
    </row>
    <row r="231">
      <c r="A231" s="9" t="inlineStr">
        <is>
          <t>RTD Cable</t>
        </is>
      </c>
      <c r="B231" s="9" t="inlineStr">
        <is>
          <t>29103-ET-PE2701-1-R-1</t>
        </is>
      </c>
      <c r="C231" s="9" t="inlineStr">
        <is>
          <t>29103-ET-PE2701-1</t>
        </is>
      </c>
      <c r="D231" s="9" t="inlineStr">
        <is>
          <t>29103-HTP-005 HTC-33</t>
        </is>
      </c>
      <c r="E231" s="9" t="inlineStr">
        <is>
          <t>29103-HTP-005</t>
        </is>
      </c>
      <c r="F231" s="9" t="inlineStr"/>
      <c r="G231" s="9" t="inlineStr">
        <is>
          <t>113</t>
        </is>
      </c>
      <c r="H231" s="9" t="inlineStr">
        <is>
          <t>29103-ET-PE2701-1-R-1.pdf</t>
        </is>
      </c>
      <c r="I231" s="4" t="str">
        <f>IF($H231&lt;&gt;"","YES","NO")</f>
        <v>YES</v>
      </c>
      <c r="J231" s="4" t="str">
        <f>IF(N($T231)&gt;0,"YES","NO")</f>
        <v>NO</v>
      </c>
      <c r="K231" s="4" t="str">
        <f>IF(OR($A231="EHT Trace"),IF(AND($U231&lt;&gt;"",$V231&lt;&gt;""),"YES","NO"),"N/A")</f>
        <v>N/A</v>
      </c>
      <c r="L231" s="4" t="str">
        <f>IF(OR($A231="EHT Trace"),IF(AND($X231&lt;&gt;"",$Y231&lt;&gt;""),"YES","NO"),"N/A")</f>
        <v>N/A</v>
      </c>
      <c r="M231" s="4" t="str">
        <f>IF(OR($A231="EHT Trace"),IF(AND($AA231&lt;&gt;"",$AB231&lt;&gt;""),"YES","NO"),"N/A")</f>
        <v>N/A</v>
      </c>
      <c r="N231" s="4" t="str">
        <f>IF(OR($A231="Power Cable"),IF(AND($AD231&lt;&gt;""),"YES","NO"),"N/A")</f>
        <v>N/A</v>
      </c>
      <c r="O231" s="4" t="str">
        <f>IF(OR($A231="Power Cable",$A231="RTD Cable",$A231="Fieldbus Cable"),IF(AND($AE231&lt;&gt;""),"YES","NO"),"N/A")</f>
        <v>NO</v>
      </c>
      <c r="P231" s="4" t="str">
        <f>IF(OR($A231="RTD"),IF(AND($AH231&lt;&gt;""),"YES","NO"),"N/A")</f>
        <v>N/A</v>
      </c>
      <c r="Q231" s="4" t="str">
        <f>IF(OR($A231="RTD"),IF(AND($AI231&lt;&gt;""),"YES","NO"),"N/A")</f>
        <v>N/A</v>
      </c>
      <c r="R231" s="4" t="str">
        <f>IF(OR($AM231&lt;&gt;"",$Z231&lt;&gt;"",$AC231&lt;&gt;""),"YES","NO")</f>
        <v>NO</v>
      </c>
      <c r="S231" s="4" t="str">
        <f>IF(COUNTIF(I231:R231,"NO")=0,"YES","NO")</f>
        <v>NO</v>
      </c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inlineStr">
        <is>
          <t>ACIC</t>
        </is>
      </c>
      <c r="AK231" s="9" t="inlineStr">
        <is>
          <t>16AWG</t>
        </is>
      </c>
      <c r="AL231" s="9" t="inlineStr">
        <is>
          <t>Levy Ostrup</t>
        </is>
      </c>
      <c r="AM231" s="9" t="n"/>
      <c r="AN231" s="9" t="n"/>
    </row>
    <row r="232">
      <c r="A232" s="9" t="inlineStr">
        <is>
          <t>RTD Cable</t>
        </is>
      </c>
      <c r="B232" s="9" t="inlineStr">
        <is>
          <t>29103-ET-PE2701-2-R-2</t>
        </is>
      </c>
      <c r="C232" s="9" t="inlineStr">
        <is>
          <t>29103-ET-PE2701-2</t>
        </is>
      </c>
      <c r="D232" s="9" t="inlineStr">
        <is>
          <t>29103-HTP-005 I/O-4-4</t>
        </is>
      </c>
      <c r="E232" s="9" t="inlineStr">
        <is>
          <t>29103-HTP-005</t>
        </is>
      </c>
      <c r="F232" s="9" t="inlineStr"/>
      <c r="G232" s="9" t="inlineStr">
        <is>
          <t>113</t>
        </is>
      </c>
      <c r="H232" s="9" t="inlineStr">
        <is>
          <t>29103-ET-PE2701-2-R-2.pdf</t>
        </is>
      </c>
      <c r="I232" s="4" t="str">
        <f>IF($H232&lt;&gt;"","YES","NO")</f>
        <v>YES</v>
      </c>
      <c r="J232" s="4" t="str">
        <f>IF(N($T232)&gt;0,"YES","NO")</f>
        <v>NO</v>
      </c>
      <c r="K232" s="4" t="str">
        <f>IF(OR($A232="EHT Trace"),IF(AND($U232&lt;&gt;"",$V232&lt;&gt;""),"YES","NO"),"N/A")</f>
        <v>N/A</v>
      </c>
      <c r="L232" s="4" t="str">
        <f>IF(OR($A232="EHT Trace"),IF(AND($X232&lt;&gt;"",$Y232&lt;&gt;""),"YES","NO"),"N/A")</f>
        <v>N/A</v>
      </c>
      <c r="M232" s="4" t="str">
        <f>IF(OR($A232="EHT Trace"),IF(AND($AA232&lt;&gt;"",$AB232&lt;&gt;""),"YES","NO"),"N/A")</f>
        <v>N/A</v>
      </c>
      <c r="N232" s="4" t="str">
        <f>IF(OR($A232="Power Cable"),IF(AND($AD232&lt;&gt;""),"YES","NO"),"N/A")</f>
        <v>N/A</v>
      </c>
      <c r="O232" s="4" t="str">
        <f>IF(OR($A232="Power Cable",$A232="RTD Cable",$A232="Fieldbus Cable"),IF(AND($AE232&lt;&gt;""),"YES","NO"),"N/A")</f>
        <v>NO</v>
      </c>
      <c r="P232" s="4" t="str">
        <f>IF(OR($A232="RTD"),IF(AND($AH232&lt;&gt;""),"YES","NO"),"N/A")</f>
        <v>N/A</v>
      </c>
      <c r="Q232" s="4" t="str">
        <f>IF(OR($A232="RTD"),IF(AND($AI232&lt;&gt;""),"YES","NO"),"N/A")</f>
        <v>N/A</v>
      </c>
      <c r="R232" s="4" t="str">
        <f>IF(OR($AM232&lt;&gt;"",$Z232&lt;&gt;"",$AC232&lt;&gt;""),"YES","NO")</f>
        <v>NO</v>
      </c>
      <c r="S232" s="4" t="str">
        <f>IF(COUNTIF(I232:R232,"NO")=0,"YES","NO")</f>
        <v>NO</v>
      </c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inlineStr">
        <is>
          <t>ACIC</t>
        </is>
      </c>
      <c r="AK232" s="9" t="inlineStr">
        <is>
          <t>16AWG</t>
        </is>
      </c>
      <c r="AL232" s="9" t="inlineStr">
        <is>
          <t>Levy Ostrup</t>
        </is>
      </c>
      <c r="AM232" s="9" t="n"/>
      <c r="AN232" s="9" t="n"/>
    </row>
    <row r="233">
      <c r="A233" s="9" t="inlineStr">
        <is>
          <t>RTD Cable</t>
        </is>
      </c>
      <c r="B233" s="9" t="inlineStr">
        <is>
          <t>29103-ET-PE2702-1-R-1</t>
        </is>
      </c>
      <c r="C233" s="9" t="inlineStr">
        <is>
          <t>29103-ET-PE2702-1</t>
        </is>
      </c>
      <c r="D233" s="9" t="inlineStr">
        <is>
          <t>29103-HTP-005 HTC-26</t>
        </is>
      </c>
      <c r="E233" s="9" t="inlineStr">
        <is>
          <t>29103-HTP-005</t>
        </is>
      </c>
      <c r="F233" s="9" t="inlineStr"/>
      <c r="G233" s="9" t="inlineStr">
        <is>
          <t>113</t>
        </is>
      </c>
      <c r="H233" s="9" t="inlineStr">
        <is>
          <t>29103-ET-PE2702-1-R-1.pdf</t>
        </is>
      </c>
      <c r="I233" s="4" t="str">
        <f>IF($H233&lt;&gt;"","YES","NO")</f>
        <v>YES</v>
      </c>
      <c r="J233" s="4" t="str">
        <f>IF(N($T233)&gt;0,"YES","NO")</f>
        <v>NO</v>
      </c>
      <c r="K233" s="4" t="str">
        <f>IF(OR($A233="EHT Trace"),IF(AND($U233&lt;&gt;"",$V233&lt;&gt;""),"YES","NO"),"N/A")</f>
        <v>N/A</v>
      </c>
      <c r="L233" s="4" t="str">
        <f>IF(OR($A233="EHT Trace"),IF(AND($X233&lt;&gt;"",$Y233&lt;&gt;""),"YES","NO"),"N/A")</f>
        <v>N/A</v>
      </c>
      <c r="M233" s="4" t="str">
        <f>IF(OR($A233="EHT Trace"),IF(AND($AA233&lt;&gt;"",$AB233&lt;&gt;""),"YES","NO"),"N/A")</f>
        <v>N/A</v>
      </c>
      <c r="N233" s="4" t="str">
        <f>IF(OR($A233="Power Cable"),IF(AND($AD233&lt;&gt;""),"YES","NO"),"N/A")</f>
        <v>N/A</v>
      </c>
      <c r="O233" s="4" t="str">
        <f>IF(OR($A233="Power Cable",$A233="RTD Cable",$A233="Fieldbus Cable"),IF(AND($AE233&lt;&gt;""),"YES","NO"),"N/A")</f>
        <v>NO</v>
      </c>
      <c r="P233" s="4" t="str">
        <f>IF(OR($A233="RTD"),IF(AND($AH233&lt;&gt;""),"YES","NO"),"N/A")</f>
        <v>N/A</v>
      </c>
      <c r="Q233" s="4" t="str">
        <f>IF(OR($A233="RTD"),IF(AND($AI233&lt;&gt;""),"YES","NO"),"N/A")</f>
        <v>N/A</v>
      </c>
      <c r="R233" s="4" t="str">
        <f>IF(OR($AM233&lt;&gt;"",$Z233&lt;&gt;"",$AC233&lt;&gt;""),"YES","NO")</f>
        <v>NO</v>
      </c>
      <c r="S233" s="4" t="str">
        <f>IF(COUNTIF(I233:R233,"NO")=0,"YES","NO")</f>
        <v>NO</v>
      </c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inlineStr">
        <is>
          <t>ACIC</t>
        </is>
      </c>
      <c r="AK233" s="9" t="inlineStr">
        <is>
          <t>16AWG</t>
        </is>
      </c>
      <c r="AL233" s="9" t="inlineStr">
        <is>
          <t>Levy Ostrup</t>
        </is>
      </c>
      <c r="AM233" s="9" t="n"/>
      <c r="AN233" s="9" t="n"/>
    </row>
    <row r="234">
      <c r="A234" s="9" t="inlineStr">
        <is>
          <t>RTD Cable</t>
        </is>
      </c>
      <c r="B234" s="9" t="inlineStr">
        <is>
          <t>29103-ET-PE2702-1-R-2</t>
        </is>
      </c>
      <c r="C234" s="9" t="inlineStr">
        <is>
          <t>29103-ET-PE2702-1</t>
        </is>
      </c>
      <c r="D234" s="9" t="inlineStr">
        <is>
          <t>29103-HTP-005 HTC-01</t>
        </is>
      </c>
      <c r="E234" s="9" t="inlineStr">
        <is>
          <t>29103-HTP-005</t>
        </is>
      </c>
      <c r="F234" s="9" t="inlineStr"/>
      <c r="G234" s="9" t="inlineStr">
        <is>
          <t>113</t>
        </is>
      </c>
      <c r="H234" s="9" t="inlineStr">
        <is>
          <t>29103-ET-PE2702-1-R-2.pdf</t>
        </is>
      </c>
      <c r="I234" s="4" t="str">
        <f>IF($H234&lt;&gt;"","YES","NO")</f>
        <v>YES</v>
      </c>
      <c r="J234" s="4" t="str">
        <f>IF(N($T234)&gt;0,"YES","NO")</f>
        <v>NO</v>
      </c>
      <c r="K234" s="4" t="str">
        <f>IF(OR($A234="EHT Trace"),IF(AND($U234&lt;&gt;"",$V234&lt;&gt;""),"YES","NO"),"N/A")</f>
        <v>N/A</v>
      </c>
      <c r="L234" s="4" t="str">
        <f>IF(OR($A234="EHT Trace"),IF(AND($X234&lt;&gt;"",$Y234&lt;&gt;""),"YES","NO"),"N/A")</f>
        <v>N/A</v>
      </c>
      <c r="M234" s="4" t="str">
        <f>IF(OR($A234="EHT Trace"),IF(AND($AA234&lt;&gt;"",$AB234&lt;&gt;""),"YES","NO"),"N/A")</f>
        <v>N/A</v>
      </c>
      <c r="N234" s="4" t="str">
        <f>IF(OR($A234="Power Cable"),IF(AND($AD234&lt;&gt;""),"YES","NO"),"N/A")</f>
        <v>N/A</v>
      </c>
      <c r="O234" s="4" t="str">
        <f>IF(OR($A234="Power Cable",$A234="RTD Cable",$A234="Fieldbus Cable"),IF(AND($AE234&lt;&gt;""),"YES","NO"),"N/A")</f>
        <v>NO</v>
      </c>
      <c r="P234" s="4" t="str">
        <f>IF(OR($A234="RTD"),IF(AND($AH234&lt;&gt;""),"YES","NO"),"N/A")</f>
        <v>N/A</v>
      </c>
      <c r="Q234" s="4" t="str">
        <f>IF(OR($A234="RTD"),IF(AND($AI234&lt;&gt;""),"YES","NO"),"N/A")</f>
        <v>N/A</v>
      </c>
      <c r="R234" s="4" t="str">
        <f>IF(OR($AM234&lt;&gt;"",$Z234&lt;&gt;"",$AC234&lt;&gt;""),"YES","NO")</f>
        <v>NO</v>
      </c>
      <c r="S234" s="4" t="str">
        <f>IF(COUNTIF(I234:R234,"NO")=0,"YES","NO")</f>
        <v>NO</v>
      </c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inlineStr">
        <is>
          <t>ACIC</t>
        </is>
      </c>
      <c r="AK234" s="9" t="inlineStr">
        <is>
          <t>16AWG</t>
        </is>
      </c>
      <c r="AL234" s="9" t="inlineStr">
        <is>
          <t>Levy Ostrup</t>
        </is>
      </c>
      <c r="AM234" s="9" t="n"/>
      <c r="AN234" s="9" t="n"/>
    </row>
    <row r="235">
      <c r="A235" s="9" t="inlineStr">
        <is>
          <t>RTD Cable</t>
        </is>
      </c>
      <c r="B235" s="9" t="inlineStr">
        <is>
          <t>29103-ET-PE2802-1-R-1</t>
        </is>
      </c>
      <c r="C235" s="9" t="inlineStr">
        <is>
          <t>29103-ET-PE2802-1</t>
        </is>
      </c>
      <c r="D235" s="9" t="inlineStr">
        <is>
          <t>29103-HTP-005 HTC-02</t>
        </is>
      </c>
      <c r="E235" s="9" t="inlineStr">
        <is>
          <t>29103-HTP-005</t>
        </is>
      </c>
      <c r="F235" s="9" t="inlineStr"/>
      <c r="G235" s="9" t="inlineStr">
        <is>
          <t>113</t>
        </is>
      </c>
      <c r="H235" s="9" t="inlineStr">
        <is>
          <t>29103-ET-PE2802-1-R-1.pdf</t>
        </is>
      </c>
      <c r="I235" s="4" t="str">
        <f>IF($H235&lt;&gt;"","YES","NO")</f>
        <v>YES</v>
      </c>
      <c r="J235" s="4" t="str">
        <f>IF(N($T235)&gt;0,"YES","NO")</f>
        <v>NO</v>
      </c>
      <c r="K235" s="4" t="str">
        <f>IF(OR($A235="EHT Trace"),IF(AND($U235&lt;&gt;"",$V235&lt;&gt;""),"YES","NO"),"N/A")</f>
        <v>N/A</v>
      </c>
      <c r="L235" s="4" t="str">
        <f>IF(OR($A235="EHT Trace"),IF(AND($X235&lt;&gt;"",$Y235&lt;&gt;""),"YES","NO"),"N/A")</f>
        <v>N/A</v>
      </c>
      <c r="M235" s="4" t="str">
        <f>IF(OR($A235="EHT Trace"),IF(AND($AA235&lt;&gt;"",$AB235&lt;&gt;""),"YES","NO"),"N/A")</f>
        <v>N/A</v>
      </c>
      <c r="N235" s="4" t="str">
        <f>IF(OR($A235="Power Cable"),IF(AND($AD235&lt;&gt;""),"YES","NO"),"N/A")</f>
        <v>N/A</v>
      </c>
      <c r="O235" s="4" t="str">
        <f>IF(OR($A235="Power Cable",$A235="RTD Cable",$A235="Fieldbus Cable"),IF(AND($AE235&lt;&gt;""),"YES","NO"),"N/A")</f>
        <v>NO</v>
      </c>
      <c r="P235" s="4" t="str">
        <f>IF(OR($A235="RTD"),IF(AND($AH235&lt;&gt;""),"YES","NO"),"N/A")</f>
        <v>N/A</v>
      </c>
      <c r="Q235" s="4" t="str">
        <f>IF(OR($A235="RTD"),IF(AND($AI235&lt;&gt;""),"YES","NO"),"N/A")</f>
        <v>N/A</v>
      </c>
      <c r="R235" s="4" t="str">
        <f>IF(OR($AM235&lt;&gt;"",$Z235&lt;&gt;"",$AC235&lt;&gt;""),"YES","NO")</f>
        <v>NO</v>
      </c>
      <c r="S235" s="4" t="str">
        <f>IF(COUNTIF(I235:R235,"NO")=0,"YES","NO")</f>
        <v>NO</v>
      </c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inlineStr">
        <is>
          <t>ACIC</t>
        </is>
      </c>
      <c r="AK235" s="9" t="inlineStr">
        <is>
          <t>16AWG</t>
        </is>
      </c>
      <c r="AL235" s="9" t="inlineStr">
        <is>
          <t>Levy Ostrup</t>
        </is>
      </c>
      <c r="AM235" s="9" t="n"/>
      <c r="AN235" s="9" t="n"/>
    </row>
    <row r="236">
      <c r="A236" s="9" t="inlineStr">
        <is>
          <t>RTD Cable</t>
        </is>
      </c>
      <c r="B236" s="9" t="inlineStr">
        <is>
          <t>29103-ET-PE2802-2-R-1</t>
        </is>
      </c>
      <c r="C236" s="9" t="inlineStr">
        <is>
          <t>29103-ET-PE2802-2</t>
        </is>
      </c>
      <c r="D236" s="9" t="inlineStr">
        <is>
          <t>29103-HTP-005 HTC-18</t>
        </is>
      </c>
      <c r="E236" s="9" t="inlineStr">
        <is>
          <t>29103-HTP-005</t>
        </is>
      </c>
      <c r="F236" s="9" t="inlineStr"/>
      <c r="G236" s="9" t="inlineStr">
        <is>
          <t>113</t>
        </is>
      </c>
      <c r="H236" s="9" t="inlineStr">
        <is>
          <t>29103-ET-PE2802-2-R-1.pdf</t>
        </is>
      </c>
      <c r="I236" s="4" t="str">
        <f>IF($H236&lt;&gt;"","YES","NO")</f>
        <v>YES</v>
      </c>
      <c r="J236" s="4" t="str">
        <f>IF(N($T236)&gt;0,"YES","NO")</f>
        <v>NO</v>
      </c>
      <c r="K236" s="4" t="str">
        <f>IF(OR($A236="EHT Trace"),IF(AND($U236&lt;&gt;"",$V236&lt;&gt;""),"YES","NO"),"N/A")</f>
        <v>N/A</v>
      </c>
      <c r="L236" s="4" t="str">
        <f>IF(OR($A236="EHT Trace"),IF(AND($X236&lt;&gt;"",$Y236&lt;&gt;""),"YES","NO"),"N/A")</f>
        <v>N/A</v>
      </c>
      <c r="M236" s="4" t="str">
        <f>IF(OR($A236="EHT Trace"),IF(AND($AA236&lt;&gt;"",$AB236&lt;&gt;""),"YES","NO"),"N/A")</f>
        <v>N/A</v>
      </c>
      <c r="N236" s="4" t="str">
        <f>IF(OR($A236="Power Cable"),IF(AND($AD236&lt;&gt;""),"YES","NO"),"N/A")</f>
        <v>N/A</v>
      </c>
      <c r="O236" s="4" t="str">
        <f>IF(OR($A236="Power Cable",$A236="RTD Cable",$A236="Fieldbus Cable"),IF(AND($AE236&lt;&gt;""),"YES","NO"),"N/A")</f>
        <v>NO</v>
      </c>
      <c r="P236" s="4" t="str">
        <f>IF(OR($A236="RTD"),IF(AND($AH236&lt;&gt;""),"YES","NO"),"N/A")</f>
        <v>N/A</v>
      </c>
      <c r="Q236" s="4" t="str">
        <f>IF(OR($A236="RTD"),IF(AND($AI236&lt;&gt;""),"YES","NO"),"N/A")</f>
        <v>N/A</v>
      </c>
      <c r="R236" s="4" t="str">
        <f>IF(OR($AM236&lt;&gt;"",$Z236&lt;&gt;"",$AC236&lt;&gt;""),"YES","NO")</f>
        <v>NO</v>
      </c>
      <c r="S236" s="4" t="str">
        <f>IF(COUNTIF(I236:R236,"NO")=0,"YES","NO")</f>
        <v>NO</v>
      </c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inlineStr">
        <is>
          <t>ACIC</t>
        </is>
      </c>
      <c r="AK236" s="9" t="inlineStr">
        <is>
          <t>16AWG</t>
        </is>
      </c>
      <c r="AL236" s="9" t="inlineStr">
        <is>
          <t>Levy Ostrup</t>
        </is>
      </c>
      <c r="AM236" s="9" t="n"/>
      <c r="AN236" s="9" t="n"/>
    </row>
    <row r="237">
      <c r="A237" s="9" t="inlineStr">
        <is>
          <t>RTD Cable</t>
        </is>
      </c>
      <c r="B237" s="9" t="inlineStr">
        <is>
          <t>29103-ET-PE2803-1-R-1</t>
        </is>
      </c>
      <c r="C237" s="9" t="inlineStr">
        <is>
          <t>29103-ET-PE2803-1</t>
        </is>
      </c>
      <c r="D237" s="9" t="inlineStr">
        <is>
          <t>29103-HTP-005 HTC-21</t>
        </is>
      </c>
      <c r="E237" s="9" t="inlineStr">
        <is>
          <t>29103-HTP-005</t>
        </is>
      </c>
      <c r="F237" s="9" t="inlineStr"/>
      <c r="G237" s="9" t="inlineStr">
        <is>
          <t>113</t>
        </is>
      </c>
      <c r="H237" s="9" t="inlineStr">
        <is>
          <t>29103-ET-PE2803-1-R-1.pdf</t>
        </is>
      </c>
      <c r="I237" s="4" t="str">
        <f>IF($H237&lt;&gt;"","YES","NO")</f>
        <v>YES</v>
      </c>
      <c r="J237" s="4" t="str">
        <f>IF(N($T237)&gt;0,"YES","NO")</f>
        <v>NO</v>
      </c>
      <c r="K237" s="4" t="str">
        <f>IF(OR($A237="EHT Trace"),IF(AND($U237&lt;&gt;"",$V237&lt;&gt;""),"YES","NO"),"N/A")</f>
        <v>N/A</v>
      </c>
      <c r="L237" s="4" t="str">
        <f>IF(OR($A237="EHT Trace"),IF(AND($X237&lt;&gt;"",$Y237&lt;&gt;""),"YES","NO"),"N/A")</f>
        <v>N/A</v>
      </c>
      <c r="M237" s="4" t="str">
        <f>IF(OR($A237="EHT Trace"),IF(AND($AA237&lt;&gt;"",$AB237&lt;&gt;""),"YES","NO"),"N/A")</f>
        <v>N/A</v>
      </c>
      <c r="N237" s="4" t="str">
        <f>IF(OR($A237="Power Cable"),IF(AND($AD237&lt;&gt;""),"YES","NO"),"N/A")</f>
        <v>N/A</v>
      </c>
      <c r="O237" s="4" t="str">
        <f>IF(OR($A237="Power Cable",$A237="RTD Cable",$A237="Fieldbus Cable"),IF(AND($AE237&lt;&gt;""),"YES","NO"),"N/A")</f>
        <v>NO</v>
      </c>
      <c r="P237" s="4" t="str">
        <f>IF(OR($A237="RTD"),IF(AND($AH237&lt;&gt;""),"YES","NO"),"N/A")</f>
        <v>N/A</v>
      </c>
      <c r="Q237" s="4" t="str">
        <f>IF(OR($A237="RTD"),IF(AND($AI237&lt;&gt;""),"YES","NO"),"N/A")</f>
        <v>N/A</v>
      </c>
      <c r="R237" s="4" t="str">
        <f>IF(OR($AM237&lt;&gt;"",$Z237&lt;&gt;"",$AC237&lt;&gt;""),"YES","NO")</f>
        <v>NO</v>
      </c>
      <c r="S237" s="4" t="str">
        <f>IF(COUNTIF(I237:R237,"NO")=0,"YES","NO")</f>
        <v>NO</v>
      </c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inlineStr">
        <is>
          <t>ACIC</t>
        </is>
      </c>
      <c r="AK237" s="9" t="inlineStr">
        <is>
          <t>16AWG</t>
        </is>
      </c>
      <c r="AL237" s="9" t="inlineStr">
        <is>
          <t>Levy Ostrup</t>
        </is>
      </c>
      <c r="AM237" s="9" t="n"/>
      <c r="AN237" s="9" t="n"/>
    </row>
    <row r="238">
      <c r="A238" s="9" t="inlineStr">
        <is>
          <t>RTD Cable</t>
        </is>
      </c>
      <c r="B238" s="9" t="inlineStr">
        <is>
          <t>29103-ET-PE2803-1-R-2</t>
        </is>
      </c>
      <c r="C238" s="9" t="inlineStr">
        <is>
          <t>29103-ET-PE2803-1</t>
        </is>
      </c>
      <c r="D238" s="9" t="inlineStr">
        <is>
          <t>29103-HTP-005 I/O-4-1</t>
        </is>
      </c>
      <c r="E238" s="9" t="inlineStr">
        <is>
          <t>29103-HTP-005</t>
        </is>
      </c>
      <c r="F238" s="9" t="inlineStr"/>
      <c r="G238" s="9" t="inlineStr">
        <is>
          <t>113</t>
        </is>
      </c>
      <c r="H238" s="9" t="inlineStr">
        <is>
          <t>29103-ET-PE2803-1-R-2.pdf</t>
        </is>
      </c>
      <c r="I238" s="4" t="str">
        <f>IF($H238&lt;&gt;"","YES","NO")</f>
        <v>YES</v>
      </c>
      <c r="J238" s="4" t="str">
        <f>IF(N($T238)&gt;0,"YES","NO")</f>
        <v>NO</v>
      </c>
      <c r="K238" s="4" t="str">
        <f>IF(OR($A238="EHT Trace"),IF(AND($U238&lt;&gt;"",$V238&lt;&gt;""),"YES","NO"),"N/A")</f>
        <v>N/A</v>
      </c>
      <c r="L238" s="4" t="str">
        <f>IF(OR($A238="EHT Trace"),IF(AND($X238&lt;&gt;"",$Y238&lt;&gt;""),"YES","NO"),"N/A")</f>
        <v>N/A</v>
      </c>
      <c r="M238" s="4" t="str">
        <f>IF(OR($A238="EHT Trace"),IF(AND($AA238&lt;&gt;"",$AB238&lt;&gt;""),"YES","NO"),"N/A")</f>
        <v>N/A</v>
      </c>
      <c r="N238" s="4" t="str">
        <f>IF(OR($A238="Power Cable"),IF(AND($AD238&lt;&gt;""),"YES","NO"),"N/A")</f>
        <v>N/A</v>
      </c>
      <c r="O238" s="4" t="str">
        <f>IF(OR($A238="Power Cable",$A238="RTD Cable",$A238="Fieldbus Cable"),IF(AND($AE238&lt;&gt;""),"YES","NO"),"N/A")</f>
        <v>NO</v>
      </c>
      <c r="P238" s="4" t="str">
        <f>IF(OR($A238="RTD"),IF(AND($AH238&lt;&gt;""),"YES","NO"),"N/A")</f>
        <v>N/A</v>
      </c>
      <c r="Q238" s="4" t="str">
        <f>IF(OR($A238="RTD"),IF(AND($AI238&lt;&gt;""),"YES","NO"),"N/A")</f>
        <v>N/A</v>
      </c>
      <c r="R238" s="4" t="str">
        <f>IF(OR($AM238&lt;&gt;"",$Z238&lt;&gt;"",$AC238&lt;&gt;""),"YES","NO")</f>
        <v>NO</v>
      </c>
      <c r="S238" s="4" t="str">
        <f>IF(COUNTIF(I238:R238,"NO")=0,"YES","NO")</f>
        <v>NO</v>
      </c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inlineStr">
        <is>
          <t>ACIC</t>
        </is>
      </c>
      <c r="AK238" s="9" t="inlineStr">
        <is>
          <t>16AWG</t>
        </is>
      </c>
      <c r="AL238" s="9" t="inlineStr">
        <is>
          <t>Levy Ostrup</t>
        </is>
      </c>
      <c r="AM238" s="9" t="n"/>
      <c r="AN238" s="9" t="n"/>
    </row>
    <row r="239">
      <c r="A239" s="9" t="inlineStr">
        <is>
          <t>RTD Cable</t>
        </is>
      </c>
      <c r="B239" s="9" t="inlineStr">
        <is>
          <t>29103-ET-PG2401-1-R-1</t>
        </is>
      </c>
      <c r="C239" s="9" t="inlineStr">
        <is>
          <t>29103-ET-PG2401-1</t>
        </is>
      </c>
      <c r="D239" s="9" t="inlineStr">
        <is>
          <t>29103-HTP-005 HTC-14</t>
        </is>
      </c>
      <c r="E239" s="9" t="inlineStr">
        <is>
          <t>29103-HTP-005</t>
        </is>
      </c>
      <c r="F239" s="9" t="inlineStr"/>
      <c r="G239" s="9" t="inlineStr">
        <is>
          <t>113</t>
        </is>
      </c>
      <c r="H239" s="9" t="inlineStr">
        <is>
          <t>29103-ET-PG2401-1-R-1.pdf</t>
        </is>
      </c>
      <c r="I239" s="4" t="str">
        <f>IF($H239&lt;&gt;"","YES","NO")</f>
        <v>YES</v>
      </c>
      <c r="J239" s="4" t="str">
        <f>IF(N($T239)&gt;0,"YES","NO")</f>
        <v>NO</v>
      </c>
      <c r="K239" s="4" t="str">
        <f>IF(OR($A239="EHT Trace"),IF(AND($U239&lt;&gt;"",$V239&lt;&gt;""),"YES","NO"),"N/A")</f>
        <v>N/A</v>
      </c>
      <c r="L239" s="4" t="str">
        <f>IF(OR($A239="EHT Trace"),IF(AND($X239&lt;&gt;"",$Y239&lt;&gt;""),"YES","NO"),"N/A")</f>
        <v>N/A</v>
      </c>
      <c r="M239" s="4" t="str">
        <f>IF(OR($A239="EHT Trace"),IF(AND($AA239&lt;&gt;"",$AB239&lt;&gt;""),"YES","NO"),"N/A")</f>
        <v>N/A</v>
      </c>
      <c r="N239" s="4" t="str">
        <f>IF(OR($A239="Power Cable"),IF(AND($AD239&lt;&gt;""),"YES","NO"),"N/A")</f>
        <v>N/A</v>
      </c>
      <c r="O239" s="4" t="str">
        <f>IF(OR($A239="Power Cable",$A239="RTD Cable",$A239="Fieldbus Cable"),IF(AND($AE239&lt;&gt;""),"YES","NO"),"N/A")</f>
        <v>NO</v>
      </c>
      <c r="P239" s="4" t="str">
        <f>IF(OR($A239="RTD"),IF(AND($AH239&lt;&gt;""),"YES","NO"),"N/A")</f>
        <v>N/A</v>
      </c>
      <c r="Q239" s="4" t="str">
        <f>IF(OR($A239="RTD"),IF(AND($AI239&lt;&gt;""),"YES","NO"),"N/A")</f>
        <v>N/A</v>
      </c>
      <c r="R239" s="4" t="str">
        <f>IF(OR($AM239&lt;&gt;"",$Z239&lt;&gt;"",$AC239&lt;&gt;""),"YES","NO")</f>
        <v>NO</v>
      </c>
      <c r="S239" s="4" t="str">
        <f>IF(COUNTIF(I239:R239,"NO")=0,"YES","NO")</f>
        <v>NO</v>
      </c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inlineStr">
        <is>
          <t>ACIC</t>
        </is>
      </c>
      <c r="AK239" s="9" t="inlineStr">
        <is>
          <t>16AWG</t>
        </is>
      </c>
      <c r="AL239" s="9" t="inlineStr">
        <is>
          <t>Levy Ostrup</t>
        </is>
      </c>
      <c r="AM239" s="9" t="n"/>
      <c r="AN239" s="9" t="n"/>
    </row>
    <row r="240">
      <c r="A240" s="9" t="inlineStr">
        <is>
          <t>RTD Cable</t>
        </is>
      </c>
      <c r="B240" s="9" t="inlineStr">
        <is>
          <t>29103-ET-PG2401-1-R-2</t>
        </is>
      </c>
      <c r="C240" s="9" t="inlineStr">
        <is>
          <t>29103-ET-PG2401-1</t>
        </is>
      </c>
      <c r="D240" s="9" t="inlineStr">
        <is>
          <t>29103-HTP-005 I/O-3-1</t>
        </is>
      </c>
      <c r="E240" s="9" t="inlineStr">
        <is>
          <t>29103-HTP-005</t>
        </is>
      </c>
      <c r="F240" s="9" t="inlineStr"/>
      <c r="G240" s="9" t="inlineStr">
        <is>
          <t>113</t>
        </is>
      </c>
      <c r="H240" s="9" t="inlineStr">
        <is>
          <t>29103-ET-PG2401-1-R-2.pdf</t>
        </is>
      </c>
      <c r="I240" s="4" t="str">
        <f>IF($H240&lt;&gt;"","YES","NO")</f>
        <v>YES</v>
      </c>
      <c r="J240" s="4" t="str">
        <f>IF(N($T240)&gt;0,"YES","NO")</f>
        <v>NO</v>
      </c>
      <c r="K240" s="4" t="str">
        <f>IF(OR($A240="EHT Trace"),IF(AND($U240&lt;&gt;"",$V240&lt;&gt;""),"YES","NO"),"N/A")</f>
        <v>N/A</v>
      </c>
      <c r="L240" s="4" t="str">
        <f>IF(OR($A240="EHT Trace"),IF(AND($X240&lt;&gt;"",$Y240&lt;&gt;""),"YES","NO"),"N/A")</f>
        <v>N/A</v>
      </c>
      <c r="M240" s="4" t="str">
        <f>IF(OR($A240="EHT Trace"),IF(AND($AA240&lt;&gt;"",$AB240&lt;&gt;""),"YES","NO"),"N/A")</f>
        <v>N/A</v>
      </c>
      <c r="N240" s="4" t="str">
        <f>IF(OR($A240="Power Cable"),IF(AND($AD240&lt;&gt;""),"YES","NO"),"N/A")</f>
        <v>N/A</v>
      </c>
      <c r="O240" s="4" t="str">
        <f>IF(OR($A240="Power Cable",$A240="RTD Cable",$A240="Fieldbus Cable"),IF(AND($AE240&lt;&gt;""),"YES","NO"),"N/A")</f>
        <v>NO</v>
      </c>
      <c r="P240" s="4" t="str">
        <f>IF(OR($A240="RTD"),IF(AND($AH240&lt;&gt;""),"YES","NO"),"N/A")</f>
        <v>N/A</v>
      </c>
      <c r="Q240" s="4" t="str">
        <f>IF(OR($A240="RTD"),IF(AND($AI240&lt;&gt;""),"YES","NO"),"N/A")</f>
        <v>N/A</v>
      </c>
      <c r="R240" s="4" t="str">
        <f>IF(OR($AM240&lt;&gt;"",$Z240&lt;&gt;"",$AC240&lt;&gt;""),"YES","NO")</f>
        <v>NO</v>
      </c>
      <c r="S240" s="4" t="str">
        <f>IF(COUNTIF(I240:R240,"NO")=0,"YES","NO")</f>
        <v>NO</v>
      </c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inlineStr">
        <is>
          <t>ACIC</t>
        </is>
      </c>
      <c r="AK240" s="9" t="inlineStr">
        <is>
          <t>16AWG</t>
        </is>
      </c>
      <c r="AL240" s="9" t="inlineStr">
        <is>
          <t>Levy Ostrup</t>
        </is>
      </c>
      <c r="AM240" s="9" t="n"/>
      <c r="AN240" s="9" t="n"/>
    </row>
    <row r="241">
      <c r="A241" s="9" t="inlineStr">
        <is>
          <t>RTD Cable</t>
        </is>
      </c>
      <c r="B241" s="9" t="inlineStr">
        <is>
          <t>29103-ET-PG2501-1-R-1</t>
        </is>
      </c>
      <c r="C241" s="9" t="inlineStr">
        <is>
          <t>29103-ET-PG2501-1</t>
        </is>
      </c>
      <c r="D241" s="9" t="inlineStr">
        <is>
          <t>29103-HTP-005 HTC-11</t>
        </is>
      </c>
      <c r="E241" s="9" t="inlineStr">
        <is>
          <t>29103-HTP-005</t>
        </is>
      </c>
      <c r="F241" s="9" t="inlineStr"/>
      <c r="G241" s="9" t="inlineStr">
        <is>
          <t>113</t>
        </is>
      </c>
      <c r="H241" s="9" t="inlineStr">
        <is>
          <t>29103-ET-PG2501-1-R-1.pdf</t>
        </is>
      </c>
      <c r="I241" s="4" t="str">
        <f>IF($H241&lt;&gt;"","YES","NO")</f>
        <v>YES</v>
      </c>
      <c r="J241" s="4" t="str">
        <f>IF(N($T241)&gt;0,"YES","NO")</f>
        <v>NO</v>
      </c>
      <c r="K241" s="4" t="str">
        <f>IF(OR($A241="EHT Trace"),IF(AND($U241&lt;&gt;"",$V241&lt;&gt;""),"YES","NO"),"N/A")</f>
        <v>N/A</v>
      </c>
      <c r="L241" s="4" t="str">
        <f>IF(OR($A241="EHT Trace"),IF(AND($X241&lt;&gt;"",$Y241&lt;&gt;""),"YES","NO"),"N/A")</f>
        <v>N/A</v>
      </c>
      <c r="M241" s="4" t="str">
        <f>IF(OR($A241="EHT Trace"),IF(AND($AA241&lt;&gt;"",$AB241&lt;&gt;""),"YES","NO"),"N/A")</f>
        <v>N/A</v>
      </c>
      <c r="N241" s="4" t="str">
        <f>IF(OR($A241="Power Cable"),IF(AND($AD241&lt;&gt;""),"YES","NO"),"N/A")</f>
        <v>N/A</v>
      </c>
      <c r="O241" s="4" t="str">
        <f>IF(OR($A241="Power Cable",$A241="RTD Cable",$A241="Fieldbus Cable"),IF(AND($AE241&lt;&gt;""),"YES","NO"),"N/A")</f>
        <v>NO</v>
      </c>
      <c r="P241" s="4" t="str">
        <f>IF(OR($A241="RTD"),IF(AND($AH241&lt;&gt;""),"YES","NO"),"N/A")</f>
        <v>N/A</v>
      </c>
      <c r="Q241" s="4" t="str">
        <f>IF(OR($A241="RTD"),IF(AND($AI241&lt;&gt;""),"YES","NO"),"N/A")</f>
        <v>N/A</v>
      </c>
      <c r="R241" s="4" t="str">
        <f>IF(OR($AM241&lt;&gt;"",$Z241&lt;&gt;"",$AC241&lt;&gt;""),"YES","NO")</f>
        <v>NO</v>
      </c>
      <c r="S241" s="4" t="str">
        <f>IF(COUNTIF(I241:R241,"NO")=0,"YES","NO")</f>
        <v>NO</v>
      </c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inlineStr">
        <is>
          <t>ACIC</t>
        </is>
      </c>
      <c r="AK241" s="9" t="inlineStr">
        <is>
          <t>16AWG</t>
        </is>
      </c>
      <c r="AL241" s="9" t="inlineStr">
        <is>
          <t>Levy Ostrup</t>
        </is>
      </c>
      <c r="AM241" s="9" t="n"/>
      <c r="AN241" s="9" t="n"/>
    </row>
    <row r="242">
      <c r="A242" s="9" t="inlineStr">
        <is>
          <t>RTD Cable</t>
        </is>
      </c>
      <c r="B242" s="9" t="inlineStr">
        <is>
          <t>29103-ET-PG2501-1-R-2</t>
        </is>
      </c>
      <c r="C242" s="9" t="inlineStr">
        <is>
          <t>29103-ET-PG2501-1</t>
        </is>
      </c>
      <c r="D242" s="9" t="inlineStr">
        <is>
          <t>29103-HTP-005 I/O-3-2</t>
        </is>
      </c>
      <c r="E242" s="9" t="inlineStr">
        <is>
          <t>29103-HTP-005</t>
        </is>
      </c>
      <c r="F242" s="9" t="inlineStr"/>
      <c r="G242" s="9" t="inlineStr">
        <is>
          <t>113</t>
        </is>
      </c>
      <c r="H242" s="9" t="inlineStr">
        <is>
          <t>29103-ET-PG2501-1-R-2.pdf</t>
        </is>
      </c>
      <c r="I242" s="4" t="str">
        <f>IF($H242&lt;&gt;"","YES","NO")</f>
        <v>YES</v>
      </c>
      <c r="J242" s="4" t="str">
        <f>IF(N($T242)&gt;0,"YES","NO")</f>
        <v>NO</v>
      </c>
      <c r="K242" s="4" t="str">
        <f>IF(OR($A242="EHT Trace"),IF(AND($U242&lt;&gt;"",$V242&lt;&gt;""),"YES","NO"),"N/A")</f>
        <v>N/A</v>
      </c>
      <c r="L242" s="4" t="str">
        <f>IF(OR($A242="EHT Trace"),IF(AND($X242&lt;&gt;"",$Y242&lt;&gt;""),"YES","NO"),"N/A")</f>
        <v>N/A</v>
      </c>
      <c r="M242" s="4" t="str">
        <f>IF(OR($A242="EHT Trace"),IF(AND($AA242&lt;&gt;"",$AB242&lt;&gt;""),"YES","NO"),"N/A")</f>
        <v>N/A</v>
      </c>
      <c r="N242" s="4" t="str">
        <f>IF(OR($A242="Power Cable"),IF(AND($AD242&lt;&gt;""),"YES","NO"),"N/A")</f>
        <v>N/A</v>
      </c>
      <c r="O242" s="4" t="str">
        <f>IF(OR($A242="Power Cable",$A242="RTD Cable",$A242="Fieldbus Cable"),IF(AND($AE242&lt;&gt;""),"YES","NO"),"N/A")</f>
        <v>NO</v>
      </c>
      <c r="P242" s="4" t="str">
        <f>IF(OR($A242="RTD"),IF(AND($AH242&lt;&gt;""),"YES","NO"),"N/A")</f>
        <v>N/A</v>
      </c>
      <c r="Q242" s="4" t="str">
        <f>IF(OR($A242="RTD"),IF(AND($AI242&lt;&gt;""),"YES","NO"),"N/A")</f>
        <v>N/A</v>
      </c>
      <c r="R242" s="4" t="str">
        <f>IF(OR($AM242&lt;&gt;"",$Z242&lt;&gt;"",$AC242&lt;&gt;""),"YES","NO")</f>
        <v>NO</v>
      </c>
      <c r="S242" s="4" t="str">
        <f>IF(COUNTIF(I242:R242,"NO")=0,"YES","NO")</f>
        <v>NO</v>
      </c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inlineStr">
        <is>
          <t>ACIC</t>
        </is>
      </c>
      <c r="AK242" s="9" t="inlineStr">
        <is>
          <t>16AWG</t>
        </is>
      </c>
      <c r="AL242" s="9" t="inlineStr">
        <is>
          <t>Levy Ostrup</t>
        </is>
      </c>
      <c r="AM242" s="9" t="n"/>
      <c r="AN242" s="9" t="n"/>
    </row>
    <row r="243">
      <c r="A243" s="9" t="inlineStr">
        <is>
          <t>RTD Cable</t>
        </is>
      </c>
      <c r="B243" s="9" t="inlineStr">
        <is>
          <t>29103-ET-PG2501-2-R-1</t>
        </is>
      </c>
      <c r="C243" s="9" t="inlineStr">
        <is>
          <t>29103-ET-PG2501-2</t>
        </is>
      </c>
      <c r="D243" s="9" t="inlineStr">
        <is>
          <t>29103-HTP-005 HTC-13</t>
        </is>
      </c>
      <c r="E243" s="9" t="inlineStr">
        <is>
          <t>29103-HTP-005</t>
        </is>
      </c>
      <c r="F243" s="9" t="inlineStr"/>
      <c r="G243" s="9" t="inlineStr">
        <is>
          <t>113</t>
        </is>
      </c>
      <c r="H243" s="9" t="inlineStr">
        <is>
          <t>29103-ET-PG2501-2-R-1.pdf</t>
        </is>
      </c>
      <c r="I243" s="4" t="str">
        <f>IF($H243&lt;&gt;"","YES","NO")</f>
        <v>YES</v>
      </c>
      <c r="J243" s="4" t="str">
        <f>IF(N($T243)&gt;0,"YES","NO")</f>
        <v>NO</v>
      </c>
      <c r="K243" s="4" t="str">
        <f>IF(OR($A243="EHT Trace"),IF(AND($U243&lt;&gt;"",$V243&lt;&gt;""),"YES","NO"),"N/A")</f>
        <v>N/A</v>
      </c>
      <c r="L243" s="4" t="str">
        <f>IF(OR($A243="EHT Trace"),IF(AND($X243&lt;&gt;"",$Y243&lt;&gt;""),"YES","NO"),"N/A")</f>
        <v>N/A</v>
      </c>
      <c r="M243" s="4" t="str">
        <f>IF(OR($A243="EHT Trace"),IF(AND($AA243&lt;&gt;"",$AB243&lt;&gt;""),"YES","NO"),"N/A")</f>
        <v>N/A</v>
      </c>
      <c r="N243" s="4" t="str">
        <f>IF(OR($A243="Power Cable"),IF(AND($AD243&lt;&gt;""),"YES","NO"),"N/A")</f>
        <v>N/A</v>
      </c>
      <c r="O243" s="4" t="str">
        <f>IF(OR($A243="Power Cable",$A243="RTD Cable",$A243="Fieldbus Cable"),IF(AND($AE243&lt;&gt;""),"YES","NO"),"N/A")</f>
        <v>NO</v>
      </c>
      <c r="P243" s="4" t="str">
        <f>IF(OR($A243="RTD"),IF(AND($AH243&lt;&gt;""),"YES","NO"),"N/A")</f>
        <v>N/A</v>
      </c>
      <c r="Q243" s="4" t="str">
        <f>IF(OR($A243="RTD"),IF(AND($AI243&lt;&gt;""),"YES","NO"),"N/A")</f>
        <v>N/A</v>
      </c>
      <c r="R243" s="4" t="str">
        <f>IF(OR($AM243&lt;&gt;"",$Z243&lt;&gt;"",$AC243&lt;&gt;""),"YES","NO")</f>
        <v>NO</v>
      </c>
      <c r="S243" s="4" t="str">
        <f>IF(COUNTIF(I243:R243,"NO")=0,"YES","NO")</f>
        <v>NO</v>
      </c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inlineStr">
        <is>
          <t>ACIC</t>
        </is>
      </c>
      <c r="AK243" s="9" t="inlineStr">
        <is>
          <t>16AWG</t>
        </is>
      </c>
      <c r="AL243" s="9" t="inlineStr">
        <is>
          <t>Levy Ostrup</t>
        </is>
      </c>
      <c r="AM243" s="9" t="n"/>
      <c r="AN243" s="9" t="n"/>
    </row>
    <row r="244">
      <c r="A244" s="9" t="inlineStr">
        <is>
          <t>RTD Cable</t>
        </is>
      </c>
      <c r="B244" s="9" t="inlineStr">
        <is>
          <t>29103-ET-PG2601-1-R-1</t>
        </is>
      </c>
      <c r="C244" s="9" t="inlineStr">
        <is>
          <t>29103-ET-PG2601-1</t>
        </is>
      </c>
      <c r="D244" s="9" t="inlineStr">
        <is>
          <t>29103-HTP-005 HTC-28</t>
        </is>
      </c>
      <c r="E244" s="9" t="inlineStr">
        <is>
          <t>29103-HTP-005</t>
        </is>
      </c>
      <c r="F244" s="9" t="inlineStr"/>
      <c r="G244" s="9" t="inlineStr">
        <is>
          <t>113</t>
        </is>
      </c>
      <c r="H244" s="9" t="inlineStr">
        <is>
          <t>29103-ET-PG2601-1-R-1.pdf</t>
        </is>
      </c>
      <c r="I244" s="4" t="str">
        <f>IF($H244&lt;&gt;"","YES","NO")</f>
        <v>YES</v>
      </c>
      <c r="J244" s="4" t="str">
        <f>IF(N($T244)&gt;0,"YES","NO")</f>
        <v>NO</v>
      </c>
      <c r="K244" s="4" t="str">
        <f>IF(OR($A244="EHT Trace"),IF(AND($U244&lt;&gt;"",$V244&lt;&gt;""),"YES","NO"),"N/A")</f>
        <v>N/A</v>
      </c>
      <c r="L244" s="4" t="str">
        <f>IF(OR($A244="EHT Trace"),IF(AND($X244&lt;&gt;"",$Y244&lt;&gt;""),"YES","NO"),"N/A")</f>
        <v>N/A</v>
      </c>
      <c r="M244" s="4" t="str">
        <f>IF(OR($A244="EHT Trace"),IF(AND($AA244&lt;&gt;"",$AB244&lt;&gt;""),"YES","NO"),"N/A")</f>
        <v>N/A</v>
      </c>
      <c r="N244" s="4" t="str">
        <f>IF(OR($A244="Power Cable"),IF(AND($AD244&lt;&gt;""),"YES","NO"),"N/A")</f>
        <v>N/A</v>
      </c>
      <c r="O244" s="4" t="str">
        <f>IF(OR($A244="Power Cable",$A244="RTD Cable",$A244="Fieldbus Cable"),IF(AND($AE244&lt;&gt;""),"YES","NO"),"N/A")</f>
        <v>NO</v>
      </c>
      <c r="P244" s="4" t="str">
        <f>IF(OR($A244="RTD"),IF(AND($AH244&lt;&gt;""),"YES","NO"),"N/A")</f>
        <v>N/A</v>
      </c>
      <c r="Q244" s="4" t="str">
        <f>IF(OR($A244="RTD"),IF(AND($AI244&lt;&gt;""),"YES","NO"),"N/A")</f>
        <v>N/A</v>
      </c>
      <c r="R244" s="4" t="str">
        <f>IF(OR($AM244&lt;&gt;"",$Z244&lt;&gt;"",$AC244&lt;&gt;""),"YES","NO")</f>
        <v>NO</v>
      </c>
      <c r="S244" s="4" t="str">
        <f>IF(COUNTIF(I244:R244,"NO")=0,"YES","NO")</f>
        <v>NO</v>
      </c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inlineStr">
        <is>
          <t>ACIC</t>
        </is>
      </c>
      <c r="AK244" s="9" t="inlineStr">
        <is>
          <t>16AWG</t>
        </is>
      </c>
      <c r="AL244" s="9" t="inlineStr">
        <is>
          <t>Levy Ostrup</t>
        </is>
      </c>
      <c r="AM244" s="9" t="n"/>
      <c r="AN244" s="9" t="n"/>
    </row>
    <row r="245">
      <c r="A245" s="9" t="inlineStr">
        <is>
          <t>RTD Cable</t>
        </is>
      </c>
      <c r="B245" s="9" t="inlineStr">
        <is>
          <t>29103-ET-PG2601-1-R-2</t>
        </is>
      </c>
      <c r="C245" s="9" t="inlineStr">
        <is>
          <t>29103-ET-PG2601-1</t>
        </is>
      </c>
      <c r="D245" s="9" t="inlineStr">
        <is>
          <t>29103-HTP-005 HTC-15</t>
        </is>
      </c>
      <c r="E245" s="9" t="inlineStr">
        <is>
          <t>29103-HTP-005</t>
        </is>
      </c>
      <c r="F245" s="9" t="inlineStr"/>
      <c r="G245" s="9" t="inlineStr">
        <is>
          <t>113</t>
        </is>
      </c>
      <c r="H245" s="9" t="inlineStr">
        <is>
          <t>29103-ET-PG2601-1-R-2.pdf</t>
        </is>
      </c>
      <c r="I245" s="4" t="str">
        <f>IF($H245&lt;&gt;"","YES","NO")</f>
        <v>YES</v>
      </c>
      <c r="J245" s="4" t="str">
        <f>IF(N($T245)&gt;0,"YES","NO")</f>
        <v>NO</v>
      </c>
      <c r="K245" s="4" t="str">
        <f>IF(OR($A245="EHT Trace"),IF(AND($U245&lt;&gt;"",$V245&lt;&gt;""),"YES","NO"),"N/A")</f>
        <v>N/A</v>
      </c>
      <c r="L245" s="4" t="str">
        <f>IF(OR($A245="EHT Trace"),IF(AND($X245&lt;&gt;"",$Y245&lt;&gt;""),"YES","NO"),"N/A")</f>
        <v>N/A</v>
      </c>
      <c r="M245" s="4" t="str">
        <f>IF(OR($A245="EHT Trace"),IF(AND($AA245&lt;&gt;"",$AB245&lt;&gt;""),"YES","NO"),"N/A")</f>
        <v>N/A</v>
      </c>
      <c r="N245" s="4" t="str">
        <f>IF(OR($A245="Power Cable"),IF(AND($AD245&lt;&gt;""),"YES","NO"),"N/A")</f>
        <v>N/A</v>
      </c>
      <c r="O245" s="4" t="str">
        <f>IF(OR($A245="Power Cable",$A245="RTD Cable",$A245="Fieldbus Cable"),IF(AND($AE245&lt;&gt;""),"YES","NO"),"N/A")</f>
        <v>NO</v>
      </c>
      <c r="P245" s="4" t="str">
        <f>IF(OR($A245="RTD"),IF(AND($AH245&lt;&gt;""),"YES","NO"),"N/A")</f>
        <v>N/A</v>
      </c>
      <c r="Q245" s="4" t="str">
        <f>IF(OR($A245="RTD"),IF(AND($AI245&lt;&gt;""),"YES","NO"),"N/A")</f>
        <v>N/A</v>
      </c>
      <c r="R245" s="4" t="str">
        <f>IF(OR($AM245&lt;&gt;"",$Z245&lt;&gt;"",$AC245&lt;&gt;""),"YES","NO")</f>
        <v>NO</v>
      </c>
      <c r="S245" s="4" t="str">
        <f>IF(COUNTIF(I245:R245,"NO")=0,"YES","NO")</f>
        <v>NO</v>
      </c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inlineStr">
        <is>
          <t>ACIC</t>
        </is>
      </c>
      <c r="AK245" s="9" t="inlineStr">
        <is>
          <t>16AWG</t>
        </is>
      </c>
      <c r="AL245" s="9" t="inlineStr">
        <is>
          <t>Levy Ostrup</t>
        </is>
      </c>
      <c r="AM245" s="9" t="n"/>
      <c r="AN245" s="9" t="n"/>
    </row>
    <row r="246">
      <c r="A246" s="9" t="inlineStr">
        <is>
          <t>RTD Cable</t>
        </is>
      </c>
      <c r="B246" s="9" t="inlineStr">
        <is>
          <t>29103-ET-PG2601-2-R-1</t>
        </is>
      </c>
      <c r="C246" s="9" t="inlineStr">
        <is>
          <t>29103-ET-PG2601-2</t>
        </is>
      </c>
      <c r="D246" s="9" t="inlineStr">
        <is>
          <t>29103-HTP-005 HTC-19</t>
        </is>
      </c>
      <c r="E246" s="9" t="inlineStr">
        <is>
          <t>29103-HTP-005</t>
        </is>
      </c>
      <c r="F246" s="9" t="inlineStr"/>
      <c r="G246" s="9" t="inlineStr">
        <is>
          <t>113</t>
        </is>
      </c>
      <c r="H246" s="9" t="inlineStr">
        <is>
          <t>29103-ET-PG2601-2-R-1.pdf</t>
        </is>
      </c>
      <c r="I246" s="4" t="str">
        <f>IF($H246&lt;&gt;"","YES","NO")</f>
        <v>YES</v>
      </c>
      <c r="J246" s="4" t="str">
        <f>IF(N($T246)&gt;0,"YES","NO")</f>
        <v>NO</v>
      </c>
      <c r="K246" s="4" t="str">
        <f>IF(OR($A246="EHT Trace"),IF(AND($U246&lt;&gt;"",$V246&lt;&gt;""),"YES","NO"),"N/A")</f>
        <v>N/A</v>
      </c>
      <c r="L246" s="4" t="str">
        <f>IF(OR($A246="EHT Trace"),IF(AND($X246&lt;&gt;"",$Y246&lt;&gt;""),"YES","NO"),"N/A")</f>
        <v>N/A</v>
      </c>
      <c r="M246" s="4" t="str">
        <f>IF(OR($A246="EHT Trace"),IF(AND($AA246&lt;&gt;"",$AB246&lt;&gt;""),"YES","NO"),"N/A")</f>
        <v>N/A</v>
      </c>
      <c r="N246" s="4" t="str">
        <f>IF(OR($A246="Power Cable"),IF(AND($AD246&lt;&gt;""),"YES","NO"),"N/A")</f>
        <v>N/A</v>
      </c>
      <c r="O246" s="4" t="str">
        <f>IF(OR($A246="Power Cable",$A246="RTD Cable",$A246="Fieldbus Cable"),IF(AND($AE246&lt;&gt;""),"YES","NO"),"N/A")</f>
        <v>NO</v>
      </c>
      <c r="P246" s="4" t="str">
        <f>IF(OR($A246="RTD"),IF(AND($AH246&lt;&gt;""),"YES","NO"),"N/A")</f>
        <v>N/A</v>
      </c>
      <c r="Q246" s="4" t="str">
        <f>IF(OR($A246="RTD"),IF(AND($AI246&lt;&gt;""),"YES","NO"),"N/A")</f>
        <v>N/A</v>
      </c>
      <c r="R246" s="4" t="str">
        <f>IF(OR($AM246&lt;&gt;"",$Z246&lt;&gt;"",$AC246&lt;&gt;""),"YES","NO")</f>
        <v>NO</v>
      </c>
      <c r="S246" s="4" t="str">
        <f>IF(COUNTIF(I246:R246,"NO")=0,"YES","NO")</f>
        <v>NO</v>
      </c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inlineStr">
        <is>
          <t>ACIC</t>
        </is>
      </c>
      <c r="AK246" s="9" t="inlineStr">
        <is>
          <t>16AWG</t>
        </is>
      </c>
      <c r="AL246" s="9" t="inlineStr">
        <is>
          <t>Levy Ostrup</t>
        </is>
      </c>
      <c r="AM246" s="9" t="n"/>
      <c r="AN246" s="9" t="n"/>
    </row>
    <row r="247">
      <c r="A247" s="9" t="inlineStr">
        <is>
          <t>RTD Cable</t>
        </is>
      </c>
      <c r="B247" s="9" t="inlineStr">
        <is>
          <t>29103-ET-PG2701-1-R-1</t>
        </is>
      </c>
      <c r="C247" s="9" t="inlineStr">
        <is>
          <t>29103-ET-PG2701-1</t>
        </is>
      </c>
      <c r="D247" s="9" t="inlineStr">
        <is>
          <t>29103-HTP-005 HTC-23</t>
        </is>
      </c>
      <c r="E247" s="9" t="inlineStr">
        <is>
          <t>29103-HTP-005</t>
        </is>
      </c>
      <c r="F247" s="9" t="inlineStr"/>
      <c r="G247" s="9" t="inlineStr">
        <is>
          <t>113</t>
        </is>
      </c>
      <c r="H247" s="9" t="inlineStr">
        <is>
          <t>29103-ET-PG2701-1-R-1.pdf</t>
        </is>
      </c>
      <c r="I247" s="4" t="str">
        <f>IF($H247&lt;&gt;"","YES","NO")</f>
        <v>YES</v>
      </c>
      <c r="J247" s="4" t="str">
        <f>IF(N($T247)&gt;0,"YES","NO")</f>
        <v>NO</v>
      </c>
      <c r="K247" s="4" t="str">
        <f>IF(OR($A247="EHT Trace"),IF(AND($U247&lt;&gt;"",$V247&lt;&gt;""),"YES","NO"),"N/A")</f>
        <v>N/A</v>
      </c>
      <c r="L247" s="4" t="str">
        <f>IF(OR($A247="EHT Trace"),IF(AND($X247&lt;&gt;"",$Y247&lt;&gt;""),"YES","NO"),"N/A")</f>
        <v>N/A</v>
      </c>
      <c r="M247" s="4" t="str">
        <f>IF(OR($A247="EHT Trace"),IF(AND($AA247&lt;&gt;"",$AB247&lt;&gt;""),"YES","NO"),"N/A")</f>
        <v>N/A</v>
      </c>
      <c r="N247" s="4" t="str">
        <f>IF(OR($A247="Power Cable"),IF(AND($AD247&lt;&gt;""),"YES","NO"),"N/A")</f>
        <v>N/A</v>
      </c>
      <c r="O247" s="4" t="str">
        <f>IF(OR($A247="Power Cable",$A247="RTD Cable",$A247="Fieldbus Cable"),IF(AND($AE247&lt;&gt;""),"YES","NO"),"N/A")</f>
        <v>NO</v>
      </c>
      <c r="P247" s="4" t="str">
        <f>IF(OR($A247="RTD"),IF(AND($AH247&lt;&gt;""),"YES","NO"),"N/A")</f>
        <v>N/A</v>
      </c>
      <c r="Q247" s="4" t="str">
        <f>IF(OR($A247="RTD"),IF(AND($AI247&lt;&gt;""),"YES","NO"),"N/A")</f>
        <v>N/A</v>
      </c>
      <c r="R247" s="4" t="str">
        <f>IF(OR($AM247&lt;&gt;"",$Z247&lt;&gt;"",$AC247&lt;&gt;""),"YES","NO")</f>
        <v>NO</v>
      </c>
      <c r="S247" s="4" t="str">
        <f>IF(COUNTIF(I247:R247,"NO")=0,"YES","NO")</f>
        <v>NO</v>
      </c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inlineStr">
        <is>
          <t>ACIC</t>
        </is>
      </c>
      <c r="AK247" s="9" t="inlineStr">
        <is>
          <t>16AWG</t>
        </is>
      </c>
      <c r="AL247" s="9" t="inlineStr">
        <is>
          <t>Levy Ostrup</t>
        </is>
      </c>
      <c r="AM247" s="9" t="n"/>
      <c r="AN247" s="9" t="n"/>
    </row>
    <row r="248">
      <c r="A248" s="9" t="inlineStr">
        <is>
          <t>RTD Cable</t>
        </is>
      </c>
      <c r="B248" s="9" t="inlineStr">
        <is>
          <t>29103-ET-PG2701-1-R-2</t>
        </is>
      </c>
      <c r="C248" s="9" t="inlineStr">
        <is>
          <t>29103-ET-PG2701-1</t>
        </is>
      </c>
      <c r="D248" s="9" t="inlineStr">
        <is>
          <t>29103-HTP-005 HTC-16</t>
        </is>
      </c>
      <c r="E248" s="9" t="inlineStr">
        <is>
          <t>29103-HTP-005</t>
        </is>
      </c>
      <c r="F248" s="9" t="inlineStr"/>
      <c r="G248" s="9" t="inlineStr">
        <is>
          <t>113</t>
        </is>
      </c>
      <c r="H248" s="9" t="inlineStr">
        <is>
          <t>29103-ET-PG2701-1-R-2.pdf</t>
        </is>
      </c>
      <c r="I248" s="4" t="str">
        <f>IF($H248&lt;&gt;"","YES","NO")</f>
        <v>YES</v>
      </c>
      <c r="J248" s="4" t="str">
        <f>IF(N($T248)&gt;0,"YES","NO")</f>
        <v>NO</v>
      </c>
      <c r="K248" s="4" t="str">
        <f>IF(OR($A248="EHT Trace"),IF(AND($U248&lt;&gt;"",$V248&lt;&gt;""),"YES","NO"),"N/A")</f>
        <v>N/A</v>
      </c>
      <c r="L248" s="4" t="str">
        <f>IF(OR($A248="EHT Trace"),IF(AND($X248&lt;&gt;"",$Y248&lt;&gt;""),"YES","NO"),"N/A")</f>
        <v>N/A</v>
      </c>
      <c r="M248" s="4" t="str">
        <f>IF(OR($A248="EHT Trace"),IF(AND($AA248&lt;&gt;"",$AB248&lt;&gt;""),"YES","NO"),"N/A")</f>
        <v>N/A</v>
      </c>
      <c r="N248" s="4" t="str">
        <f>IF(OR($A248="Power Cable"),IF(AND($AD248&lt;&gt;""),"YES","NO"),"N/A")</f>
        <v>N/A</v>
      </c>
      <c r="O248" s="4" t="str">
        <f>IF(OR($A248="Power Cable",$A248="RTD Cable",$A248="Fieldbus Cable"),IF(AND($AE248&lt;&gt;""),"YES","NO"),"N/A")</f>
        <v>NO</v>
      </c>
      <c r="P248" s="4" t="str">
        <f>IF(OR($A248="RTD"),IF(AND($AH248&lt;&gt;""),"YES","NO"),"N/A")</f>
        <v>N/A</v>
      </c>
      <c r="Q248" s="4" t="str">
        <f>IF(OR($A248="RTD"),IF(AND($AI248&lt;&gt;""),"YES","NO"),"N/A")</f>
        <v>N/A</v>
      </c>
      <c r="R248" s="4" t="str">
        <f>IF(OR($AM248&lt;&gt;"",$Z248&lt;&gt;"",$AC248&lt;&gt;""),"YES","NO")</f>
        <v>NO</v>
      </c>
      <c r="S248" s="4" t="str">
        <f>IF(COUNTIF(I248:R248,"NO")=0,"YES","NO")</f>
        <v>NO</v>
      </c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inlineStr">
        <is>
          <t>ACIC</t>
        </is>
      </c>
      <c r="AK248" s="9" t="inlineStr">
        <is>
          <t>16AWG</t>
        </is>
      </c>
      <c r="AL248" s="9" t="inlineStr">
        <is>
          <t>Levy Ostrup</t>
        </is>
      </c>
      <c r="AM248" s="9" t="n"/>
      <c r="AN248" s="9" t="n"/>
    </row>
    <row r="249">
      <c r="A249" s="9" t="inlineStr">
        <is>
          <t>RTD Cable</t>
        </is>
      </c>
      <c r="B249" s="9" t="inlineStr">
        <is>
          <t>29103-ET-PG2701-2-R-1</t>
        </is>
      </c>
      <c r="C249" s="9" t="inlineStr">
        <is>
          <t>29103-ET-PG2701-2</t>
        </is>
      </c>
      <c r="D249" s="9" t="inlineStr">
        <is>
          <t>29103-HTP-005 HTC-30</t>
        </is>
      </c>
      <c r="E249" s="9" t="inlineStr">
        <is>
          <t>29103-HTP-005</t>
        </is>
      </c>
      <c r="F249" s="9" t="inlineStr"/>
      <c r="G249" s="9" t="inlineStr">
        <is>
          <t>113</t>
        </is>
      </c>
      <c r="H249" s="9" t="inlineStr">
        <is>
          <t>29103-ET-PG2701-2-R-1.pdf</t>
        </is>
      </c>
      <c r="I249" s="4" t="str">
        <f>IF($H249&lt;&gt;"","YES","NO")</f>
        <v>YES</v>
      </c>
      <c r="J249" s="4" t="str">
        <f>IF(N($T249)&gt;0,"YES","NO")</f>
        <v>NO</v>
      </c>
      <c r="K249" s="4" t="str">
        <f>IF(OR($A249="EHT Trace"),IF(AND($U249&lt;&gt;"",$V249&lt;&gt;""),"YES","NO"),"N/A")</f>
        <v>N/A</v>
      </c>
      <c r="L249" s="4" t="str">
        <f>IF(OR($A249="EHT Trace"),IF(AND($X249&lt;&gt;"",$Y249&lt;&gt;""),"YES","NO"),"N/A")</f>
        <v>N/A</v>
      </c>
      <c r="M249" s="4" t="str">
        <f>IF(OR($A249="EHT Trace"),IF(AND($AA249&lt;&gt;"",$AB249&lt;&gt;""),"YES","NO"),"N/A")</f>
        <v>N/A</v>
      </c>
      <c r="N249" s="4" t="str">
        <f>IF(OR($A249="Power Cable"),IF(AND($AD249&lt;&gt;""),"YES","NO"),"N/A")</f>
        <v>N/A</v>
      </c>
      <c r="O249" s="4" t="str">
        <f>IF(OR($A249="Power Cable",$A249="RTD Cable",$A249="Fieldbus Cable"),IF(AND($AE249&lt;&gt;""),"YES","NO"),"N/A")</f>
        <v>NO</v>
      </c>
      <c r="P249" s="4" t="str">
        <f>IF(OR($A249="RTD"),IF(AND($AH249&lt;&gt;""),"YES","NO"),"N/A")</f>
        <v>N/A</v>
      </c>
      <c r="Q249" s="4" t="str">
        <f>IF(OR($A249="RTD"),IF(AND($AI249&lt;&gt;""),"YES","NO"),"N/A")</f>
        <v>N/A</v>
      </c>
      <c r="R249" s="4" t="str">
        <f>IF(OR($AM249&lt;&gt;"",$Z249&lt;&gt;"",$AC249&lt;&gt;""),"YES","NO")</f>
        <v>NO</v>
      </c>
      <c r="S249" s="4" t="str">
        <f>IF(COUNTIF(I249:R249,"NO")=0,"YES","NO")</f>
        <v>NO</v>
      </c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inlineStr">
        <is>
          <t>ACIC</t>
        </is>
      </c>
      <c r="AK249" s="9" t="inlineStr">
        <is>
          <t>16AWG</t>
        </is>
      </c>
      <c r="AL249" s="9" t="inlineStr">
        <is>
          <t>Levy Ostrup</t>
        </is>
      </c>
      <c r="AM249" s="9" t="n"/>
      <c r="AN249" s="9" t="n"/>
    </row>
    <row r="250">
      <c r="A250" s="9" t="inlineStr">
        <is>
          <t>RTD Cable</t>
        </is>
      </c>
      <c r="B250" s="9" t="inlineStr">
        <is>
          <t>29103-RJB-012</t>
        </is>
      </c>
      <c r="C250" s="9" t="inlineStr"/>
      <c r="D250" s="9" t="inlineStr">
        <is>
          <t>29103-HTP-005 HTC-07</t>
        </is>
      </c>
      <c r="E250" s="9" t="inlineStr">
        <is>
          <t>29103-HTP-005</t>
        </is>
      </c>
      <c r="F250" s="9" t="inlineStr"/>
      <c r="G250" s="9" t="inlineStr">
        <is>
          <t>113</t>
        </is>
      </c>
      <c r="H250" s="9" t="inlineStr">
        <is>
          <t>29103-RJB-012.pdf</t>
        </is>
      </c>
      <c r="I250" s="4" t="str">
        <f>IF($H250&lt;&gt;"","YES","NO")</f>
        <v>YES</v>
      </c>
      <c r="J250" s="4" t="str">
        <f>IF(N($T250)&gt;0,"YES","NO")</f>
        <v>NO</v>
      </c>
      <c r="K250" s="4" t="str">
        <f>IF(OR($A250="EHT Trace"),IF(AND($U250&lt;&gt;"",$V250&lt;&gt;""),"YES","NO"),"N/A")</f>
        <v>N/A</v>
      </c>
      <c r="L250" s="4" t="str">
        <f>IF(OR($A250="EHT Trace"),IF(AND($X250&lt;&gt;"",$Y250&lt;&gt;""),"YES","NO"),"N/A")</f>
        <v>N/A</v>
      </c>
      <c r="M250" s="4" t="str">
        <f>IF(OR($A250="EHT Trace"),IF(AND($AA250&lt;&gt;"",$AB250&lt;&gt;""),"YES","NO"),"N/A")</f>
        <v>N/A</v>
      </c>
      <c r="N250" s="4" t="str">
        <f>IF(OR($A250="Power Cable"),IF(AND($AD250&lt;&gt;""),"YES","NO"),"N/A")</f>
        <v>N/A</v>
      </c>
      <c r="O250" s="4" t="str">
        <f>IF(OR($A250="Power Cable",$A250="RTD Cable",$A250="Fieldbus Cable"),IF(AND($AE250&lt;&gt;""),"YES","NO"),"N/A")</f>
        <v>NO</v>
      </c>
      <c r="P250" s="4" t="str">
        <f>IF(OR($A250="RTD"),IF(AND($AH250&lt;&gt;""),"YES","NO"),"N/A")</f>
        <v>N/A</v>
      </c>
      <c r="Q250" s="4" t="str">
        <f>IF(OR($A250="RTD"),IF(AND($AI250&lt;&gt;""),"YES","NO"),"N/A")</f>
        <v>N/A</v>
      </c>
      <c r="R250" s="4" t="str">
        <f>IF(OR($AM250&lt;&gt;"",$Z250&lt;&gt;"",$AC250&lt;&gt;""),"YES","NO")</f>
        <v>NO</v>
      </c>
      <c r="S250" s="4" t="str">
        <f>IF(COUNTIF(I250:R250,"NO")=0,"YES","NO")</f>
        <v>NO</v>
      </c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inlineStr">
        <is>
          <t>ACIC</t>
        </is>
      </c>
      <c r="AK250" s="9" t="inlineStr">
        <is>
          <t>16AWG</t>
        </is>
      </c>
      <c r="AL250" s="9" t="inlineStr">
        <is>
          <t>Levy Ostrup</t>
        </is>
      </c>
      <c r="AM250" s="9" t="n"/>
      <c r="AN250" s="9" t="n"/>
    </row>
    <row r="251">
      <c r="A251" s="9" t="inlineStr">
        <is>
          <t>RTD Cable</t>
        </is>
      </c>
      <c r="B251" s="9" t="inlineStr">
        <is>
          <t>29103-RJB-013</t>
        </is>
      </c>
      <c r="C251" s="9" t="inlineStr"/>
      <c r="D251" s="9" t="inlineStr">
        <is>
          <t>29103-HTP-005 HTC-12</t>
        </is>
      </c>
      <c r="E251" s="9" t="inlineStr">
        <is>
          <t>29103-HTP-005</t>
        </is>
      </c>
      <c r="F251" s="9" t="inlineStr"/>
      <c r="G251" s="9" t="inlineStr">
        <is>
          <t>113</t>
        </is>
      </c>
      <c r="H251" s="9" t="inlineStr">
        <is>
          <t>29103-RJB-013.pdf</t>
        </is>
      </c>
      <c r="I251" s="4" t="str">
        <f>IF($H251&lt;&gt;"","YES","NO")</f>
        <v>YES</v>
      </c>
      <c r="J251" s="4" t="str">
        <f>IF(N($T251)&gt;0,"YES","NO")</f>
        <v>NO</v>
      </c>
      <c r="K251" s="4" t="str">
        <f>IF(OR($A251="EHT Trace"),IF(AND($U251&lt;&gt;"",$V251&lt;&gt;""),"YES","NO"),"N/A")</f>
        <v>N/A</v>
      </c>
      <c r="L251" s="4" t="str">
        <f>IF(OR($A251="EHT Trace"),IF(AND($X251&lt;&gt;"",$Y251&lt;&gt;""),"YES","NO"),"N/A")</f>
        <v>N/A</v>
      </c>
      <c r="M251" s="4" t="str">
        <f>IF(OR($A251="EHT Trace"),IF(AND($AA251&lt;&gt;"",$AB251&lt;&gt;""),"YES","NO"),"N/A")</f>
        <v>N/A</v>
      </c>
      <c r="N251" s="4" t="str">
        <f>IF(OR($A251="Power Cable"),IF(AND($AD251&lt;&gt;""),"YES","NO"),"N/A")</f>
        <v>N/A</v>
      </c>
      <c r="O251" s="4" t="str">
        <f>IF(OR($A251="Power Cable",$A251="RTD Cable",$A251="Fieldbus Cable"),IF(AND($AE251&lt;&gt;""),"YES","NO"),"N/A")</f>
        <v>NO</v>
      </c>
      <c r="P251" s="4" t="str">
        <f>IF(OR($A251="RTD"),IF(AND($AH251&lt;&gt;""),"YES","NO"),"N/A")</f>
        <v>N/A</v>
      </c>
      <c r="Q251" s="4" t="str">
        <f>IF(OR($A251="RTD"),IF(AND($AI251&lt;&gt;""),"YES","NO"),"N/A")</f>
        <v>N/A</v>
      </c>
      <c r="R251" s="4" t="str">
        <f>IF(OR($AM251&lt;&gt;"",$Z251&lt;&gt;"",$AC251&lt;&gt;""),"YES","NO")</f>
        <v>NO</v>
      </c>
      <c r="S251" s="4" t="str">
        <f>IF(COUNTIF(I251:R251,"NO")=0,"YES","NO")</f>
        <v>NO</v>
      </c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inlineStr">
        <is>
          <t>ACIC</t>
        </is>
      </c>
      <c r="AK251" s="9" t="inlineStr">
        <is>
          <t>16AWG</t>
        </is>
      </c>
      <c r="AL251" s="9" t="inlineStr">
        <is>
          <t>Levy Ostrup</t>
        </is>
      </c>
      <c r="AM251" s="9" t="n"/>
      <c r="AN251" s="9" t="n"/>
    </row>
    <row r="252">
      <c r="A252" s="9" t="inlineStr">
        <is>
          <t>RTD Cable</t>
        </is>
      </c>
      <c r="B252" s="9" t="inlineStr">
        <is>
          <t>29103-RJB-014</t>
        </is>
      </c>
      <c r="C252" s="9" t="inlineStr"/>
      <c r="D252" s="9" t="inlineStr">
        <is>
          <t>29103-HTP-005 HTC-03</t>
        </is>
      </c>
      <c r="E252" s="9" t="inlineStr">
        <is>
          <t>29103-HTP-005</t>
        </is>
      </c>
      <c r="F252" s="9" t="inlineStr"/>
      <c r="G252" s="9" t="inlineStr">
        <is>
          <t>113</t>
        </is>
      </c>
      <c r="H252" s="9" t="inlineStr">
        <is>
          <t>29103-RJB-014.pdf</t>
        </is>
      </c>
      <c r="I252" s="4" t="str">
        <f>IF($H252&lt;&gt;"","YES","NO")</f>
        <v>YES</v>
      </c>
      <c r="J252" s="4" t="str">
        <f>IF(N($T252)&gt;0,"YES","NO")</f>
        <v>NO</v>
      </c>
      <c r="K252" s="4" t="str">
        <f>IF(OR($A252="EHT Trace"),IF(AND($U252&lt;&gt;"",$V252&lt;&gt;""),"YES","NO"),"N/A")</f>
        <v>N/A</v>
      </c>
      <c r="L252" s="4" t="str">
        <f>IF(OR($A252="EHT Trace"),IF(AND($X252&lt;&gt;"",$Y252&lt;&gt;""),"YES","NO"),"N/A")</f>
        <v>N/A</v>
      </c>
      <c r="M252" s="4" t="str">
        <f>IF(OR($A252="EHT Trace"),IF(AND($AA252&lt;&gt;"",$AB252&lt;&gt;""),"YES","NO"),"N/A")</f>
        <v>N/A</v>
      </c>
      <c r="N252" s="4" t="str">
        <f>IF(OR($A252="Power Cable"),IF(AND($AD252&lt;&gt;""),"YES","NO"),"N/A")</f>
        <v>N/A</v>
      </c>
      <c r="O252" s="4" t="str">
        <f>IF(OR($A252="Power Cable",$A252="RTD Cable",$A252="Fieldbus Cable"),IF(AND($AE252&lt;&gt;""),"YES","NO"),"N/A")</f>
        <v>NO</v>
      </c>
      <c r="P252" s="4" t="str">
        <f>IF(OR($A252="RTD"),IF(AND($AH252&lt;&gt;""),"YES","NO"),"N/A")</f>
        <v>N/A</v>
      </c>
      <c r="Q252" s="4" t="str">
        <f>IF(OR($A252="RTD"),IF(AND($AI252&lt;&gt;""),"YES","NO"),"N/A")</f>
        <v>N/A</v>
      </c>
      <c r="R252" s="4" t="str">
        <f>IF(OR($AM252&lt;&gt;"",$Z252&lt;&gt;"",$AC252&lt;&gt;""),"YES","NO")</f>
        <v>NO</v>
      </c>
      <c r="S252" s="4" t="str">
        <f>IF(COUNTIF(I252:R252,"NO")=0,"YES","NO")</f>
        <v>NO</v>
      </c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inlineStr">
        <is>
          <t>ACIC</t>
        </is>
      </c>
      <c r="AK252" s="9" t="inlineStr">
        <is>
          <t>16AWG</t>
        </is>
      </c>
      <c r="AL252" s="9" t="inlineStr">
        <is>
          <t>Levy Ostrup</t>
        </is>
      </c>
      <c r="AM252" s="9" t="n"/>
      <c r="AN252" s="9" t="n"/>
    </row>
  </sheetData>
  <autoFilter ref="A4:AN252"/>
  <mergeCells count="3">
    <mergeCell ref="A3:H3"/>
    <mergeCell ref="I3:S3"/>
    <mergeCell ref="T3:AN3"/>
  </mergeCells>
  <conditionalFormatting sqref="I5:S252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"N/A"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27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2" customWidth="1" min="4" max="4"/>
    <col width="20" customWidth="1" min="5" max="5"/>
    <col width="27" customWidth="1" min="6" max="6"/>
    <col width="6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24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60" customWidth="1" min="40" max="40"/>
  </cols>
  <sheetData>
    <row r="1">
      <c r="A1" s="1" t="inlineStr">
        <is>
          <t>29103-HTP-003</t>
        </is>
      </c>
    </row>
    <row r="3">
      <c r="A3" s="6" t="n"/>
      <c r="I3" s="7" t="inlineStr">
        <is>
          <t>CHECKSHEETS</t>
        </is>
      </c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7" t="inlineStr">
        <is>
          <t>TEST RESULTS</t>
        </is>
      </c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</row>
    <row r="4" ht="30" customHeight="1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9" t="inlineStr">
        <is>
          <t>EHT Trace</t>
        </is>
      </c>
      <c r="B5" s="9" t="inlineStr">
        <is>
          <t>29103-ET-FG1305-1-1</t>
        </is>
      </c>
      <c r="C5" s="9" t="inlineStr">
        <is>
          <t>29103-ET-FG1305-1</t>
        </is>
      </c>
      <c r="D5" s="9" t="inlineStr">
        <is>
          <t>29103-AMB-004</t>
        </is>
      </c>
      <c r="E5" s="9" t="inlineStr">
        <is>
          <t>29103-FG-1306, 29103-FG-1305</t>
        </is>
      </c>
      <c r="F5" s="9" t="inlineStr">
        <is>
          <t>29103-65R-ET-FG1305-01-01</t>
        </is>
      </c>
      <c r="G5" s="9" t="inlineStr">
        <is>
          <t>13.1</t>
        </is>
      </c>
      <c r="H5" s="9" t="inlineStr">
        <is>
          <t>29103-ET-FG1305-1-1.pdf</t>
        </is>
      </c>
      <c r="I5" s="4" t="str">
        <f>IF($H5&lt;&gt;"","YES","NO")</f>
        <v>YES</v>
      </c>
      <c r="J5" s="4" t="str">
        <f>IF(N($T5)&gt;0,"YES","NO")</f>
        <v>NO</v>
      </c>
      <c r="K5" s="4" t="str">
        <f>IF(OR($A5="EHT Trace"),IF(AND($U5&lt;&gt;"",$V5&lt;&gt;""),"YES","NO"),"N/A")</f>
        <v>YES</v>
      </c>
      <c r="L5" s="4" t="str">
        <f>IF(OR($A5="EHT Trace"),IF(AND($X5&lt;&gt;"",$Y5&lt;&gt;""),"YES","NO"),"N/A")</f>
        <v>NO</v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NO</v>
      </c>
      <c r="S5" s="4" t="str">
        <f>IF(COUNTIF(I5:R5,"NO")=0,"YES","NO")</f>
        <v>NO</v>
      </c>
      <c r="T5" s="9" t="n"/>
      <c r="U5" s="9" t="inlineStr">
        <is>
          <t>&gt;2.2 GΩ</t>
        </is>
      </c>
      <c r="V5" s="9" t="inlineStr">
        <is>
          <t>343.5 Ω</t>
        </is>
      </c>
      <c r="W5" s="9" t="inlineStr">
        <is>
          <t>2026-05-17</t>
        </is>
      </c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inlineStr">
        <is>
          <t>D/32SA2600/16.9M/230/277/1.2M/LS23A/X/N12</t>
        </is>
      </c>
      <c r="AK5" s="9" t="inlineStr">
        <is>
          <t>16.9 m m</t>
        </is>
      </c>
      <c r="AL5" s="9" t="inlineStr">
        <is>
          <t>Levy Ostrup</t>
        </is>
      </c>
      <c r="AM5" s="9" t="n"/>
      <c r="AN5" s="9" t="n"/>
    </row>
    <row r="6">
      <c r="A6" s="9" t="inlineStr">
        <is>
          <t>EHT Trace</t>
        </is>
      </c>
      <c r="B6" s="9" t="inlineStr">
        <is>
          <t>29103-ET-FG1501-1-1</t>
        </is>
      </c>
      <c r="C6" s="9" t="inlineStr">
        <is>
          <t>29103-ET-FG1501-1</t>
        </is>
      </c>
      <c r="D6" s="9" t="inlineStr">
        <is>
          <t>29103-AMB-005</t>
        </is>
      </c>
      <c r="E6" s="9" t="inlineStr">
        <is>
          <t>29103-FG-1501</t>
        </is>
      </c>
      <c r="F6" s="9" t="inlineStr">
        <is>
          <t>29103-65R-ET-FG1501-01-01</t>
        </is>
      </c>
      <c r="G6" s="9" t="inlineStr">
        <is>
          <t>13.1</t>
        </is>
      </c>
      <c r="H6" s="9" t="inlineStr">
        <is>
          <t>29103-ET-FG1501-1-1.pdf</t>
        </is>
      </c>
      <c r="I6" s="4" t="str">
        <f>IF($H6&lt;&gt;"","YES","NO")</f>
        <v>YES</v>
      </c>
      <c r="J6" s="4" t="str">
        <f>IF(N($T6)&gt;0,"YES","NO")</f>
        <v>NO</v>
      </c>
      <c r="K6" s="4" t="str">
        <f>IF(OR($A6="EHT Trace"),IF(AND($U6&lt;&gt;"",$V6&lt;&gt;""),"YES","NO"),"N/A")</f>
        <v>NO</v>
      </c>
      <c r="L6" s="4" t="str">
        <f>IF(OR($A6="EHT Trace"),IF(AND($X6&lt;&gt;"",$Y6&lt;&gt;""),"YES","NO"),"N/A")</f>
        <v>NO</v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inlineStr">
        <is>
          <t>5XTVR2-CT</t>
        </is>
      </c>
      <c r="AK6" s="9" t="inlineStr">
        <is>
          <t>23.4 m m</t>
        </is>
      </c>
      <c r="AL6" s="9" t="inlineStr">
        <is>
          <t>Levy Ostrup</t>
        </is>
      </c>
      <c r="AM6" s="9" t="n"/>
      <c r="AN6" s="9" t="n"/>
    </row>
    <row r="7">
      <c r="A7" s="9" t="inlineStr">
        <is>
          <t>EHT Trace</t>
        </is>
      </c>
      <c r="B7" s="9" t="inlineStr">
        <is>
          <t>29103-ET-FG1501-1-2</t>
        </is>
      </c>
      <c r="C7" s="9" t="inlineStr">
        <is>
          <t>29103-ET-FG1501-1</t>
        </is>
      </c>
      <c r="D7" s="9" t="inlineStr">
        <is>
          <t>29103-AMB-005</t>
        </is>
      </c>
      <c r="E7" s="9" t="inlineStr"/>
      <c r="F7" s="9" t="inlineStr">
        <is>
          <t>29103-65R-ET-FG1501-01-01</t>
        </is>
      </c>
      <c r="G7" s="9" t="inlineStr">
        <is>
          <t>13.1</t>
        </is>
      </c>
      <c r="H7" s="9" t="inlineStr">
        <is>
          <t>29103-ET-FG1501-1-2.pdf</t>
        </is>
      </c>
      <c r="I7" s="4" t="str">
        <f>IF($H7&lt;&gt;"","YES","NO")</f>
        <v>YES</v>
      </c>
      <c r="J7" s="4" t="str">
        <f>IF(N($T7)&gt;0,"YES","NO")</f>
        <v>NO</v>
      </c>
      <c r="K7" s="4" t="str">
        <f>IF(OR($A7="EHT Trace"),IF(AND($U7&lt;&gt;"",$V7&lt;&gt;""),"YES","NO"),"N/A")</f>
        <v>NO</v>
      </c>
      <c r="L7" s="4" t="str">
        <f>IF(OR($A7="EHT Trace"),IF(AND($X7&lt;&gt;"",$Y7&lt;&gt;""),"YES","NO"),"N/A")</f>
        <v>NO</v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inlineStr">
        <is>
          <t>5XTVR2-CT</t>
        </is>
      </c>
      <c r="AK7" s="9" t="inlineStr">
        <is>
          <t>1.2 m m</t>
        </is>
      </c>
      <c r="AL7" s="9" t="inlineStr">
        <is>
          <t>Levy Ostrup</t>
        </is>
      </c>
      <c r="AM7" s="9" t="n"/>
      <c r="AN7" s="9" t="n"/>
    </row>
    <row r="8">
      <c r="A8" s="9" t="inlineStr">
        <is>
          <t>EHT Trace</t>
        </is>
      </c>
      <c r="B8" s="9" t="inlineStr">
        <is>
          <t>29103-ET-FG1503-1-1</t>
        </is>
      </c>
      <c r="C8" s="9" t="inlineStr">
        <is>
          <t>29103-ET-FG1503-1</t>
        </is>
      </c>
      <c r="D8" s="9" t="inlineStr">
        <is>
          <t>29103-AMB-005</t>
        </is>
      </c>
      <c r="E8" s="9" t="inlineStr">
        <is>
          <t>29103-FG-1503</t>
        </is>
      </c>
      <c r="F8" s="9" t="inlineStr">
        <is>
          <t>29103-65R-ET-FG1503-01-01</t>
        </is>
      </c>
      <c r="G8" s="9" t="inlineStr">
        <is>
          <t>13.1</t>
        </is>
      </c>
      <c r="H8" s="9" t="inlineStr">
        <is>
          <t>29103-ET-FG1503-1-1.pdf</t>
        </is>
      </c>
      <c r="I8" s="4" t="str">
        <f>IF($H8&lt;&gt;"","YES","NO")</f>
        <v>YES</v>
      </c>
      <c r="J8" s="4" t="str">
        <f>IF(N($T8)&gt;0,"YES","NO")</f>
        <v>NO</v>
      </c>
      <c r="K8" s="4" t="str">
        <f>IF(OR($A8="EHT Trace"),IF(AND($U8&lt;&gt;"",$V8&lt;&gt;""),"YES","NO"),"N/A")</f>
        <v>NO</v>
      </c>
      <c r="L8" s="4" t="str">
        <f>IF(OR($A8="EHT Trace"),IF(AND($X8&lt;&gt;"",$Y8&lt;&gt;""),"YES","NO"),"N/A")</f>
        <v>NO</v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NO</v>
      </c>
      <c r="S8" s="4" t="str">
        <f>IF(COUNTIF(I8:R8,"NO")=0,"YES","NO")</f>
        <v>NO</v>
      </c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inlineStr">
        <is>
          <t>5XTVR2-CT</t>
        </is>
      </c>
      <c r="AK8" s="9" t="inlineStr">
        <is>
          <t>12.9 m m</t>
        </is>
      </c>
      <c r="AL8" s="9" t="inlineStr">
        <is>
          <t>Levy Ostrup</t>
        </is>
      </c>
      <c r="AM8" s="9" t="n"/>
      <c r="AN8" s="9" t="n"/>
    </row>
    <row r="9">
      <c r="A9" s="9" t="inlineStr">
        <is>
          <t>EHT Trace</t>
        </is>
      </c>
      <c r="B9" s="9" t="inlineStr">
        <is>
          <t>29103-ET-FG1503-1-2</t>
        </is>
      </c>
      <c r="C9" s="9" t="inlineStr">
        <is>
          <t>29103-ET-FG1503-1</t>
        </is>
      </c>
      <c r="D9" s="9" t="inlineStr">
        <is>
          <t>29103-AMB-005</t>
        </is>
      </c>
      <c r="E9" s="9" t="inlineStr">
        <is>
          <t>29103-FG-1503</t>
        </is>
      </c>
      <c r="F9" s="9" t="inlineStr">
        <is>
          <t>29103-65R-ET-FG1503-01-01</t>
        </is>
      </c>
      <c r="G9" s="9" t="inlineStr">
        <is>
          <t>13.1</t>
        </is>
      </c>
      <c r="H9" s="9" t="inlineStr">
        <is>
          <t>29103-ET-FG1503-1-2.pdf</t>
        </is>
      </c>
      <c r="I9" s="4" t="str">
        <f>IF($H9&lt;&gt;"","YES","NO")</f>
        <v>YES</v>
      </c>
      <c r="J9" s="4" t="str">
        <f>IF(N($T9)&gt;0,"YES","NO")</f>
        <v>NO</v>
      </c>
      <c r="K9" s="4" t="str">
        <f>IF(OR($A9="EHT Trace"),IF(AND($U9&lt;&gt;"",$V9&lt;&gt;""),"YES","NO"),"N/A")</f>
        <v>NO</v>
      </c>
      <c r="L9" s="4" t="str">
        <f>IF(OR($A9="EHT Trace"),IF(AND($X9&lt;&gt;"",$Y9&lt;&gt;""),"YES","NO"),"N/A")</f>
        <v>NO</v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NO</v>
      </c>
      <c r="S9" s="4" t="str">
        <f>IF(COUNTIF(I9:R9,"NO")=0,"YES","NO")</f>
        <v>NO</v>
      </c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inlineStr">
        <is>
          <t>5XTVR2-CT</t>
        </is>
      </c>
      <c r="AK9" s="9" t="inlineStr">
        <is>
          <t>14.4 m m</t>
        </is>
      </c>
      <c r="AL9" s="9" t="inlineStr">
        <is>
          <t>Levy Ostrup</t>
        </is>
      </c>
      <c r="AM9" s="9" t="n"/>
      <c r="AN9" s="9" t="n"/>
    </row>
    <row r="10">
      <c r="A10" s="9" t="inlineStr">
        <is>
          <t>EHT Trace</t>
        </is>
      </c>
      <c r="B10" s="9" t="inlineStr">
        <is>
          <t>29103-ET-FG1503-1-3</t>
        </is>
      </c>
      <c r="C10" s="9" t="inlineStr">
        <is>
          <t>29103-ET-FG1503-1</t>
        </is>
      </c>
      <c r="D10" s="9" t="inlineStr">
        <is>
          <t>29103-AMB-005</t>
        </is>
      </c>
      <c r="E10" s="9" t="inlineStr"/>
      <c r="F10" s="9" t="inlineStr">
        <is>
          <t>29103-65R-ET-FG1503-01-01</t>
        </is>
      </c>
      <c r="G10" s="9" t="inlineStr">
        <is>
          <t>13.1</t>
        </is>
      </c>
      <c r="H10" s="9" t="inlineStr">
        <is>
          <t>29103-ET-FG1503-1-3.pdf</t>
        </is>
      </c>
      <c r="I10" s="4" t="str">
        <f>IF($H10&lt;&gt;"","YES","NO")</f>
        <v>YES</v>
      </c>
      <c r="J10" s="4" t="str">
        <f>IF(N($T10)&gt;0,"YES","NO")</f>
        <v>NO</v>
      </c>
      <c r="K10" s="4" t="str">
        <f>IF(OR($A10="EHT Trace"),IF(AND($U10&lt;&gt;"",$V10&lt;&gt;""),"YES","NO"),"N/A")</f>
        <v>NO</v>
      </c>
      <c r="L10" s="4" t="str">
        <f>IF(OR($A10="EHT Trace"),IF(AND($X10&lt;&gt;"",$Y10&lt;&gt;""),"YES","NO"),"N/A")</f>
        <v>NO</v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inlineStr">
        <is>
          <t>5XTVR2-CT</t>
        </is>
      </c>
      <c r="AK10" s="9" t="inlineStr">
        <is>
          <t>6.5 m m</t>
        </is>
      </c>
      <c r="AL10" s="9" t="inlineStr">
        <is>
          <t>Levy Ostrup</t>
        </is>
      </c>
      <c r="AM10" s="9" t="n"/>
      <c r="AN10" s="9" t="n"/>
    </row>
    <row r="11">
      <c r="A11" s="9" t="inlineStr">
        <is>
          <t>EHT Trace</t>
        </is>
      </c>
      <c r="B11" s="9" t="inlineStr">
        <is>
          <t>29103-ET-FG1503-1-4</t>
        </is>
      </c>
      <c r="C11" s="9" t="inlineStr">
        <is>
          <t>29103-ET-FG1503-1</t>
        </is>
      </c>
      <c r="D11" s="9" t="inlineStr">
        <is>
          <t>29103-AMB-005</t>
        </is>
      </c>
      <c r="E11" s="9" t="inlineStr"/>
      <c r="F11" s="9" t="inlineStr">
        <is>
          <t>29103-65R-ET-FG1503-01-01</t>
        </is>
      </c>
      <c r="G11" s="9" t="inlineStr">
        <is>
          <t>13.1</t>
        </is>
      </c>
      <c r="H11" s="9" t="inlineStr">
        <is>
          <t>29103-ET-FG1503-1-4.pdf</t>
        </is>
      </c>
      <c r="I11" s="4" t="str">
        <f>IF($H11&lt;&gt;"","YES","NO")</f>
        <v>YES</v>
      </c>
      <c r="J11" s="4" t="str">
        <f>IF(N($T11)&gt;0,"YES","NO")</f>
        <v>NO</v>
      </c>
      <c r="K11" s="4" t="str">
        <f>IF(OR($A11="EHT Trace"),IF(AND($U11&lt;&gt;"",$V11&lt;&gt;""),"YES","NO"),"N/A")</f>
        <v>NO</v>
      </c>
      <c r="L11" s="4" t="str">
        <f>IF(OR($A11="EHT Trace"),IF(AND($X11&lt;&gt;"",$Y11&lt;&gt;""),"YES","NO"),"N/A")</f>
        <v>NO</v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inlineStr">
        <is>
          <t>5XTVR2-CT</t>
        </is>
      </c>
      <c r="AK11" s="9" t="inlineStr">
        <is>
          <t>13.1 m m</t>
        </is>
      </c>
      <c r="AL11" s="9" t="inlineStr">
        <is>
          <t>Levy Ostrup</t>
        </is>
      </c>
      <c r="AM11" s="9" t="n"/>
      <c r="AN11" s="9" t="n"/>
    </row>
    <row r="12">
      <c r="A12" s="9" t="inlineStr">
        <is>
          <t>EHT Trace</t>
        </is>
      </c>
      <c r="B12" s="9" t="inlineStr">
        <is>
          <t>29103-ET-FG1505-1-1</t>
        </is>
      </c>
      <c r="C12" s="9" t="inlineStr">
        <is>
          <t>29103-ET-FG1505-1</t>
        </is>
      </c>
      <c r="D12" s="9" t="inlineStr">
        <is>
          <t>29103-AMB-006</t>
        </is>
      </c>
      <c r="E12" s="9" t="inlineStr">
        <is>
          <t>29103-FG-1506, 29103-FG-1505</t>
        </is>
      </c>
      <c r="F12" s="9" t="inlineStr">
        <is>
          <t>29103-65R-ET-FG1505-01-01</t>
        </is>
      </c>
      <c r="G12" s="9" t="inlineStr">
        <is>
          <t>13.1</t>
        </is>
      </c>
      <c r="H12" s="9" t="inlineStr">
        <is>
          <t>29103-ET-FG1505-1-1.pdf</t>
        </is>
      </c>
      <c r="I12" s="4" t="str">
        <f>IF($H12&lt;&gt;"","YES","NO")</f>
        <v>YES</v>
      </c>
      <c r="J12" s="4" t="str">
        <f>IF(N($T12)&gt;0,"YES","NO")</f>
        <v>NO</v>
      </c>
      <c r="K12" s="4" t="str">
        <f>IF(OR($A12="EHT Trace"),IF(AND($U12&lt;&gt;"",$V12&lt;&gt;""),"YES","NO"),"N/A")</f>
        <v>YES</v>
      </c>
      <c r="L12" s="4" t="str">
        <f>IF(OR($A12="EHT Trace"),IF(AND($X12&lt;&gt;"",$Y12&lt;&gt;""),"YES","NO"),"N/A")</f>
        <v>NO</v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NO</v>
      </c>
      <c r="S12" s="4" t="str">
        <f>IF(COUNTIF(I12:R12,"NO")=0,"YES","NO")</f>
        <v>NO</v>
      </c>
      <c r="T12" s="9" t="n"/>
      <c r="U12" s="9" t="inlineStr">
        <is>
          <t>&gt;2.2 GΩ</t>
        </is>
      </c>
      <c r="V12" s="9" t="inlineStr">
        <is>
          <t>341.3 Ω</t>
        </is>
      </c>
      <c r="W12" s="9" t="inlineStr">
        <is>
          <t>2026-05-17</t>
        </is>
      </c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inlineStr">
        <is>
          <t>D/32SA2600/16.9M/230/277/1.2M/LS23A/X/N12</t>
        </is>
      </c>
      <c r="AK12" s="9" t="inlineStr">
        <is>
          <t>16.9 m m</t>
        </is>
      </c>
      <c r="AL12" s="9" t="inlineStr">
        <is>
          <t>Levy Ostrup</t>
        </is>
      </c>
      <c r="AM12" s="9" t="n"/>
      <c r="AN12" s="9" t="n"/>
    </row>
    <row r="13">
      <c r="A13" s="9" t="inlineStr">
        <is>
          <t>EHT Trace</t>
        </is>
      </c>
      <c r="B13" s="9" t="inlineStr">
        <is>
          <t>29103-ET-FG1601-1-1</t>
        </is>
      </c>
      <c r="C13" s="9" t="inlineStr">
        <is>
          <t>29103-ET-FG1601-1</t>
        </is>
      </c>
      <c r="D13" s="9" t="inlineStr">
        <is>
          <t>29103-AMB-005</t>
        </is>
      </c>
      <c r="E13" s="9" t="inlineStr">
        <is>
          <t>29103-FG-1601</t>
        </is>
      </c>
      <c r="F13" s="9" t="inlineStr">
        <is>
          <t>29103-65R-ET-FG1601-01-01</t>
        </is>
      </c>
      <c r="G13" s="9" t="inlineStr">
        <is>
          <t>13.1</t>
        </is>
      </c>
      <c r="H13" s="9" t="inlineStr">
        <is>
          <t>29103-ET-FG1601-1-1.pdf</t>
        </is>
      </c>
      <c r="I13" s="4" t="str">
        <f>IF($H13&lt;&gt;"","YES","NO")</f>
        <v>YES</v>
      </c>
      <c r="J13" s="4" t="str">
        <f>IF(N($T13)&gt;0,"YES","NO")</f>
        <v>NO</v>
      </c>
      <c r="K13" s="4" t="str">
        <f>IF(OR($A13="EHT Trace"),IF(AND($U13&lt;&gt;"",$V13&lt;&gt;""),"YES","NO"),"N/A")</f>
        <v>NO</v>
      </c>
      <c r="L13" s="4" t="str">
        <f>IF(OR($A13="EHT Trace"),IF(AND($X13&lt;&gt;"",$Y13&lt;&gt;""),"YES","NO"),"N/A")</f>
        <v>NO</v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NO</v>
      </c>
      <c r="S13" s="4" t="str">
        <f>IF(COUNTIF(I13:R13,"NO")=0,"YES","NO")</f>
        <v>NO</v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inlineStr">
        <is>
          <t>5XTVR2-CT</t>
        </is>
      </c>
      <c r="AK13" s="9" t="inlineStr">
        <is>
          <t>24.5 m m</t>
        </is>
      </c>
      <c r="AL13" s="9" t="inlineStr">
        <is>
          <t>Levy Ostrup</t>
        </is>
      </c>
      <c r="AM13" s="9" t="n"/>
      <c r="AN13" s="9" t="n"/>
    </row>
    <row r="14">
      <c r="A14" s="9" t="inlineStr">
        <is>
          <t>EHT Trace</t>
        </is>
      </c>
      <c r="B14" s="9" t="inlineStr">
        <is>
          <t>29103-ET-FG1603-1-1</t>
        </is>
      </c>
      <c r="C14" s="9" t="inlineStr">
        <is>
          <t>29103-ET-FG1603-1</t>
        </is>
      </c>
      <c r="D14" s="9" t="inlineStr">
        <is>
          <t>29103-AMB-005</t>
        </is>
      </c>
      <c r="E14" s="9" t="inlineStr">
        <is>
          <t>29103-FG-1603</t>
        </is>
      </c>
      <c r="F14" s="9" t="inlineStr">
        <is>
          <t>29103-65R-ET-FG1603-01-01</t>
        </is>
      </c>
      <c r="G14" s="9" t="inlineStr">
        <is>
          <t>13.1</t>
        </is>
      </c>
      <c r="H14" s="9" t="inlineStr">
        <is>
          <t>29103-ET-FG1603-1-1.pdf</t>
        </is>
      </c>
      <c r="I14" s="4" t="str">
        <f>IF($H14&lt;&gt;"","YES","NO")</f>
        <v>YES</v>
      </c>
      <c r="J14" s="4" t="str">
        <f>IF(N($T14)&gt;0,"YES","NO")</f>
        <v>NO</v>
      </c>
      <c r="K14" s="4" t="str">
        <f>IF(OR($A14="EHT Trace"),IF(AND($U14&lt;&gt;"",$V14&lt;&gt;""),"YES","NO"),"N/A")</f>
        <v>NO</v>
      </c>
      <c r="L14" s="4" t="str">
        <f>IF(OR($A14="EHT Trace"),IF(AND($X14&lt;&gt;"",$Y14&lt;&gt;""),"YES","NO"),"N/A")</f>
        <v>NO</v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inlineStr">
        <is>
          <t>5XTVR2-CT</t>
        </is>
      </c>
      <c r="AK14" s="9" t="inlineStr">
        <is>
          <t>12.9 m m</t>
        </is>
      </c>
      <c r="AL14" s="9" t="inlineStr">
        <is>
          <t>Levy Ostrup</t>
        </is>
      </c>
      <c r="AM14" s="9" t="n"/>
      <c r="AN14" s="9" t="n"/>
    </row>
    <row r="15">
      <c r="A15" s="9" t="inlineStr">
        <is>
          <t>EHT Trace</t>
        </is>
      </c>
      <c r="B15" s="9" t="inlineStr">
        <is>
          <t>29103-ET-FG1603-1-2</t>
        </is>
      </c>
      <c r="C15" s="9" t="inlineStr">
        <is>
          <t>29103-ET-FG1603-1</t>
        </is>
      </c>
      <c r="D15" s="9" t="inlineStr">
        <is>
          <t>29103-AMB-005</t>
        </is>
      </c>
      <c r="E15" s="9" t="inlineStr">
        <is>
          <t>29103-FG-1603</t>
        </is>
      </c>
      <c r="F15" s="9" t="inlineStr">
        <is>
          <t>29103-65R-ET-FG1603-01-01</t>
        </is>
      </c>
      <c r="G15" s="9" t="inlineStr">
        <is>
          <t>13.1</t>
        </is>
      </c>
      <c r="H15" s="9" t="inlineStr">
        <is>
          <t>29103-ET-FG1603-1-2.pdf</t>
        </is>
      </c>
      <c r="I15" s="4" t="str">
        <f>IF($H15&lt;&gt;"","YES","NO")</f>
        <v>YES</v>
      </c>
      <c r="J15" s="4" t="str">
        <f>IF(N($T15)&gt;0,"YES","NO")</f>
        <v>NO</v>
      </c>
      <c r="K15" s="4" t="str">
        <f>IF(OR($A15="EHT Trace"),IF(AND($U15&lt;&gt;"",$V15&lt;&gt;""),"YES","NO"),"N/A")</f>
        <v>NO</v>
      </c>
      <c r="L15" s="4" t="str">
        <f>IF(OR($A15="EHT Trace"),IF(AND($X15&lt;&gt;"",$Y15&lt;&gt;""),"YES","NO"),"N/A")</f>
        <v>NO</v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inlineStr">
        <is>
          <t>5XTVR2-CT</t>
        </is>
      </c>
      <c r="AK15" s="9" t="inlineStr">
        <is>
          <t>13.4 m m</t>
        </is>
      </c>
      <c r="AL15" s="9" t="inlineStr">
        <is>
          <t>Levy Ostrup</t>
        </is>
      </c>
      <c r="AM15" s="9" t="n"/>
      <c r="AN15" s="9" t="n"/>
    </row>
    <row r="16">
      <c r="A16" s="9" t="inlineStr">
        <is>
          <t>EHT Trace</t>
        </is>
      </c>
      <c r="B16" s="9" t="inlineStr">
        <is>
          <t>29103-ET-FG1603-1-3</t>
        </is>
      </c>
      <c r="C16" s="9" t="inlineStr">
        <is>
          <t>29103-ET-FG1603-1</t>
        </is>
      </c>
      <c r="D16" s="9" t="inlineStr">
        <is>
          <t>29103-AMB-005</t>
        </is>
      </c>
      <c r="E16" s="9" t="inlineStr"/>
      <c r="F16" s="9" t="inlineStr">
        <is>
          <t>29103-65R-ET-FG1603-01-01</t>
        </is>
      </c>
      <c r="G16" s="9" t="inlineStr">
        <is>
          <t>13.1</t>
        </is>
      </c>
      <c r="H16" s="9" t="inlineStr">
        <is>
          <t>29103-ET-FG1603-1-3.pdf</t>
        </is>
      </c>
      <c r="I16" s="4" t="str">
        <f>IF($H16&lt;&gt;"","YES","NO")</f>
        <v>YES</v>
      </c>
      <c r="J16" s="4" t="str">
        <f>IF(N($T16)&gt;0,"YES","NO")</f>
        <v>NO</v>
      </c>
      <c r="K16" s="4" t="str">
        <f>IF(OR($A16="EHT Trace"),IF(AND($U16&lt;&gt;"",$V16&lt;&gt;""),"YES","NO"),"N/A")</f>
        <v>NO</v>
      </c>
      <c r="L16" s="4" t="str">
        <f>IF(OR($A16="EHT Trace"),IF(AND($X16&lt;&gt;"",$Y16&lt;&gt;""),"YES","NO"),"N/A")</f>
        <v>NO</v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inlineStr">
        <is>
          <t>5XTVR2-CT</t>
        </is>
      </c>
      <c r="AK16" s="9" t="inlineStr">
        <is>
          <t>6.1 m m</t>
        </is>
      </c>
      <c r="AL16" s="9" t="inlineStr">
        <is>
          <t>Levy Ostrup</t>
        </is>
      </c>
      <c r="AM16" s="9" t="n"/>
      <c r="AN16" s="9" t="n"/>
    </row>
    <row r="17">
      <c r="A17" s="9" t="inlineStr">
        <is>
          <t>EHT Trace</t>
        </is>
      </c>
      <c r="B17" s="9" t="inlineStr">
        <is>
          <t>29103-ET-FG1603-1-4</t>
        </is>
      </c>
      <c r="C17" s="9" t="inlineStr">
        <is>
          <t>29103-ET-FG1603-1</t>
        </is>
      </c>
      <c r="D17" s="9" t="inlineStr">
        <is>
          <t>29103-AMB-005</t>
        </is>
      </c>
      <c r="E17" s="9" t="inlineStr"/>
      <c r="F17" s="9" t="inlineStr">
        <is>
          <t>29103-65R-ET-FG1603-01-01</t>
        </is>
      </c>
      <c r="G17" s="9" t="inlineStr">
        <is>
          <t>13.1</t>
        </is>
      </c>
      <c r="H17" s="9" t="inlineStr">
        <is>
          <t>29103-ET-FG1603-1-4.pdf</t>
        </is>
      </c>
      <c r="I17" s="4" t="str">
        <f>IF($H17&lt;&gt;"","YES","NO")</f>
        <v>YES</v>
      </c>
      <c r="J17" s="4" t="str">
        <f>IF(N($T17)&gt;0,"YES","NO")</f>
        <v>NO</v>
      </c>
      <c r="K17" s="4" t="str">
        <f>IF(OR($A17="EHT Trace"),IF(AND($U17&lt;&gt;"",$V17&lt;&gt;""),"YES","NO"),"N/A")</f>
        <v>NO</v>
      </c>
      <c r="L17" s="4" t="str">
        <f>IF(OR($A17="EHT Trace"),IF(AND($X17&lt;&gt;"",$Y17&lt;&gt;""),"YES","NO"),"N/A")</f>
        <v>NO</v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inlineStr">
        <is>
          <t>5XTVR2-CT</t>
        </is>
      </c>
      <c r="AK17" s="9" t="inlineStr">
        <is>
          <t>13.1 m m</t>
        </is>
      </c>
      <c r="AL17" s="9" t="inlineStr">
        <is>
          <t>Levy Ostrup</t>
        </is>
      </c>
      <c r="AM17" s="9" t="n"/>
      <c r="AN17" s="9" t="n"/>
    </row>
    <row r="18">
      <c r="A18" s="9" t="inlineStr">
        <is>
          <t>EHT Trace</t>
        </is>
      </c>
      <c r="B18" s="9" t="inlineStr">
        <is>
          <t>29103-ET-FG1701-1-1</t>
        </is>
      </c>
      <c r="C18" s="9" t="inlineStr">
        <is>
          <t>29103-ET-FG1701-1</t>
        </is>
      </c>
      <c r="D18" s="9" t="inlineStr">
        <is>
          <t>HTC-39 / CB-39</t>
        </is>
      </c>
      <c r="E18" s="9" t="inlineStr">
        <is>
          <t>29103-FG-1701</t>
        </is>
      </c>
      <c r="F18" s="9" t="inlineStr">
        <is>
          <t>29103-65R-ET-FG1701-01-01</t>
        </is>
      </c>
      <c r="G18" s="9" t="inlineStr">
        <is>
          <t>13.1</t>
        </is>
      </c>
      <c r="H18" s="9" t="inlineStr">
        <is>
          <t>29103-ET-FG1701-1-1.pdf</t>
        </is>
      </c>
      <c r="I18" s="4" t="str">
        <f>IF($H18&lt;&gt;"","YES","NO")</f>
        <v>YES</v>
      </c>
      <c r="J18" s="4" t="str">
        <f>IF(N($T18)&gt;0,"YES","NO")</f>
        <v>NO</v>
      </c>
      <c r="K18" s="4" t="str">
        <f>IF(OR($A18="EHT Trace"),IF(AND($U18&lt;&gt;"",$V18&lt;&gt;""),"YES","NO"),"N/A")</f>
        <v>NO</v>
      </c>
      <c r="L18" s="4" t="str">
        <f>IF(OR($A18="EHT Trace"),IF(AND($X18&lt;&gt;"",$Y18&lt;&gt;""),"YES","NO"),"N/A")</f>
        <v>NO</v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inlineStr">
        <is>
          <t>5XTVR2-CT</t>
        </is>
      </c>
      <c r="AK18" s="9" t="inlineStr">
        <is>
          <t>23.9 m m</t>
        </is>
      </c>
      <c r="AL18" s="9" t="inlineStr">
        <is>
          <t>Levy Ostrup</t>
        </is>
      </c>
      <c r="AM18" s="9" t="n"/>
      <c r="AN18" s="9" t="n"/>
    </row>
    <row r="19">
      <c r="A19" s="9" t="inlineStr">
        <is>
          <t>EHT Trace</t>
        </is>
      </c>
      <c r="B19" s="9" t="inlineStr">
        <is>
          <t>29103-ET-FG1703-1-1</t>
        </is>
      </c>
      <c r="C19" s="9" t="inlineStr">
        <is>
          <t>29103-ET-FG1703-1</t>
        </is>
      </c>
      <c r="D19" s="9" t="inlineStr">
        <is>
          <t>HTC-40 / CB-40</t>
        </is>
      </c>
      <c r="E19" s="9" t="inlineStr">
        <is>
          <t>29103-FG-1703</t>
        </is>
      </c>
      <c r="F19" s="9" t="inlineStr">
        <is>
          <t>29103-65R-ET-FG1703-01-01</t>
        </is>
      </c>
      <c r="G19" s="9" t="inlineStr">
        <is>
          <t>13.1</t>
        </is>
      </c>
      <c r="H19" s="9" t="inlineStr">
        <is>
          <t>29103-ET-FG1703-1-1.pdf</t>
        </is>
      </c>
      <c r="I19" s="4" t="str">
        <f>IF($H19&lt;&gt;"","YES","NO")</f>
        <v>YES</v>
      </c>
      <c r="J19" s="4" t="str">
        <f>IF(N($T19)&gt;0,"YES","NO")</f>
        <v>NO</v>
      </c>
      <c r="K19" s="4" t="str">
        <f>IF(OR($A19="EHT Trace"),IF(AND($U19&lt;&gt;"",$V19&lt;&gt;""),"YES","NO"),"N/A")</f>
        <v>NO</v>
      </c>
      <c r="L19" s="4" t="str">
        <f>IF(OR($A19="EHT Trace"),IF(AND($X19&lt;&gt;"",$Y19&lt;&gt;""),"YES","NO"),"N/A")</f>
        <v>NO</v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inlineStr">
        <is>
          <t>5XTVR2-CT</t>
        </is>
      </c>
      <c r="AK19" s="9" t="inlineStr">
        <is>
          <t>13.9 m m</t>
        </is>
      </c>
      <c r="AL19" s="9" t="inlineStr">
        <is>
          <t>Levy Ostrup</t>
        </is>
      </c>
      <c r="AM19" s="9" t="n"/>
      <c r="AN19" s="9" t="n"/>
    </row>
    <row r="20">
      <c r="A20" s="9" t="inlineStr">
        <is>
          <t>EHT Trace</t>
        </is>
      </c>
      <c r="B20" s="9" t="inlineStr">
        <is>
          <t>29103-ET-FG1703-1-2</t>
        </is>
      </c>
      <c r="C20" s="9" t="inlineStr">
        <is>
          <t>29103-ET-FG1703-1</t>
        </is>
      </c>
      <c r="D20" s="9" t="inlineStr">
        <is>
          <t>HTC-40 / CB-40</t>
        </is>
      </c>
      <c r="E20" s="9" t="inlineStr">
        <is>
          <t>29103-FG-1703</t>
        </is>
      </c>
      <c r="F20" s="9" t="inlineStr">
        <is>
          <t>29103-65R-ET-FG1703-01-01</t>
        </is>
      </c>
      <c r="G20" s="9" t="inlineStr">
        <is>
          <t>13.1</t>
        </is>
      </c>
      <c r="H20" s="9" t="inlineStr">
        <is>
          <t>29103-ET-FG1703-1-2.pdf</t>
        </is>
      </c>
      <c r="I20" s="4" t="str">
        <f>IF($H20&lt;&gt;"","YES","NO")</f>
        <v>YES</v>
      </c>
      <c r="J20" s="4" t="str">
        <f>IF(N($T20)&gt;0,"YES","NO")</f>
        <v>NO</v>
      </c>
      <c r="K20" s="4" t="str">
        <f>IF(OR($A20="EHT Trace"),IF(AND($U20&lt;&gt;"",$V20&lt;&gt;""),"YES","NO"),"N/A")</f>
        <v>NO</v>
      </c>
      <c r="L20" s="4" t="str">
        <f>IF(OR($A20="EHT Trace"),IF(AND($X20&lt;&gt;"",$Y20&lt;&gt;""),"YES","NO"),"N/A")</f>
        <v>NO</v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inlineStr">
        <is>
          <t>5XTVR2-CT</t>
        </is>
      </c>
      <c r="AK20" s="9" t="inlineStr">
        <is>
          <t>11.7 m m</t>
        </is>
      </c>
      <c r="AL20" s="9" t="inlineStr">
        <is>
          <t>Levy Ostrup</t>
        </is>
      </c>
      <c r="AM20" s="9" t="n"/>
      <c r="AN20" s="9" t="n"/>
    </row>
    <row r="21">
      <c r="A21" s="9" t="inlineStr">
        <is>
          <t>EHT Trace</t>
        </is>
      </c>
      <c r="B21" s="9" t="inlineStr">
        <is>
          <t>29103-ET-FG1703-1-3</t>
        </is>
      </c>
      <c r="C21" s="9" t="inlineStr">
        <is>
          <t>29103-ET-FG1703-1</t>
        </is>
      </c>
      <c r="D21" s="9" t="inlineStr">
        <is>
          <t>HTC-40 / CB-40</t>
        </is>
      </c>
      <c r="E21" s="9" t="inlineStr"/>
      <c r="F21" s="9" t="inlineStr">
        <is>
          <t>29103-65R-ET-FG1703-01-01</t>
        </is>
      </c>
      <c r="G21" s="9" t="inlineStr">
        <is>
          <t>13.1</t>
        </is>
      </c>
      <c r="H21" s="9" t="inlineStr">
        <is>
          <t>29103-ET-FG1703-1-3.pdf</t>
        </is>
      </c>
      <c r="I21" s="4" t="str">
        <f>IF($H21&lt;&gt;"","YES","NO")</f>
        <v>YES</v>
      </c>
      <c r="J21" s="4" t="str">
        <f>IF(N($T21)&gt;0,"YES","NO")</f>
        <v>NO</v>
      </c>
      <c r="K21" s="4" t="str">
        <f>IF(OR($A21="EHT Trace"),IF(AND($U21&lt;&gt;"",$V21&lt;&gt;""),"YES","NO"),"N/A")</f>
        <v>NO</v>
      </c>
      <c r="L21" s="4" t="str">
        <f>IF(OR($A21="EHT Trace"),IF(AND($X21&lt;&gt;"",$Y21&lt;&gt;""),"YES","NO"),"N/A")</f>
        <v>NO</v>
      </c>
      <c r="M21" s="4" t="str">
        <f>IF(OR($A21="EHT Trace"),IF(AND($AA21&lt;&gt;"",$AB21&lt;&gt;""),"YES","NO"),"N/A")</f>
        <v>NO</v>
      </c>
      <c r="N21" s="4" t="str">
        <f>IF(OR($A21="Power Cable"),IF(AND($AD21&lt;&gt;""),"YES","NO"),"N/A")</f>
        <v>N/A</v>
      </c>
      <c r="O21" s="4" t="str">
        <f>IF(OR($A21="Power Cable",$A21="RTD Cable",$A21="Fieldbus Cable"),IF(AND($AE21&lt;&gt;""),"YES","NO"),"N/A")</f>
        <v>N/A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str">
        <f>IF(OR($AM21&lt;&gt;"",$Z21&lt;&gt;"",$AC21&lt;&gt;""),"YES","NO")</f>
        <v>NO</v>
      </c>
      <c r="S21" s="4" t="str">
        <f>IF(COUNTIF(I21:R21,"NO")=0,"YES","NO")</f>
        <v>NO</v>
      </c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inlineStr">
        <is>
          <t>5XTVR2-CT</t>
        </is>
      </c>
      <c r="AK21" s="9" t="inlineStr">
        <is>
          <t>6.3 m m</t>
        </is>
      </c>
      <c r="AL21" s="9" t="inlineStr">
        <is>
          <t>Levy Ostrup</t>
        </is>
      </c>
      <c r="AM21" s="9" t="n"/>
      <c r="AN21" s="9" t="n"/>
    </row>
    <row r="22">
      <c r="A22" s="9" t="inlineStr">
        <is>
          <t>EHT Trace</t>
        </is>
      </c>
      <c r="B22" s="9" t="inlineStr">
        <is>
          <t>29103-ET-FG1703-1-4</t>
        </is>
      </c>
      <c r="C22" s="9" t="inlineStr">
        <is>
          <t>29103-ET-FG1703-1</t>
        </is>
      </c>
      <c r="D22" s="9" t="inlineStr">
        <is>
          <t>HTC-40 / CB-40</t>
        </is>
      </c>
      <c r="E22" s="9" t="inlineStr"/>
      <c r="F22" s="9" t="inlineStr">
        <is>
          <t>29103-65R-ET-FG1703-01-01</t>
        </is>
      </c>
      <c r="G22" s="9" t="inlineStr">
        <is>
          <t>13.1</t>
        </is>
      </c>
      <c r="H22" s="9" t="inlineStr">
        <is>
          <t>29103-ET-FG1703-1-4.pdf</t>
        </is>
      </c>
      <c r="I22" s="4" t="str">
        <f>IF($H22&lt;&gt;"","YES","NO")</f>
        <v>YES</v>
      </c>
      <c r="J22" s="4" t="str">
        <f>IF(N($T22)&gt;0,"YES","NO")</f>
        <v>NO</v>
      </c>
      <c r="K22" s="4" t="str">
        <f>IF(OR($A22="EHT Trace"),IF(AND($U22&lt;&gt;"",$V22&lt;&gt;""),"YES","NO"),"N/A")</f>
        <v>NO</v>
      </c>
      <c r="L22" s="4" t="str">
        <f>IF(OR($A22="EHT Trace"),IF(AND($X22&lt;&gt;"",$Y22&lt;&gt;""),"YES","NO"),"N/A")</f>
        <v>NO</v>
      </c>
      <c r="M22" s="4" t="str">
        <f>IF(OR($A22="EHT Trace"),IF(AND($AA22&lt;&gt;"",$AB22&lt;&gt;""),"YES","NO"),"N/A")</f>
        <v>NO</v>
      </c>
      <c r="N22" s="4" t="str">
        <f>IF(OR($A22="Power Cable"),IF(AND($AD22&lt;&gt;""),"YES","NO"),"N/A")</f>
        <v>N/A</v>
      </c>
      <c r="O22" s="4" t="str">
        <f>IF(OR($A22="Power Cable",$A22="RTD Cable",$A22="Fieldbus Cable"),IF(AND($AE22&lt;&gt;""),"YES","NO"),"N/A")</f>
        <v>N/A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str">
        <f>IF(OR($AM22&lt;&gt;"",$Z22&lt;&gt;"",$AC22&lt;&gt;""),"YES","NO")</f>
        <v>NO</v>
      </c>
      <c r="S22" s="4" t="str">
        <f>IF(COUNTIF(I22:R22,"NO")=0,"YES","NO")</f>
        <v>NO</v>
      </c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inlineStr">
        <is>
          <t>5XTVR2-CT</t>
        </is>
      </c>
      <c r="AK22" s="9" t="inlineStr">
        <is>
          <t>13.1 m m</t>
        </is>
      </c>
      <c r="AL22" s="9" t="inlineStr">
        <is>
          <t>Levy Ostrup</t>
        </is>
      </c>
      <c r="AM22" s="9" t="n"/>
      <c r="AN22" s="9" t="n"/>
    </row>
    <row r="23">
      <c r="A23" s="9" t="inlineStr">
        <is>
          <t>EHT Trace</t>
        </is>
      </c>
      <c r="B23" s="9" t="inlineStr">
        <is>
          <t>29103-ET-P1404-1-1</t>
        </is>
      </c>
      <c r="C23" s="9" t="inlineStr">
        <is>
          <t>29103-ET-P1404-1</t>
        </is>
      </c>
      <c r="D23" s="9" t="inlineStr">
        <is>
          <t>HTC-34 / CB-34</t>
        </is>
      </c>
      <c r="E23" s="9" t="inlineStr">
        <is>
          <t>29103-PE-1401, 29103-P-1404</t>
        </is>
      </c>
      <c r="F23" s="9" t="inlineStr">
        <is>
          <t>29103-65R-ET-P1404-01-01</t>
        </is>
      </c>
      <c r="G23" s="9" t="inlineStr">
        <is>
          <t>13.1</t>
        </is>
      </c>
      <c r="H23" s="9" t="inlineStr">
        <is>
          <t>29103-ET-P1404-1-1.pdf</t>
        </is>
      </c>
      <c r="I23" s="4" t="str">
        <f>IF($H23&lt;&gt;"","YES","NO")</f>
        <v>YES</v>
      </c>
      <c r="J23" s="4" t="str">
        <f>IF(N($T23)&gt;0,"YES","NO")</f>
        <v>NO</v>
      </c>
      <c r="K23" s="4" t="str">
        <f>IF(OR($A23="EHT Trace"),IF(AND($U23&lt;&gt;"",$V23&lt;&gt;""),"YES","NO"),"N/A")</f>
        <v>NO</v>
      </c>
      <c r="L23" s="4" t="str">
        <f>IF(OR($A23="EHT Trace"),IF(AND($X23&lt;&gt;"",$Y23&lt;&gt;""),"YES","NO"),"N/A")</f>
        <v>NO</v>
      </c>
      <c r="M23" s="4" t="str">
        <f>IF(OR($A23="EHT Trace"),IF(AND($AA23&lt;&gt;"",$AB23&lt;&gt;""),"YES","NO"),"N/A")</f>
        <v>NO</v>
      </c>
      <c r="N23" s="4" t="str">
        <f>IF(OR($A23="Power Cable"),IF(AND($AD23&lt;&gt;""),"YES","NO"),"N/A")</f>
        <v>N/A</v>
      </c>
      <c r="O23" s="4" t="str">
        <f>IF(OR($A23="Power Cable",$A23="RTD Cable",$A23="Fieldbus Cable"),IF(AND($AE23&lt;&gt;""),"YES","NO"),"N/A")</f>
        <v>N/A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str">
        <f>IF(OR($AM23&lt;&gt;"",$Z23&lt;&gt;"",$AC23&lt;&gt;""),"YES","NO")</f>
        <v>NO</v>
      </c>
      <c r="S23" s="4" t="str">
        <f>IF(COUNTIF(I23:R23,"NO")=0,"YES","NO")</f>
        <v>NO</v>
      </c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inlineStr">
        <is>
          <t>D/32SA2200/20.9M/554/277/1.2M/LS23A/X/N12</t>
        </is>
      </c>
      <c r="AK23" s="9" t="inlineStr">
        <is>
          <t>20.9 m m</t>
        </is>
      </c>
      <c r="AL23" s="9" t="inlineStr">
        <is>
          <t>Levy Ostrup</t>
        </is>
      </c>
      <c r="AM23" s="9" t="n"/>
      <c r="AN23" s="9" t="n"/>
    </row>
    <row r="24">
      <c r="A24" s="9" t="inlineStr">
        <is>
          <t>EHT Trace</t>
        </is>
      </c>
      <c r="B24" s="9" t="inlineStr">
        <is>
          <t>29103-ET-P1404-1-2</t>
        </is>
      </c>
      <c r="C24" s="9" t="inlineStr">
        <is>
          <t>29103-ET-P1404-1</t>
        </is>
      </c>
      <c r="D24" s="9" t="inlineStr">
        <is>
          <t>HTC-34 / CB-34</t>
        </is>
      </c>
      <c r="E24" s="9" t="inlineStr">
        <is>
          <t>29103-P-1404</t>
        </is>
      </c>
      <c r="F24" s="9" t="inlineStr">
        <is>
          <t>29103-65R-ET-P1404-01-01</t>
        </is>
      </c>
      <c r="G24" s="9" t="inlineStr">
        <is>
          <t>13.1</t>
        </is>
      </c>
      <c r="H24" s="9" t="inlineStr">
        <is>
          <t>29103-ET-P1404-1-2.pdf</t>
        </is>
      </c>
      <c r="I24" s="4" t="str">
        <f>IF($H24&lt;&gt;"","YES","NO")</f>
        <v>YES</v>
      </c>
      <c r="J24" s="4" t="str">
        <f>IF(N($T24)&gt;0,"YES","NO")</f>
        <v>NO</v>
      </c>
      <c r="K24" s="4" t="str">
        <f>IF(OR($A24="EHT Trace"),IF(AND($U24&lt;&gt;"",$V24&lt;&gt;""),"YES","NO"),"N/A")</f>
        <v>YES</v>
      </c>
      <c r="L24" s="4" t="str">
        <f>IF(OR($A24="EHT Trace"),IF(AND($X24&lt;&gt;"",$Y24&lt;&gt;""),"YES","NO"),"N/A")</f>
        <v>NO</v>
      </c>
      <c r="M24" s="4" t="str">
        <f>IF(OR($A24="EHT Trace"),IF(AND($AA24&lt;&gt;"",$AB24&lt;&gt;""),"YES","NO"),"N/A")</f>
        <v>NO</v>
      </c>
      <c r="N24" s="4" t="str">
        <f>IF(OR($A24="Power Cable"),IF(AND($AD24&lt;&gt;""),"YES","NO"),"N/A")</f>
        <v>N/A</v>
      </c>
      <c r="O24" s="4" t="str">
        <f>IF(OR($A24="Power Cable",$A24="RTD Cable",$A24="Fieldbus Cable"),IF(AND($AE24&lt;&gt;""),"YES","NO"),"N/A")</f>
        <v>N/A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str">
        <f>IF(OR($AM24&lt;&gt;"",$Z24&lt;&gt;"",$AC24&lt;&gt;""),"YES","NO")</f>
        <v>NO</v>
      </c>
      <c r="S24" s="4" t="str">
        <f>IF(COUNTIF(I24:R24,"NO")=0,"YES","NO")</f>
        <v>NO</v>
      </c>
      <c r="T24" s="9" t="n"/>
      <c r="U24" s="9" t="inlineStr">
        <is>
          <t>&gt;2.2 GΩ</t>
        </is>
      </c>
      <c r="V24" s="9" t="inlineStr">
        <is>
          <t>10.6 Ω</t>
        </is>
      </c>
      <c r="W24" s="9" t="inlineStr">
        <is>
          <t>2026-05-17</t>
        </is>
      </c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inlineStr">
        <is>
          <t>E/32SQ3472/6.5M/416/67.7/1.2M/LS23A/X/N12/XNF</t>
        </is>
      </c>
      <c r="AK24" s="9" t="inlineStr">
        <is>
          <t>6.5 m m</t>
        </is>
      </c>
      <c r="AL24" s="9" t="inlineStr">
        <is>
          <t>Levy Ostrup</t>
        </is>
      </c>
      <c r="AM24" s="9" t="n"/>
      <c r="AN24" s="9" t="n"/>
    </row>
    <row r="25">
      <c r="A25" s="9" t="inlineStr">
        <is>
          <t>EHT Trace</t>
        </is>
      </c>
      <c r="B25" s="9" t="inlineStr">
        <is>
          <t>29103-ET-P1404-1-3</t>
        </is>
      </c>
      <c r="C25" s="9" t="inlineStr">
        <is>
          <t>29103-ET-P1404-1</t>
        </is>
      </c>
      <c r="D25" s="9" t="inlineStr">
        <is>
          <t>HTC-34 / CB-34</t>
        </is>
      </c>
      <c r="E25" s="9" t="inlineStr">
        <is>
          <t>29103-P-1404</t>
        </is>
      </c>
      <c r="F25" s="9" t="inlineStr">
        <is>
          <t>29103-65R-ET-P1404-01-01</t>
        </is>
      </c>
      <c r="G25" s="9" t="inlineStr">
        <is>
          <t>13.1</t>
        </is>
      </c>
      <c r="H25" s="9" t="inlineStr">
        <is>
          <t>29103-ET-P1404-1-3.pdf</t>
        </is>
      </c>
      <c r="I25" s="4" t="str">
        <f>IF($H25&lt;&gt;"","YES","NO")</f>
        <v>YES</v>
      </c>
      <c r="J25" s="4" t="str">
        <f>IF(N($T25)&gt;0,"YES","NO")</f>
        <v>NO</v>
      </c>
      <c r="K25" s="4" t="str">
        <f>IF(OR($A25="EHT Trace"),IF(AND($U25&lt;&gt;"",$V25&lt;&gt;""),"YES","NO"),"N/A")</f>
        <v>YES</v>
      </c>
      <c r="L25" s="4" t="str">
        <f>IF(OR($A25="EHT Trace"),IF(AND($X25&lt;&gt;"",$Y25&lt;&gt;""),"YES","NO"),"N/A")</f>
        <v>NO</v>
      </c>
      <c r="M25" s="4" t="str">
        <f>IF(OR($A25="EHT Trace"),IF(AND($AA25&lt;&gt;"",$AB25&lt;&gt;""),"YES","NO"),"N/A")</f>
        <v>NO</v>
      </c>
      <c r="N25" s="4" t="str">
        <f>IF(OR($A25="Power Cable"),IF(AND($AD25&lt;&gt;""),"YES","NO"),"N/A")</f>
        <v>N/A</v>
      </c>
      <c r="O25" s="4" t="str">
        <f>IF(OR($A25="Power Cable",$A25="RTD Cable",$A25="Fieldbus Cable"),IF(AND($AE25&lt;&gt;""),"YES","NO"),"N/A")</f>
        <v>N/A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str">
        <f>IF(OR($AM25&lt;&gt;"",$Z25&lt;&gt;"",$AC25&lt;&gt;""),"YES","NO")</f>
        <v>NO</v>
      </c>
      <c r="S25" s="4" t="str">
        <f>IF(COUNTIF(I25:R25,"NO")=0,"YES","NO")</f>
        <v>NO</v>
      </c>
      <c r="T25" s="9" t="n"/>
      <c r="U25" s="9" t="inlineStr">
        <is>
          <t>&gt;2.2 GΩ</t>
        </is>
      </c>
      <c r="V25" s="9" t="inlineStr">
        <is>
          <t>11.4 Ω</t>
        </is>
      </c>
      <c r="W25" s="9" t="inlineStr">
        <is>
          <t>2026-05-17</t>
        </is>
      </c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inlineStr">
        <is>
          <t>E/32SQ3472/7M/448/72.9/1.2M/LS23A/X/N12/XMF</t>
        </is>
      </c>
      <c r="AK25" s="9" t="inlineStr">
        <is>
          <t>7 m m</t>
        </is>
      </c>
      <c r="AL25" s="9" t="inlineStr">
        <is>
          <t>Levy Ostrup</t>
        </is>
      </c>
      <c r="AM25" s="9" t="n"/>
      <c r="AN25" s="9" t="n"/>
    </row>
    <row r="26">
      <c r="A26" s="9" t="inlineStr">
        <is>
          <t>EHT Trace</t>
        </is>
      </c>
      <c r="B26" s="9" t="inlineStr">
        <is>
          <t>29103-ET-P1404-1-4</t>
        </is>
      </c>
      <c r="C26" s="9" t="inlineStr">
        <is>
          <t>29103-ET-P1404-1</t>
        </is>
      </c>
      <c r="D26" s="9" t="inlineStr">
        <is>
          <t>HTC-34 / CB-34</t>
        </is>
      </c>
      <c r="E26" s="9" t="inlineStr">
        <is>
          <t>29103-P-1404</t>
        </is>
      </c>
      <c r="F26" s="9" t="inlineStr">
        <is>
          <t>29103-65R-ET-P1404-01-01</t>
        </is>
      </c>
      <c r="G26" s="9" t="inlineStr">
        <is>
          <t>13.1</t>
        </is>
      </c>
      <c r="H26" s="9" t="inlineStr">
        <is>
          <t>29103-ET-P1404-1-4.pdf</t>
        </is>
      </c>
      <c r="I26" s="4" t="str">
        <f>IF($H26&lt;&gt;"","YES","NO")</f>
        <v>YES</v>
      </c>
      <c r="J26" s="4" t="str">
        <f>IF(N($T26)&gt;0,"YES","NO")</f>
        <v>NO</v>
      </c>
      <c r="K26" s="4" t="str">
        <f>IF(OR($A26="EHT Trace"),IF(AND($U26&lt;&gt;"",$V26&lt;&gt;""),"YES","NO"),"N/A")</f>
        <v>YES</v>
      </c>
      <c r="L26" s="4" t="str">
        <f>IF(OR($A26="EHT Trace"),IF(AND($X26&lt;&gt;"",$Y26&lt;&gt;""),"YES","NO"),"N/A")</f>
        <v>NO</v>
      </c>
      <c r="M26" s="4" t="str">
        <f>IF(OR($A26="EHT Trace"),IF(AND($AA26&lt;&gt;"",$AB26&lt;&gt;""),"YES","NO"),"N/A")</f>
        <v>NO</v>
      </c>
      <c r="N26" s="4" t="str">
        <f>IF(OR($A26="Power Cable"),IF(AND($AD26&lt;&gt;""),"YES","NO"),"N/A")</f>
        <v>N/A</v>
      </c>
      <c r="O26" s="4" t="str">
        <f>IF(OR($A26="Power Cable",$A26="RTD Cable",$A26="Fieldbus Cable"),IF(AND($AE26&lt;&gt;""),"YES","NO"),"N/A")</f>
        <v>N/A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str">
        <f>IF(OR($AM26&lt;&gt;"",$Z26&lt;&gt;"",$AC26&lt;&gt;""),"YES","NO")</f>
        <v>NO</v>
      </c>
      <c r="S26" s="4" t="str">
        <f>IF(COUNTIF(I26:R26,"NO")=0,"YES","NO")</f>
        <v>NO</v>
      </c>
      <c r="T26" s="9" t="n"/>
      <c r="U26" s="9" t="inlineStr">
        <is>
          <t>&gt;2.2 GΩ</t>
        </is>
      </c>
      <c r="V26" s="9" t="inlineStr">
        <is>
          <t>20.9 Ω</t>
        </is>
      </c>
      <c r="W26" s="9" t="inlineStr">
        <is>
          <t>2026-05-17</t>
        </is>
      </c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inlineStr">
        <is>
          <t>D/32SQ3472/13.1M/838/136/1.2M/LS23A/X/N12/XMN</t>
        </is>
      </c>
      <c r="AK26" s="9" t="inlineStr">
        <is>
          <t>13.1 m m</t>
        </is>
      </c>
      <c r="AL26" s="9" t="inlineStr">
        <is>
          <t>Levy Ostrup</t>
        </is>
      </c>
      <c r="AM26" s="9" t="n"/>
      <c r="AN26" s="9" t="n"/>
    </row>
    <row r="27">
      <c r="A27" s="9" t="inlineStr">
        <is>
          <t>EHT Trace</t>
        </is>
      </c>
      <c r="B27" s="9" t="inlineStr">
        <is>
          <t>29103-ET-P1404-2-1</t>
        </is>
      </c>
      <c r="C27" s="9" t="inlineStr">
        <is>
          <t>29103-ET-P1404-2</t>
        </is>
      </c>
      <c r="D27" s="9" t="inlineStr">
        <is>
          <t>HTC-26 / CB-26</t>
        </is>
      </c>
      <c r="E27" s="9" t="inlineStr">
        <is>
          <t>29103-P-1404, 29103-FG-1402</t>
        </is>
      </c>
      <c r="F27" s="9" t="inlineStr">
        <is>
          <t>29103-65R-ET-P1404-02-01</t>
        </is>
      </c>
      <c r="G27" s="9" t="inlineStr">
        <is>
          <t>13.1</t>
        </is>
      </c>
      <c r="H27" s="9" t="inlineStr">
        <is>
          <t>29103-ET-P1404-2-1.pdf</t>
        </is>
      </c>
      <c r="I27" s="4" t="str">
        <f>IF($H27&lt;&gt;"","YES","NO")</f>
        <v>YES</v>
      </c>
      <c r="J27" s="4" t="str">
        <f>IF(N($T27)&gt;0,"YES","NO")</f>
        <v>NO</v>
      </c>
      <c r="K27" s="4" t="str">
        <f>IF(OR($A27="EHT Trace"),IF(AND($U27&lt;&gt;"",$V27&lt;&gt;""),"YES","NO"),"N/A")</f>
        <v>YES</v>
      </c>
      <c r="L27" s="4" t="str">
        <f>IF(OR($A27="EHT Trace"),IF(AND($X27&lt;&gt;"",$Y27&lt;&gt;""),"YES","NO"),"N/A")</f>
        <v>NO</v>
      </c>
      <c r="M27" s="4" t="str">
        <f>IF(OR($A27="EHT Trace"),IF(AND($AA27&lt;&gt;"",$AB27&lt;&gt;""),"YES","NO"),"N/A")</f>
        <v>NO</v>
      </c>
      <c r="N27" s="4" t="str">
        <f>IF(OR($A27="Power Cable"),IF(AND($AD27&lt;&gt;""),"YES","NO"),"N/A")</f>
        <v>N/A</v>
      </c>
      <c r="O27" s="4" t="str">
        <f>IF(OR($A27="Power Cable",$A27="RTD Cable",$A27="Fieldbus Cable"),IF(AND($AE27&lt;&gt;""),"YES","NO"),"N/A")</f>
        <v>N/A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str">
        <f>IF(OR($AM27&lt;&gt;"",$Z27&lt;&gt;"",$AC27&lt;&gt;""),"YES","NO")</f>
        <v>NO</v>
      </c>
      <c r="S27" s="4" t="str">
        <f>IF(COUNTIF(I27:R27,"NO")=0,"YES","NO")</f>
        <v>NO</v>
      </c>
      <c r="T27" s="9" t="n"/>
      <c r="U27" s="9" t="inlineStr">
        <is>
          <t>&gt;2.2 GΩ</t>
        </is>
      </c>
      <c r="V27" s="9" t="inlineStr">
        <is>
          <t>260.9 Ω</t>
        </is>
      </c>
      <c r="W27" s="9" t="inlineStr">
        <is>
          <t>2026-05-17</t>
        </is>
      </c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inlineStr">
        <is>
          <t>D/32SF1110/7M/299/277/1.2M/LS23A/X/N12</t>
        </is>
      </c>
      <c r="AK27" s="9" t="inlineStr">
        <is>
          <t>7 m m</t>
        </is>
      </c>
      <c r="AL27" s="9" t="inlineStr">
        <is>
          <t>Levy Ostrup</t>
        </is>
      </c>
      <c r="AM27" s="9" t="n"/>
      <c r="AN27" s="9" t="n"/>
    </row>
    <row r="28">
      <c r="A28" s="9" t="inlineStr">
        <is>
          <t>EHT Trace</t>
        </is>
      </c>
      <c r="B28" s="9" t="inlineStr">
        <is>
          <t>29103-ET-P1501-1-1</t>
        </is>
      </c>
      <c r="C28" s="9" t="inlineStr">
        <is>
          <t>29103-ET-P1501-1</t>
        </is>
      </c>
      <c r="D28" s="9" t="inlineStr">
        <is>
          <t>HTC-04 / CB-04</t>
        </is>
      </c>
      <c r="E28" s="9" t="inlineStr">
        <is>
          <t>29103-P-1501</t>
        </is>
      </c>
      <c r="F28" s="9" t="inlineStr">
        <is>
          <t>29103-65R-ET-P1501-01-01</t>
        </is>
      </c>
      <c r="G28" s="9" t="inlineStr">
        <is>
          <t>13.1</t>
        </is>
      </c>
      <c r="H28" s="9" t="inlineStr">
        <is>
          <t>29103-ET-P1501-1-1.pdf</t>
        </is>
      </c>
      <c r="I28" s="4" t="str">
        <f>IF($H28&lt;&gt;"","YES","NO")</f>
        <v>YES</v>
      </c>
      <c r="J28" s="4" t="str">
        <f>IF(N($T28)&gt;0,"YES","NO")</f>
        <v>NO</v>
      </c>
      <c r="K28" s="4" t="str">
        <f>IF(OR($A28="EHT Trace"),IF(AND($U28&lt;&gt;"",$V28&lt;&gt;""),"YES","NO"),"N/A")</f>
        <v>NO</v>
      </c>
      <c r="L28" s="4" t="str">
        <f>IF(OR($A28="EHT Trace"),IF(AND($X28&lt;&gt;"",$Y28&lt;&gt;""),"YES","NO"),"N/A")</f>
        <v>NO</v>
      </c>
      <c r="M28" s="4" t="str">
        <f>IF(OR($A28="EHT Trace"),IF(AND($AA28&lt;&gt;"",$AB28&lt;&gt;""),"YES","NO"),"N/A")</f>
        <v>NO</v>
      </c>
      <c r="N28" s="4" t="str">
        <f>IF(OR($A28="Power Cable"),IF(AND($AD28&lt;&gt;""),"YES","NO"),"N/A")</f>
        <v>N/A</v>
      </c>
      <c r="O28" s="4" t="str">
        <f>IF(OR($A28="Power Cable",$A28="RTD Cable",$A28="Fieldbus Cable"),IF(AND($AE28&lt;&gt;""),"YES","NO"),"N/A")</f>
        <v>N/A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str">
        <f>IF(OR($AM28&lt;&gt;"",$Z28&lt;&gt;"",$AC28&lt;&gt;""),"YES","NO")</f>
        <v>NO</v>
      </c>
      <c r="S28" s="4" t="str">
        <f>IF(COUNTIF(I28:R28,"NO")=0,"YES","NO")</f>
        <v>NO</v>
      </c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inlineStr">
        <is>
          <t>E/32SQ3374/20.5M/1007/166/1.2M/LS23A/X/N12/XNF</t>
        </is>
      </c>
      <c r="AK28" s="9" t="inlineStr">
        <is>
          <t>20.5 m m</t>
        </is>
      </c>
      <c r="AL28" s="9" t="inlineStr">
        <is>
          <t>Levy Ostrup</t>
        </is>
      </c>
      <c r="AM28" s="9" t="n"/>
      <c r="AN28" s="9" t="n"/>
    </row>
    <row r="29">
      <c r="A29" s="9" t="inlineStr">
        <is>
          <t>EHT Trace</t>
        </is>
      </c>
      <c r="B29" s="9" t="inlineStr">
        <is>
          <t>29103-ET-P1501-1-2</t>
        </is>
      </c>
      <c r="C29" s="9" t="inlineStr">
        <is>
          <t>29103-ET-P1501-1</t>
        </is>
      </c>
      <c r="D29" s="9" t="inlineStr">
        <is>
          <t>HTC-04 / CB-04</t>
        </is>
      </c>
      <c r="E29" s="9" t="inlineStr">
        <is>
          <t>29103-P-1501</t>
        </is>
      </c>
      <c r="F29" s="9" t="inlineStr">
        <is>
          <t>29103-65R-ET-P1501-01-01</t>
        </is>
      </c>
      <c r="G29" s="9" t="inlineStr">
        <is>
          <t>13.1</t>
        </is>
      </c>
      <c r="H29" s="9" t="inlineStr">
        <is>
          <t>29103-ET-P1501-1-2.pdf</t>
        </is>
      </c>
      <c r="I29" s="4" t="str">
        <f>IF($H29&lt;&gt;"","YES","NO")</f>
        <v>YES</v>
      </c>
      <c r="J29" s="4" t="str">
        <f>IF(N($T29)&gt;0,"YES","NO")</f>
        <v>NO</v>
      </c>
      <c r="K29" s="4" t="str">
        <f>IF(OR($A29="EHT Trace"),IF(AND($U29&lt;&gt;"",$V29&lt;&gt;""),"YES","NO"),"N/A")</f>
        <v>NO</v>
      </c>
      <c r="L29" s="4" t="str">
        <f>IF(OR($A29="EHT Trace"),IF(AND($X29&lt;&gt;"",$Y29&lt;&gt;""),"YES","NO"),"N/A")</f>
        <v>NO</v>
      </c>
      <c r="M29" s="4" t="str">
        <f>IF(OR($A29="EHT Trace"),IF(AND($AA29&lt;&gt;"",$AB29&lt;&gt;""),"YES","NO"),"N/A")</f>
        <v>NO</v>
      </c>
      <c r="N29" s="4" t="str">
        <f>IF(OR($A29="Power Cable"),IF(AND($AD29&lt;&gt;""),"YES","NO"),"N/A")</f>
        <v>N/A</v>
      </c>
      <c r="O29" s="4" t="str">
        <f>IF(OR($A29="Power Cable",$A29="RTD Cable",$A29="Fieldbus Cable"),IF(AND($AE29&lt;&gt;""),"YES","NO"),"N/A")</f>
        <v>N/A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str">
        <f>IF(OR($AM29&lt;&gt;"",$Z29&lt;&gt;"",$AC29&lt;&gt;""),"YES","NO")</f>
        <v>NO</v>
      </c>
      <c r="S29" s="4" t="str">
        <f>IF(COUNTIF(I29:R29,"NO")=0,"YES","NO")</f>
        <v>NO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inlineStr">
        <is>
          <t>D/32SQ3374/13.8M/678/111/1.2M/LS23A/X/N12/XMN</t>
        </is>
      </c>
      <c r="AK29" s="9" t="inlineStr">
        <is>
          <t>13.8 m m</t>
        </is>
      </c>
      <c r="AL29" s="9" t="inlineStr">
        <is>
          <t>Levy Ostrup</t>
        </is>
      </c>
      <c r="AM29" s="9" t="n"/>
      <c r="AN29" s="9" t="n"/>
    </row>
    <row r="30">
      <c r="A30" s="9" t="inlineStr">
        <is>
          <t>EHT Trace</t>
        </is>
      </c>
      <c r="B30" s="9" t="inlineStr">
        <is>
          <t>29103-ET-P1504-1-1</t>
        </is>
      </c>
      <c r="C30" s="9" t="inlineStr">
        <is>
          <t>29103-ET-P1504-1</t>
        </is>
      </c>
      <c r="D30" s="9" t="inlineStr">
        <is>
          <t>HTC-02 / CB-02</t>
        </is>
      </c>
      <c r="E30" s="9" t="inlineStr">
        <is>
          <t>29103-PE-1501, 29103-P-1504</t>
        </is>
      </c>
      <c r="F30" s="9" t="inlineStr">
        <is>
          <t>29103-65R-ET-P1504-01-01</t>
        </is>
      </c>
      <c r="G30" s="9" t="inlineStr">
        <is>
          <t>13.1</t>
        </is>
      </c>
      <c r="H30" s="9" t="inlineStr">
        <is>
          <t>29103-ET-P1504-1-1.pdf</t>
        </is>
      </c>
      <c r="I30" s="4" t="str">
        <f>IF($H30&lt;&gt;"","YES","NO")</f>
        <v>YES</v>
      </c>
      <c r="J30" s="4" t="str">
        <f>IF(N($T30)&gt;0,"YES","NO")</f>
        <v>NO</v>
      </c>
      <c r="K30" s="4" t="str">
        <f>IF(OR($A30="EHT Trace"),IF(AND($U30&lt;&gt;"",$V30&lt;&gt;""),"YES","NO"),"N/A")</f>
        <v>NO</v>
      </c>
      <c r="L30" s="4" t="str">
        <f>IF(OR($A30="EHT Trace"),IF(AND($X30&lt;&gt;"",$Y30&lt;&gt;""),"YES","NO"),"N/A")</f>
        <v>NO</v>
      </c>
      <c r="M30" s="4" t="str">
        <f>IF(OR($A30="EHT Trace"),IF(AND($AA30&lt;&gt;"",$AB30&lt;&gt;""),"YES","NO"),"N/A")</f>
        <v>NO</v>
      </c>
      <c r="N30" s="4" t="str">
        <f>IF(OR($A30="Power Cable"),IF(AND($AD30&lt;&gt;""),"YES","NO"),"N/A")</f>
        <v>N/A</v>
      </c>
      <c r="O30" s="4" t="str">
        <f>IF(OR($A30="Power Cable",$A30="RTD Cable",$A30="Fieldbus Cable"),IF(AND($AE30&lt;&gt;""),"YES","NO"),"N/A")</f>
        <v>N/A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str">
        <f>IF(OR($AM30&lt;&gt;"",$Z30&lt;&gt;"",$AC30&lt;&gt;""),"YES","NO")</f>
        <v>NO</v>
      </c>
      <c r="S30" s="4" t="str">
        <f>IF(COUNTIF(I30:R30,"NO")=0,"YES","NO")</f>
        <v>NO</v>
      </c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inlineStr">
        <is>
          <t>D/32SA2200/20.9M/554/277/1.2M/LS23A/X/N12</t>
        </is>
      </c>
      <c r="AK30" s="9" t="inlineStr">
        <is>
          <t>20.9 m m</t>
        </is>
      </c>
      <c r="AL30" s="9" t="inlineStr">
        <is>
          <t>Levy Ostrup</t>
        </is>
      </c>
      <c r="AM30" s="9" t="n"/>
      <c r="AN30" s="9" t="n"/>
    </row>
    <row r="31">
      <c r="A31" s="9" t="inlineStr">
        <is>
          <t>EHT Trace</t>
        </is>
      </c>
      <c r="B31" s="9" t="inlineStr">
        <is>
          <t>29103-ET-P1504-1-2</t>
        </is>
      </c>
      <c r="C31" s="9" t="inlineStr">
        <is>
          <t>29103-ET-P1504-1</t>
        </is>
      </c>
      <c r="D31" s="9" t="inlineStr">
        <is>
          <t>HTC-02 / CB-02</t>
        </is>
      </c>
      <c r="E31" s="9" t="inlineStr">
        <is>
          <t>29103-P-1504</t>
        </is>
      </c>
      <c r="F31" s="9" t="inlineStr">
        <is>
          <t>29103-65R-ET-P1504-01-01</t>
        </is>
      </c>
      <c r="G31" s="9" t="inlineStr">
        <is>
          <t>13.1</t>
        </is>
      </c>
      <c r="H31" s="9" t="inlineStr">
        <is>
          <t>29103-ET-P1504-1-2.pdf</t>
        </is>
      </c>
      <c r="I31" s="4" t="str">
        <f>IF($H31&lt;&gt;"","YES","NO")</f>
        <v>YES</v>
      </c>
      <c r="J31" s="4" t="str">
        <f>IF(N($T31)&gt;0,"YES","NO")</f>
        <v>NO</v>
      </c>
      <c r="K31" s="4" t="str">
        <f>IF(OR($A31="EHT Trace"),IF(AND($U31&lt;&gt;"",$V31&lt;&gt;""),"YES","NO"),"N/A")</f>
        <v>YES</v>
      </c>
      <c r="L31" s="4" t="str">
        <f>IF(OR($A31="EHT Trace"),IF(AND($X31&lt;&gt;"",$Y31&lt;&gt;""),"YES","NO"),"N/A")</f>
        <v>NO</v>
      </c>
      <c r="M31" s="4" t="str">
        <f>IF(OR($A31="EHT Trace"),IF(AND($AA31&lt;&gt;"",$AB31&lt;&gt;""),"YES","NO"),"N/A")</f>
        <v>NO</v>
      </c>
      <c r="N31" s="4" t="str">
        <f>IF(OR($A31="Power Cable"),IF(AND($AD31&lt;&gt;""),"YES","NO"),"N/A")</f>
        <v>N/A</v>
      </c>
      <c r="O31" s="4" t="str">
        <f>IF(OR($A31="Power Cable",$A31="RTD Cable",$A31="Fieldbus Cable"),IF(AND($AE31&lt;&gt;""),"YES","NO"),"N/A")</f>
        <v>N/A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str">
        <f>IF(OR($AM31&lt;&gt;"",$Z31&lt;&gt;"",$AC31&lt;&gt;""),"YES","NO")</f>
        <v>NO</v>
      </c>
      <c r="S31" s="4" t="str">
        <f>IF(COUNTIF(I31:R31,"NO")=0,"YES","NO")</f>
        <v>NO</v>
      </c>
      <c r="T31" s="9" t="n"/>
      <c r="U31" s="9" t="inlineStr">
        <is>
          <t>&gt;2.2 GΩ</t>
        </is>
      </c>
      <c r="V31" s="9" t="inlineStr">
        <is>
          <t>12.8 Ω</t>
        </is>
      </c>
      <c r="W31" s="9" t="inlineStr">
        <is>
          <t>2026-05-17</t>
        </is>
      </c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inlineStr">
        <is>
          <t>E/32SQ3472/8M/461/78.9/1.2M/LS23A/X/N12/XNF</t>
        </is>
      </c>
      <c r="AK31" s="9" t="inlineStr">
        <is>
          <t>8 m m</t>
        </is>
      </c>
      <c r="AL31" s="9" t="inlineStr">
        <is>
          <t>Levy Ostrup</t>
        </is>
      </c>
      <c r="AM31" s="9" t="n"/>
      <c r="AN31" s="9" t="n"/>
    </row>
    <row r="32">
      <c r="A32" s="9" t="inlineStr">
        <is>
          <t>EHT Trace</t>
        </is>
      </c>
      <c r="B32" s="9" t="inlineStr">
        <is>
          <t>29103-ET-P1504-1-3</t>
        </is>
      </c>
      <c r="C32" s="9" t="inlineStr">
        <is>
          <t>29103-ET-P1504-1</t>
        </is>
      </c>
      <c r="D32" s="9" t="inlineStr">
        <is>
          <t>HTC-02 / CB-02</t>
        </is>
      </c>
      <c r="E32" s="9" t="inlineStr">
        <is>
          <t>29103-P-1504</t>
        </is>
      </c>
      <c r="F32" s="9" t="inlineStr">
        <is>
          <t>29103-65R-ET-P1504-01-01</t>
        </is>
      </c>
      <c r="G32" s="9" t="inlineStr">
        <is>
          <t>13.1</t>
        </is>
      </c>
      <c r="H32" s="9" t="inlineStr">
        <is>
          <t>29103-ET-P1504-1-3.pdf</t>
        </is>
      </c>
      <c r="I32" s="4" t="str">
        <f>IF($H32&lt;&gt;"","YES","NO")</f>
        <v>YES</v>
      </c>
      <c r="J32" s="4" t="str">
        <f>IF(N($T32)&gt;0,"YES","NO")</f>
        <v>NO</v>
      </c>
      <c r="K32" s="4" t="str">
        <f>IF(OR($A32="EHT Trace"),IF(AND($U32&lt;&gt;"",$V32&lt;&gt;""),"YES","NO"),"N/A")</f>
        <v>YES</v>
      </c>
      <c r="L32" s="4" t="str">
        <f>IF(OR($A32="EHT Trace"),IF(AND($X32&lt;&gt;"",$Y32&lt;&gt;""),"YES","NO"),"N/A")</f>
        <v>NO</v>
      </c>
      <c r="M32" s="4" t="str">
        <f>IF(OR($A32="EHT Trace"),IF(AND($AA32&lt;&gt;"",$AB32&lt;&gt;""),"YES","NO"),"N/A")</f>
        <v>NO</v>
      </c>
      <c r="N32" s="4" t="str">
        <f>IF(OR($A32="Power Cable"),IF(AND($AD32&lt;&gt;""),"YES","NO"),"N/A")</f>
        <v>N/A</v>
      </c>
      <c r="O32" s="4" t="str">
        <f>IF(OR($A32="Power Cable",$A32="RTD Cable",$A32="Fieldbus Cable"),IF(AND($AE32&lt;&gt;""),"YES","NO"),"N/A")</f>
        <v>N/A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str">
        <f>IF(OR($AM32&lt;&gt;"",$Z32&lt;&gt;"",$AC32&lt;&gt;""),"YES","NO")</f>
        <v>NO</v>
      </c>
      <c r="S32" s="4" t="str">
        <f>IF(COUNTIF(I32:R32,"NO")=0,"YES","NO")</f>
        <v>NO</v>
      </c>
      <c r="T32" s="9" t="n"/>
      <c r="U32" s="9" t="inlineStr">
        <is>
          <t>&gt;2.2 GΩ</t>
        </is>
      </c>
      <c r="V32" s="9" t="inlineStr">
        <is>
          <t>11.4 Ω</t>
        </is>
      </c>
      <c r="W32" s="9" t="inlineStr">
        <is>
          <t>2026-05-17</t>
        </is>
      </c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inlineStr">
        <is>
          <t>E/32SQ3472/7M/403/69/1.2M/LS23A/X/N12/XMF</t>
        </is>
      </c>
      <c r="AK32" s="9" t="inlineStr">
        <is>
          <t>7 m m</t>
        </is>
      </c>
      <c r="AL32" s="9" t="inlineStr">
        <is>
          <t>Levy Ostrup</t>
        </is>
      </c>
      <c r="AM32" s="9" t="n"/>
      <c r="AN32" s="9" t="n"/>
    </row>
    <row r="33">
      <c r="A33" s="9" t="inlineStr">
        <is>
          <t>EHT Trace</t>
        </is>
      </c>
      <c r="B33" s="9" t="inlineStr">
        <is>
          <t>29103-ET-P1504-1-4</t>
        </is>
      </c>
      <c r="C33" s="9" t="inlineStr">
        <is>
          <t>29103-ET-P1504-1</t>
        </is>
      </c>
      <c r="D33" s="9" t="inlineStr">
        <is>
          <t>HTC-02 / CB-02</t>
        </is>
      </c>
      <c r="E33" s="9" t="inlineStr">
        <is>
          <t>29103-P-1504</t>
        </is>
      </c>
      <c r="F33" s="9" t="inlineStr">
        <is>
          <t>29103-65R-ET-P1504-01-01</t>
        </is>
      </c>
      <c r="G33" s="9" t="inlineStr">
        <is>
          <t>13.1</t>
        </is>
      </c>
      <c r="H33" s="9" t="inlineStr">
        <is>
          <t>29103-ET-P1504-1-4.pdf</t>
        </is>
      </c>
      <c r="I33" s="4" t="str">
        <f>IF($H33&lt;&gt;"","YES","NO")</f>
        <v>YES</v>
      </c>
      <c r="J33" s="4" t="str">
        <f>IF(N($T33)&gt;0,"YES","NO")</f>
        <v>NO</v>
      </c>
      <c r="K33" s="4" t="str">
        <f>IF(OR($A33="EHT Trace"),IF(AND($U33&lt;&gt;"",$V33&lt;&gt;""),"YES","NO"),"N/A")</f>
        <v>YES</v>
      </c>
      <c r="L33" s="4" t="str">
        <f>IF(OR($A33="EHT Trace"),IF(AND($X33&lt;&gt;"",$Y33&lt;&gt;""),"YES","NO"),"N/A")</f>
        <v>NO</v>
      </c>
      <c r="M33" s="4" t="str">
        <f>IF(OR($A33="EHT Trace"),IF(AND($AA33&lt;&gt;"",$AB33&lt;&gt;""),"YES","NO"),"N/A")</f>
        <v>NO</v>
      </c>
      <c r="N33" s="4" t="str">
        <f>IF(OR($A33="Power Cable"),IF(AND($AD33&lt;&gt;""),"YES","NO"),"N/A")</f>
        <v>N/A</v>
      </c>
      <c r="O33" s="4" t="str">
        <f>IF(OR($A33="Power Cable",$A33="RTD Cable",$A33="Fieldbus Cable"),IF(AND($AE33&lt;&gt;""),"YES","NO"),"N/A")</f>
        <v>N/A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str">
        <f>IF(OR($AM33&lt;&gt;"",$Z33&lt;&gt;"",$AC33&lt;&gt;""),"YES","NO")</f>
        <v>NO</v>
      </c>
      <c r="S33" s="4" t="str">
        <f>IF(COUNTIF(I33:R33,"NO")=0,"YES","NO")</f>
        <v>NO</v>
      </c>
      <c r="T33" s="9" t="n"/>
      <c r="U33" s="9" t="inlineStr">
        <is>
          <t>&gt;2.2 GΩ</t>
        </is>
      </c>
      <c r="V33" s="9" t="inlineStr">
        <is>
          <t>21 Ω</t>
        </is>
      </c>
      <c r="W33" s="9" t="inlineStr">
        <is>
          <t>2026-05-17</t>
        </is>
      </c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inlineStr">
        <is>
          <t>D/32SQ3472/13.1M/755/129/1.2M/LS23A/X/N12/XMN</t>
        </is>
      </c>
      <c r="AK33" s="9" t="inlineStr">
        <is>
          <t>13.1 m m</t>
        </is>
      </c>
      <c r="AL33" s="9" t="inlineStr">
        <is>
          <t>Levy Ostrup</t>
        </is>
      </c>
      <c r="AM33" s="9" t="n"/>
      <c r="AN33" s="9" t="n"/>
    </row>
    <row r="34">
      <c r="A34" s="9" t="inlineStr">
        <is>
          <t>EHT Trace</t>
        </is>
      </c>
      <c r="B34" s="9" t="inlineStr">
        <is>
          <t>29103-ET-P1504-2-1</t>
        </is>
      </c>
      <c r="C34" s="9" t="inlineStr">
        <is>
          <t>29103-ET-P1504-2</t>
        </is>
      </c>
      <c r="D34" s="9" t="inlineStr">
        <is>
          <t>HTC-27 / CB-27</t>
        </is>
      </c>
      <c r="E34" s="9" t="inlineStr">
        <is>
          <t>29103-P-1504, 29103-P-1304, 29103-FG-1502</t>
        </is>
      </c>
      <c r="F34" s="9" t="inlineStr">
        <is>
          <t>29103-65R-ET-P1504-02-01</t>
        </is>
      </c>
      <c r="G34" s="9" t="inlineStr">
        <is>
          <t>13.1</t>
        </is>
      </c>
      <c r="H34" s="9" t="inlineStr">
        <is>
          <t>29103-ET-P1504-2-1.pdf</t>
        </is>
      </c>
      <c r="I34" s="4" t="str">
        <f>IF($H34&lt;&gt;"","YES","NO")</f>
        <v>YES</v>
      </c>
      <c r="J34" s="4" t="str">
        <f>IF(N($T34)&gt;0,"YES","NO")</f>
        <v>NO</v>
      </c>
      <c r="K34" s="4" t="str">
        <f>IF(OR($A34="EHT Trace"),IF(AND($U34&lt;&gt;"",$V34&lt;&gt;""),"YES","NO"),"N/A")</f>
        <v>YES</v>
      </c>
      <c r="L34" s="4" t="str">
        <f>IF(OR($A34="EHT Trace"),IF(AND($X34&lt;&gt;"",$Y34&lt;&gt;""),"YES","NO"),"N/A")</f>
        <v>NO</v>
      </c>
      <c r="M34" s="4" t="str">
        <f>IF(OR($A34="EHT Trace"),IF(AND($AA34&lt;&gt;"",$AB34&lt;&gt;""),"YES","NO"),"N/A")</f>
        <v>NO</v>
      </c>
      <c r="N34" s="4" t="str">
        <f>IF(OR($A34="Power Cable"),IF(AND($AD34&lt;&gt;""),"YES","NO"),"N/A")</f>
        <v>N/A</v>
      </c>
      <c r="O34" s="4" t="str">
        <f>IF(OR($A34="Power Cable",$A34="RTD Cable",$A34="Fieldbus Cable"),IF(AND($AE34&lt;&gt;""),"YES","NO"),"N/A")</f>
        <v>N/A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str">
        <f>IF(OR($AM34&lt;&gt;"",$Z34&lt;&gt;"",$AC34&lt;&gt;""),"YES","NO")</f>
        <v>NO</v>
      </c>
      <c r="S34" s="4" t="str">
        <f>IF(COUNTIF(I34:R34,"NO")=0,"YES","NO")</f>
        <v>NO</v>
      </c>
      <c r="T34" s="9" t="n"/>
      <c r="U34" s="9" t="inlineStr">
        <is>
          <t>&gt;2.2 GΩ</t>
        </is>
      </c>
      <c r="V34" s="9" t="inlineStr">
        <is>
          <t>375.9 Ω</t>
        </is>
      </c>
      <c r="W34" s="9" t="inlineStr">
        <is>
          <t>2026-05-17</t>
        </is>
      </c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inlineStr">
        <is>
          <t>D/32SF1180/6.2M/207/277/1.2M/LS23A/X/N12</t>
        </is>
      </c>
      <c r="AK34" s="9" t="inlineStr">
        <is>
          <t>6.2 m m</t>
        </is>
      </c>
      <c r="AL34" s="9" t="inlineStr">
        <is>
          <t>Levy Ostrup</t>
        </is>
      </c>
      <c r="AM34" s="9" t="n"/>
      <c r="AN34" s="9" t="n"/>
    </row>
    <row r="35">
      <c r="A35" s="9" t="inlineStr">
        <is>
          <t>EHT Trace</t>
        </is>
      </c>
      <c r="B35" s="9" t="inlineStr">
        <is>
          <t>29103-ET-P1601-1-1</t>
        </is>
      </c>
      <c r="C35" s="9" t="inlineStr">
        <is>
          <t>29103-ET-P1601-1</t>
        </is>
      </c>
      <c r="D35" s="9" t="inlineStr">
        <is>
          <t>HTC-05 / CB-05</t>
        </is>
      </c>
      <c r="E35" s="9" t="inlineStr">
        <is>
          <t>29103-P-1601</t>
        </is>
      </c>
      <c r="F35" s="9" t="inlineStr">
        <is>
          <t>29103-65R-ET-P1601-01-01</t>
        </is>
      </c>
      <c r="G35" s="9" t="inlineStr">
        <is>
          <t>13.1</t>
        </is>
      </c>
      <c r="H35" s="9" t="inlineStr">
        <is>
          <t>29103-ET-P1601-1-1.pdf</t>
        </is>
      </c>
      <c r="I35" s="4" t="str">
        <f>IF($H35&lt;&gt;"","YES","NO")</f>
        <v>YES</v>
      </c>
      <c r="J35" s="4" t="str">
        <f>IF(N($T35)&gt;0,"YES","NO")</f>
        <v>NO</v>
      </c>
      <c r="K35" s="4" t="str">
        <f>IF(OR($A35="EHT Trace"),IF(AND($U35&lt;&gt;"",$V35&lt;&gt;""),"YES","NO"),"N/A")</f>
        <v>NO</v>
      </c>
      <c r="L35" s="4" t="str">
        <f>IF(OR($A35="EHT Trace"),IF(AND($X35&lt;&gt;"",$Y35&lt;&gt;""),"YES","NO"),"N/A")</f>
        <v>NO</v>
      </c>
      <c r="M35" s="4" t="str">
        <f>IF(OR($A35="EHT Trace"),IF(AND($AA35&lt;&gt;"",$AB35&lt;&gt;""),"YES","NO"),"N/A")</f>
        <v>NO</v>
      </c>
      <c r="N35" s="4" t="str">
        <f>IF(OR($A35="Power Cable"),IF(AND($AD35&lt;&gt;""),"YES","NO"),"N/A")</f>
        <v>N/A</v>
      </c>
      <c r="O35" s="4" t="str">
        <f>IF(OR($A35="Power Cable",$A35="RTD Cable",$A35="Fieldbus Cable"),IF(AND($AE35&lt;&gt;""),"YES","NO"),"N/A")</f>
        <v>N/A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str">
        <f>IF(OR($AM35&lt;&gt;"",$Z35&lt;&gt;"",$AC35&lt;&gt;""),"YES","NO")</f>
        <v>NO</v>
      </c>
      <c r="S35" s="4" t="str">
        <f>IF(COUNTIF(I35:R35,"NO")=0,"YES","NO")</f>
        <v>NO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inlineStr">
        <is>
          <t>E/32SQ3374/20.6M/1001/165/1.2M/LS23A/X/N12/XNF</t>
        </is>
      </c>
      <c r="AK35" s="9" t="inlineStr">
        <is>
          <t>20.6 m m</t>
        </is>
      </c>
      <c r="AL35" s="9" t="inlineStr">
        <is>
          <t>Levy Ostrup</t>
        </is>
      </c>
      <c r="AM35" s="9" t="n"/>
      <c r="AN35" s="9" t="n"/>
    </row>
    <row r="36">
      <c r="A36" s="9" t="inlineStr">
        <is>
          <t>EHT Trace</t>
        </is>
      </c>
      <c r="B36" s="9" t="inlineStr">
        <is>
          <t>29103-ET-P1601-1-2</t>
        </is>
      </c>
      <c r="C36" s="9" t="inlineStr">
        <is>
          <t>29103-ET-P1601-1</t>
        </is>
      </c>
      <c r="D36" s="9" t="inlineStr">
        <is>
          <t>HTC-05 / CB-05</t>
        </is>
      </c>
      <c r="E36" s="9" t="inlineStr">
        <is>
          <t>29103-P-1601</t>
        </is>
      </c>
      <c r="F36" s="9" t="inlineStr">
        <is>
          <t>29103-65R-ET-P1601-01-01</t>
        </is>
      </c>
      <c r="G36" s="9" t="inlineStr">
        <is>
          <t>13.1</t>
        </is>
      </c>
      <c r="H36" s="9" t="inlineStr">
        <is>
          <t>29103-ET-P1601-1-2.pdf</t>
        </is>
      </c>
      <c r="I36" s="4" t="str">
        <f>IF($H36&lt;&gt;"","YES","NO")</f>
        <v>YES</v>
      </c>
      <c r="J36" s="4" t="str">
        <f>IF(N($T36)&gt;0,"YES","NO")</f>
        <v>NO</v>
      </c>
      <c r="K36" s="4" t="str">
        <f>IF(OR($A36="EHT Trace"),IF(AND($U36&lt;&gt;"",$V36&lt;&gt;""),"YES","NO"),"N/A")</f>
        <v>NO</v>
      </c>
      <c r="L36" s="4" t="str">
        <f>IF(OR($A36="EHT Trace"),IF(AND($X36&lt;&gt;"",$Y36&lt;&gt;""),"YES","NO"),"N/A")</f>
        <v>NO</v>
      </c>
      <c r="M36" s="4" t="str">
        <f>IF(OR($A36="EHT Trace"),IF(AND($AA36&lt;&gt;"",$AB36&lt;&gt;""),"YES","NO"),"N/A")</f>
        <v>NO</v>
      </c>
      <c r="N36" s="4" t="str">
        <f>IF(OR($A36="Power Cable"),IF(AND($AD36&lt;&gt;""),"YES","NO"),"N/A")</f>
        <v>N/A</v>
      </c>
      <c r="O36" s="4" t="str">
        <f>IF(OR($A36="Power Cable",$A36="RTD Cable",$A36="Fieldbus Cable"),IF(AND($AE36&lt;&gt;""),"YES","NO"),"N/A")</f>
        <v>N/A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str">
        <f>IF(OR($AM36&lt;&gt;"",$Z36&lt;&gt;"",$AC36&lt;&gt;""),"YES","NO")</f>
        <v>NO</v>
      </c>
      <c r="S36" s="4" t="str">
        <f>IF(COUNTIF(I36:R36,"NO")=0,"YES","NO")</f>
        <v>NO</v>
      </c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inlineStr">
        <is>
          <t>D/32SQ3374/13.9M/676/112/1.2M/LS23A/X/N12/XMN</t>
        </is>
      </c>
      <c r="AK36" s="9" t="inlineStr">
        <is>
          <t>13.9 m m</t>
        </is>
      </c>
      <c r="AL36" s="9" t="inlineStr">
        <is>
          <t>Levy Ostrup</t>
        </is>
      </c>
      <c r="AM36" s="9" t="n"/>
      <c r="AN36" s="9" t="n"/>
    </row>
    <row r="37">
      <c r="A37" s="9" t="inlineStr">
        <is>
          <t>EHT Trace</t>
        </is>
      </c>
      <c r="B37" s="9" t="inlineStr">
        <is>
          <t>29103-ET-P1604-1-1</t>
        </is>
      </c>
      <c r="C37" s="9" t="inlineStr">
        <is>
          <t>29103-ET-P1604-1</t>
        </is>
      </c>
      <c r="D37" s="9" t="inlineStr">
        <is>
          <t>HTC-09 / CB-09</t>
        </is>
      </c>
      <c r="E37" s="9" t="inlineStr">
        <is>
          <t>29103-PE-1601, 29103-P-1604</t>
        </is>
      </c>
      <c r="F37" s="9" t="inlineStr">
        <is>
          <t>29103-65R-ET-P1604-01-01</t>
        </is>
      </c>
      <c r="G37" s="9" t="inlineStr">
        <is>
          <t>13.1</t>
        </is>
      </c>
      <c r="H37" s="9" t="inlineStr">
        <is>
          <t>29103-ET-P1604-1-1.pdf</t>
        </is>
      </c>
      <c r="I37" s="4" t="str">
        <f>IF($H37&lt;&gt;"","YES","NO")</f>
        <v>YES</v>
      </c>
      <c r="J37" s="4" t="str">
        <f>IF(N($T37)&gt;0,"YES","NO")</f>
        <v>NO</v>
      </c>
      <c r="K37" s="4" t="str">
        <f>IF(OR($A37="EHT Trace"),IF(AND($U37&lt;&gt;"",$V37&lt;&gt;""),"YES","NO"),"N/A")</f>
        <v>NO</v>
      </c>
      <c r="L37" s="4" t="str">
        <f>IF(OR($A37="EHT Trace"),IF(AND($X37&lt;&gt;"",$Y37&lt;&gt;""),"YES","NO"),"N/A")</f>
        <v>NO</v>
      </c>
      <c r="M37" s="4" t="str">
        <f>IF(OR($A37="EHT Trace"),IF(AND($AA37&lt;&gt;"",$AB37&lt;&gt;""),"YES","NO"),"N/A")</f>
        <v>NO</v>
      </c>
      <c r="N37" s="4" t="str">
        <f>IF(OR($A37="Power Cable"),IF(AND($AD37&lt;&gt;""),"YES","NO"),"N/A")</f>
        <v>N/A</v>
      </c>
      <c r="O37" s="4" t="str">
        <f>IF(OR($A37="Power Cable",$A37="RTD Cable",$A37="Fieldbus Cable"),IF(AND($AE37&lt;&gt;""),"YES","NO"),"N/A")</f>
        <v>N/A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str">
        <f>IF(OR($AM37&lt;&gt;"",$Z37&lt;&gt;"",$AC37&lt;&gt;""),"YES","NO")</f>
        <v>NO</v>
      </c>
      <c r="S37" s="4" t="str">
        <f>IF(COUNTIF(I37:R37,"NO")=0,"YES","NO")</f>
        <v>NO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inlineStr">
        <is>
          <t>D/32SA2200/20.9M/554/277/1.2M/LS23A/X/N12</t>
        </is>
      </c>
      <c r="AK37" s="9" t="inlineStr">
        <is>
          <t>20.9 m m</t>
        </is>
      </c>
      <c r="AL37" s="9" t="inlineStr">
        <is>
          <t>Levy Ostrup</t>
        </is>
      </c>
      <c r="AM37" s="9" t="n"/>
      <c r="AN37" s="9" t="n"/>
    </row>
    <row r="38">
      <c r="A38" s="9" t="inlineStr">
        <is>
          <t>EHT Trace</t>
        </is>
      </c>
      <c r="B38" s="9" t="inlineStr">
        <is>
          <t>29103-ET-P1604-1-2</t>
        </is>
      </c>
      <c r="C38" s="9" t="inlineStr">
        <is>
          <t>29103-ET-P1604-1</t>
        </is>
      </c>
      <c r="D38" s="9" t="inlineStr">
        <is>
          <t>HTC-09 / CB-09</t>
        </is>
      </c>
      <c r="E38" s="9" t="inlineStr">
        <is>
          <t>29103-P-1604</t>
        </is>
      </c>
      <c r="F38" s="9" t="inlineStr">
        <is>
          <t>29103-65R-ET-P1604-01-01</t>
        </is>
      </c>
      <c r="G38" s="9" t="inlineStr">
        <is>
          <t>13.1</t>
        </is>
      </c>
      <c r="H38" s="9" t="inlineStr">
        <is>
          <t>29103-ET-P1604-1-2.pdf</t>
        </is>
      </c>
      <c r="I38" s="4" t="str">
        <f>IF($H38&lt;&gt;"","YES","NO")</f>
        <v>YES</v>
      </c>
      <c r="J38" s="4" t="str">
        <f>IF(N($T38)&gt;0,"YES","NO")</f>
        <v>NO</v>
      </c>
      <c r="K38" s="4" t="str">
        <f>IF(OR($A38="EHT Trace"),IF(AND($U38&lt;&gt;"",$V38&lt;&gt;""),"YES","NO"),"N/A")</f>
        <v>YES</v>
      </c>
      <c r="L38" s="4" t="str">
        <f>IF(OR($A38="EHT Trace"),IF(AND($X38&lt;&gt;"",$Y38&lt;&gt;""),"YES","NO"),"N/A")</f>
        <v>NO</v>
      </c>
      <c r="M38" s="4" t="str">
        <f>IF(OR($A38="EHT Trace"),IF(AND($AA38&lt;&gt;"",$AB38&lt;&gt;""),"YES","NO"),"N/A")</f>
        <v>NO</v>
      </c>
      <c r="N38" s="4" t="str">
        <f>IF(OR($A38="Power Cable"),IF(AND($AD38&lt;&gt;""),"YES","NO"),"N/A")</f>
        <v>N/A</v>
      </c>
      <c r="O38" s="4" t="str">
        <f>IF(OR($A38="Power Cable",$A38="RTD Cable",$A38="Fieldbus Cable"),IF(AND($AE38&lt;&gt;""),"YES","NO"),"N/A")</f>
        <v>N/A</v>
      </c>
      <c r="P38" s="4" t="str">
        <f>IF(OR($A38="RTD"),IF(AND($AH38&lt;&gt;""),"YES","NO"),"N/A")</f>
        <v>N/A</v>
      </c>
      <c r="Q38" s="4" t="str">
        <f>IF(OR($A38="RTD"),IF(AND($AI38&lt;&gt;""),"YES","NO"),"N/A")</f>
        <v>N/A</v>
      </c>
      <c r="R38" s="4" t="str">
        <f>IF(OR($AM38&lt;&gt;"",$Z38&lt;&gt;"",$AC38&lt;&gt;""),"YES","NO")</f>
        <v>NO</v>
      </c>
      <c r="S38" s="4" t="str">
        <f>IF(COUNTIF(I38:R38,"NO")=0,"YES","NO")</f>
        <v>NO</v>
      </c>
      <c r="T38" s="9" t="n"/>
      <c r="U38" s="9" t="inlineStr">
        <is>
          <t>&gt;2.2 GΩ</t>
        </is>
      </c>
      <c r="V38" s="9" t="inlineStr">
        <is>
          <t>10.6 Ω</t>
        </is>
      </c>
      <c r="W38" s="9" t="inlineStr">
        <is>
          <t>2026-05-17</t>
        </is>
      </c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inlineStr">
        <is>
          <t>E/32SQ3472/6.5M/416/67.7/1.2M/LS23A/X/N12/XNF</t>
        </is>
      </c>
      <c r="AK38" s="9" t="inlineStr">
        <is>
          <t>6.5 m m</t>
        </is>
      </c>
      <c r="AL38" s="9" t="inlineStr">
        <is>
          <t>Levy Ostrup</t>
        </is>
      </c>
      <c r="AM38" s="9" t="n"/>
      <c r="AN38" s="9" t="n"/>
    </row>
    <row r="39">
      <c r="A39" s="9" t="inlineStr">
        <is>
          <t>EHT Trace</t>
        </is>
      </c>
      <c r="B39" s="9" t="inlineStr">
        <is>
          <t>29103-ET-P1604-1-3</t>
        </is>
      </c>
      <c r="C39" s="9" t="inlineStr">
        <is>
          <t>29103-ET-P1604-1</t>
        </is>
      </c>
      <c r="D39" s="9" t="inlineStr">
        <is>
          <t>HTC-09 / CB-09</t>
        </is>
      </c>
      <c r="E39" s="9" t="inlineStr">
        <is>
          <t>29103-P-1604</t>
        </is>
      </c>
      <c r="F39" s="9" t="inlineStr">
        <is>
          <t>29103-65R-ET-P1604-01-01</t>
        </is>
      </c>
      <c r="G39" s="9" t="inlineStr">
        <is>
          <t>13.1</t>
        </is>
      </c>
      <c r="H39" s="9" t="inlineStr">
        <is>
          <t>29103-ET-P1604-1-3.pdf</t>
        </is>
      </c>
      <c r="I39" s="4" t="str">
        <f>IF($H39&lt;&gt;"","YES","NO")</f>
        <v>YES</v>
      </c>
      <c r="J39" s="4" t="str">
        <f>IF(N($T39)&gt;0,"YES","NO")</f>
        <v>NO</v>
      </c>
      <c r="K39" s="4" t="str">
        <f>IF(OR($A39="EHT Trace"),IF(AND($U39&lt;&gt;"",$V39&lt;&gt;""),"YES","NO"),"N/A")</f>
        <v>YES</v>
      </c>
      <c r="L39" s="4" t="str">
        <f>IF(OR($A39="EHT Trace"),IF(AND($X39&lt;&gt;"",$Y39&lt;&gt;""),"YES","NO"),"N/A")</f>
        <v>NO</v>
      </c>
      <c r="M39" s="4" t="str">
        <f>IF(OR($A39="EHT Trace"),IF(AND($AA39&lt;&gt;"",$AB39&lt;&gt;""),"YES","NO"),"N/A")</f>
        <v>NO</v>
      </c>
      <c r="N39" s="4" t="str">
        <f>IF(OR($A39="Power Cable"),IF(AND($AD39&lt;&gt;""),"YES","NO"),"N/A")</f>
        <v>N/A</v>
      </c>
      <c r="O39" s="4" t="str">
        <f>IF(OR($A39="Power Cable",$A39="RTD Cable",$A39="Fieldbus Cable"),IF(AND($AE39&lt;&gt;""),"YES","NO"),"N/A")</f>
        <v>N/A</v>
      </c>
      <c r="P39" s="4" t="str">
        <f>IF(OR($A39="RTD"),IF(AND($AH39&lt;&gt;""),"YES","NO"),"N/A")</f>
        <v>N/A</v>
      </c>
      <c r="Q39" s="4" t="str">
        <f>IF(OR($A39="RTD"),IF(AND($AI39&lt;&gt;""),"YES","NO"),"N/A")</f>
        <v>N/A</v>
      </c>
      <c r="R39" s="4" t="str">
        <f>IF(OR($AM39&lt;&gt;"",$Z39&lt;&gt;"",$AC39&lt;&gt;""),"YES","NO")</f>
        <v>NO</v>
      </c>
      <c r="S39" s="4" t="str">
        <f>IF(COUNTIF(I39:R39,"NO")=0,"YES","NO")</f>
        <v>NO</v>
      </c>
      <c r="T39" s="9" t="n"/>
      <c r="U39" s="9" t="inlineStr">
        <is>
          <t>&gt;2.2 GΩ</t>
        </is>
      </c>
      <c r="V39" s="9" t="inlineStr">
        <is>
          <t>11.4 Ω</t>
        </is>
      </c>
      <c r="W39" s="9" t="inlineStr">
        <is>
          <t>2026-05-17</t>
        </is>
      </c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inlineStr">
        <is>
          <t>E/32SQ3472/7M/448/72.9/1.2M/LS23A/X/N12/XMF</t>
        </is>
      </c>
      <c r="AK39" s="9" t="inlineStr">
        <is>
          <t>7 m m</t>
        </is>
      </c>
      <c r="AL39" s="9" t="inlineStr">
        <is>
          <t>Levy Ostrup</t>
        </is>
      </c>
      <c r="AM39" s="9" t="n"/>
      <c r="AN39" s="9" t="n"/>
    </row>
    <row r="40">
      <c r="A40" s="9" t="inlineStr">
        <is>
          <t>EHT Trace</t>
        </is>
      </c>
      <c r="B40" s="9" t="inlineStr">
        <is>
          <t>29103-ET-P1604-1-4</t>
        </is>
      </c>
      <c r="C40" s="9" t="inlineStr">
        <is>
          <t>29103-ET-P1604-1</t>
        </is>
      </c>
      <c r="D40" s="9" t="inlineStr">
        <is>
          <t>HTC-09 / CB-09</t>
        </is>
      </c>
      <c r="E40" s="9" t="inlineStr">
        <is>
          <t>29103-P-1604</t>
        </is>
      </c>
      <c r="F40" s="9" t="inlineStr">
        <is>
          <t>29103-65R-ET-P1604-01-01</t>
        </is>
      </c>
      <c r="G40" s="9" t="inlineStr">
        <is>
          <t>13.1</t>
        </is>
      </c>
      <c r="H40" s="9" t="inlineStr">
        <is>
          <t>29103-ET-P1604-1-4.pdf</t>
        </is>
      </c>
      <c r="I40" s="4" t="str">
        <f>IF($H40&lt;&gt;"","YES","NO")</f>
        <v>YES</v>
      </c>
      <c r="J40" s="4" t="str">
        <f>IF(N($T40)&gt;0,"YES","NO")</f>
        <v>NO</v>
      </c>
      <c r="K40" s="4" t="str">
        <f>IF(OR($A40="EHT Trace"),IF(AND($U40&lt;&gt;"",$V40&lt;&gt;""),"YES","NO"),"N/A")</f>
        <v>YES</v>
      </c>
      <c r="L40" s="4" t="str">
        <f>IF(OR($A40="EHT Trace"),IF(AND($X40&lt;&gt;"",$Y40&lt;&gt;""),"YES","NO"),"N/A")</f>
        <v>NO</v>
      </c>
      <c r="M40" s="4" t="str">
        <f>IF(OR($A40="EHT Trace"),IF(AND($AA40&lt;&gt;"",$AB40&lt;&gt;""),"YES","NO"),"N/A")</f>
        <v>NO</v>
      </c>
      <c r="N40" s="4" t="str">
        <f>IF(OR($A40="Power Cable"),IF(AND($AD40&lt;&gt;""),"YES","NO"),"N/A")</f>
        <v>N/A</v>
      </c>
      <c r="O40" s="4" t="str">
        <f>IF(OR($A40="Power Cable",$A40="RTD Cable",$A40="Fieldbus Cable"),IF(AND($AE40&lt;&gt;""),"YES","NO"),"N/A")</f>
        <v>N/A</v>
      </c>
      <c r="P40" s="4" t="str">
        <f>IF(OR($A40="RTD"),IF(AND($AH40&lt;&gt;""),"YES","NO"),"N/A")</f>
        <v>N/A</v>
      </c>
      <c r="Q40" s="4" t="str">
        <f>IF(OR($A40="RTD"),IF(AND($AI40&lt;&gt;""),"YES","NO"),"N/A")</f>
        <v>N/A</v>
      </c>
      <c r="R40" s="4" t="str">
        <f>IF(OR($AM40&lt;&gt;"",$Z40&lt;&gt;"",$AC40&lt;&gt;""),"YES","NO")</f>
        <v>NO</v>
      </c>
      <c r="S40" s="4" t="str">
        <f>IF(COUNTIF(I40:R40,"NO")=0,"YES","NO")</f>
        <v>NO</v>
      </c>
      <c r="T40" s="9" t="n"/>
      <c r="U40" s="9" t="inlineStr">
        <is>
          <t>&gt;2.2 GΩ</t>
        </is>
      </c>
      <c r="V40" s="9" t="inlineStr">
        <is>
          <t>20.9 Ω</t>
        </is>
      </c>
      <c r="W40" s="9" t="inlineStr">
        <is>
          <t>2026-05-17</t>
        </is>
      </c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inlineStr">
        <is>
          <t>D/32SQ3472/13.1M/838/136/1.2M/LS23A/X/N12/XMN</t>
        </is>
      </c>
      <c r="AK40" s="9" t="inlineStr">
        <is>
          <t>13.1 m m</t>
        </is>
      </c>
      <c r="AL40" s="9" t="inlineStr">
        <is>
          <t>Levy Ostrup</t>
        </is>
      </c>
      <c r="AM40" s="9" t="n"/>
      <c r="AN40" s="9" t="n"/>
    </row>
    <row r="41">
      <c r="A41" s="9" t="inlineStr">
        <is>
          <t>EHT Trace</t>
        </is>
      </c>
      <c r="B41" s="9" t="inlineStr">
        <is>
          <t>29103-ET-P1604-2-1</t>
        </is>
      </c>
      <c r="C41" s="9" t="inlineStr">
        <is>
          <t>29103-ET-P1604-2</t>
        </is>
      </c>
      <c r="D41" s="9" t="inlineStr">
        <is>
          <t>HTC-17 / CB-17</t>
        </is>
      </c>
      <c r="E41" s="9" t="inlineStr">
        <is>
          <t>29103-P-1604, 29103-FG-1602</t>
        </is>
      </c>
      <c r="F41" s="9" t="inlineStr">
        <is>
          <t>29103-65R-ET-P1604-02-01</t>
        </is>
      </c>
      <c r="G41" s="9" t="inlineStr">
        <is>
          <t>13.1</t>
        </is>
      </c>
      <c r="H41" s="9" t="inlineStr">
        <is>
          <t>29103-ET-P1604-2-1.pdf</t>
        </is>
      </c>
      <c r="I41" s="4" t="str">
        <f>IF($H41&lt;&gt;"","YES","NO")</f>
        <v>YES</v>
      </c>
      <c r="J41" s="4" t="str">
        <f>IF(N($T41)&gt;0,"YES","NO")</f>
        <v>NO</v>
      </c>
      <c r="K41" s="4" t="str">
        <f>IF(OR($A41="EHT Trace"),IF(AND($U41&lt;&gt;"",$V41&lt;&gt;""),"YES","NO"),"N/A")</f>
        <v>YES</v>
      </c>
      <c r="L41" s="4" t="str">
        <f>IF(OR($A41="EHT Trace"),IF(AND($X41&lt;&gt;"",$Y41&lt;&gt;""),"YES","NO"),"N/A")</f>
        <v>NO</v>
      </c>
      <c r="M41" s="4" t="str">
        <f>IF(OR($A41="EHT Trace"),IF(AND($AA41&lt;&gt;"",$AB41&lt;&gt;""),"YES","NO"),"N/A")</f>
        <v>NO</v>
      </c>
      <c r="N41" s="4" t="str">
        <f>IF(OR($A41="Power Cable"),IF(AND($AD41&lt;&gt;""),"YES","NO"),"N/A")</f>
        <v>N/A</v>
      </c>
      <c r="O41" s="4" t="str">
        <f>IF(OR($A41="Power Cable",$A41="RTD Cable",$A41="Fieldbus Cable"),IF(AND($AE41&lt;&gt;""),"YES","NO"),"N/A")</f>
        <v>N/A</v>
      </c>
      <c r="P41" s="4" t="str">
        <f>IF(OR($A41="RTD"),IF(AND($AH41&lt;&gt;""),"YES","NO"),"N/A")</f>
        <v>N/A</v>
      </c>
      <c r="Q41" s="4" t="str">
        <f>IF(OR($A41="RTD"),IF(AND($AI41&lt;&gt;""),"YES","NO"),"N/A")</f>
        <v>N/A</v>
      </c>
      <c r="R41" s="4" t="str">
        <f>IF(OR($AM41&lt;&gt;"",$Z41&lt;&gt;"",$AC41&lt;&gt;""),"YES","NO")</f>
        <v>NO</v>
      </c>
      <c r="S41" s="4" t="str">
        <f>IF(COUNTIF(I41:R41,"NO")=0,"YES","NO")</f>
        <v>NO</v>
      </c>
      <c r="T41" s="9" t="n"/>
      <c r="U41" s="9" t="inlineStr">
        <is>
          <t>&gt;2.2 GΩ</t>
        </is>
      </c>
      <c r="V41" s="9" t="inlineStr">
        <is>
          <t>262.6 Ω</t>
        </is>
      </c>
      <c r="W41" s="9" t="inlineStr">
        <is>
          <t>2026-05-17</t>
        </is>
      </c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inlineStr">
        <is>
          <t>D/32SF1110/7M/299/277/1.2M/LS23A/X/N12</t>
        </is>
      </c>
      <c r="AK41" s="9" t="inlineStr">
        <is>
          <t>7 m m</t>
        </is>
      </c>
      <c r="AL41" s="9" t="inlineStr">
        <is>
          <t>Levy Ostrup</t>
        </is>
      </c>
      <c r="AM41" s="9" t="n"/>
      <c r="AN41" s="9" t="n"/>
    </row>
    <row r="42">
      <c r="A42" s="9" t="inlineStr">
        <is>
          <t>EHT Trace</t>
        </is>
      </c>
      <c r="B42" s="9" t="inlineStr">
        <is>
          <t>29103-ET-P1701-1-1</t>
        </is>
      </c>
      <c r="C42" s="9" t="inlineStr">
        <is>
          <t>29103-ET-P1701-1</t>
        </is>
      </c>
      <c r="D42" s="9" t="inlineStr">
        <is>
          <t>HTC-19 / CB-19</t>
        </is>
      </c>
      <c r="E42" s="9" t="inlineStr">
        <is>
          <t>29103-P-1701</t>
        </is>
      </c>
      <c r="F42" s="9" t="inlineStr">
        <is>
          <t>29103-65R-ET-P1701-01-01</t>
        </is>
      </c>
      <c r="G42" s="9" t="inlineStr">
        <is>
          <t>13.1</t>
        </is>
      </c>
      <c r="H42" s="9" t="inlineStr">
        <is>
          <t>29103-ET-P1701-1-1.pdf</t>
        </is>
      </c>
      <c r="I42" s="4" t="str">
        <f>IF($H42&lt;&gt;"","YES","NO")</f>
        <v>YES</v>
      </c>
      <c r="J42" s="4" t="str">
        <f>IF(N($T42)&gt;0,"YES","NO")</f>
        <v>NO</v>
      </c>
      <c r="K42" s="4" t="str">
        <f>IF(OR($A42="EHT Trace"),IF(AND($U42&lt;&gt;"",$V42&lt;&gt;""),"YES","NO"),"N/A")</f>
        <v>NO</v>
      </c>
      <c r="L42" s="4" t="str">
        <f>IF(OR($A42="EHT Trace"),IF(AND($X42&lt;&gt;"",$Y42&lt;&gt;""),"YES","NO"),"N/A")</f>
        <v>NO</v>
      </c>
      <c r="M42" s="4" t="str">
        <f>IF(OR($A42="EHT Trace"),IF(AND($AA42&lt;&gt;"",$AB42&lt;&gt;""),"YES","NO"),"N/A")</f>
        <v>NO</v>
      </c>
      <c r="N42" s="4" t="str">
        <f>IF(OR($A42="Power Cable"),IF(AND($AD42&lt;&gt;""),"YES","NO"),"N/A")</f>
        <v>N/A</v>
      </c>
      <c r="O42" s="4" t="str">
        <f>IF(OR($A42="Power Cable",$A42="RTD Cable",$A42="Fieldbus Cable"),IF(AND($AE42&lt;&gt;""),"YES","NO"),"N/A")</f>
        <v>N/A</v>
      </c>
      <c r="P42" s="4" t="str">
        <f>IF(OR($A42="RTD"),IF(AND($AH42&lt;&gt;""),"YES","NO"),"N/A")</f>
        <v>N/A</v>
      </c>
      <c r="Q42" s="4" t="str">
        <f>IF(OR($A42="RTD"),IF(AND($AI42&lt;&gt;""),"YES","NO"),"N/A")</f>
        <v>N/A</v>
      </c>
      <c r="R42" s="4" t="str">
        <f>IF(OR($AM42&lt;&gt;"",$Z42&lt;&gt;"",$AC42&lt;&gt;""),"YES","NO")</f>
        <v>NO</v>
      </c>
      <c r="S42" s="4" t="str">
        <f>IF(COUNTIF(I42:R42,"NO")=0,"YES","NO")</f>
        <v>NO</v>
      </c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inlineStr">
        <is>
          <t>E/32SQ3374/20.5M/1007/166/1.2M/LS23A/X/N12/XNF</t>
        </is>
      </c>
      <c r="AK42" s="9" t="inlineStr">
        <is>
          <t>20.5 m m</t>
        </is>
      </c>
      <c r="AL42" s="9" t="inlineStr">
        <is>
          <t>Levy Ostrup</t>
        </is>
      </c>
      <c r="AM42" s="9" t="n"/>
      <c r="AN42" s="9" t="n"/>
    </row>
    <row r="43">
      <c r="A43" s="9" t="inlineStr">
        <is>
          <t>EHT Trace</t>
        </is>
      </c>
      <c r="B43" s="9" t="inlineStr">
        <is>
          <t>29103-ET-P1701-1-2</t>
        </is>
      </c>
      <c r="C43" s="9" t="inlineStr">
        <is>
          <t>29103-ET-P1701-1</t>
        </is>
      </c>
      <c r="D43" s="9" t="inlineStr">
        <is>
          <t>HTC-19 / CB-19</t>
        </is>
      </c>
      <c r="E43" s="9" t="inlineStr">
        <is>
          <t>29103-P-1701</t>
        </is>
      </c>
      <c r="F43" s="9" t="inlineStr">
        <is>
          <t>29103-65R-ET-P1701-01-01</t>
        </is>
      </c>
      <c r="G43" s="9" t="inlineStr">
        <is>
          <t>13.1</t>
        </is>
      </c>
      <c r="H43" s="9" t="inlineStr">
        <is>
          <t>29103-ET-P1701-1-2.pdf</t>
        </is>
      </c>
      <c r="I43" s="4" t="str">
        <f>IF($H43&lt;&gt;"","YES","NO")</f>
        <v>YES</v>
      </c>
      <c r="J43" s="4" t="str">
        <f>IF(N($T43)&gt;0,"YES","NO")</f>
        <v>NO</v>
      </c>
      <c r="K43" s="4" t="str">
        <f>IF(OR($A43="EHT Trace"),IF(AND($U43&lt;&gt;"",$V43&lt;&gt;""),"YES","NO"),"N/A")</f>
        <v>NO</v>
      </c>
      <c r="L43" s="4" t="str">
        <f>IF(OR($A43="EHT Trace"),IF(AND($X43&lt;&gt;"",$Y43&lt;&gt;""),"YES","NO"),"N/A")</f>
        <v>NO</v>
      </c>
      <c r="M43" s="4" t="str">
        <f>IF(OR($A43="EHT Trace"),IF(AND($AA43&lt;&gt;"",$AB43&lt;&gt;""),"YES","NO"),"N/A")</f>
        <v>NO</v>
      </c>
      <c r="N43" s="4" t="str">
        <f>IF(OR($A43="Power Cable"),IF(AND($AD43&lt;&gt;""),"YES","NO"),"N/A")</f>
        <v>N/A</v>
      </c>
      <c r="O43" s="4" t="str">
        <f>IF(OR($A43="Power Cable",$A43="RTD Cable",$A43="Fieldbus Cable"),IF(AND($AE43&lt;&gt;""),"YES","NO"),"N/A")</f>
        <v>N/A</v>
      </c>
      <c r="P43" s="4" t="str">
        <f>IF(OR($A43="RTD"),IF(AND($AH43&lt;&gt;""),"YES","NO"),"N/A")</f>
        <v>N/A</v>
      </c>
      <c r="Q43" s="4" t="str">
        <f>IF(OR($A43="RTD"),IF(AND($AI43&lt;&gt;""),"YES","NO"),"N/A")</f>
        <v>N/A</v>
      </c>
      <c r="R43" s="4" t="str">
        <f>IF(OR($AM43&lt;&gt;"",$Z43&lt;&gt;"",$AC43&lt;&gt;""),"YES","NO")</f>
        <v>NO</v>
      </c>
      <c r="S43" s="4" t="str">
        <f>IF(COUNTIF(I43:R43,"NO")=0,"YES","NO")</f>
        <v>NO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inlineStr">
        <is>
          <t>D/32SQ3374/13.8M/678/111/1.2M/LS23A/X/N12/XMN</t>
        </is>
      </c>
      <c r="AK43" s="9" t="inlineStr">
        <is>
          <t>13.8 m m</t>
        </is>
      </c>
      <c r="AL43" s="9" t="inlineStr">
        <is>
          <t>Levy Ostrup</t>
        </is>
      </c>
      <c r="AM43" s="9" t="n"/>
      <c r="AN43" s="9" t="n"/>
    </row>
    <row r="44">
      <c r="A44" s="9" t="inlineStr">
        <is>
          <t>EHT Trace</t>
        </is>
      </c>
      <c r="B44" s="9" t="inlineStr">
        <is>
          <t>29103-ET-P1704-1-1</t>
        </is>
      </c>
      <c r="C44" s="9" t="inlineStr">
        <is>
          <t>29103-ET-P1704-1</t>
        </is>
      </c>
      <c r="D44" s="9" t="inlineStr">
        <is>
          <t>HTC-18 / CB-18</t>
        </is>
      </c>
      <c r="E44" s="9" t="inlineStr">
        <is>
          <t>29103-PE-1701, 29103-P-1704</t>
        </is>
      </c>
      <c r="F44" s="9" t="inlineStr">
        <is>
          <t>29103-65R-ET-P1704-01-01</t>
        </is>
      </c>
      <c r="G44" s="9" t="inlineStr">
        <is>
          <t>13.1</t>
        </is>
      </c>
      <c r="H44" s="9" t="inlineStr">
        <is>
          <t>29103-ET-P1704-1-1.pdf</t>
        </is>
      </c>
      <c r="I44" s="4" t="str">
        <f>IF($H44&lt;&gt;"","YES","NO")</f>
        <v>YES</v>
      </c>
      <c r="J44" s="4" t="str">
        <f>IF(N($T44)&gt;0,"YES","NO")</f>
        <v>NO</v>
      </c>
      <c r="K44" s="4" t="str">
        <f>IF(OR($A44="EHT Trace"),IF(AND($U44&lt;&gt;"",$V44&lt;&gt;""),"YES","NO"),"N/A")</f>
        <v>NO</v>
      </c>
      <c r="L44" s="4" t="str">
        <f>IF(OR($A44="EHT Trace"),IF(AND($X44&lt;&gt;"",$Y44&lt;&gt;""),"YES","NO"),"N/A")</f>
        <v>NO</v>
      </c>
      <c r="M44" s="4" t="str">
        <f>IF(OR($A44="EHT Trace"),IF(AND($AA44&lt;&gt;"",$AB44&lt;&gt;""),"YES","NO"),"N/A")</f>
        <v>NO</v>
      </c>
      <c r="N44" s="4" t="str">
        <f>IF(OR($A44="Power Cable"),IF(AND($AD44&lt;&gt;""),"YES","NO"),"N/A")</f>
        <v>N/A</v>
      </c>
      <c r="O44" s="4" t="str">
        <f>IF(OR($A44="Power Cable",$A44="RTD Cable",$A44="Fieldbus Cable"),IF(AND($AE44&lt;&gt;""),"YES","NO"),"N/A")</f>
        <v>N/A</v>
      </c>
      <c r="P44" s="4" t="str">
        <f>IF(OR($A44="RTD"),IF(AND($AH44&lt;&gt;""),"YES","NO"),"N/A")</f>
        <v>N/A</v>
      </c>
      <c r="Q44" s="4" t="str">
        <f>IF(OR($A44="RTD"),IF(AND($AI44&lt;&gt;""),"YES","NO"),"N/A")</f>
        <v>N/A</v>
      </c>
      <c r="R44" s="4" t="str">
        <f>IF(OR($AM44&lt;&gt;"",$Z44&lt;&gt;"",$AC44&lt;&gt;""),"YES","NO")</f>
        <v>NO</v>
      </c>
      <c r="S44" s="4" t="str">
        <f>IF(COUNTIF(I44:R44,"NO")=0,"YES","NO")</f>
        <v>NO</v>
      </c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inlineStr">
        <is>
          <t>D/32SA2200/20.9M/554/277/1.2M/LS23A/X/N12</t>
        </is>
      </c>
      <c r="AK44" s="9" t="inlineStr">
        <is>
          <t>20.9 m m</t>
        </is>
      </c>
      <c r="AL44" s="9" t="inlineStr">
        <is>
          <t>Levy Ostrup</t>
        </is>
      </c>
      <c r="AM44" s="9" t="n"/>
      <c r="AN44" s="9" t="n"/>
    </row>
    <row r="45">
      <c r="A45" s="9" t="inlineStr">
        <is>
          <t>EHT Trace</t>
        </is>
      </c>
      <c r="B45" s="9" t="inlineStr">
        <is>
          <t>29103-ET-P1704-1-2</t>
        </is>
      </c>
      <c r="C45" s="9" t="inlineStr">
        <is>
          <t>29103-ET-P1704-1</t>
        </is>
      </c>
      <c r="D45" s="9" t="inlineStr">
        <is>
          <t>HTC-18 / CB-18</t>
        </is>
      </c>
      <c r="E45" s="9" t="inlineStr">
        <is>
          <t>29103-P-1704</t>
        </is>
      </c>
      <c r="F45" s="9" t="inlineStr">
        <is>
          <t>29103-65R-ET-P1704-01-01</t>
        </is>
      </c>
      <c r="G45" s="9" t="inlineStr">
        <is>
          <t>13.1</t>
        </is>
      </c>
      <c r="H45" s="9" t="inlineStr">
        <is>
          <t>29103-ET-P1704-1-2.pdf</t>
        </is>
      </c>
      <c r="I45" s="4" t="str">
        <f>IF($H45&lt;&gt;"","YES","NO")</f>
        <v>YES</v>
      </c>
      <c r="J45" s="4" t="str">
        <f>IF(N($T45)&gt;0,"YES","NO")</f>
        <v>NO</v>
      </c>
      <c r="K45" s="4" t="str">
        <f>IF(OR($A45="EHT Trace"),IF(AND($U45&lt;&gt;"",$V45&lt;&gt;""),"YES","NO"),"N/A")</f>
        <v>YES</v>
      </c>
      <c r="L45" s="4" t="str">
        <f>IF(OR($A45="EHT Trace"),IF(AND($X45&lt;&gt;"",$Y45&lt;&gt;""),"YES","NO"),"N/A")</f>
        <v>NO</v>
      </c>
      <c r="M45" s="4" t="str">
        <f>IF(OR($A45="EHT Trace"),IF(AND($AA45&lt;&gt;"",$AB45&lt;&gt;""),"YES","NO"),"N/A")</f>
        <v>NO</v>
      </c>
      <c r="N45" s="4" t="str">
        <f>IF(OR($A45="Power Cable"),IF(AND($AD45&lt;&gt;""),"YES","NO"),"N/A")</f>
        <v>N/A</v>
      </c>
      <c r="O45" s="4" t="str">
        <f>IF(OR($A45="Power Cable",$A45="RTD Cable",$A45="Fieldbus Cable"),IF(AND($AE45&lt;&gt;""),"YES","NO"),"N/A")</f>
        <v>N/A</v>
      </c>
      <c r="P45" s="4" t="str">
        <f>IF(OR($A45="RTD"),IF(AND($AH45&lt;&gt;""),"YES","NO"),"N/A")</f>
        <v>N/A</v>
      </c>
      <c r="Q45" s="4" t="str">
        <f>IF(OR($A45="RTD"),IF(AND($AI45&lt;&gt;""),"YES","NO"),"N/A")</f>
        <v>N/A</v>
      </c>
      <c r="R45" s="4" t="str">
        <f>IF(OR($AM45&lt;&gt;"",$Z45&lt;&gt;"",$AC45&lt;&gt;""),"YES","NO")</f>
        <v>NO</v>
      </c>
      <c r="S45" s="4" t="str">
        <f>IF(COUNTIF(I45:R45,"NO")=0,"YES","NO")</f>
        <v>NO</v>
      </c>
      <c r="T45" s="9" t="n"/>
      <c r="U45" s="9" t="inlineStr">
        <is>
          <t>&gt;2.2 GΩ</t>
        </is>
      </c>
      <c r="V45" s="9" t="inlineStr">
        <is>
          <t>12.9 Ω</t>
        </is>
      </c>
      <c r="W45" s="9" t="inlineStr">
        <is>
          <t>2026-05-17</t>
        </is>
      </c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inlineStr">
        <is>
          <t>E/32SQ3472/8M/461/78.9/1.2M/LS23A/X/N12/XNF</t>
        </is>
      </c>
      <c r="AK45" s="9" t="inlineStr">
        <is>
          <t>8 m m</t>
        </is>
      </c>
      <c r="AL45" s="9" t="inlineStr">
        <is>
          <t>Levy Ostrup</t>
        </is>
      </c>
      <c r="AM45" s="9" t="n"/>
      <c r="AN45" s="9" t="n"/>
    </row>
    <row r="46">
      <c r="A46" s="9" t="inlineStr">
        <is>
          <t>EHT Trace</t>
        </is>
      </c>
      <c r="B46" s="9" t="inlineStr">
        <is>
          <t>29103-ET-P1704-1-3</t>
        </is>
      </c>
      <c r="C46" s="9" t="inlineStr">
        <is>
          <t>29103-ET-P1704-1</t>
        </is>
      </c>
      <c r="D46" s="9" t="inlineStr">
        <is>
          <t>HTC-18 / CB-18</t>
        </is>
      </c>
      <c r="E46" s="9" t="inlineStr">
        <is>
          <t>29103-P-1704</t>
        </is>
      </c>
      <c r="F46" s="9" t="inlineStr">
        <is>
          <t>29103-65R-ET-P1704-01-01</t>
        </is>
      </c>
      <c r="G46" s="9" t="inlineStr">
        <is>
          <t>13.1</t>
        </is>
      </c>
      <c r="H46" s="9" t="inlineStr">
        <is>
          <t>29103-ET-P1704-1-3.pdf</t>
        </is>
      </c>
      <c r="I46" s="4" t="str">
        <f>IF($H46&lt;&gt;"","YES","NO")</f>
        <v>YES</v>
      </c>
      <c r="J46" s="4" t="str">
        <f>IF(N($T46)&gt;0,"YES","NO")</f>
        <v>NO</v>
      </c>
      <c r="K46" s="4" t="str">
        <f>IF(OR($A46="EHT Trace"),IF(AND($U46&lt;&gt;"",$V46&lt;&gt;""),"YES","NO"),"N/A")</f>
        <v>YES</v>
      </c>
      <c r="L46" s="4" t="str">
        <f>IF(OR($A46="EHT Trace"),IF(AND($X46&lt;&gt;"",$Y46&lt;&gt;""),"YES","NO"),"N/A")</f>
        <v>NO</v>
      </c>
      <c r="M46" s="4" t="str">
        <f>IF(OR($A46="EHT Trace"),IF(AND($AA46&lt;&gt;"",$AB46&lt;&gt;""),"YES","NO"),"N/A")</f>
        <v>NO</v>
      </c>
      <c r="N46" s="4" t="str">
        <f>IF(OR($A46="Power Cable"),IF(AND($AD46&lt;&gt;""),"YES","NO"),"N/A")</f>
        <v>N/A</v>
      </c>
      <c r="O46" s="4" t="str">
        <f>IF(OR($A46="Power Cable",$A46="RTD Cable",$A46="Fieldbus Cable"),IF(AND($AE46&lt;&gt;""),"YES","NO"),"N/A")</f>
        <v>N/A</v>
      </c>
      <c r="P46" s="4" t="str">
        <f>IF(OR($A46="RTD"),IF(AND($AH46&lt;&gt;""),"YES","NO"),"N/A")</f>
        <v>N/A</v>
      </c>
      <c r="Q46" s="4" t="str">
        <f>IF(OR($A46="RTD"),IF(AND($AI46&lt;&gt;""),"YES","NO"),"N/A")</f>
        <v>N/A</v>
      </c>
      <c r="R46" s="4" t="str">
        <f>IF(OR($AM46&lt;&gt;"",$Z46&lt;&gt;"",$AC46&lt;&gt;""),"YES","NO")</f>
        <v>NO</v>
      </c>
      <c r="S46" s="4" t="str">
        <f>IF(COUNTIF(I46:R46,"NO")=0,"YES","NO")</f>
        <v>NO</v>
      </c>
      <c r="T46" s="9" t="n"/>
      <c r="U46" s="9" t="inlineStr">
        <is>
          <t>&gt;2.2 GΩ</t>
        </is>
      </c>
      <c r="V46" s="9" t="inlineStr">
        <is>
          <t>11.4 Ω</t>
        </is>
      </c>
      <c r="W46" s="9" t="inlineStr">
        <is>
          <t>2026-05-17</t>
        </is>
      </c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inlineStr">
        <is>
          <t>E/32SQ3472/7M/403/69/1.2M/LS23A/X/N12/XMF</t>
        </is>
      </c>
      <c r="AK46" s="9" t="inlineStr">
        <is>
          <t>7 m m</t>
        </is>
      </c>
      <c r="AL46" s="9" t="inlineStr">
        <is>
          <t>Levy Ostrup</t>
        </is>
      </c>
      <c r="AM46" s="9" t="n"/>
      <c r="AN46" s="9" t="n"/>
    </row>
    <row r="47">
      <c r="A47" s="9" t="inlineStr">
        <is>
          <t>EHT Trace</t>
        </is>
      </c>
      <c r="B47" s="9" t="inlineStr">
        <is>
          <t>29103-ET-P1704-1-4</t>
        </is>
      </c>
      <c r="C47" s="9" t="inlineStr">
        <is>
          <t>29103-ET-P1704-1</t>
        </is>
      </c>
      <c r="D47" s="9" t="inlineStr">
        <is>
          <t>HTC-18 / CB-18</t>
        </is>
      </c>
      <c r="E47" s="9" t="inlineStr">
        <is>
          <t>29103-P-1704</t>
        </is>
      </c>
      <c r="F47" s="9" t="inlineStr">
        <is>
          <t>29103-65R-ET-P1704-01-01</t>
        </is>
      </c>
      <c r="G47" s="9" t="inlineStr">
        <is>
          <t>13.1</t>
        </is>
      </c>
      <c r="H47" s="9" t="inlineStr">
        <is>
          <t>29103-ET-P1704-1-4.pdf</t>
        </is>
      </c>
      <c r="I47" s="4" t="str">
        <f>IF($H47&lt;&gt;"","YES","NO")</f>
        <v>YES</v>
      </c>
      <c r="J47" s="4" t="str">
        <f>IF(N($T47)&gt;0,"YES","NO")</f>
        <v>NO</v>
      </c>
      <c r="K47" s="4" t="str">
        <f>IF(OR($A47="EHT Trace"),IF(AND($U47&lt;&gt;"",$V47&lt;&gt;""),"YES","NO"),"N/A")</f>
        <v>YES</v>
      </c>
      <c r="L47" s="4" t="str">
        <f>IF(OR($A47="EHT Trace"),IF(AND($X47&lt;&gt;"",$Y47&lt;&gt;""),"YES","NO"),"N/A")</f>
        <v>NO</v>
      </c>
      <c r="M47" s="4" t="str">
        <f>IF(OR($A47="EHT Trace"),IF(AND($AA47&lt;&gt;"",$AB47&lt;&gt;""),"YES","NO"),"N/A")</f>
        <v>NO</v>
      </c>
      <c r="N47" s="4" t="str">
        <f>IF(OR($A47="Power Cable"),IF(AND($AD47&lt;&gt;""),"YES","NO"),"N/A")</f>
        <v>N/A</v>
      </c>
      <c r="O47" s="4" t="str">
        <f>IF(OR($A47="Power Cable",$A47="RTD Cable",$A47="Fieldbus Cable"),IF(AND($AE47&lt;&gt;""),"YES","NO"),"N/A")</f>
        <v>N/A</v>
      </c>
      <c r="P47" s="4" t="str">
        <f>IF(OR($A47="RTD"),IF(AND($AH47&lt;&gt;""),"YES","NO"),"N/A")</f>
        <v>N/A</v>
      </c>
      <c r="Q47" s="4" t="str">
        <f>IF(OR($A47="RTD"),IF(AND($AI47&lt;&gt;""),"YES","NO"),"N/A")</f>
        <v>N/A</v>
      </c>
      <c r="R47" s="4" t="str">
        <f>IF(OR($AM47&lt;&gt;"",$Z47&lt;&gt;"",$AC47&lt;&gt;""),"YES","NO")</f>
        <v>NO</v>
      </c>
      <c r="S47" s="4" t="str">
        <f>IF(COUNTIF(I47:R47,"NO")=0,"YES","NO")</f>
        <v>NO</v>
      </c>
      <c r="T47" s="9" t="n"/>
      <c r="U47" s="9" t="inlineStr">
        <is>
          <t>&gt;2.2 GΩ</t>
        </is>
      </c>
      <c r="V47" s="9" t="inlineStr">
        <is>
          <t>21 Ω</t>
        </is>
      </c>
      <c r="W47" s="9" t="inlineStr">
        <is>
          <t>2026-05-17</t>
        </is>
      </c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inlineStr">
        <is>
          <t>D/32SQ3472/13.1M/755/129/1.2M/LS23A/X/N12/XMN</t>
        </is>
      </c>
      <c r="AK47" s="9" t="inlineStr">
        <is>
          <t>13.1 m m</t>
        </is>
      </c>
      <c r="AL47" s="9" t="inlineStr">
        <is>
          <t>Levy Ostrup</t>
        </is>
      </c>
      <c r="AM47" s="9" t="n"/>
      <c r="AN47" s="9" t="n"/>
    </row>
    <row r="48">
      <c r="A48" s="9" t="inlineStr">
        <is>
          <t>EHT Trace</t>
        </is>
      </c>
      <c r="B48" s="9" t="inlineStr">
        <is>
          <t>29103-ET-P1704-2-1</t>
        </is>
      </c>
      <c r="C48" s="9" t="inlineStr">
        <is>
          <t>29103-ET-P1704-2</t>
        </is>
      </c>
      <c r="D48" s="9" t="inlineStr">
        <is>
          <t>HTC-32 / CB-32</t>
        </is>
      </c>
      <c r="E48" s="9" t="inlineStr">
        <is>
          <t>29103-P-1704, 29103-P-1304, 29103-FG-1702</t>
        </is>
      </c>
      <c r="F48" s="9" t="inlineStr">
        <is>
          <t>29103-65R-ET-P1704-02-01</t>
        </is>
      </c>
      <c r="G48" s="9" t="inlineStr">
        <is>
          <t>13.1</t>
        </is>
      </c>
      <c r="H48" s="9" t="inlineStr">
        <is>
          <t>29103-ET-P1704-2-1.pdf</t>
        </is>
      </c>
      <c r="I48" s="4" t="str">
        <f>IF($H48&lt;&gt;"","YES","NO")</f>
        <v>YES</v>
      </c>
      <c r="J48" s="4" t="str">
        <f>IF(N($T48)&gt;0,"YES","NO")</f>
        <v>NO</v>
      </c>
      <c r="K48" s="4" t="str">
        <f>IF(OR($A48="EHT Trace"),IF(AND($U48&lt;&gt;"",$V48&lt;&gt;""),"YES","NO"),"N/A")</f>
        <v>YES</v>
      </c>
      <c r="L48" s="4" t="str">
        <f>IF(OR($A48="EHT Trace"),IF(AND($X48&lt;&gt;"",$Y48&lt;&gt;""),"YES","NO"),"N/A")</f>
        <v>NO</v>
      </c>
      <c r="M48" s="4" t="str">
        <f>IF(OR($A48="EHT Trace"),IF(AND($AA48&lt;&gt;"",$AB48&lt;&gt;""),"YES","NO"),"N/A")</f>
        <v>NO</v>
      </c>
      <c r="N48" s="4" t="str">
        <f>IF(OR($A48="Power Cable"),IF(AND($AD48&lt;&gt;""),"YES","NO"),"N/A")</f>
        <v>N/A</v>
      </c>
      <c r="O48" s="4" t="str">
        <f>IF(OR($A48="Power Cable",$A48="RTD Cable",$A48="Fieldbus Cable"),IF(AND($AE48&lt;&gt;""),"YES","NO"),"N/A")</f>
        <v>N/A</v>
      </c>
      <c r="P48" s="4" t="str">
        <f>IF(OR($A48="RTD"),IF(AND($AH48&lt;&gt;""),"YES","NO"),"N/A")</f>
        <v>N/A</v>
      </c>
      <c r="Q48" s="4" t="str">
        <f>IF(OR($A48="RTD"),IF(AND($AI48&lt;&gt;""),"YES","NO"),"N/A")</f>
        <v>N/A</v>
      </c>
      <c r="R48" s="4" t="str">
        <f>IF(OR($AM48&lt;&gt;"",$Z48&lt;&gt;"",$AC48&lt;&gt;""),"YES","NO")</f>
        <v>NO</v>
      </c>
      <c r="S48" s="4" t="str">
        <f>IF(COUNTIF(I48:R48,"NO")=0,"YES","NO")</f>
        <v>NO</v>
      </c>
      <c r="T48" s="9" t="n"/>
      <c r="U48" s="9" t="inlineStr">
        <is>
          <t>&gt;2.2 GΩ</t>
        </is>
      </c>
      <c r="V48" s="9" t="inlineStr">
        <is>
          <t>372.7 Ω</t>
        </is>
      </c>
      <c r="W48" s="9" t="inlineStr">
        <is>
          <t>2026-05-17</t>
        </is>
      </c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inlineStr">
        <is>
          <t>D/32SF1180/6.2M/207/277/1.2M/LS23A/X/N12</t>
        </is>
      </c>
      <c r="AK48" s="9" t="inlineStr">
        <is>
          <t>6.2 m m</t>
        </is>
      </c>
      <c r="AL48" s="9" t="inlineStr">
        <is>
          <t>Levy Ostrup</t>
        </is>
      </c>
      <c r="AM48" s="9" t="n"/>
      <c r="AN48" s="9" t="n"/>
    </row>
    <row r="49">
      <c r="A49" s="9" t="inlineStr">
        <is>
          <t>EHT Trace</t>
        </is>
      </c>
      <c r="B49" s="9" t="inlineStr">
        <is>
          <t>29103-ET-P1800-3-1</t>
        </is>
      </c>
      <c r="C49" s="9" t="inlineStr">
        <is>
          <t>29103-ET-P1800-3</t>
        </is>
      </c>
      <c r="D49" s="9" t="inlineStr">
        <is>
          <t>HTC-24 / CB-24</t>
        </is>
      </c>
      <c r="E49" s="9" t="inlineStr">
        <is>
          <t>29103-P-1800</t>
        </is>
      </c>
      <c r="F49" s="9" t="inlineStr">
        <is>
          <t>29103-65R-ET-P1800-03-01</t>
        </is>
      </c>
      <c r="G49" s="9" t="inlineStr">
        <is>
          <t>13.1</t>
        </is>
      </c>
      <c r="H49" s="9" t="inlineStr">
        <is>
          <t>29103-ET-P1800-3-1.pdf</t>
        </is>
      </c>
      <c r="I49" s="4" t="str">
        <f>IF($H49&lt;&gt;"","YES","NO")</f>
        <v>YES</v>
      </c>
      <c r="J49" s="4" t="str">
        <f>IF(N($T49)&gt;0,"YES","NO")</f>
        <v>NO</v>
      </c>
      <c r="K49" s="4" t="str">
        <f>IF(OR($A49="EHT Trace"),IF(AND($U49&lt;&gt;"",$V49&lt;&gt;""),"YES","NO"),"N/A")</f>
        <v>NO</v>
      </c>
      <c r="L49" s="4" t="str">
        <f>IF(OR($A49="EHT Trace"),IF(AND($X49&lt;&gt;"",$Y49&lt;&gt;""),"YES","NO"),"N/A")</f>
        <v>NO</v>
      </c>
      <c r="M49" s="4" t="str">
        <f>IF(OR($A49="EHT Trace"),IF(AND($AA49&lt;&gt;"",$AB49&lt;&gt;""),"YES","NO"),"N/A")</f>
        <v>NO</v>
      </c>
      <c r="N49" s="4" t="str">
        <f>IF(OR($A49="Power Cable"),IF(AND($AD49&lt;&gt;""),"YES","NO"),"N/A")</f>
        <v>N/A</v>
      </c>
      <c r="O49" s="4" t="str">
        <f>IF(OR($A49="Power Cable",$A49="RTD Cable",$A49="Fieldbus Cable"),IF(AND($AE49&lt;&gt;""),"YES","NO"),"N/A")</f>
        <v>N/A</v>
      </c>
      <c r="P49" s="4" t="str">
        <f>IF(OR($A49="RTD"),IF(AND($AH49&lt;&gt;""),"YES","NO"),"N/A")</f>
        <v>N/A</v>
      </c>
      <c r="Q49" s="4" t="str">
        <f>IF(OR($A49="RTD"),IF(AND($AI49&lt;&gt;""),"YES","NO"),"N/A")</f>
        <v>N/A</v>
      </c>
      <c r="R49" s="4" t="str">
        <f>IF(OR($AM49&lt;&gt;"",$Z49&lt;&gt;"",$AC49&lt;&gt;""),"YES","NO")</f>
        <v>NO</v>
      </c>
      <c r="S49" s="4" t="str">
        <f>IF(COUNTIF(I49:R49,"NO")=0,"YES","NO")</f>
        <v>NO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inlineStr">
        <is>
          <t>E/32SQ3374/9.7M/555/84.8/2.1M/LS23A/X/N12/XNF</t>
        </is>
      </c>
      <c r="AK49" s="9" t="inlineStr">
        <is>
          <t>9.7 m m</t>
        </is>
      </c>
      <c r="AL49" s="9" t="inlineStr">
        <is>
          <t>Levy Ostrup</t>
        </is>
      </c>
      <c r="AM49" s="9" t="n"/>
      <c r="AN49" s="9" t="n"/>
    </row>
    <row r="50">
      <c r="A50" s="9" t="inlineStr">
        <is>
          <t>EHT Trace</t>
        </is>
      </c>
      <c r="B50" s="9" t="inlineStr">
        <is>
          <t>29103-ET-P1800-3-2</t>
        </is>
      </c>
      <c r="C50" s="9" t="inlineStr">
        <is>
          <t>29103-ET-P1800-3</t>
        </is>
      </c>
      <c r="D50" s="9" t="inlineStr">
        <is>
          <t>HTC-24 / CB-24</t>
        </is>
      </c>
      <c r="E50" s="9" t="inlineStr">
        <is>
          <t>29103-P-1800</t>
        </is>
      </c>
      <c r="F50" s="9" t="inlineStr">
        <is>
          <t>29103-65R-ET-P1800-03-01</t>
        </is>
      </c>
      <c r="G50" s="9" t="inlineStr">
        <is>
          <t>13.1</t>
        </is>
      </c>
      <c r="H50" s="9" t="inlineStr">
        <is>
          <t>29103-ET-P1800-3-2.pdf</t>
        </is>
      </c>
      <c r="I50" s="4" t="str">
        <f>IF($H50&lt;&gt;"","YES","NO")</f>
        <v>YES</v>
      </c>
      <c r="J50" s="4" t="str">
        <f>IF(N($T50)&gt;0,"YES","NO")</f>
        <v>NO</v>
      </c>
      <c r="K50" s="4" t="str">
        <f>IF(OR($A50="EHT Trace"),IF(AND($U50&lt;&gt;"",$V50&lt;&gt;""),"YES","NO"),"N/A")</f>
        <v>NO</v>
      </c>
      <c r="L50" s="4" t="str">
        <f>IF(OR($A50="EHT Trace"),IF(AND($X50&lt;&gt;"",$Y50&lt;&gt;""),"YES","NO"),"N/A")</f>
        <v>NO</v>
      </c>
      <c r="M50" s="4" t="str">
        <f>IF(OR($A50="EHT Trace"),IF(AND($AA50&lt;&gt;"",$AB50&lt;&gt;""),"YES","NO"),"N/A")</f>
        <v>NO</v>
      </c>
      <c r="N50" s="4" t="str">
        <f>IF(OR($A50="Power Cable"),IF(AND($AD50&lt;&gt;""),"YES","NO"),"N/A")</f>
        <v>N/A</v>
      </c>
      <c r="O50" s="4" t="str">
        <f>IF(OR($A50="Power Cable",$A50="RTD Cable",$A50="Fieldbus Cable"),IF(AND($AE50&lt;&gt;""),"YES","NO"),"N/A")</f>
        <v>N/A</v>
      </c>
      <c r="P50" s="4" t="str">
        <f>IF(OR($A50="RTD"),IF(AND($AH50&lt;&gt;""),"YES","NO"),"N/A")</f>
        <v>N/A</v>
      </c>
      <c r="Q50" s="4" t="str">
        <f>IF(OR($A50="RTD"),IF(AND($AI50&lt;&gt;""),"YES","NO"),"N/A")</f>
        <v>N/A</v>
      </c>
      <c r="R50" s="4" t="str">
        <f>IF(OR($AM50&lt;&gt;"",$Z50&lt;&gt;"",$AC50&lt;&gt;""),"YES","NO")</f>
        <v>NO</v>
      </c>
      <c r="S50" s="4" t="str">
        <f>IF(COUNTIF(I50:R50,"NO")=0,"YES","NO")</f>
        <v>NO</v>
      </c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inlineStr">
        <is>
          <t>E/32SQ3374/9.7M/555/84.8/2.1M/LS23A/X/N12/XNF</t>
        </is>
      </c>
      <c r="AK50" s="9" t="inlineStr">
        <is>
          <t>9.7 m m</t>
        </is>
      </c>
      <c r="AL50" s="9" t="inlineStr">
        <is>
          <t>Levy Ostrup</t>
        </is>
      </c>
      <c r="AM50" s="9" t="n"/>
      <c r="AN50" s="9" t="n"/>
    </row>
    <row r="51">
      <c r="A51" s="9" t="inlineStr">
        <is>
          <t>EHT Trace</t>
        </is>
      </c>
      <c r="B51" s="9" t="inlineStr">
        <is>
          <t>29103-ET-P1800-3-3</t>
        </is>
      </c>
      <c r="C51" s="9" t="inlineStr">
        <is>
          <t>29103-ET-P1800-3</t>
        </is>
      </c>
      <c r="D51" s="9" t="inlineStr">
        <is>
          <t>HTC-24 / CB-24</t>
        </is>
      </c>
      <c r="E51" s="9" t="inlineStr">
        <is>
          <t>29103-P-1800</t>
        </is>
      </c>
      <c r="F51" s="9" t="inlineStr">
        <is>
          <t>29103-65R-ET-P1800-03-01</t>
        </is>
      </c>
      <c r="G51" s="9" t="inlineStr">
        <is>
          <t>13.1</t>
        </is>
      </c>
      <c r="H51" s="9" t="inlineStr">
        <is>
          <t>29103-ET-P1800-3-3.pdf</t>
        </is>
      </c>
      <c r="I51" s="4" t="str">
        <f>IF($H51&lt;&gt;"","YES","NO")</f>
        <v>YES</v>
      </c>
      <c r="J51" s="4" t="str">
        <f>IF(N($T51)&gt;0,"YES","NO")</f>
        <v>NO</v>
      </c>
      <c r="K51" s="4" t="str">
        <f>IF(OR($A51="EHT Trace"),IF(AND($U51&lt;&gt;"",$V51&lt;&gt;""),"YES","NO"),"N/A")</f>
        <v>NO</v>
      </c>
      <c r="L51" s="4" t="str">
        <f>IF(OR($A51="EHT Trace"),IF(AND($X51&lt;&gt;"",$Y51&lt;&gt;""),"YES","NO"),"N/A")</f>
        <v>NO</v>
      </c>
      <c r="M51" s="4" t="str">
        <f>IF(OR($A51="EHT Trace"),IF(AND($AA51&lt;&gt;"",$AB51&lt;&gt;""),"YES","NO"),"N/A")</f>
        <v>NO</v>
      </c>
      <c r="N51" s="4" t="str">
        <f>IF(OR($A51="Power Cable"),IF(AND($AD51&lt;&gt;""),"YES","NO"),"N/A")</f>
        <v>N/A</v>
      </c>
      <c r="O51" s="4" t="str">
        <f>IF(OR($A51="Power Cable",$A51="RTD Cable",$A51="Fieldbus Cable"),IF(AND($AE51&lt;&gt;""),"YES","NO"),"N/A")</f>
        <v>N/A</v>
      </c>
      <c r="P51" s="4" t="str">
        <f>IF(OR($A51="RTD"),IF(AND($AH51&lt;&gt;""),"YES","NO"),"N/A")</f>
        <v>N/A</v>
      </c>
      <c r="Q51" s="4" t="str">
        <f>IF(OR($A51="RTD"),IF(AND($AI51&lt;&gt;""),"YES","NO"),"N/A")</f>
        <v>N/A</v>
      </c>
      <c r="R51" s="4" t="str">
        <f>IF(OR($AM51&lt;&gt;"",$Z51&lt;&gt;"",$AC51&lt;&gt;""),"YES","NO")</f>
        <v>NO</v>
      </c>
      <c r="S51" s="4" t="str">
        <f>IF(COUNTIF(I51:R51,"NO")=0,"YES","NO")</f>
        <v>NO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inlineStr">
        <is>
          <t>D/32SQ3374/22M/1258/192/2.1M/LS23A/X/N12/XMN</t>
        </is>
      </c>
      <c r="AK51" s="9" t="inlineStr">
        <is>
          <t>22 m m</t>
        </is>
      </c>
      <c r="AL51" s="9" t="inlineStr">
        <is>
          <t>Levy Ostrup</t>
        </is>
      </c>
      <c r="AM51" s="9" t="n"/>
      <c r="AN51" s="9" t="n"/>
    </row>
    <row r="52">
      <c r="A52" s="9" t="inlineStr">
        <is>
          <t>EHT Trace</t>
        </is>
      </c>
      <c r="B52" s="9" t="inlineStr">
        <is>
          <t>29103-ET-P1800-3-4</t>
        </is>
      </c>
      <c r="C52" s="9" t="inlineStr">
        <is>
          <t>29103-ET-P1800-3</t>
        </is>
      </c>
      <c r="D52" s="9" t="inlineStr">
        <is>
          <t>HTC-24 / CB-24</t>
        </is>
      </c>
      <c r="E52" s="9" t="inlineStr">
        <is>
          <t>29103-P-1800</t>
        </is>
      </c>
      <c r="F52" s="9" t="inlineStr">
        <is>
          <t>29103-65R-ET-P1800-03-01</t>
        </is>
      </c>
      <c r="G52" s="9" t="inlineStr">
        <is>
          <t>13.1</t>
        </is>
      </c>
      <c r="H52" s="9" t="inlineStr">
        <is>
          <t>29103-ET-P1800-3-4.pdf</t>
        </is>
      </c>
      <c r="I52" s="4" t="str">
        <f>IF($H52&lt;&gt;"","YES","NO")</f>
        <v>YES</v>
      </c>
      <c r="J52" s="4" t="str">
        <f>IF(N($T52)&gt;0,"YES","NO")</f>
        <v>NO</v>
      </c>
      <c r="K52" s="4" t="str">
        <f>IF(OR($A52="EHT Trace"),IF(AND($U52&lt;&gt;"",$V52&lt;&gt;""),"YES","NO"),"N/A")</f>
        <v>NO</v>
      </c>
      <c r="L52" s="4" t="str">
        <f>IF(OR($A52="EHT Trace"),IF(AND($X52&lt;&gt;"",$Y52&lt;&gt;""),"YES","NO"),"N/A")</f>
        <v>NO</v>
      </c>
      <c r="M52" s="4" t="str">
        <f>IF(OR($A52="EHT Trace"),IF(AND($AA52&lt;&gt;"",$AB52&lt;&gt;""),"YES","NO"),"N/A")</f>
        <v>NO</v>
      </c>
      <c r="N52" s="4" t="str">
        <f>IF(OR($A52="Power Cable"),IF(AND($AD52&lt;&gt;""),"YES","NO"),"N/A")</f>
        <v>N/A</v>
      </c>
      <c r="O52" s="4" t="str">
        <f>IF(OR($A52="Power Cable",$A52="RTD Cable",$A52="Fieldbus Cable"),IF(AND($AE52&lt;&gt;""),"YES","NO"),"N/A")</f>
        <v>N/A</v>
      </c>
      <c r="P52" s="4" t="str">
        <f>IF(OR($A52="RTD"),IF(AND($AH52&lt;&gt;""),"YES","NO"),"N/A")</f>
        <v>N/A</v>
      </c>
      <c r="Q52" s="4" t="str">
        <f>IF(OR($A52="RTD"),IF(AND($AI52&lt;&gt;""),"YES","NO"),"N/A")</f>
        <v>N/A</v>
      </c>
      <c r="R52" s="4" t="str">
        <f>IF(OR($AM52&lt;&gt;"",$Z52&lt;&gt;"",$AC52&lt;&gt;""),"YES","NO")</f>
        <v>NO</v>
      </c>
      <c r="S52" s="4" t="str">
        <f>IF(COUNTIF(I52:R52,"NO")=0,"YES","NO")</f>
        <v>NO</v>
      </c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inlineStr">
        <is>
          <t>D/32SQ3374/22M/1258/192/2.1M/LS23A/X/N12/XMN</t>
        </is>
      </c>
      <c r="AK52" s="9" t="inlineStr">
        <is>
          <t>22 m m</t>
        </is>
      </c>
      <c r="AL52" s="9" t="inlineStr">
        <is>
          <t>Levy Ostrup</t>
        </is>
      </c>
      <c r="AM52" s="9" t="n"/>
      <c r="AN52" s="9" t="n"/>
    </row>
    <row r="53">
      <c r="A53" s="9" t="inlineStr">
        <is>
          <t>EHT Trace</t>
        </is>
      </c>
      <c r="B53" s="9" t="inlineStr">
        <is>
          <t>29103-ET-PE1401-2-1</t>
        </is>
      </c>
      <c r="C53" s="9" t="inlineStr">
        <is>
          <t>29103-ET-PE1401-2</t>
        </is>
      </c>
      <c r="D53" s="9" t="inlineStr">
        <is>
          <t>HTC-30 / CB-30</t>
        </is>
      </c>
      <c r="E53" s="9" t="inlineStr">
        <is>
          <t>29103-PE-1401</t>
        </is>
      </c>
      <c r="F53" s="9" t="inlineStr">
        <is>
          <t>29103-65R-ET-PE1401-02-01</t>
        </is>
      </c>
      <c r="G53" s="9" t="inlineStr">
        <is>
          <t>13.1</t>
        </is>
      </c>
      <c r="H53" s="9" t="inlineStr">
        <is>
          <t>29103-ET-PE1401-2-1.pdf</t>
        </is>
      </c>
      <c r="I53" s="4" t="str">
        <f>IF($H53&lt;&gt;"","YES","NO")</f>
        <v>YES</v>
      </c>
      <c r="J53" s="4" t="str">
        <f>IF(N($T53)&gt;0,"YES","NO")</f>
        <v>NO</v>
      </c>
      <c r="K53" s="4" t="str">
        <f>IF(OR($A53="EHT Trace"),IF(AND($U53&lt;&gt;"",$V53&lt;&gt;""),"YES","NO"),"N/A")</f>
        <v>NO</v>
      </c>
      <c r="L53" s="4" t="str">
        <f>IF(OR($A53="EHT Trace"),IF(AND($X53&lt;&gt;"",$Y53&lt;&gt;""),"YES","NO"),"N/A")</f>
        <v>NO</v>
      </c>
      <c r="M53" s="4" t="str">
        <f>IF(OR($A53="EHT Trace"),IF(AND($AA53&lt;&gt;"",$AB53&lt;&gt;""),"YES","NO"),"N/A")</f>
        <v>NO</v>
      </c>
      <c r="N53" s="4" t="str">
        <f>IF(OR($A53="Power Cable"),IF(AND($AD53&lt;&gt;""),"YES","NO"),"N/A")</f>
        <v>N/A</v>
      </c>
      <c r="O53" s="4" t="str">
        <f>IF(OR($A53="Power Cable",$A53="RTD Cable",$A53="Fieldbus Cable"),IF(AND($AE53&lt;&gt;""),"YES","NO"),"N/A")</f>
        <v>N/A</v>
      </c>
      <c r="P53" s="4" t="str">
        <f>IF(OR($A53="RTD"),IF(AND($AH53&lt;&gt;""),"YES","NO"),"N/A")</f>
        <v>N/A</v>
      </c>
      <c r="Q53" s="4" t="str">
        <f>IF(OR($A53="RTD"),IF(AND($AI53&lt;&gt;""),"YES","NO"),"N/A")</f>
        <v>N/A</v>
      </c>
      <c r="R53" s="4" t="str">
        <f>IF(OR($AM53&lt;&gt;"",$Z53&lt;&gt;"",$AC53&lt;&gt;""),"YES","NO")</f>
        <v>NO</v>
      </c>
      <c r="S53" s="4" t="str">
        <f>IF(COUNTIF(I53:R53,"NO")=0,"YES","NO")</f>
        <v>NO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inlineStr">
        <is>
          <t>D/32SQ3200/52.1M/2079/277/1.2M/LS23A/X/N12</t>
        </is>
      </c>
      <c r="AK53" s="9" t="inlineStr">
        <is>
          <t>52.1 m m</t>
        </is>
      </c>
      <c r="AL53" s="9" t="inlineStr">
        <is>
          <t>Levy Ostrup</t>
        </is>
      </c>
      <c r="AM53" s="9" t="n"/>
      <c r="AN53" s="9" t="n"/>
    </row>
    <row r="54">
      <c r="A54" s="9" t="inlineStr">
        <is>
          <t>EHT Trace</t>
        </is>
      </c>
      <c r="B54" s="9" t="inlineStr">
        <is>
          <t>29103-ET-PE1401-2-2</t>
        </is>
      </c>
      <c r="C54" s="9" t="inlineStr">
        <is>
          <t>29103-ET-PE1401-2</t>
        </is>
      </c>
      <c r="D54" s="9" t="inlineStr">
        <is>
          <t>HTC-30 / CB-30</t>
        </is>
      </c>
      <c r="E54" s="9" t="inlineStr">
        <is>
          <t>29103-PE-1401</t>
        </is>
      </c>
      <c r="F54" s="9" t="inlineStr">
        <is>
          <t>29103-65R-ET-PE1401-02-01</t>
        </is>
      </c>
      <c r="G54" s="9" t="inlineStr">
        <is>
          <t>13.1</t>
        </is>
      </c>
      <c r="H54" s="9" t="inlineStr">
        <is>
          <t>29103-ET-PE1401-2-2.pdf</t>
        </is>
      </c>
      <c r="I54" s="4" t="str">
        <f>IF($H54&lt;&gt;"","YES","NO")</f>
        <v>YES</v>
      </c>
      <c r="J54" s="4" t="str">
        <f>IF(N($T54)&gt;0,"YES","NO")</f>
        <v>NO</v>
      </c>
      <c r="K54" s="4" t="str">
        <f>IF(OR($A54="EHT Trace"),IF(AND($U54&lt;&gt;"",$V54&lt;&gt;""),"YES","NO"),"N/A")</f>
        <v>NO</v>
      </c>
      <c r="L54" s="4" t="str">
        <f>IF(OR($A54="EHT Trace"),IF(AND($X54&lt;&gt;"",$Y54&lt;&gt;""),"YES","NO"),"N/A")</f>
        <v>NO</v>
      </c>
      <c r="M54" s="4" t="str">
        <f>IF(OR($A54="EHT Trace"),IF(AND($AA54&lt;&gt;"",$AB54&lt;&gt;""),"YES","NO"),"N/A")</f>
        <v>NO</v>
      </c>
      <c r="N54" s="4" t="str">
        <f>IF(OR($A54="Power Cable"),IF(AND($AD54&lt;&gt;""),"YES","NO"),"N/A")</f>
        <v>N/A</v>
      </c>
      <c r="O54" s="4" t="str">
        <f>IF(OR($A54="Power Cable",$A54="RTD Cable",$A54="Fieldbus Cable"),IF(AND($AE54&lt;&gt;""),"YES","NO"),"N/A")</f>
        <v>N/A</v>
      </c>
      <c r="P54" s="4" t="str">
        <f>IF(OR($A54="RTD"),IF(AND($AH54&lt;&gt;""),"YES","NO"),"N/A")</f>
        <v>N/A</v>
      </c>
      <c r="Q54" s="4" t="str">
        <f>IF(OR($A54="RTD"),IF(AND($AI54&lt;&gt;""),"YES","NO"),"N/A")</f>
        <v>N/A</v>
      </c>
      <c r="R54" s="4" t="str">
        <f>IF(OR($AM54&lt;&gt;"",$Z54&lt;&gt;"",$AC54&lt;&gt;""),"YES","NO")</f>
        <v>NO</v>
      </c>
      <c r="S54" s="4" t="str">
        <f>IF(COUNTIF(I54:R54,"NO")=0,"YES","NO")</f>
        <v>NO</v>
      </c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inlineStr">
        <is>
          <t>D/32SB2114/29.2M/701/277/1.2M/LS23A/X/N12</t>
        </is>
      </c>
      <c r="AK54" s="9" t="inlineStr">
        <is>
          <t>29.2 m m</t>
        </is>
      </c>
      <c r="AL54" s="9" t="inlineStr">
        <is>
          <t>Levy Ostrup</t>
        </is>
      </c>
      <c r="AM54" s="9" t="n"/>
      <c r="AN54" s="9" t="n"/>
    </row>
    <row r="55">
      <c r="A55" s="9" t="inlineStr">
        <is>
          <t>EHT Trace</t>
        </is>
      </c>
      <c r="B55" s="9" t="inlineStr">
        <is>
          <t>29103-ET-PE1402-1-1</t>
        </is>
      </c>
      <c r="C55" s="9" t="inlineStr">
        <is>
          <t>29103-ET-PE1402-1</t>
        </is>
      </c>
      <c r="D55" s="9" t="inlineStr">
        <is>
          <t>HTC-33 / CB-33</t>
        </is>
      </c>
      <c r="E55" s="9" t="inlineStr">
        <is>
          <t>29103-PE-1403, 29103-PE-1402</t>
        </is>
      </c>
      <c r="F55" s="9" t="inlineStr">
        <is>
          <t>29103-65R-ET-PE1402-01-01</t>
        </is>
      </c>
      <c r="G55" s="9" t="inlineStr">
        <is>
          <t>13.1</t>
        </is>
      </c>
      <c r="H55" s="9" t="inlineStr">
        <is>
          <t>29103-ET-PE1402-1-1.pdf</t>
        </is>
      </c>
      <c r="I55" s="4" t="str">
        <f>IF($H55&lt;&gt;"","YES","NO")</f>
        <v>YES</v>
      </c>
      <c r="J55" s="4" t="str">
        <f>IF(N($T55)&gt;0,"YES","NO")</f>
        <v>YES</v>
      </c>
      <c r="K55" s="4" t="str">
        <f>IF(OR($A55="EHT Trace"),IF(AND($U55&lt;&gt;"",$V55&lt;&gt;""),"YES","NO"),"N/A")</f>
        <v>NO</v>
      </c>
      <c r="L55" s="4" t="str">
        <f>IF(OR($A55="EHT Trace"),IF(AND($X55&lt;&gt;"",$Y55&lt;&gt;""),"YES","NO"),"N/A")</f>
        <v>YES</v>
      </c>
      <c r="M55" s="4" t="str">
        <f>IF(OR($A55="EHT Trace"),IF(AND($AA55&lt;&gt;"",$AB55&lt;&gt;""),"YES","NO"),"N/A")</f>
        <v>NO</v>
      </c>
      <c r="N55" s="4" t="str">
        <f>IF(OR($A55="Power Cable"),IF(AND($AD55&lt;&gt;""),"YES","NO"),"N/A")</f>
        <v>N/A</v>
      </c>
      <c r="O55" s="4" t="str">
        <f>IF(OR($A55="Power Cable",$A55="RTD Cable",$A55="Fieldbus Cable"),IF(AND($AE55&lt;&gt;""),"YES","NO"),"N/A")</f>
        <v>N/A</v>
      </c>
      <c r="P55" s="4" t="str">
        <f>IF(OR($A55="RTD"),IF(AND($AH55&lt;&gt;""),"YES","NO"),"N/A")</f>
        <v>N/A</v>
      </c>
      <c r="Q55" s="4" t="str">
        <f>IF(OR($A55="RTD"),IF(AND($AI55&lt;&gt;""),"YES","NO"),"N/A")</f>
        <v>N/A</v>
      </c>
      <c r="R55" s="4" t="str">
        <f>IF(OR($AM55&lt;&gt;"",$Z55&lt;&gt;"",$AC55&lt;&gt;""),"YES","NO")</f>
        <v>YES</v>
      </c>
      <c r="S55" s="4" t="str">
        <f>IF(COUNTIF(I55:R55,"NO")=0,"YES","NO")</f>
        <v>NO</v>
      </c>
      <c r="T55" s="9" t="n">
        <v>2</v>
      </c>
      <c r="U55" s="9" t="n"/>
      <c r="V55" s="9" t="n"/>
      <c r="W55" s="9" t="n"/>
      <c r="X55" s="9" t="inlineStr">
        <is>
          <t>0.0 MΩ</t>
        </is>
      </c>
      <c r="Y55" s="9" t="inlineStr">
        <is>
          <t>44.9 Ω</t>
        </is>
      </c>
      <c r="Z55" s="9" t="inlineStr">
        <is>
          <t>2026-08-12</t>
        </is>
      </c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inlineStr">
        <is>
          <t>D/32SQ3374/35.4M/1635/277/1.2M/LS23A/X/N12</t>
        </is>
      </c>
      <c r="AK55" s="9" t="inlineStr">
        <is>
          <t>35.4 m m</t>
        </is>
      </c>
      <c r="AL55" s="9" t="inlineStr">
        <is>
          <t>Levy Ostrup</t>
        </is>
      </c>
      <c r="AM55" s="9" t="n"/>
      <c r="AN55" s="9" t="n"/>
    </row>
    <row r="56">
      <c r="A56" s="9" t="inlineStr">
        <is>
          <t>EHT Trace</t>
        </is>
      </c>
      <c r="B56" s="9" t="inlineStr">
        <is>
          <t>29103-ET-PE1501-1-1</t>
        </is>
      </c>
      <c r="C56" s="9" t="inlineStr">
        <is>
          <t>29103-ET-PE1501-1</t>
        </is>
      </c>
      <c r="D56" s="9" t="inlineStr">
        <is>
          <t>HTC-10 / CB-10</t>
        </is>
      </c>
      <c r="E56" s="9" t="inlineStr">
        <is>
          <t>29103-PE-1501</t>
        </is>
      </c>
      <c r="F56" s="9" t="inlineStr">
        <is>
          <t>29103-65R-ET-PE1501-01-01</t>
        </is>
      </c>
      <c r="G56" s="9" t="inlineStr">
        <is>
          <t>13.1</t>
        </is>
      </c>
      <c r="H56" s="9" t="inlineStr">
        <is>
          <t>29103-ET-PE1501-1-1.pdf</t>
        </is>
      </c>
      <c r="I56" s="4" t="str">
        <f>IF($H56&lt;&gt;"","YES","NO")</f>
        <v>YES</v>
      </c>
      <c r="J56" s="4" t="str">
        <f>IF(N($T56)&gt;0,"YES","NO")</f>
        <v>NO</v>
      </c>
      <c r="K56" s="4" t="str">
        <f>IF(OR($A56="EHT Trace"),IF(AND($U56&lt;&gt;"",$V56&lt;&gt;""),"YES","NO"),"N/A")</f>
        <v>NO</v>
      </c>
      <c r="L56" s="4" t="str">
        <f>IF(OR($A56="EHT Trace"),IF(AND($X56&lt;&gt;"",$Y56&lt;&gt;""),"YES","NO"),"N/A")</f>
        <v>NO</v>
      </c>
      <c r="M56" s="4" t="str">
        <f>IF(OR($A56="EHT Trace"),IF(AND($AA56&lt;&gt;"",$AB56&lt;&gt;""),"YES","NO"),"N/A")</f>
        <v>NO</v>
      </c>
      <c r="N56" s="4" t="str">
        <f>IF(OR($A56="Power Cable"),IF(AND($AD56&lt;&gt;""),"YES","NO"),"N/A")</f>
        <v>N/A</v>
      </c>
      <c r="O56" s="4" t="str">
        <f>IF(OR($A56="Power Cable",$A56="RTD Cable",$A56="Fieldbus Cable"),IF(AND($AE56&lt;&gt;""),"YES","NO"),"N/A")</f>
        <v>N/A</v>
      </c>
      <c r="P56" s="4" t="str">
        <f>IF(OR($A56="RTD"),IF(AND($AH56&lt;&gt;""),"YES","NO"),"N/A")</f>
        <v>N/A</v>
      </c>
      <c r="Q56" s="4" t="str">
        <f>IF(OR($A56="RTD"),IF(AND($AI56&lt;&gt;""),"YES","NO"),"N/A")</f>
        <v>N/A</v>
      </c>
      <c r="R56" s="4" t="str">
        <f>IF(OR($AM56&lt;&gt;"",$Z56&lt;&gt;"",$AC56&lt;&gt;""),"YES","NO")</f>
        <v>NO</v>
      </c>
      <c r="S56" s="4" t="str">
        <f>IF(COUNTIF(I56:R56,"NO")=0,"YES","NO")</f>
        <v>NO</v>
      </c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inlineStr">
        <is>
          <t>D/32SF1110/7.8M/269/277/1.2M/LS23A/X/N12</t>
        </is>
      </c>
      <c r="AK56" s="9" t="inlineStr">
        <is>
          <t>7.8 m m</t>
        </is>
      </c>
      <c r="AL56" s="9" t="inlineStr">
        <is>
          <t>Levy Ostrup</t>
        </is>
      </c>
      <c r="AM56" s="9" t="n"/>
      <c r="AN56" s="9" t="n"/>
    </row>
    <row r="57">
      <c r="A57" s="9" t="inlineStr">
        <is>
          <t>EHT Trace</t>
        </is>
      </c>
      <c r="B57" s="9" t="inlineStr">
        <is>
          <t>29103-ET-PE1501-1-2</t>
        </is>
      </c>
      <c r="C57" s="9" t="inlineStr">
        <is>
          <t>29103-ET-PE1501-1</t>
        </is>
      </c>
      <c r="D57" s="9" t="inlineStr">
        <is>
          <t>HTC-10 / CB-10</t>
        </is>
      </c>
      <c r="E57" s="9" t="inlineStr">
        <is>
          <t>29103-PE-1501</t>
        </is>
      </c>
      <c r="F57" s="9" t="inlineStr">
        <is>
          <t>29103-65R-ET-PE1501-01-01</t>
        </is>
      </c>
      <c r="G57" s="9" t="inlineStr">
        <is>
          <t>13.1</t>
        </is>
      </c>
      <c r="H57" s="9" t="inlineStr">
        <is>
          <t>29103-ET-PE1501-1-2.pdf</t>
        </is>
      </c>
      <c r="I57" s="4" t="str">
        <f>IF($H57&lt;&gt;"","YES","NO")</f>
        <v>YES</v>
      </c>
      <c r="J57" s="4" t="str">
        <f>IF(N($T57)&gt;0,"YES","NO")</f>
        <v>NO</v>
      </c>
      <c r="K57" s="4" t="str">
        <f>IF(OR($A57="EHT Trace"),IF(AND($U57&lt;&gt;"",$V57&lt;&gt;""),"YES","NO"),"N/A")</f>
        <v>NO</v>
      </c>
      <c r="L57" s="4" t="str">
        <f>IF(OR($A57="EHT Trace"),IF(AND($X57&lt;&gt;"",$Y57&lt;&gt;""),"YES","NO"),"N/A")</f>
        <v>NO</v>
      </c>
      <c r="M57" s="4" t="str">
        <f>IF(OR($A57="EHT Trace"),IF(AND($AA57&lt;&gt;"",$AB57&lt;&gt;""),"YES","NO"),"N/A")</f>
        <v>NO</v>
      </c>
      <c r="N57" s="4" t="str">
        <f>IF(OR($A57="Power Cable"),IF(AND($AD57&lt;&gt;""),"YES","NO"),"N/A")</f>
        <v>N/A</v>
      </c>
      <c r="O57" s="4" t="str">
        <f>IF(OR($A57="Power Cable",$A57="RTD Cable",$A57="Fieldbus Cable"),IF(AND($AE57&lt;&gt;""),"YES","NO"),"N/A")</f>
        <v>N/A</v>
      </c>
      <c r="P57" s="4" t="str">
        <f>IF(OR($A57="RTD"),IF(AND($AH57&lt;&gt;""),"YES","NO"),"N/A")</f>
        <v>N/A</v>
      </c>
      <c r="Q57" s="4" t="str">
        <f>IF(OR($A57="RTD"),IF(AND($AI57&lt;&gt;""),"YES","NO"),"N/A")</f>
        <v>N/A</v>
      </c>
      <c r="R57" s="4" t="str">
        <f>IF(OR($AM57&lt;&gt;"",$Z57&lt;&gt;"",$AC57&lt;&gt;""),"YES","NO")</f>
        <v>NO</v>
      </c>
      <c r="S57" s="4" t="str">
        <f>IF(COUNTIF(I57:R57,"NO")=0,"YES","NO")</f>
        <v>NO</v>
      </c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inlineStr">
        <is>
          <t>E/32SQ3472/9.5M/505/89.8/1.2M/LS23A/X/N12/XNF</t>
        </is>
      </c>
      <c r="AK57" s="9" t="inlineStr">
        <is>
          <t>9.5 m m</t>
        </is>
      </c>
      <c r="AL57" s="9" t="inlineStr">
        <is>
          <t>Levy Ostrup</t>
        </is>
      </c>
      <c r="AM57" s="9" t="n"/>
      <c r="AN57" s="9" t="n"/>
    </row>
    <row r="58">
      <c r="A58" s="9" t="inlineStr">
        <is>
          <t>EHT Trace</t>
        </is>
      </c>
      <c r="B58" s="9" t="inlineStr">
        <is>
          <t>29103-ET-PE1501-1-3</t>
        </is>
      </c>
      <c r="C58" s="9" t="inlineStr">
        <is>
          <t>29103-ET-PE1501-1</t>
        </is>
      </c>
      <c r="D58" s="9" t="inlineStr">
        <is>
          <t>HTC-10 / CB-10</t>
        </is>
      </c>
      <c r="E58" s="9" t="inlineStr">
        <is>
          <t>29103-PE-1501</t>
        </is>
      </c>
      <c r="F58" s="9" t="inlineStr">
        <is>
          <t>29103-65R-ET-PE1501-01-01</t>
        </is>
      </c>
      <c r="G58" s="9" t="inlineStr">
        <is>
          <t>13.1</t>
        </is>
      </c>
      <c r="H58" s="9" t="inlineStr">
        <is>
          <t>29103-ET-PE1501-1-3.pdf</t>
        </is>
      </c>
      <c r="I58" s="4" t="str">
        <f>IF($H58&lt;&gt;"","YES","NO")</f>
        <v>YES</v>
      </c>
      <c r="J58" s="4" t="str">
        <f>IF(N($T58)&gt;0,"YES","NO")</f>
        <v>NO</v>
      </c>
      <c r="K58" s="4" t="str">
        <f>IF(OR($A58="EHT Trace"),IF(AND($U58&lt;&gt;"",$V58&lt;&gt;""),"YES","NO"),"N/A")</f>
        <v>NO</v>
      </c>
      <c r="L58" s="4" t="str">
        <f>IF(OR($A58="EHT Trace"),IF(AND($X58&lt;&gt;"",$Y58&lt;&gt;""),"YES","NO"),"N/A")</f>
        <v>NO</v>
      </c>
      <c r="M58" s="4" t="str">
        <f>IF(OR($A58="EHT Trace"),IF(AND($AA58&lt;&gt;"",$AB58&lt;&gt;""),"YES","NO"),"N/A")</f>
        <v>NO</v>
      </c>
      <c r="N58" s="4" t="str">
        <f>IF(OR($A58="Power Cable"),IF(AND($AD58&lt;&gt;""),"YES","NO"),"N/A")</f>
        <v>N/A</v>
      </c>
      <c r="O58" s="4" t="str">
        <f>IF(OR($A58="Power Cable",$A58="RTD Cable",$A58="Fieldbus Cable"),IF(AND($AE58&lt;&gt;""),"YES","NO"),"N/A")</f>
        <v>N/A</v>
      </c>
      <c r="P58" s="4" t="str">
        <f>IF(OR($A58="RTD"),IF(AND($AH58&lt;&gt;""),"YES","NO"),"N/A")</f>
        <v>N/A</v>
      </c>
      <c r="Q58" s="4" t="str">
        <f>IF(OR($A58="RTD"),IF(AND($AI58&lt;&gt;""),"YES","NO"),"N/A")</f>
        <v>N/A</v>
      </c>
      <c r="R58" s="4" t="str">
        <f>IF(OR($AM58&lt;&gt;"",$Z58&lt;&gt;"",$AC58&lt;&gt;""),"YES","NO")</f>
        <v>NO</v>
      </c>
      <c r="S58" s="4" t="str">
        <f>IF(COUNTIF(I58:R58,"NO")=0,"YES","NO")</f>
        <v>NO</v>
      </c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inlineStr">
        <is>
          <t>E/32SQ3472/6.6M/351/62.4/1.2M/LS23A/X/N12/XMF</t>
        </is>
      </c>
      <c r="AK58" s="9" t="inlineStr">
        <is>
          <t>6.6 m m</t>
        </is>
      </c>
      <c r="AL58" s="9" t="inlineStr">
        <is>
          <t>Levy Ostrup</t>
        </is>
      </c>
      <c r="AM58" s="9" t="n"/>
      <c r="AN58" s="9" t="n"/>
    </row>
    <row r="59">
      <c r="A59" s="9" t="inlineStr">
        <is>
          <t>EHT Trace</t>
        </is>
      </c>
      <c r="B59" s="9" t="inlineStr">
        <is>
          <t>29103-ET-PE1501-1-4</t>
        </is>
      </c>
      <c r="C59" s="9" t="inlineStr">
        <is>
          <t>29103-ET-PE1501-1</t>
        </is>
      </c>
      <c r="D59" s="9" t="inlineStr">
        <is>
          <t>HTC-10 / CB-10</t>
        </is>
      </c>
      <c r="E59" s="9" t="inlineStr">
        <is>
          <t>29103-PE-1501</t>
        </is>
      </c>
      <c r="F59" s="9" t="inlineStr">
        <is>
          <t>29103-65R-ET-PE1501-01-01</t>
        </is>
      </c>
      <c r="G59" s="9" t="inlineStr">
        <is>
          <t>13.1</t>
        </is>
      </c>
      <c r="H59" s="9" t="inlineStr">
        <is>
          <t>29103-ET-PE1501-1-4.pdf</t>
        </is>
      </c>
      <c r="I59" s="4" t="str">
        <f>IF($H59&lt;&gt;"","YES","NO")</f>
        <v>YES</v>
      </c>
      <c r="J59" s="4" t="str">
        <f>IF(N($T59)&gt;0,"YES","NO")</f>
        <v>NO</v>
      </c>
      <c r="K59" s="4" t="str">
        <f>IF(OR($A59="EHT Trace"),IF(AND($U59&lt;&gt;"",$V59&lt;&gt;""),"YES","NO"),"N/A")</f>
        <v>NO</v>
      </c>
      <c r="L59" s="4" t="str">
        <f>IF(OR($A59="EHT Trace"),IF(AND($X59&lt;&gt;"",$Y59&lt;&gt;""),"YES","NO"),"N/A")</f>
        <v>NO</v>
      </c>
      <c r="M59" s="4" t="str">
        <f>IF(OR($A59="EHT Trace"),IF(AND($AA59&lt;&gt;"",$AB59&lt;&gt;""),"YES","NO"),"N/A")</f>
        <v>NO</v>
      </c>
      <c r="N59" s="4" t="str">
        <f>IF(OR($A59="Power Cable"),IF(AND($AD59&lt;&gt;""),"YES","NO"),"N/A")</f>
        <v>N/A</v>
      </c>
      <c r="O59" s="4" t="str">
        <f>IF(OR($A59="Power Cable",$A59="RTD Cable",$A59="Fieldbus Cable"),IF(AND($AE59&lt;&gt;""),"YES","NO"),"N/A")</f>
        <v>N/A</v>
      </c>
      <c r="P59" s="4" t="str">
        <f>IF(OR($A59="RTD"),IF(AND($AH59&lt;&gt;""),"YES","NO"),"N/A")</f>
        <v>N/A</v>
      </c>
      <c r="Q59" s="4" t="str">
        <f>IF(OR($A59="RTD"),IF(AND($AI59&lt;&gt;""),"YES","NO"),"N/A")</f>
        <v>N/A</v>
      </c>
      <c r="R59" s="4" t="str">
        <f>IF(OR($AM59&lt;&gt;"",$Z59&lt;&gt;"",$AC59&lt;&gt;""),"YES","NO")</f>
        <v>NO</v>
      </c>
      <c r="S59" s="4" t="str">
        <f>IF(COUNTIF(I59:R59,"NO")=0,"YES","NO")</f>
        <v>NO</v>
      </c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inlineStr">
        <is>
          <t>D/32SQ3472/13.2M/702/125/1.2M/LS23A/X/N12/XMN</t>
        </is>
      </c>
      <c r="AK59" s="9" t="inlineStr">
        <is>
          <t>13.2 m m</t>
        </is>
      </c>
      <c r="AL59" s="9" t="inlineStr">
        <is>
          <t>Levy Ostrup</t>
        </is>
      </c>
      <c r="AM59" s="9" t="n"/>
      <c r="AN59" s="9" t="n"/>
    </row>
    <row r="60">
      <c r="A60" s="9" t="inlineStr">
        <is>
          <t>EHT Trace</t>
        </is>
      </c>
      <c r="B60" s="9" t="inlineStr">
        <is>
          <t>29103-ET-PE1501-2-1</t>
        </is>
      </c>
      <c r="C60" s="9" t="inlineStr">
        <is>
          <t>29103-ET-PE1501-2</t>
        </is>
      </c>
      <c r="D60" s="9" t="inlineStr">
        <is>
          <t>HTC-07 / CB-07</t>
        </is>
      </c>
      <c r="E60" s="9" t="inlineStr">
        <is>
          <t>29103-PE-1501</t>
        </is>
      </c>
      <c r="F60" s="9" t="inlineStr">
        <is>
          <t>29103-65R-ET-PE1501-02-01</t>
        </is>
      </c>
      <c r="G60" s="9" t="inlineStr">
        <is>
          <t>13.1</t>
        </is>
      </c>
      <c r="H60" s="9" t="inlineStr">
        <is>
          <t>29103-ET-PE1501-2-1.pdf</t>
        </is>
      </c>
      <c r="I60" s="4" t="str">
        <f>IF($H60&lt;&gt;"","YES","NO")</f>
        <v>YES</v>
      </c>
      <c r="J60" s="4" t="str">
        <f>IF(N($T60)&gt;0,"YES","NO")</f>
        <v>NO</v>
      </c>
      <c r="K60" s="4" t="str">
        <f>IF(OR($A60="EHT Trace"),IF(AND($U60&lt;&gt;"",$V60&lt;&gt;""),"YES","NO"),"N/A")</f>
        <v>NO</v>
      </c>
      <c r="L60" s="4" t="str">
        <f>IF(OR($A60="EHT Trace"),IF(AND($X60&lt;&gt;"",$Y60&lt;&gt;""),"YES","NO"),"N/A")</f>
        <v>NO</v>
      </c>
      <c r="M60" s="4" t="str">
        <f>IF(OR($A60="EHT Trace"),IF(AND($AA60&lt;&gt;"",$AB60&lt;&gt;""),"YES","NO"),"N/A")</f>
        <v>NO</v>
      </c>
      <c r="N60" s="4" t="str">
        <f>IF(OR($A60="Power Cable"),IF(AND($AD60&lt;&gt;""),"YES","NO"),"N/A")</f>
        <v>N/A</v>
      </c>
      <c r="O60" s="4" t="str">
        <f>IF(OR($A60="Power Cable",$A60="RTD Cable",$A60="Fieldbus Cable"),IF(AND($AE60&lt;&gt;""),"YES","NO"),"N/A")</f>
        <v>N/A</v>
      </c>
      <c r="P60" s="4" t="str">
        <f>IF(OR($A60="RTD"),IF(AND($AH60&lt;&gt;""),"YES","NO"),"N/A")</f>
        <v>N/A</v>
      </c>
      <c r="Q60" s="4" t="str">
        <f>IF(OR($A60="RTD"),IF(AND($AI60&lt;&gt;""),"YES","NO"),"N/A")</f>
        <v>N/A</v>
      </c>
      <c r="R60" s="4" t="str">
        <f>IF(OR($AM60&lt;&gt;"",$Z60&lt;&gt;"",$AC60&lt;&gt;""),"YES","NO")</f>
        <v>NO</v>
      </c>
      <c r="S60" s="4" t="str">
        <f>IF(COUNTIF(I60:R60,"NO")=0,"YES","NO")</f>
        <v>NO</v>
      </c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inlineStr">
        <is>
          <t>D/32SQ3200/52.5M/2063/277/1.2M/LS23A/X/N12</t>
        </is>
      </c>
      <c r="AK60" s="9" t="inlineStr">
        <is>
          <t>52.5 m m</t>
        </is>
      </c>
      <c r="AL60" s="9" t="inlineStr">
        <is>
          <t>Levy Ostrup</t>
        </is>
      </c>
      <c r="AM60" s="9" t="n"/>
      <c r="AN60" s="9" t="n"/>
    </row>
    <row r="61">
      <c r="A61" s="9" t="inlineStr">
        <is>
          <t>EHT Trace</t>
        </is>
      </c>
      <c r="B61" s="9" t="inlineStr">
        <is>
          <t>29103-ET-PE1501-2-2</t>
        </is>
      </c>
      <c r="C61" s="9" t="inlineStr">
        <is>
          <t>29103-ET-PE1501-2</t>
        </is>
      </c>
      <c r="D61" s="9" t="inlineStr">
        <is>
          <t>HTC-07 / CB-07</t>
        </is>
      </c>
      <c r="E61" s="9" t="inlineStr">
        <is>
          <t>29103-PE-1501</t>
        </is>
      </c>
      <c r="F61" s="9" t="inlineStr">
        <is>
          <t>29103-65R-ET-PE1501-02-01</t>
        </is>
      </c>
      <c r="G61" s="9" t="inlineStr">
        <is>
          <t>13.1</t>
        </is>
      </c>
      <c r="H61" s="9" t="inlineStr">
        <is>
          <t>29103-ET-PE1501-2-2.pdf</t>
        </is>
      </c>
      <c r="I61" s="4" t="str">
        <f>IF($H61&lt;&gt;"","YES","NO")</f>
        <v>YES</v>
      </c>
      <c r="J61" s="4" t="str">
        <f>IF(N($T61)&gt;0,"YES","NO")</f>
        <v>NO</v>
      </c>
      <c r="K61" s="4" t="str">
        <f>IF(OR($A61="EHT Trace"),IF(AND($U61&lt;&gt;"",$V61&lt;&gt;""),"YES","NO"),"N/A")</f>
        <v>NO</v>
      </c>
      <c r="L61" s="4" t="str">
        <f>IF(OR($A61="EHT Trace"),IF(AND($X61&lt;&gt;"",$Y61&lt;&gt;""),"YES","NO"),"N/A")</f>
        <v>NO</v>
      </c>
      <c r="M61" s="4" t="str">
        <f>IF(OR($A61="EHT Trace"),IF(AND($AA61&lt;&gt;"",$AB61&lt;&gt;""),"YES","NO"),"N/A")</f>
        <v>NO</v>
      </c>
      <c r="N61" s="4" t="str">
        <f>IF(OR($A61="Power Cable"),IF(AND($AD61&lt;&gt;""),"YES","NO"),"N/A")</f>
        <v>N/A</v>
      </c>
      <c r="O61" s="4" t="str">
        <f>IF(OR($A61="Power Cable",$A61="RTD Cable",$A61="Fieldbus Cable"),IF(AND($AE61&lt;&gt;""),"YES","NO"),"N/A")</f>
        <v>N/A</v>
      </c>
      <c r="P61" s="4" t="str">
        <f>IF(OR($A61="RTD"),IF(AND($AH61&lt;&gt;""),"YES","NO"),"N/A")</f>
        <v>N/A</v>
      </c>
      <c r="Q61" s="4" t="str">
        <f>IF(OR($A61="RTD"),IF(AND($AI61&lt;&gt;""),"YES","NO"),"N/A")</f>
        <v>N/A</v>
      </c>
      <c r="R61" s="4" t="str">
        <f>IF(OR($AM61&lt;&gt;"",$Z61&lt;&gt;"",$AC61&lt;&gt;""),"YES","NO")</f>
        <v>NO</v>
      </c>
      <c r="S61" s="4" t="str">
        <f>IF(COUNTIF(I61:R61,"NO")=0,"YES","NO")</f>
        <v>NO</v>
      </c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inlineStr">
        <is>
          <t>D/32SB2114/29.4M/694/277/1.2M/LS23A/X/N12</t>
        </is>
      </c>
      <c r="AK61" s="9" t="inlineStr">
        <is>
          <t>29.4 m m</t>
        </is>
      </c>
      <c r="AL61" s="9" t="inlineStr">
        <is>
          <t>Levy Ostrup</t>
        </is>
      </c>
      <c r="AM61" s="9" t="n"/>
      <c r="AN61" s="9" t="n"/>
    </row>
    <row r="62">
      <c r="A62" s="9" t="inlineStr">
        <is>
          <t>EHT Trace</t>
        </is>
      </c>
      <c r="B62" s="9" t="inlineStr">
        <is>
          <t>29103-ET-PE1502-1-1</t>
        </is>
      </c>
      <c r="C62" s="9" t="inlineStr">
        <is>
          <t>29103-ET-PE1502-1</t>
        </is>
      </c>
      <c r="D62" s="9" t="inlineStr">
        <is>
          <t>HTC-06 / CB-06</t>
        </is>
      </c>
      <c r="E62" s="9" t="inlineStr">
        <is>
          <t>29103-PE-1503, 29103-PE-1502</t>
        </is>
      </c>
      <c r="F62" s="9" t="inlineStr">
        <is>
          <t>29103-65R-ET-PE1502-01-01</t>
        </is>
      </c>
      <c r="G62" s="9" t="inlineStr">
        <is>
          <t>13.1</t>
        </is>
      </c>
      <c r="H62" s="9" t="inlineStr">
        <is>
          <t>29103-ET-PE1502-1-1.pdf</t>
        </is>
      </c>
      <c r="I62" s="4" t="str">
        <f>IF($H62&lt;&gt;"","YES","NO")</f>
        <v>YES</v>
      </c>
      <c r="J62" s="4" t="str">
        <f>IF(N($T62)&gt;0,"YES","NO")</f>
        <v>YES</v>
      </c>
      <c r="K62" s="4" t="str">
        <f>IF(OR($A62="EHT Trace"),IF(AND($U62&lt;&gt;"",$V62&lt;&gt;""),"YES","NO"),"N/A")</f>
        <v>NO</v>
      </c>
      <c r="L62" s="4" t="str">
        <f>IF(OR($A62="EHT Trace"),IF(AND($X62&lt;&gt;"",$Y62&lt;&gt;""),"YES","NO"),"N/A")</f>
        <v>YES</v>
      </c>
      <c r="M62" s="4" t="str">
        <f>IF(OR($A62="EHT Trace"),IF(AND($AA62&lt;&gt;"",$AB62&lt;&gt;""),"YES","NO"),"N/A")</f>
        <v>NO</v>
      </c>
      <c r="N62" s="4" t="str">
        <f>IF(OR($A62="Power Cable"),IF(AND($AD62&lt;&gt;""),"YES","NO"),"N/A")</f>
        <v>N/A</v>
      </c>
      <c r="O62" s="4" t="str">
        <f>IF(OR($A62="Power Cable",$A62="RTD Cable",$A62="Fieldbus Cable"),IF(AND($AE62&lt;&gt;""),"YES","NO"),"N/A")</f>
        <v>N/A</v>
      </c>
      <c r="P62" s="4" t="str">
        <f>IF(OR($A62="RTD"),IF(AND($AH62&lt;&gt;""),"YES","NO"),"N/A")</f>
        <v>N/A</v>
      </c>
      <c r="Q62" s="4" t="str">
        <f>IF(OR($A62="RTD"),IF(AND($AI62&lt;&gt;""),"YES","NO"),"N/A")</f>
        <v>N/A</v>
      </c>
      <c r="R62" s="4" t="str">
        <f>IF(OR($AM62&lt;&gt;"",$Z62&lt;&gt;"",$AC62&lt;&gt;""),"YES","NO")</f>
        <v>YES</v>
      </c>
      <c r="S62" s="4" t="str">
        <f>IF(COUNTIF(I62:R62,"NO")=0,"YES","NO")</f>
        <v>NO</v>
      </c>
      <c r="T62" s="9" t="n">
        <v>3</v>
      </c>
      <c r="U62" s="9" t="n"/>
      <c r="V62" s="9" t="n"/>
      <c r="W62" s="9" t="n"/>
      <c r="X62" s="9" t="inlineStr">
        <is>
          <t>550 MΩ</t>
        </is>
      </c>
      <c r="Y62" s="9" t="inlineStr">
        <is>
          <t>44.7 Ω</t>
        </is>
      </c>
      <c r="Z62" s="9" t="inlineStr">
        <is>
          <t>2026-08-10</t>
        </is>
      </c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inlineStr">
        <is>
          <t>D/32SQ3374/34.9M/1658/277/1.2M/LS23A/X/N12</t>
        </is>
      </c>
      <c r="AK62" s="9" t="inlineStr">
        <is>
          <t>34.9 m m</t>
        </is>
      </c>
      <c r="AL62" s="9" t="inlineStr">
        <is>
          <t>Levy Ostrup</t>
        </is>
      </c>
      <c r="AM62" s="9" t="n"/>
      <c r="AN62" s="9" t="n"/>
    </row>
    <row r="63">
      <c r="A63" s="9" t="inlineStr">
        <is>
          <t>EHT Trace</t>
        </is>
      </c>
      <c r="B63" s="9" t="inlineStr">
        <is>
          <t>29103-ET-PE1601-1-1</t>
        </is>
      </c>
      <c r="C63" s="9" t="inlineStr">
        <is>
          <t>29103-ET-PE1601-1</t>
        </is>
      </c>
      <c r="D63" s="9" t="inlineStr">
        <is>
          <t>HTC-08 / CB-08</t>
        </is>
      </c>
      <c r="E63" s="9" t="inlineStr">
        <is>
          <t>29103-PE-1601</t>
        </is>
      </c>
      <c r="F63" s="9" t="inlineStr">
        <is>
          <t>29103-65R-ET-PE1601-01-01</t>
        </is>
      </c>
      <c r="G63" s="9" t="inlineStr">
        <is>
          <t>13.1</t>
        </is>
      </c>
      <c r="H63" s="9" t="inlineStr">
        <is>
          <t>29103-ET-PE1601-1-1.pdf</t>
        </is>
      </c>
      <c r="I63" s="4" t="str">
        <f>IF($H63&lt;&gt;"","YES","NO")</f>
        <v>YES</v>
      </c>
      <c r="J63" s="4" t="str">
        <f>IF(N($T63)&gt;0,"YES","NO")</f>
        <v>NO</v>
      </c>
      <c r="K63" s="4" t="str">
        <f>IF(OR($A63="EHT Trace"),IF(AND($U63&lt;&gt;"",$V63&lt;&gt;""),"YES","NO"),"N/A")</f>
        <v>NO</v>
      </c>
      <c r="L63" s="4" t="str">
        <f>IF(OR($A63="EHT Trace"),IF(AND($X63&lt;&gt;"",$Y63&lt;&gt;""),"YES","NO"),"N/A")</f>
        <v>NO</v>
      </c>
      <c r="M63" s="4" t="str">
        <f>IF(OR($A63="EHT Trace"),IF(AND($AA63&lt;&gt;"",$AB63&lt;&gt;""),"YES","NO"),"N/A")</f>
        <v>NO</v>
      </c>
      <c r="N63" s="4" t="str">
        <f>IF(OR($A63="Power Cable"),IF(AND($AD63&lt;&gt;""),"YES","NO"),"N/A")</f>
        <v>N/A</v>
      </c>
      <c r="O63" s="4" t="str">
        <f>IF(OR($A63="Power Cable",$A63="RTD Cable",$A63="Fieldbus Cable"),IF(AND($AE63&lt;&gt;""),"YES","NO"),"N/A")</f>
        <v>N/A</v>
      </c>
      <c r="P63" s="4" t="str">
        <f>IF(OR($A63="RTD"),IF(AND($AH63&lt;&gt;""),"YES","NO"),"N/A")</f>
        <v>N/A</v>
      </c>
      <c r="Q63" s="4" t="str">
        <f>IF(OR($A63="RTD"),IF(AND($AI63&lt;&gt;""),"YES","NO"),"N/A")</f>
        <v>N/A</v>
      </c>
      <c r="R63" s="4" t="str">
        <f>IF(OR($AM63&lt;&gt;"",$Z63&lt;&gt;"",$AC63&lt;&gt;""),"YES","NO")</f>
        <v>NO</v>
      </c>
      <c r="S63" s="4" t="str">
        <f>IF(COUNTIF(I63:R63,"NO")=0,"YES","NO")</f>
        <v>NO</v>
      </c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inlineStr">
        <is>
          <t>D/32SF1110/7.5M/280/277/1.2M/LS23A/X/N12</t>
        </is>
      </c>
      <c r="AK63" s="9" t="inlineStr">
        <is>
          <t>7.5 m m</t>
        </is>
      </c>
      <c r="AL63" s="9" t="inlineStr">
        <is>
          <t>Levy Ostrup</t>
        </is>
      </c>
      <c r="AM63" s="9" t="n"/>
      <c r="AN63" s="9" t="n"/>
    </row>
    <row r="64">
      <c r="A64" s="9" t="inlineStr">
        <is>
          <t>EHT Trace</t>
        </is>
      </c>
      <c r="B64" s="9" t="inlineStr">
        <is>
          <t>29103-ET-PE1601-1-2</t>
        </is>
      </c>
      <c r="C64" s="9" t="inlineStr">
        <is>
          <t>29103-ET-PE1601-1</t>
        </is>
      </c>
      <c r="D64" s="9" t="inlineStr">
        <is>
          <t>HTC-08 / CB-08</t>
        </is>
      </c>
      <c r="E64" s="9" t="inlineStr">
        <is>
          <t>29103-PE-1601</t>
        </is>
      </c>
      <c r="F64" s="9" t="inlineStr">
        <is>
          <t>29103-65R-ET-PE1601-01-01</t>
        </is>
      </c>
      <c r="G64" s="9" t="inlineStr">
        <is>
          <t>13.1</t>
        </is>
      </c>
      <c r="H64" s="9" t="inlineStr">
        <is>
          <t>29103-ET-PE1601-1-2.pdf</t>
        </is>
      </c>
      <c r="I64" s="4" t="str">
        <f>IF($H64&lt;&gt;"","YES","NO")</f>
        <v>YES</v>
      </c>
      <c r="J64" s="4" t="str">
        <f>IF(N($T64)&gt;0,"YES","NO")</f>
        <v>NO</v>
      </c>
      <c r="K64" s="4" t="str">
        <f>IF(OR($A64="EHT Trace"),IF(AND($U64&lt;&gt;"",$V64&lt;&gt;""),"YES","NO"),"N/A")</f>
        <v>NO</v>
      </c>
      <c r="L64" s="4" t="str">
        <f>IF(OR($A64="EHT Trace"),IF(AND($X64&lt;&gt;"",$Y64&lt;&gt;""),"YES","NO"),"N/A")</f>
        <v>NO</v>
      </c>
      <c r="M64" s="4" t="str">
        <f>IF(OR($A64="EHT Trace"),IF(AND($AA64&lt;&gt;"",$AB64&lt;&gt;""),"YES","NO"),"N/A")</f>
        <v>NO</v>
      </c>
      <c r="N64" s="4" t="str">
        <f>IF(OR($A64="Power Cable"),IF(AND($AD64&lt;&gt;""),"YES","NO"),"N/A")</f>
        <v>N/A</v>
      </c>
      <c r="O64" s="4" t="str">
        <f>IF(OR($A64="Power Cable",$A64="RTD Cable",$A64="Fieldbus Cable"),IF(AND($AE64&lt;&gt;""),"YES","NO"),"N/A")</f>
        <v>N/A</v>
      </c>
      <c r="P64" s="4" t="str">
        <f>IF(OR($A64="RTD"),IF(AND($AH64&lt;&gt;""),"YES","NO"),"N/A")</f>
        <v>N/A</v>
      </c>
      <c r="Q64" s="4" t="str">
        <f>IF(OR($A64="RTD"),IF(AND($AI64&lt;&gt;""),"YES","NO"),"N/A")</f>
        <v>N/A</v>
      </c>
      <c r="R64" s="4" t="str">
        <f>IF(OR($AM64&lt;&gt;"",$Z64&lt;&gt;"",$AC64&lt;&gt;""),"YES","NO")</f>
        <v>NO</v>
      </c>
      <c r="S64" s="4" t="str">
        <f>IF(COUNTIF(I64:R64,"NO")=0,"YES","NO")</f>
        <v>NO</v>
      </c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inlineStr">
        <is>
          <t>E/32SQ3472/10.8M/522/97.1/1.2M/LS23A/X/N12/XNF</t>
        </is>
      </c>
      <c r="AK64" s="9" t="inlineStr">
        <is>
          <t>10.8 m m</t>
        </is>
      </c>
      <c r="AL64" s="9" t="inlineStr">
        <is>
          <t>Levy Ostrup</t>
        </is>
      </c>
      <c r="AM64" s="9" t="n"/>
      <c r="AN64" s="9" t="n"/>
    </row>
    <row r="65">
      <c r="A65" s="9" t="inlineStr">
        <is>
          <t>EHT Trace</t>
        </is>
      </c>
      <c r="B65" s="9" t="inlineStr">
        <is>
          <t>29103-ET-PE1601-1-3</t>
        </is>
      </c>
      <c r="C65" s="9" t="inlineStr">
        <is>
          <t>29103-ET-PE1601-1</t>
        </is>
      </c>
      <c r="D65" s="9" t="inlineStr">
        <is>
          <t>HTC-08 / CB-08</t>
        </is>
      </c>
      <c r="E65" s="9" t="inlineStr">
        <is>
          <t>29103-PE-1601</t>
        </is>
      </c>
      <c r="F65" s="9" t="inlineStr">
        <is>
          <t>29103-65R-ET-PE1601-01-01</t>
        </is>
      </c>
      <c r="G65" s="9" t="inlineStr">
        <is>
          <t>13.1</t>
        </is>
      </c>
      <c r="H65" s="9" t="inlineStr">
        <is>
          <t>29103-ET-PE1601-1-3.pdf</t>
        </is>
      </c>
      <c r="I65" s="4" t="str">
        <f>IF($H65&lt;&gt;"","YES","NO")</f>
        <v>YES</v>
      </c>
      <c r="J65" s="4" t="str">
        <f>IF(N($T65)&gt;0,"YES","NO")</f>
        <v>NO</v>
      </c>
      <c r="K65" s="4" t="str">
        <f>IF(OR($A65="EHT Trace"),IF(AND($U65&lt;&gt;"",$V65&lt;&gt;""),"YES","NO"),"N/A")</f>
        <v>NO</v>
      </c>
      <c r="L65" s="4" t="str">
        <f>IF(OR($A65="EHT Trace"),IF(AND($X65&lt;&gt;"",$Y65&lt;&gt;""),"YES","NO"),"N/A")</f>
        <v>NO</v>
      </c>
      <c r="M65" s="4" t="str">
        <f>IF(OR($A65="EHT Trace"),IF(AND($AA65&lt;&gt;"",$AB65&lt;&gt;""),"YES","NO"),"N/A")</f>
        <v>NO</v>
      </c>
      <c r="N65" s="4" t="str">
        <f>IF(OR($A65="Power Cable"),IF(AND($AD65&lt;&gt;""),"YES","NO"),"N/A")</f>
        <v>N/A</v>
      </c>
      <c r="O65" s="4" t="str">
        <f>IF(OR($A65="Power Cable",$A65="RTD Cable",$A65="Fieldbus Cable"),IF(AND($AE65&lt;&gt;""),"YES","NO"),"N/A")</f>
        <v>N/A</v>
      </c>
      <c r="P65" s="4" t="str">
        <f>IF(OR($A65="RTD"),IF(AND($AH65&lt;&gt;""),"YES","NO"),"N/A")</f>
        <v>N/A</v>
      </c>
      <c r="Q65" s="4" t="str">
        <f>IF(OR($A65="RTD"),IF(AND($AI65&lt;&gt;""),"YES","NO"),"N/A")</f>
        <v>N/A</v>
      </c>
      <c r="R65" s="4" t="str">
        <f>IF(OR($AM65&lt;&gt;"",$Z65&lt;&gt;"",$AC65&lt;&gt;""),"YES","NO")</f>
        <v>NO</v>
      </c>
      <c r="S65" s="4" t="str">
        <f>IF(COUNTIF(I65:R65,"NO")=0,"YES","NO")</f>
        <v>NO</v>
      </c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inlineStr">
        <is>
          <t>E/32SQ3472/6.6M/319/59.4/1.2M/LS23A/X/N12/XMF</t>
        </is>
      </c>
      <c r="AK65" s="9" t="inlineStr">
        <is>
          <t>6.6 m m</t>
        </is>
      </c>
      <c r="AL65" s="9" t="inlineStr">
        <is>
          <t>Levy Ostrup</t>
        </is>
      </c>
      <c r="AM65" s="9" t="n"/>
      <c r="AN65" s="9" t="n"/>
    </row>
    <row r="66">
      <c r="A66" s="9" t="inlineStr">
        <is>
          <t>EHT Trace</t>
        </is>
      </c>
      <c r="B66" s="9" t="inlineStr">
        <is>
          <t>29103-ET-PE1601-1-4</t>
        </is>
      </c>
      <c r="C66" s="9" t="inlineStr">
        <is>
          <t>29103-ET-PE1601-1</t>
        </is>
      </c>
      <c r="D66" s="9" t="inlineStr">
        <is>
          <t>HTC-08 / CB-08</t>
        </is>
      </c>
      <c r="E66" s="9" t="inlineStr">
        <is>
          <t>29103-PE-1601</t>
        </is>
      </c>
      <c r="F66" s="9" t="inlineStr">
        <is>
          <t>29103-65R-ET-PE1601-01-01</t>
        </is>
      </c>
      <c r="G66" s="9" t="inlineStr">
        <is>
          <t>13.1</t>
        </is>
      </c>
      <c r="H66" s="9" t="inlineStr">
        <is>
          <t>29103-ET-PE1601-1-4.pdf</t>
        </is>
      </c>
      <c r="I66" s="4" t="str">
        <f>IF($H66&lt;&gt;"","YES","NO")</f>
        <v>YES</v>
      </c>
      <c r="J66" s="4" t="str">
        <f>IF(N($T66)&gt;0,"YES","NO")</f>
        <v>NO</v>
      </c>
      <c r="K66" s="4" t="str">
        <f>IF(OR($A66="EHT Trace"),IF(AND($U66&lt;&gt;"",$V66&lt;&gt;""),"YES","NO"),"N/A")</f>
        <v>NO</v>
      </c>
      <c r="L66" s="4" t="str">
        <f>IF(OR($A66="EHT Trace"),IF(AND($X66&lt;&gt;"",$Y66&lt;&gt;""),"YES","NO"),"N/A")</f>
        <v>NO</v>
      </c>
      <c r="M66" s="4" t="str">
        <f>IF(OR($A66="EHT Trace"),IF(AND($AA66&lt;&gt;"",$AB66&lt;&gt;""),"YES","NO"),"N/A")</f>
        <v>NO</v>
      </c>
      <c r="N66" s="4" t="str">
        <f>IF(OR($A66="Power Cable"),IF(AND($AD66&lt;&gt;""),"YES","NO"),"N/A")</f>
        <v>N/A</v>
      </c>
      <c r="O66" s="4" t="str">
        <f>IF(OR($A66="Power Cable",$A66="RTD Cable",$A66="Fieldbus Cable"),IF(AND($AE66&lt;&gt;""),"YES","NO"),"N/A")</f>
        <v>N/A</v>
      </c>
      <c r="P66" s="4" t="str">
        <f>IF(OR($A66="RTD"),IF(AND($AH66&lt;&gt;""),"YES","NO"),"N/A")</f>
        <v>N/A</v>
      </c>
      <c r="Q66" s="4" t="str">
        <f>IF(OR($A66="RTD"),IF(AND($AI66&lt;&gt;""),"YES","NO"),"N/A")</f>
        <v>N/A</v>
      </c>
      <c r="R66" s="4" t="str">
        <f>IF(OR($AM66&lt;&gt;"",$Z66&lt;&gt;"",$AC66&lt;&gt;""),"YES","NO")</f>
        <v>NO</v>
      </c>
      <c r="S66" s="4" t="str">
        <f>IF(COUNTIF(I66:R66,"NO")=0,"YES","NO")</f>
        <v>NO</v>
      </c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inlineStr">
        <is>
          <t>D/32SQ3472/13.4M/647/121/1.2M/LS23A/X/N12/XMN</t>
        </is>
      </c>
      <c r="AK66" s="9" t="inlineStr">
        <is>
          <t>13.4 m m</t>
        </is>
      </c>
      <c r="AL66" s="9" t="inlineStr">
        <is>
          <t>Levy Ostrup</t>
        </is>
      </c>
      <c r="AM66" s="9" t="n"/>
      <c r="AN66" s="9" t="n"/>
    </row>
    <row r="67">
      <c r="A67" s="9" t="inlineStr">
        <is>
          <t>EHT Trace</t>
        </is>
      </c>
      <c r="B67" s="9" t="inlineStr">
        <is>
          <t>29103-ET-PE1601-2-1</t>
        </is>
      </c>
      <c r="C67" s="9" t="inlineStr">
        <is>
          <t>29103-ET-PE1601-2</t>
        </is>
      </c>
      <c r="D67" s="9" t="inlineStr">
        <is>
          <t>HTC-12 / CB-12</t>
        </is>
      </c>
      <c r="E67" s="9" t="inlineStr">
        <is>
          <t>29103-PE-1601</t>
        </is>
      </c>
      <c r="F67" s="9" t="inlineStr">
        <is>
          <t>29103-65R-ET-PE1601-02-01</t>
        </is>
      </c>
      <c r="G67" s="9" t="inlineStr">
        <is>
          <t>13.1</t>
        </is>
      </c>
      <c r="H67" s="9" t="inlineStr">
        <is>
          <t>29103-ET-PE1601-2-1.pdf</t>
        </is>
      </c>
      <c r="I67" s="4" t="str">
        <f>IF($H67&lt;&gt;"","YES","NO")</f>
        <v>YES</v>
      </c>
      <c r="J67" s="4" t="str">
        <f>IF(N($T67)&gt;0,"YES","NO")</f>
        <v>NO</v>
      </c>
      <c r="K67" s="4" t="str">
        <f>IF(OR($A67="EHT Trace"),IF(AND($U67&lt;&gt;"",$V67&lt;&gt;""),"YES","NO"),"N/A")</f>
        <v>NO</v>
      </c>
      <c r="L67" s="4" t="str">
        <f>IF(OR($A67="EHT Trace"),IF(AND($X67&lt;&gt;"",$Y67&lt;&gt;""),"YES","NO"),"N/A")</f>
        <v>NO</v>
      </c>
      <c r="M67" s="4" t="str">
        <f>IF(OR($A67="EHT Trace"),IF(AND($AA67&lt;&gt;"",$AB67&lt;&gt;""),"YES","NO"),"N/A")</f>
        <v>NO</v>
      </c>
      <c r="N67" s="4" t="str">
        <f>IF(OR($A67="Power Cable"),IF(AND($AD67&lt;&gt;""),"YES","NO"),"N/A")</f>
        <v>N/A</v>
      </c>
      <c r="O67" s="4" t="str">
        <f>IF(OR($A67="Power Cable",$A67="RTD Cable",$A67="Fieldbus Cable"),IF(AND($AE67&lt;&gt;""),"YES","NO"),"N/A")</f>
        <v>N/A</v>
      </c>
      <c r="P67" s="4" t="str">
        <f>IF(OR($A67="RTD"),IF(AND($AH67&lt;&gt;""),"YES","NO"),"N/A")</f>
        <v>N/A</v>
      </c>
      <c r="Q67" s="4" t="str">
        <f>IF(OR($A67="RTD"),IF(AND($AI67&lt;&gt;""),"YES","NO"),"N/A")</f>
        <v>N/A</v>
      </c>
      <c r="R67" s="4" t="str">
        <f>IF(OR($AM67&lt;&gt;"",$Z67&lt;&gt;"",$AC67&lt;&gt;""),"YES","NO")</f>
        <v>NO</v>
      </c>
      <c r="S67" s="4" t="str">
        <f>IF(COUNTIF(I67:R67,"NO")=0,"YES","NO")</f>
        <v>NO</v>
      </c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inlineStr">
        <is>
          <t>D/32SQ3200/52.1M/2079/277/1.2M/LS23A/X/N12</t>
        </is>
      </c>
      <c r="AK67" s="9" t="inlineStr">
        <is>
          <t>52.1 m m</t>
        </is>
      </c>
      <c r="AL67" s="9" t="inlineStr">
        <is>
          <t>Levy Ostrup</t>
        </is>
      </c>
      <c r="AM67" s="9" t="n"/>
      <c r="AN67" s="9" t="n"/>
    </row>
    <row r="68">
      <c r="A68" s="9" t="inlineStr">
        <is>
          <t>EHT Trace</t>
        </is>
      </c>
      <c r="B68" s="9" t="inlineStr">
        <is>
          <t>29103-ET-PE1601-2-2</t>
        </is>
      </c>
      <c r="C68" s="9" t="inlineStr">
        <is>
          <t>29103-ET-PE1601-2</t>
        </is>
      </c>
      <c r="D68" s="9" t="inlineStr">
        <is>
          <t>HTC-12 / CB-12</t>
        </is>
      </c>
      <c r="E68" s="9" t="inlineStr">
        <is>
          <t>29103-PE-1601</t>
        </is>
      </c>
      <c r="F68" s="9" t="inlineStr">
        <is>
          <t>29103-65R-ET-PE1601-02-01</t>
        </is>
      </c>
      <c r="G68" s="9" t="inlineStr">
        <is>
          <t>13.1</t>
        </is>
      </c>
      <c r="H68" s="9" t="inlineStr">
        <is>
          <t>29103-ET-PE1601-2-2.pdf</t>
        </is>
      </c>
      <c r="I68" s="4" t="str">
        <f>IF($H68&lt;&gt;"","YES","NO")</f>
        <v>YES</v>
      </c>
      <c r="J68" s="4" t="str">
        <f>IF(N($T68)&gt;0,"YES","NO")</f>
        <v>NO</v>
      </c>
      <c r="K68" s="4" t="str">
        <f>IF(OR($A68="EHT Trace"),IF(AND($U68&lt;&gt;"",$V68&lt;&gt;""),"YES","NO"),"N/A")</f>
        <v>NO</v>
      </c>
      <c r="L68" s="4" t="str">
        <f>IF(OR($A68="EHT Trace"),IF(AND($X68&lt;&gt;"",$Y68&lt;&gt;""),"YES","NO"),"N/A")</f>
        <v>NO</v>
      </c>
      <c r="M68" s="4" t="str">
        <f>IF(OR($A68="EHT Trace"),IF(AND($AA68&lt;&gt;"",$AB68&lt;&gt;""),"YES","NO"),"N/A")</f>
        <v>NO</v>
      </c>
      <c r="N68" s="4" t="str">
        <f>IF(OR($A68="Power Cable"),IF(AND($AD68&lt;&gt;""),"YES","NO"),"N/A")</f>
        <v>N/A</v>
      </c>
      <c r="O68" s="4" t="str">
        <f>IF(OR($A68="Power Cable",$A68="RTD Cable",$A68="Fieldbus Cable"),IF(AND($AE68&lt;&gt;""),"YES","NO"),"N/A")</f>
        <v>N/A</v>
      </c>
      <c r="P68" s="4" t="str">
        <f>IF(OR($A68="RTD"),IF(AND($AH68&lt;&gt;""),"YES","NO"),"N/A")</f>
        <v>N/A</v>
      </c>
      <c r="Q68" s="4" t="str">
        <f>IF(OR($A68="RTD"),IF(AND($AI68&lt;&gt;""),"YES","NO"),"N/A")</f>
        <v>N/A</v>
      </c>
      <c r="R68" s="4" t="str">
        <f>IF(OR($AM68&lt;&gt;"",$Z68&lt;&gt;"",$AC68&lt;&gt;""),"YES","NO")</f>
        <v>NO</v>
      </c>
      <c r="S68" s="4" t="str">
        <f>IF(COUNTIF(I68:R68,"NO")=0,"YES","NO")</f>
        <v>NO</v>
      </c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inlineStr">
        <is>
          <t>D/32SB2114/29.2M/701/277/1.2M/LS23A/X/N12</t>
        </is>
      </c>
      <c r="AK68" s="9" t="inlineStr">
        <is>
          <t>29.2 m m</t>
        </is>
      </c>
      <c r="AL68" s="9" t="inlineStr">
        <is>
          <t>Levy Ostrup</t>
        </is>
      </c>
      <c r="AM68" s="9" t="n"/>
      <c r="AN68" s="9" t="n"/>
    </row>
    <row r="69">
      <c r="A69" s="9" t="inlineStr">
        <is>
          <t>EHT Trace</t>
        </is>
      </c>
      <c r="B69" s="9" t="inlineStr">
        <is>
          <t>29103-ET-PE1602-1-1</t>
        </is>
      </c>
      <c r="C69" s="9" t="inlineStr">
        <is>
          <t>29103-ET-PE1602-1</t>
        </is>
      </c>
      <c r="D69" s="9" t="inlineStr">
        <is>
          <t>HTC-15 / CB-15</t>
        </is>
      </c>
      <c r="E69" s="9" t="inlineStr">
        <is>
          <t>29103-PE-1603, 29103-PE-1602</t>
        </is>
      </c>
      <c r="F69" s="9" t="inlineStr">
        <is>
          <t>29103-65R-ET-PE1602-01-01</t>
        </is>
      </c>
      <c r="G69" s="9" t="inlineStr">
        <is>
          <t>13.1</t>
        </is>
      </c>
      <c r="H69" s="9" t="inlineStr">
        <is>
          <t>29103-ET-PE1602-1-1.pdf</t>
        </is>
      </c>
      <c r="I69" s="4" t="str">
        <f>IF($H69&lt;&gt;"","YES","NO")</f>
        <v>YES</v>
      </c>
      <c r="J69" s="4" t="str">
        <f>IF(N($T69)&gt;0,"YES","NO")</f>
        <v>YES</v>
      </c>
      <c r="K69" s="4" t="str">
        <f>IF(OR($A69="EHT Trace"),IF(AND($U69&lt;&gt;"",$V69&lt;&gt;""),"YES","NO"),"N/A")</f>
        <v>NO</v>
      </c>
      <c r="L69" s="4" t="str">
        <f>IF(OR($A69="EHT Trace"),IF(AND($X69&lt;&gt;"",$Y69&lt;&gt;""),"YES","NO"),"N/A")</f>
        <v>YES</v>
      </c>
      <c r="M69" s="4" t="str">
        <f>IF(OR($A69="EHT Trace"),IF(AND($AA69&lt;&gt;"",$AB69&lt;&gt;""),"YES","NO"),"N/A")</f>
        <v>NO</v>
      </c>
      <c r="N69" s="4" t="str">
        <f>IF(OR($A69="Power Cable"),IF(AND($AD69&lt;&gt;""),"YES","NO"),"N/A")</f>
        <v>N/A</v>
      </c>
      <c r="O69" s="4" t="str">
        <f>IF(OR($A69="Power Cable",$A69="RTD Cable",$A69="Fieldbus Cable"),IF(AND($AE69&lt;&gt;""),"YES","NO"),"N/A")</f>
        <v>N/A</v>
      </c>
      <c r="P69" s="4" t="str">
        <f>IF(OR($A69="RTD"),IF(AND($AH69&lt;&gt;""),"YES","NO"),"N/A")</f>
        <v>N/A</v>
      </c>
      <c r="Q69" s="4" t="str">
        <f>IF(OR($A69="RTD"),IF(AND($AI69&lt;&gt;""),"YES","NO"),"N/A")</f>
        <v>N/A</v>
      </c>
      <c r="R69" s="4" t="str">
        <f>IF(OR($AM69&lt;&gt;"",$Z69&lt;&gt;"",$AC69&lt;&gt;""),"YES","NO")</f>
        <v>YES</v>
      </c>
      <c r="S69" s="4" t="str">
        <f>IF(COUNTIF(I69:R69,"NO")=0,"YES","NO")</f>
        <v>NO</v>
      </c>
      <c r="T69" s="9" t="n">
        <v>4</v>
      </c>
      <c r="U69" s="9" t="n"/>
      <c r="V69" s="9" t="n"/>
      <c r="W69" s="9" t="n"/>
      <c r="X69" s="9" t="inlineStr">
        <is>
          <t>550 MΩ</t>
        </is>
      </c>
      <c r="Y69" s="9" t="inlineStr">
        <is>
          <t>44.7 Ω</t>
        </is>
      </c>
      <c r="Z69" s="9" t="inlineStr">
        <is>
          <t>2026-08-10</t>
        </is>
      </c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inlineStr">
        <is>
          <t>D/32SQ3374/35.4M/1635/277/1.2M/LS23A/X/N12</t>
        </is>
      </c>
      <c r="AK69" s="9" t="inlineStr">
        <is>
          <t>35.4 m m</t>
        </is>
      </c>
      <c r="AL69" s="9" t="inlineStr">
        <is>
          <t>Levy Ostrup</t>
        </is>
      </c>
      <c r="AM69" s="9" t="n"/>
      <c r="AN69" s="9" t="inlineStr">
        <is>
          <t>Core markers are 29103HTP003HTC15-P-H and 29103HTP003HTC15-P-N</t>
        </is>
      </c>
    </row>
    <row r="70">
      <c r="A70" s="9" t="inlineStr">
        <is>
          <t>EHT Trace</t>
        </is>
      </c>
      <c r="B70" s="9" t="inlineStr">
        <is>
          <t>29103-ET-PE1701-1-1</t>
        </is>
      </c>
      <c r="C70" s="9" t="inlineStr">
        <is>
          <t>29103-ET-PE1701-1</t>
        </is>
      </c>
      <c r="D70" s="9" t="inlineStr">
        <is>
          <t>HTC-23 / CB-23</t>
        </is>
      </c>
      <c r="E70" s="9" t="inlineStr">
        <is>
          <t>29103-PE-1701</t>
        </is>
      </c>
      <c r="F70" s="9" t="inlineStr">
        <is>
          <t>29103-65R-ET-PE1701-01-01</t>
        </is>
      </c>
      <c r="G70" s="9" t="inlineStr">
        <is>
          <t>13.1</t>
        </is>
      </c>
      <c r="H70" s="9" t="inlineStr">
        <is>
          <t>29103-ET-PE1701-1-1.pdf</t>
        </is>
      </c>
      <c r="I70" s="4" t="str">
        <f>IF($H70&lt;&gt;"","YES","NO")</f>
        <v>YES</v>
      </c>
      <c r="J70" s="4" t="str">
        <f>IF(N($T70)&gt;0,"YES","NO")</f>
        <v>NO</v>
      </c>
      <c r="K70" s="4" t="str">
        <f>IF(OR($A70="EHT Trace"),IF(AND($U70&lt;&gt;"",$V70&lt;&gt;""),"YES","NO"),"N/A")</f>
        <v>NO</v>
      </c>
      <c r="L70" s="4" t="str">
        <f>IF(OR($A70="EHT Trace"),IF(AND($X70&lt;&gt;"",$Y70&lt;&gt;""),"YES","NO"),"N/A")</f>
        <v>NO</v>
      </c>
      <c r="M70" s="4" t="str">
        <f>IF(OR($A70="EHT Trace"),IF(AND($AA70&lt;&gt;"",$AB70&lt;&gt;""),"YES","NO"),"N/A")</f>
        <v>NO</v>
      </c>
      <c r="N70" s="4" t="str">
        <f>IF(OR($A70="Power Cable"),IF(AND($AD70&lt;&gt;""),"YES","NO"),"N/A")</f>
        <v>N/A</v>
      </c>
      <c r="O70" s="4" t="str">
        <f>IF(OR($A70="Power Cable",$A70="RTD Cable",$A70="Fieldbus Cable"),IF(AND($AE70&lt;&gt;""),"YES","NO"),"N/A")</f>
        <v>N/A</v>
      </c>
      <c r="P70" s="4" t="str">
        <f>IF(OR($A70="RTD"),IF(AND($AH70&lt;&gt;""),"YES","NO"),"N/A")</f>
        <v>N/A</v>
      </c>
      <c r="Q70" s="4" t="str">
        <f>IF(OR($A70="RTD"),IF(AND($AI70&lt;&gt;""),"YES","NO"),"N/A")</f>
        <v>N/A</v>
      </c>
      <c r="R70" s="4" t="str">
        <f>IF(OR($AM70&lt;&gt;"",$Z70&lt;&gt;"",$AC70&lt;&gt;""),"YES","NO")</f>
        <v>NO</v>
      </c>
      <c r="S70" s="4" t="str">
        <f>IF(COUNTIF(I70:R70,"NO")=0,"YES","NO")</f>
        <v>NO</v>
      </c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inlineStr">
        <is>
          <t>D/32SF1110/7.8M/269/277/1.2M/LS23A/X/N12</t>
        </is>
      </c>
      <c r="AK70" s="9" t="inlineStr">
        <is>
          <t>7.8 m m</t>
        </is>
      </c>
      <c r="AL70" s="9" t="inlineStr">
        <is>
          <t>Levy Ostrup</t>
        </is>
      </c>
      <c r="AM70" s="9" t="n"/>
      <c r="AN70" s="9" t="n"/>
    </row>
    <row r="71">
      <c r="A71" s="9" t="inlineStr">
        <is>
          <t>EHT Trace</t>
        </is>
      </c>
      <c r="B71" s="9" t="inlineStr">
        <is>
          <t>29103-ET-PE1701-1-2</t>
        </is>
      </c>
      <c r="C71" s="9" t="inlineStr">
        <is>
          <t>29103-ET-PE1701-1</t>
        </is>
      </c>
      <c r="D71" s="9" t="inlineStr">
        <is>
          <t>HTC-23 / CB-23</t>
        </is>
      </c>
      <c r="E71" s="9" t="inlineStr">
        <is>
          <t>29103-PE-1701</t>
        </is>
      </c>
      <c r="F71" s="9" t="inlineStr">
        <is>
          <t>29103-65R-ET-PE1701-01-01</t>
        </is>
      </c>
      <c r="G71" s="9" t="inlineStr">
        <is>
          <t>13.1</t>
        </is>
      </c>
      <c r="H71" s="9" t="inlineStr">
        <is>
          <t>29103-ET-PE1701-1-2.pdf</t>
        </is>
      </c>
      <c r="I71" s="4" t="str">
        <f>IF($H71&lt;&gt;"","YES","NO")</f>
        <v>YES</v>
      </c>
      <c r="J71" s="4" t="str">
        <f>IF(N($T71)&gt;0,"YES","NO")</f>
        <v>NO</v>
      </c>
      <c r="K71" s="4" t="str">
        <f>IF(OR($A71="EHT Trace"),IF(AND($U71&lt;&gt;"",$V71&lt;&gt;""),"YES","NO"),"N/A")</f>
        <v>NO</v>
      </c>
      <c r="L71" s="4" t="str">
        <f>IF(OR($A71="EHT Trace"),IF(AND($X71&lt;&gt;"",$Y71&lt;&gt;""),"YES","NO"),"N/A")</f>
        <v>NO</v>
      </c>
      <c r="M71" s="4" t="str">
        <f>IF(OR($A71="EHT Trace"),IF(AND($AA71&lt;&gt;"",$AB71&lt;&gt;""),"YES","NO"),"N/A")</f>
        <v>NO</v>
      </c>
      <c r="N71" s="4" t="str">
        <f>IF(OR($A71="Power Cable"),IF(AND($AD71&lt;&gt;""),"YES","NO"),"N/A")</f>
        <v>N/A</v>
      </c>
      <c r="O71" s="4" t="str">
        <f>IF(OR($A71="Power Cable",$A71="RTD Cable",$A71="Fieldbus Cable"),IF(AND($AE71&lt;&gt;""),"YES","NO"),"N/A")</f>
        <v>N/A</v>
      </c>
      <c r="P71" s="4" t="str">
        <f>IF(OR($A71="RTD"),IF(AND($AH71&lt;&gt;""),"YES","NO"),"N/A")</f>
        <v>N/A</v>
      </c>
      <c r="Q71" s="4" t="str">
        <f>IF(OR($A71="RTD"),IF(AND($AI71&lt;&gt;""),"YES","NO"),"N/A")</f>
        <v>N/A</v>
      </c>
      <c r="R71" s="4" t="str">
        <f>IF(OR($AM71&lt;&gt;"",$Z71&lt;&gt;"",$AC71&lt;&gt;""),"YES","NO")</f>
        <v>NO</v>
      </c>
      <c r="S71" s="4" t="str">
        <f>IF(COUNTIF(I71:R71,"NO")=0,"YES","NO")</f>
        <v>NO</v>
      </c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inlineStr">
        <is>
          <t>E/32SQ3472/9.5M/505/89.8/1.2M/LS23A/X/N12/XNF</t>
        </is>
      </c>
      <c r="AK71" s="9" t="inlineStr">
        <is>
          <t>9.5 m m</t>
        </is>
      </c>
      <c r="AL71" s="9" t="inlineStr">
        <is>
          <t>Levy Ostrup</t>
        </is>
      </c>
      <c r="AM71" s="9" t="n"/>
      <c r="AN71" s="9" t="n"/>
    </row>
    <row r="72">
      <c r="A72" s="9" t="inlineStr">
        <is>
          <t>EHT Trace</t>
        </is>
      </c>
      <c r="B72" s="9" t="inlineStr">
        <is>
          <t>29103-ET-PE1701-1-3</t>
        </is>
      </c>
      <c r="C72" s="9" t="inlineStr">
        <is>
          <t>29103-ET-PE1701-1</t>
        </is>
      </c>
      <c r="D72" s="9" t="inlineStr">
        <is>
          <t>HTC-23 / CB-23</t>
        </is>
      </c>
      <c r="E72" s="9" t="inlineStr">
        <is>
          <t>29103-PE-1701</t>
        </is>
      </c>
      <c r="F72" s="9" t="inlineStr">
        <is>
          <t>29103-65R-ET-PE1701-01-01</t>
        </is>
      </c>
      <c r="G72" s="9" t="inlineStr">
        <is>
          <t>13.1</t>
        </is>
      </c>
      <c r="H72" s="9" t="inlineStr">
        <is>
          <t>29103-ET-PE1701-1-3.pdf</t>
        </is>
      </c>
      <c r="I72" s="4" t="str">
        <f>IF($H72&lt;&gt;"","YES","NO")</f>
        <v>YES</v>
      </c>
      <c r="J72" s="4" t="str">
        <f>IF(N($T72)&gt;0,"YES","NO")</f>
        <v>NO</v>
      </c>
      <c r="K72" s="4" t="str">
        <f>IF(OR($A72="EHT Trace"),IF(AND($U72&lt;&gt;"",$V72&lt;&gt;""),"YES","NO"),"N/A")</f>
        <v>NO</v>
      </c>
      <c r="L72" s="4" t="str">
        <f>IF(OR($A72="EHT Trace"),IF(AND($X72&lt;&gt;"",$Y72&lt;&gt;""),"YES","NO"),"N/A")</f>
        <v>NO</v>
      </c>
      <c r="M72" s="4" t="str">
        <f>IF(OR($A72="EHT Trace"),IF(AND($AA72&lt;&gt;"",$AB72&lt;&gt;""),"YES","NO"),"N/A")</f>
        <v>NO</v>
      </c>
      <c r="N72" s="4" t="str">
        <f>IF(OR($A72="Power Cable"),IF(AND($AD72&lt;&gt;""),"YES","NO"),"N/A")</f>
        <v>N/A</v>
      </c>
      <c r="O72" s="4" t="str">
        <f>IF(OR($A72="Power Cable",$A72="RTD Cable",$A72="Fieldbus Cable"),IF(AND($AE72&lt;&gt;""),"YES","NO"),"N/A")</f>
        <v>N/A</v>
      </c>
      <c r="P72" s="4" t="str">
        <f>IF(OR($A72="RTD"),IF(AND($AH72&lt;&gt;""),"YES","NO"),"N/A")</f>
        <v>N/A</v>
      </c>
      <c r="Q72" s="4" t="str">
        <f>IF(OR($A72="RTD"),IF(AND($AI72&lt;&gt;""),"YES","NO"),"N/A")</f>
        <v>N/A</v>
      </c>
      <c r="R72" s="4" t="str">
        <f>IF(OR($AM72&lt;&gt;"",$Z72&lt;&gt;"",$AC72&lt;&gt;""),"YES","NO")</f>
        <v>NO</v>
      </c>
      <c r="S72" s="4" t="str">
        <f>IF(COUNTIF(I72:R72,"NO")=0,"YES","NO")</f>
        <v>NO</v>
      </c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inlineStr">
        <is>
          <t>E/32SQ3472/6.6M/351/62.4/1.2M/LS23A/X/N12/XMF</t>
        </is>
      </c>
      <c r="AK72" s="9" t="inlineStr">
        <is>
          <t>6.6 m m</t>
        </is>
      </c>
      <c r="AL72" s="9" t="inlineStr">
        <is>
          <t>Levy Ostrup</t>
        </is>
      </c>
      <c r="AM72" s="9" t="n"/>
      <c r="AN72" s="9" t="n"/>
    </row>
    <row r="73">
      <c r="A73" s="9" t="inlineStr">
        <is>
          <t>EHT Trace</t>
        </is>
      </c>
      <c r="B73" s="9" t="inlineStr">
        <is>
          <t>29103-ET-PE1701-1-4</t>
        </is>
      </c>
      <c r="C73" s="9" t="inlineStr">
        <is>
          <t>29103-ET-PE1701-1</t>
        </is>
      </c>
      <c r="D73" s="9" t="inlineStr">
        <is>
          <t>HTC-23 / CB-23</t>
        </is>
      </c>
      <c r="E73" s="9" t="inlineStr">
        <is>
          <t>29103-PE-1701</t>
        </is>
      </c>
      <c r="F73" s="9" t="inlineStr">
        <is>
          <t>29103-65R-ET-PE1701-01-01</t>
        </is>
      </c>
      <c r="G73" s="9" t="inlineStr">
        <is>
          <t>13.1</t>
        </is>
      </c>
      <c r="H73" s="9" t="inlineStr">
        <is>
          <t>29103-ET-PE1701-1-4.pdf</t>
        </is>
      </c>
      <c r="I73" s="4" t="str">
        <f>IF($H73&lt;&gt;"","YES","NO")</f>
        <v>YES</v>
      </c>
      <c r="J73" s="4" t="str">
        <f>IF(N($T73)&gt;0,"YES","NO")</f>
        <v>NO</v>
      </c>
      <c r="K73" s="4" t="str">
        <f>IF(OR($A73="EHT Trace"),IF(AND($U73&lt;&gt;"",$V73&lt;&gt;""),"YES","NO"),"N/A")</f>
        <v>NO</v>
      </c>
      <c r="L73" s="4" t="str">
        <f>IF(OR($A73="EHT Trace"),IF(AND($X73&lt;&gt;"",$Y73&lt;&gt;""),"YES","NO"),"N/A")</f>
        <v>NO</v>
      </c>
      <c r="M73" s="4" t="str">
        <f>IF(OR($A73="EHT Trace"),IF(AND($AA73&lt;&gt;"",$AB73&lt;&gt;""),"YES","NO"),"N/A")</f>
        <v>NO</v>
      </c>
      <c r="N73" s="4" t="str">
        <f>IF(OR($A73="Power Cable"),IF(AND($AD73&lt;&gt;""),"YES","NO"),"N/A")</f>
        <v>N/A</v>
      </c>
      <c r="O73" s="4" t="str">
        <f>IF(OR($A73="Power Cable",$A73="RTD Cable",$A73="Fieldbus Cable"),IF(AND($AE73&lt;&gt;""),"YES","NO"),"N/A")</f>
        <v>N/A</v>
      </c>
      <c r="P73" s="4" t="str">
        <f>IF(OR($A73="RTD"),IF(AND($AH73&lt;&gt;""),"YES","NO"),"N/A")</f>
        <v>N/A</v>
      </c>
      <c r="Q73" s="4" t="str">
        <f>IF(OR($A73="RTD"),IF(AND($AI73&lt;&gt;""),"YES","NO"),"N/A")</f>
        <v>N/A</v>
      </c>
      <c r="R73" s="4" t="str">
        <f>IF(OR($AM73&lt;&gt;"",$Z73&lt;&gt;"",$AC73&lt;&gt;""),"YES","NO")</f>
        <v>NO</v>
      </c>
      <c r="S73" s="4" t="str">
        <f>IF(COUNTIF(I73:R73,"NO")=0,"YES","NO")</f>
        <v>NO</v>
      </c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inlineStr">
        <is>
          <t>D/32SQ3472/13.2M/702/125/1.2M/LS23A/X/N12/XMN</t>
        </is>
      </c>
      <c r="AK73" s="9" t="inlineStr">
        <is>
          <t>13.2 m m</t>
        </is>
      </c>
      <c r="AL73" s="9" t="inlineStr">
        <is>
          <t>Levy Ostrup</t>
        </is>
      </c>
      <c r="AM73" s="9" t="n"/>
      <c r="AN73" s="9" t="n"/>
    </row>
    <row r="74">
      <c r="A74" s="9" t="inlineStr">
        <is>
          <t>EHT Trace</t>
        </is>
      </c>
      <c r="B74" s="9" t="inlineStr">
        <is>
          <t>29103-ET-PE1701-2-1</t>
        </is>
      </c>
      <c r="C74" s="9" t="inlineStr">
        <is>
          <t>29103-ET-PE1701-2</t>
        </is>
      </c>
      <c r="D74" s="9" t="inlineStr">
        <is>
          <t>HTC-16 / CB-16</t>
        </is>
      </c>
      <c r="E74" s="9" t="inlineStr">
        <is>
          <t>29103-PE-1701</t>
        </is>
      </c>
      <c r="F74" s="9" t="inlineStr">
        <is>
          <t>29103-65R-ET-PE1701-02-01</t>
        </is>
      </c>
      <c r="G74" s="9" t="inlineStr">
        <is>
          <t>13.1</t>
        </is>
      </c>
      <c r="H74" s="9" t="inlineStr">
        <is>
          <t>29103-ET-PE1701-2-1.pdf</t>
        </is>
      </c>
      <c r="I74" s="4" t="str">
        <f>IF($H74&lt;&gt;"","YES","NO")</f>
        <v>YES</v>
      </c>
      <c r="J74" s="4" t="str">
        <f>IF(N($T74)&gt;0,"YES","NO")</f>
        <v>NO</v>
      </c>
      <c r="K74" s="4" t="str">
        <f>IF(OR($A74="EHT Trace"),IF(AND($U74&lt;&gt;"",$V74&lt;&gt;""),"YES","NO"),"N/A")</f>
        <v>NO</v>
      </c>
      <c r="L74" s="4" t="str">
        <f>IF(OR($A74="EHT Trace"),IF(AND($X74&lt;&gt;"",$Y74&lt;&gt;""),"YES","NO"),"N/A")</f>
        <v>NO</v>
      </c>
      <c r="M74" s="4" t="str">
        <f>IF(OR($A74="EHT Trace"),IF(AND($AA74&lt;&gt;"",$AB74&lt;&gt;""),"YES","NO"),"N/A")</f>
        <v>NO</v>
      </c>
      <c r="N74" s="4" t="str">
        <f>IF(OR($A74="Power Cable"),IF(AND($AD74&lt;&gt;""),"YES","NO"),"N/A")</f>
        <v>N/A</v>
      </c>
      <c r="O74" s="4" t="str">
        <f>IF(OR($A74="Power Cable",$A74="RTD Cable",$A74="Fieldbus Cable"),IF(AND($AE74&lt;&gt;""),"YES","NO"),"N/A")</f>
        <v>N/A</v>
      </c>
      <c r="P74" s="4" t="str">
        <f>IF(OR($A74="RTD"),IF(AND($AH74&lt;&gt;""),"YES","NO"),"N/A")</f>
        <v>N/A</v>
      </c>
      <c r="Q74" s="4" t="str">
        <f>IF(OR($A74="RTD"),IF(AND($AI74&lt;&gt;""),"YES","NO"),"N/A")</f>
        <v>N/A</v>
      </c>
      <c r="R74" s="4" t="str">
        <f>IF(OR($AM74&lt;&gt;"",$Z74&lt;&gt;"",$AC74&lt;&gt;""),"YES","NO")</f>
        <v>NO</v>
      </c>
      <c r="S74" s="4" t="str">
        <f>IF(COUNTIF(I74:R74,"NO")=0,"YES","NO")</f>
        <v>NO</v>
      </c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inlineStr">
        <is>
          <t>D/32SQ3200/52.5M/2063/277/1.2M/LS23A/X/N12</t>
        </is>
      </c>
      <c r="AK74" s="9" t="inlineStr">
        <is>
          <t>52.5 m m</t>
        </is>
      </c>
      <c r="AL74" s="9" t="inlineStr">
        <is>
          <t>Levy Ostrup</t>
        </is>
      </c>
      <c r="AM74" s="9" t="n"/>
      <c r="AN74" s="9" t="n"/>
    </row>
    <row r="75">
      <c r="A75" s="9" t="inlineStr">
        <is>
          <t>EHT Trace</t>
        </is>
      </c>
      <c r="B75" s="9" t="inlineStr">
        <is>
          <t>29103-ET-PE1701-2-2</t>
        </is>
      </c>
      <c r="C75" s="9" t="inlineStr">
        <is>
          <t>29103-ET-PE1701-2</t>
        </is>
      </c>
      <c r="D75" s="9" t="inlineStr">
        <is>
          <t>HTC-16 / CB-16</t>
        </is>
      </c>
      <c r="E75" s="9" t="inlineStr">
        <is>
          <t>29103-PE-1701</t>
        </is>
      </c>
      <c r="F75" s="9" t="inlineStr">
        <is>
          <t>29103-65R-ET-PE1701-02-01</t>
        </is>
      </c>
      <c r="G75" s="9" t="inlineStr">
        <is>
          <t>13.1</t>
        </is>
      </c>
      <c r="H75" s="9" t="inlineStr">
        <is>
          <t>29103-ET-PE1701-2-2.pdf</t>
        </is>
      </c>
      <c r="I75" s="4" t="str">
        <f>IF($H75&lt;&gt;"","YES","NO")</f>
        <v>YES</v>
      </c>
      <c r="J75" s="4" t="str">
        <f>IF(N($T75)&gt;0,"YES","NO")</f>
        <v>NO</v>
      </c>
      <c r="K75" s="4" t="str">
        <f>IF(OR($A75="EHT Trace"),IF(AND($U75&lt;&gt;"",$V75&lt;&gt;""),"YES","NO"),"N/A")</f>
        <v>NO</v>
      </c>
      <c r="L75" s="4" t="str">
        <f>IF(OR($A75="EHT Trace"),IF(AND($X75&lt;&gt;"",$Y75&lt;&gt;""),"YES","NO"),"N/A")</f>
        <v>NO</v>
      </c>
      <c r="M75" s="4" t="str">
        <f>IF(OR($A75="EHT Trace"),IF(AND($AA75&lt;&gt;"",$AB75&lt;&gt;""),"YES","NO"),"N/A")</f>
        <v>NO</v>
      </c>
      <c r="N75" s="4" t="str">
        <f>IF(OR($A75="Power Cable"),IF(AND($AD75&lt;&gt;""),"YES","NO"),"N/A")</f>
        <v>N/A</v>
      </c>
      <c r="O75" s="4" t="str">
        <f>IF(OR($A75="Power Cable",$A75="RTD Cable",$A75="Fieldbus Cable"),IF(AND($AE75&lt;&gt;""),"YES","NO"),"N/A")</f>
        <v>N/A</v>
      </c>
      <c r="P75" s="4" t="str">
        <f>IF(OR($A75="RTD"),IF(AND($AH75&lt;&gt;""),"YES","NO"),"N/A")</f>
        <v>N/A</v>
      </c>
      <c r="Q75" s="4" t="str">
        <f>IF(OR($A75="RTD"),IF(AND($AI75&lt;&gt;""),"YES","NO"),"N/A")</f>
        <v>N/A</v>
      </c>
      <c r="R75" s="4" t="str">
        <f>IF(OR($AM75&lt;&gt;"",$Z75&lt;&gt;"",$AC75&lt;&gt;""),"YES","NO")</f>
        <v>NO</v>
      </c>
      <c r="S75" s="4" t="str">
        <f>IF(COUNTIF(I75:R75,"NO")=0,"YES","NO")</f>
        <v>NO</v>
      </c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inlineStr">
        <is>
          <t>D/32SB2114/29.4M/694/277/1.2M/LS23A/X/N12</t>
        </is>
      </c>
      <c r="AK75" s="9" t="inlineStr">
        <is>
          <t>29.4 m m</t>
        </is>
      </c>
      <c r="AL75" s="9" t="inlineStr">
        <is>
          <t>Levy Ostrup</t>
        </is>
      </c>
      <c r="AM75" s="9" t="n"/>
      <c r="AN75" s="9" t="n"/>
    </row>
    <row r="76">
      <c r="A76" s="9" t="inlineStr">
        <is>
          <t>EHT Trace</t>
        </is>
      </c>
      <c r="B76" s="9" t="inlineStr">
        <is>
          <t>29103-ET-PE1702-1-1</t>
        </is>
      </c>
      <c r="C76" s="9" t="inlineStr">
        <is>
          <t>29103-ET-PE1702-1</t>
        </is>
      </c>
      <c r="D76" s="9" t="inlineStr">
        <is>
          <t>HTC-20 / CB-20</t>
        </is>
      </c>
      <c r="E76" s="9" t="inlineStr">
        <is>
          <t>29103-PE-1703, 29103-PE-1702</t>
        </is>
      </c>
      <c r="F76" s="9" t="inlineStr">
        <is>
          <t>29103-65R-ET-PE1702-01-01</t>
        </is>
      </c>
      <c r="G76" s="9" t="inlineStr">
        <is>
          <t>13.1</t>
        </is>
      </c>
      <c r="H76" s="9" t="inlineStr">
        <is>
          <t>29103-ET-PE1702-1-1.pdf</t>
        </is>
      </c>
      <c r="I76" s="4" t="str">
        <f>IF($H76&lt;&gt;"","YES","NO")</f>
        <v>YES</v>
      </c>
      <c r="J76" s="4" t="str">
        <f>IF(N($T76)&gt;0,"YES","NO")</f>
        <v>NO</v>
      </c>
      <c r="K76" s="4" t="str">
        <f>IF(OR($A76="EHT Trace"),IF(AND($U76&lt;&gt;"",$V76&lt;&gt;""),"YES","NO"),"N/A")</f>
        <v>NO</v>
      </c>
      <c r="L76" s="4" t="str">
        <f>IF(OR($A76="EHT Trace"),IF(AND($X76&lt;&gt;"",$Y76&lt;&gt;""),"YES","NO"),"N/A")</f>
        <v>NO</v>
      </c>
      <c r="M76" s="4" t="str">
        <f>IF(OR($A76="EHT Trace"),IF(AND($AA76&lt;&gt;"",$AB76&lt;&gt;""),"YES","NO"),"N/A")</f>
        <v>NO</v>
      </c>
      <c r="N76" s="4" t="str">
        <f>IF(OR($A76="Power Cable"),IF(AND($AD76&lt;&gt;""),"YES","NO"),"N/A")</f>
        <v>N/A</v>
      </c>
      <c r="O76" s="4" t="str">
        <f>IF(OR($A76="Power Cable",$A76="RTD Cable",$A76="Fieldbus Cable"),IF(AND($AE76&lt;&gt;""),"YES","NO"),"N/A")</f>
        <v>N/A</v>
      </c>
      <c r="P76" s="4" t="str">
        <f>IF(OR($A76="RTD"),IF(AND($AH76&lt;&gt;""),"YES","NO"),"N/A")</f>
        <v>N/A</v>
      </c>
      <c r="Q76" s="4" t="str">
        <f>IF(OR($A76="RTD"),IF(AND($AI76&lt;&gt;""),"YES","NO"),"N/A")</f>
        <v>N/A</v>
      </c>
      <c r="R76" s="4" t="str">
        <f>IF(OR($AM76&lt;&gt;"",$Z76&lt;&gt;"",$AC76&lt;&gt;""),"YES","NO")</f>
        <v>NO</v>
      </c>
      <c r="S76" s="4" t="str">
        <f>IF(COUNTIF(I76:R76,"NO")=0,"YES","NO")</f>
        <v>NO</v>
      </c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inlineStr">
        <is>
          <t>D/32SQ3374/34.9M/1658/277/1.2M/LS23A/X/N12</t>
        </is>
      </c>
      <c r="AK76" s="9" t="inlineStr">
        <is>
          <t>34.9 m m</t>
        </is>
      </c>
      <c r="AL76" s="9" t="inlineStr">
        <is>
          <t>Levy Ostrup</t>
        </is>
      </c>
      <c r="AM76" s="9" t="n"/>
      <c r="AN76" s="9" t="n"/>
    </row>
    <row r="77">
      <c r="A77" s="9" t="inlineStr">
        <is>
          <t>EHT Trace</t>
        </is>
      </c>
      <c r="B77" s="9" t="inlineStr">
        <is>
          <t>29103-ET-PE1802-2-1</t>
        </is>
      </c>
      <c r="C77" s="9" t="inlineStr">
        <is>
          <t>29103-ET-PE1802-2</t>
        </is>
      </c>
      <c r="D77" s="9" t="inlineStr">
        <is>
          <t>HTC-13 / CB-13</t>
        </is>
      </c>
      <c r="E77" s="9" t="inlineStr">
        <is>
          <t>29103-PE-1802</t>
        </is>
      </c>
      <c r="F77" s="9" t="inlineStr">
        <is>
          <t>29103-65R-ET-PE1802-02-01</t>
        </is>
      </c>
      <c r="G77" s="9" t="inlineStr">
        <is>
          <t>13.1</t>
        </is>
      </c>
      <c r="H77" s="9" t="inlineStr">
        <is>
          <t>29103-ET-PE1802-2-1.pdf</t>
        </is>
      </c>
      <c r="I77" s="4" t="str">
        <f>IF($H77&lt;&gt;"","YES","NO")</f>
        <v>YES</v>
      </c>
      <c r="J77" s="4" t="str">
        <f>IF(N($T77)&gt;0,"YES","NO")</f>
        <v>NO</v>
      </c>
      <c r="K77" s="4" t="str">
        <f>IF(OR($A77="EHT Trace"),IF(AND($U77&lt;&gt;"",$V77&lt;&gt;""),"YES","NO"),"N/A")</f>
        <v>NO</v>
      </c>
      <c r="L77" s="4" t="str">
        <f>IF(OR($A77="EHT Trace"),IF(AND($X77&lt;&gt;"",$Y77&lt;&gt;""),"YES","NO"),"N/A")</f>
        <v>NO</v>
      </c>
      <c r="M77" s="4" t="str">
        <f>IF(OR($A77="EHT Trace"),IF(AND($AA77&lt;&gt;"",$AB77&lt;&gt;""),"YES","NO"),"N/A")</f>
        <v>NO</v>
      </c>
      <c r="N77" s="4" t="str">
        <f>IF(OR($A77="Power Cable"),IF(AND($AD77&lt;&gt;""),"YES","NO"),"N/A")</f>
        <v>N/A</v>
      </c>
      <c r="O77" s="4" t="str">
        <f>IF(OR($A77="Power Cable",$A77="RTD Cable",$A77="Fieldbus Cable"),IF(AND($AE77&lt;&gt;""),"YES","NO"),"N/A")</f>
        <v>N/A</v>
      </c>
      <c r="P77" s="4" t="str">
        <f>IF(OR($A77="RTD"),IF(AND($AH77&lt;&gt;""),"YES","NO"),"N/A")</f>
        <v>N/A</v>
      </c>
      <c r="Q77" s="4" t="str">
        <f>IF(OR($A77="RTD"),IF(AND($AI77&lt;&gt;""),"YES","NO"),"N/A")</f>
        <v>N/A</v>
      </c>
      <c r="R77" s="4" t="str">
        <f>IF(OR($AM77&lt;&gt;"",$Z77&lt;&gt;"",$AC77&lt;&gt;""),"YES","NO")</f>
        <v>NO</v>
      </c>
      <c r="S77" s="4" t="str">
        <f>IF(COUNTIF(I77:R77,"NO")=0,"YES","NO")</f>
        <v>NO</v>
      </c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inlineStr">
        <is>
          <t>E/32SQ3150/8.8M/784/61.6/2.1-1.2M/LS23A/X/N12/XNF</t>
        </is>
      </c>
      <c r="AK77" s="9" t="inlineStr">
        <is>
          <t>8.8 m m</t>
        </is>
      </c>
      <c r="AL77" s="9" t="inlineStr">
        <is>
          <t>Levy Ostrup</t>
        </is>
      </c>
      <c r="AM77" s="9" t="n"/>
      <c r="AN77" s="9" t="n"/>
    </row>
    <row r="78">
      <c r="A78" s="9" t="inlineStr">
        <is>
          <t>EHT Trace</t>
        </is>
      </c>
      <c r="B78" s="9" t="inlineStr">
        <is>
          <t>29103-ET-PE1802-2-2</t>
        </is>
      </c>
      <c r="C78" s="9" t="inlineStr">
        <is>
          <t>29103-ET-PE1802-2</t>
        </is>
      </c>
      <c r="D78" s="9" t="inlineStr">
        <is>
          <t>HTC-13 / CB-13</t>
        </is>
      </c>
      <c r="E78" s="9" t="inlineStr">
        <is>
          <t>29103-PE-1802</t>
        </is>
      </c>
      <c r="F78" s="9" t="inlineStr">
        <is>
          <t>29103-65R-ET-PE1802-02-01</t>
        </is>
      </c>
      <c r="G78" s="9" t="inlineStr">
        <is>
          <t>13.1</t>
        </is>
      </c>
      <c r="H78" s="9" t="inlineStr">
        <is>
          <t>29103-ET-PE1802-2-2.pdf</t>
        </is>
      </c>
      <c r="I78" s="4" t="str">
        <f>IF($H78&lt;&gt;"","YES","NO")</f>
        <v>YES</v>
      </c>
      <c r="J78" s="4" t="str">
        <f>IF(N($T78)&gt;0,"YES","NO")</f>
        <v>NO</v>
      </c>
      <c r="K78" s="4" t="str">
        <f>IF(OR($A78="EHT Trace"),IF(AND($U78&lt;&gt;"",$V78&lt;&gt;""),"YES","NO"),"N/A")</f>
        <v>NO</v>
      </c>
      <c r="L78" s="4" t="str">
        <f>IF(OR($A78="EHT Trace"),IF(AND($X78&lt;&gt;"",$Y78&lt;&gt;""),"YES","NO"),"N/A")</f>
        <v>NO</v>
      </c>
      <c r="M78" s="4" t="str">
        <f>IF(OR($A78="EHT Trace"),IF(AND($AA78&lt;&gt;"",$AB78&lt;&gt;""),"YES","NO"),"N/A")</f>
        <v>NO</v>
      </c>
      <c r="N78" s="4" t="str">
        <f>IF(OR($A78="Power Cable"),IF(AND($AD78&lt;&gt;""),"YES","NO"),"N/A")</f>
        <v>N/A</v>
      </c>
      <c r="O78" s="4" t="str">
        <f>IF(OR($A78="Power Cable",$A78="RTD Cable",$A78="Fieldbus Cable"),IF(AND($AE78&lt;&gt;""),"YES","NO"),"N/A")</f>
        <v>N/A</v>
      </c>
      <c r="P78" s="4" t="str">
        <f>IF(OR($A78="RTD"),IF(AND($AH78&lt;&gt;""),"YES","NO"),"N/A")</f>
        <v>N/A</v>
      </c>
      <c r="Q78" s="4" t="str">
        <f>IF(OR($A78="RTD"),IF(AND($AI78&lt;&gt;""),"YES","NO"),"N/A")</f>
        <v>N/A</v>
      </c>
      <c r="R78" s="4" t="str">
        <f>IF(OR($AM78&lt;&gt;"",$Z78&lt;&gt;"",$AC78&lt;&gt;""),"YES","NO")</f>
        <v>NO</v>
      </c>
      <c r="S78" s="4" t="str">
        <f>IF(COUNTIF(I78:R78,"NO")=0,"YES","NO")</f>
        <v>NO</v>
      </c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inlineStr">
        <is>
          <t>E/32SQ3150/21.6M/1925/151/1.2M/LS23A/X/N12/XMF</t>
        </is>
      </c>
      <c r="AK78" s="9" t="inlineStr">
        <is>
          <t>21.6 m m</t>
        </is>
      </c>
      <c r="AL78" s="9" t="inlineStr">
        <is>
          <t>Levy Ostrup</t>
        </is>
      </c>
      <c r="AM78" s="9" t="n"/>
      <c r="AN78" s="9" t="n"/>
    </row>
    <row r="79">
      <c r="A79" s="9" t="inlineStr">
        <is>
          <t>EHT Trace</t>
        </is>
      </c>
      <c r="B79" s="9" t="inlineStr">
        <is>
          <t>29103-ET-PE1802-2-3</t>
        </is>
      </c>
      <c r="C79" s="9" t="inlineStr">
        <is>
          <t>29103-ET-PE1802-2</t>
        </is>
      </c>
      <c r="D79" s="9" t="inlineStr">
        <is>
          <t>HTC-13 / CB-13</t>
        </is>
      </c>
      <c r="E79" s="9" t="inlineStr">
        <is>
          <t>29103-PE-1802</t>
        </is>
      </c>
      <c r="F79" s="9" t="inlineStr">
        <is>
          <t>29103-65R-ET-PE1802-02-01</t>
        </is>
      </c>
      <c r="G79" s="9" t="inlineStr">
        <is>
          <t>13.1</t>
        </is>
      </c>
      <c r="H79" s="9" t="inlineStr">
        <is>
          <t>29103-ET-PE1802-2-3.pdf</t>
        </is>
      </c>
      <c r="I79" s="4" t="str">
        <f>IF($H79&lt;&gt;"","YES","NO")</f>
        <v>YES</v>
      </c>
      <c r="J79" s="4" t="str">
        <f>IF(N($T79)&gt;0,"YES","NO")</f>
        <v>NO</v>
      </c>
      <c r="K79" s="4" t="str">
        <f>IF(OR($A79="EHT Trace"),IF(AND($U79&lt;&gt;"",$V79&lt;&gt;""),"YES","NO"),"N/A")</f>
        <v>NO</v>
      </c>
      <c r="L79" s="4" t="str">
        <f>IF(OR($A79="EHT Trace"),IF(AND($X79&lt;&gt;"",$Y79&lt;&gt;""),"YES","NO"),"N/A")</f>
        <v>NO</v>
      </c>
      <c r="M79" s="4" t="str">
        <f>IF(OR($A79="EHT Trace"),IF(AND($AA79&lt;&gt;"",$AB79&lt;&gt;""),"YES","NO"),"N/A")</f>
        <v>NO</v>
      </c>
      <c r="N79" s="4" t="str">
        <f>IF(OR($A79="Power Cable"),IF(AND($AD79&lt;&gt;""),"YES","NO"),"N/A")</f>
        <v>N/A</v>
      </c>
      <c r="O79" s="4" t="str">
        <f>IF(OR($A79="Power Cable",$A79="RTD Cable",$A79="Fieldbus Cable"),IF(AND($AE79&lt;&gt;""),"YES","NO"),"N/A")</f>
        <v>N/A</v>
      </c>
      <c r="P79" s="4" t="str">
        <f>IF(OR($A79="RTD"),IF(AND($AH79&lt;&gt;""),"YES","NO"),"N/A")</f>
        <v>N/A</v>
      </c>
      <c r="Q79" s="4" t="str">
        <f>IF(OR($A79="RTD"),IF(AND($AI79&lt;&gt;""),"YES","NO"),"N/A")</f>
        <v>N/A</v>
      </c>
      <c r="R79" s="4" t="str">
        <f>IF(OR($AM79&lt;&gt;"",$Z79&lt;&gt;"",$AC79&lt;&gt;""),"YES","NO")</f>
        <v>NO</v>
      </c>
      <c r="S79" s="4" t="str">
        <f>IF(COUNTIF(I79:R79,"NO")=0,"YES","NO")</f>
        <v>NO</v>
      </c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inlineStr">
        <is>
          <t>D/32SQ3150/9.2M/820/64.4/1.2M/LS23A/X/N12/XMN</t>
        </is>
      </c>
      <c r="AK79" s="9" t="inlineStr">
        <is>
          <t>9.2 m m</t>
        </is>
      </c>
      <c r="AL79" s="9" t="inlineStr">
        <is>
          <t>Levy Ostrup</t>
        </is>
      </c>
      <c r="AM79" s="9" t="n"/>
      <c r="AN79" s="9" t="n"/>
    </row>
    <row r="80">
      <c r="A80" s="9" t="inlineStr">
        <is>
          <t>EHT Trace</t>
        </is>
      </c>
      <c r="B80" s="9" t="inlineStr">
        <is>
          <t>29103-ET-PE1803-2-1</t>
        </is>
      </c>
      <c r="C80" s="9" t="inlineStr">
        <is>
          <t>29103-ET-PE1803-2</t>
        </is>
      </c>
      <c r="D80" s="9" t="inlineStr">
        <is>
          <t>HTC-29 / CB-29</t>
        </is>
      </c>
      <c r="E80" s="9" t="inlineStr">
        <is>
          <t>29103-PE-1803</t>
        </is>
      </c>
      <c r="F80" s="9" t="inlineStr">
        <is>
          <t>29103-65R-ET-PE1803-02-01</t>
        </is>
      </c>
      <c r="G80" s="9" t="inlineStr">
        <is>
          <t>13.1</t>
        </is>
      </c>
      <c r="H80" s="9" t="inlineStr">
        <is>
          <t>29103-ET-PE1803-2-1.pdf</t>
        </is>
      </c>
      <c r="I80" s="4" t="str">
        <f>IF($H80&lt;&gt;"","YES","NO")</f>
        <v>YES</v>
      </c>
      <c r="J80" s="4" t="str">
        <f>IF(N($T80)&gt;0,"YES","NO")</f>
        <v>NO</v>
      </c>
      <c r="K80" s="4" t="str">
        <f>IF(OR($A80="EHT Trace"),IF(AND($U80&lt;&gt;"",$V80&lt;&gt;""),"YES","NO"),"N/A")</f>
        <v>NO</v>
      </c>
      <c r="L80" s="4" t="str">
        <f>IF(OR($A80="EHT Trace"),IF(AND($X80&lt;&gt;"",$Y80&lt;&gt;""),"YES","NO"),"N/A")</f>
        <v>NO</v>
      </c>
      <c r="M80" s="4" t="str">
        <f>IF(OR($A80="EHT Trace"),IF(AND($AA80&lt;&gt;"",$AB80&lt;&gt;""),"YES","NO"),"N/A")</f>
        <v>NO</v>
      </c>
      <c r="N80" s="4" t="str">
        <f>IF(OR($A80="Power Cable"),IF(AND($AD80&lt;&gt;""),"YES","NO"),"N/A")</f>
        <v>N/A</v>
      </c>
      <c r="O80" s="4" t="str">
        <f>IF(OR($A80="Power Cable",$A80="RTD Cable",$A80="Fieldbus Cable"),IF(AND($AE80&lt;&gt;""),"YES","NO"),"N/A")</f>
        <v>N/A</v>
      </c>
      <c r="P80" s="4" t="str">
        <f>IF(OR($A80="RTD"),IF(AND($AH80&lt;&gt;""),"YES","NO"),"N/A")</f>
        <v>N/A</v>
      </c>
      <c r="Q80" s="4" t="str">
        <f>IF(OR($A80="RTD"),IF(AND($AI80&lt;&gt;""),"YES","NO"),"N/A")</f>
        <v>N/A</v>
      </c>
      <c r="R80" s="4" t="str">
        <f>IF(OR($AM80&lt;&gt;"",$Z80&lt;&gt;"",$AC80&lt;&gt;""),"YES","NO")</f>
        <v>NO</v>
      </c>
      <c r="S80" s="4" t="str">
        <f>IF(COUNTIF(I80:R80,"NO")=0,"YES","NO")</f>
        <v>NO</v>
      </c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inlineStr">
        <is>
          <t>E/32SQ3374/11.3M/542/90.2/1.2M/LS23A/X/N12/XNF</t>
        </is>
      </c>
      <c r="AK80" s="9" t="inlineStr">
        <is>
          <t>11.3 m m</t>
        </is>
      </c>
      <c r="AL80" s="9" t="inlineStr">
        <is>
          <t>Levy Ostrup</t>
        </is>
      </c>
      <c r="AM80" s="9" t="n"/>
      <c r="AN80" s="9" t="n"/>
    </row>
    <row r="81">
      <c r="A81" s="9" t="inlineStr">
        <is>
          <t>EHT Trace</t>
        </is>
      </c>
      <c r="B81" s="9" t="inlineStr">
        <is>
          <t>29103-ET-PE1803-2-2</t>
        </is>
      </c>
      <c r="C81" s="9" t="inlineStr">
        <is>
          <t>29103-ET-PE1803-2</t>
        </is>
      </c>
      <c r="D81" s="9" t="inlineStr">
        <is>
          <t>HTC-29 / CB-29</t>
        </is>
      </c>
      <c r="E81" s="9" t="inlineStr">
        <is>
          <t>29103-PE-1803</t>
        </is>
      </c>
      <c r="F81" s="9" t="inlineStr">
        <is>
          <t>29103-65R-ET-PE1803-02-01</t>
        </is>
      </c>
      <c r="G81" s="9" t="inlineStr">
        <is>
          <t>13.1</t>
        </is>
      </c>
      <c r="H81" s="9" t="inlineStr">
        <is>
          <t>29103-ET-PE1803-2-2.pdf</t>
        </is>
      </c>
      <c r="I81" s="4" t="str">
        <f>IF($H81&lt;&gt;"","YES","NO")</f>
        <v>YES</v>
      </c>
      <c r="J81" s="4" t="str">
        <f>IF(N($T81)&gt;0,"YES","NO")</f>
        <v>NO</v>
      </c>
      <c r="K81" s="4" t="str">
        <f>IF(OR($A81="EHT Trace"),IF(AND($U81&lt;&gt;"",$V81&lt;&gt;""),"YES","NO"),"N/A")</f>
        <v>NO</v>
      </c>
      <c r="L81" s="4" t="str">
        <f>IF(OR($A81="EHT Trace"),IF(AND($X81&lt;&gt;"",$Y81&lt;&gt;""),"YES","NO"),"N/A")</f>
        <v>NO</v>
      </c>
      <c r="M81" s="4" t="str">
        <f>IF(OR($A81="EHT Trace"),IF(AND($AA81&lt;&gt;"",$AB81&lt;&gt;""),"YES","NO"),"N/A")</f>
        <v>NO</v>
      </c>
      <c r="N81" s="4" t="str">
        <f>IF(OR($A81="Power Cable"),IF(AND($AD81&lt;&gt;""),"YES","NO"),"N/A")</f>
        <v>N/A</v>
      </c>
      <c r="O81" s="4" t="str">
        <f>IF(OR($A81="Power Cable",$A81="RTD Cable",$A81="Fieldbus Cable"),IF(AND($AE81&lt;&gt;""),"YES","NO"),"N/A")</f>
        <v>N/A</v>
      </c>
      <c r="P81" s="4" t="str">
        <f>IF(OR($A81="RTD"),IF(AND($AH81&lt;&gt;""),"YES","NO"),"N/A")</f>
        <v>N/A</v>
      </c>
      <c r="Q81" s="4" t="str">
        <f>IF(OR($A81="RTD"),IF(AND($AI81&lt;&gt;""),"YES","NO"),"N/A")</f>
        <v>N/A</v>
      </c>
      <c r="R81" s="4" t="str">
        <f>IF(OR($AM81&lt;&gt;"",$Z81&lt;&gt;"",$AC81&lt;&gt;""),"YES","NO")</f>
        <v>NO</v>
      </c>
      <c r="S81" s="4" t="str">
        <f>IF(COUNTIF(I81:R81,"NO")=0,"YES","NO")</f>
        <v>NO</v>
      </c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inlineStr">
        <is>
          <t>D/32SQ3374/23.4M/1123/187/1.2M/LS23A/X/N12/XMN</t>
        </is>
      </c>
      <c r="AK81" s="9" t="inlineStr">
        <is>
          <t>23.4 m m</t>
        </is>
      </c>
      <c r="AL81" s="9" t="inlineStr">
        <is>
          <t>Levy Ostrup</t>
        </is>
      </c>
      <c r="AM81" s="9" t="n"/>
      <c r="AN81" s="9" t="n"/>
    </row>
    <row r="82">
      <c r="A82" s="9" t="inlineStr">
        <is>
          <t>EHT Trace</t>
        </is>
      </c>
      <c r="B82" s="9" t="inlineStr">
        <is>
          <t>29103-ET-PG1401-1-1</t>
        </is>
      </c>
      <c r="C82" s="9" t="inlineStr">
        <is>
          <t>29103-ET-PG1401-1</t>
        </is>
      </c>
      <c r="D82" s="9" t="inlineStr">
        <is>
          <t>HTC-35 / CB-35</t>
        </is>
      </c>
      <c r="E82" s="9" t="inlineStr">
        <is>
          <t>29103-PG-1401, 29103-PE-1402, 29103-P-1400</t>
        </is>
      </c>
      <c r="F82" s="9" t="inlineStr">
        <is>
          <t>29103-65R-ET-PG1401-01-01</t>
        </is>
      </c>
      <c r="G82" s="9" t="inlineStr">
        <is>
          <t>13.1</t>
        </is>
      </c>
      <c r="H82" s="9" t="inlineStr">
        <is>
          <t>29103-ET-PG1401-1-1.pdf</t>
        </is>
      </c>
      <c r="I82" s="4" t="str">
        <f>IF($H82&lt;&gt;"","YES","NO")</f>
        <v>YES</v>
      </c>
      <c r="J82" s="4" t="str">
        <f>IF(N($T82)&gt;0,"YES","NO")</f>
        <v>NO</v>
      </c>
      <c r="K82" s="4" t="str">
        <f>IF(OR($A82="EHT Trace"),IF(AND($U82&lt;&gt;"",$V82&lt;&gt;""),"YES","NO"),"N/A")</f>
        <v>NO</v>
      </c>
      <c r="L82" s="4" t="str">
        <f>IF(OR($A82="EHT Trace"),IF(AND($X82&lt;&gt;"",$Y82&lt;&gt;""),"YES","NO"),"N/A")</f>
        <v>NO</v>
      </c>
      <c r="M82" s="4" t="str">
        <f>IF(OR($A82="EHT Trace"),IF(AND($AA82&lt;&gt;"",$AB82&lt;&gt;""),"YES","NO"),"N/A")</f>
        <v>NO</v>
      </c>
      <c r="N82" s="4" t="str">
        <f>IF(OR($A82="Power Cable"),IF(AND($AD82&lt;&gt;""),"YES","NO"),"N/A")</f>
        <v>N/A</v>
      </c>
      <c r="O82" s="4" t="str">
        <f>IF(OR($A82="Power Cable",$A82="RTD Cable",$A82="Fieldbus Cable"),IF(AND($AE82&lt;&gt;""),"YES","NO"),"N/A")</f>
        <v>N/A</v>
      </c>
      <c r="P82" s="4" t="str">
        <f>IF(OR($A82="RTD"),IF(AND($AH82&lt;&gt;""),"YES","NO"),"N/A")</f>
        <v>N/A</v>
      </c>
      <c r="Q82" s="4" t="str">
        <f>IF(OR($A82="RTD"),IF(AND($AI82&lt;&gt;""),"YES","NO"),"N/A")</f>
        <v>N/A</v>
      </c>
      <c r="R82" s="4" t="str">
        <f>IF(OR($AM82&lt;&gt;"",$Z82&lt;&gt;"",$AC82&lt;&gt;""),"YES","NO")</f>
        <v>NO</v>
      </c>
      <c r="S82" s="4" t="str">
        <f>IF(COUNTIF(I82:R82,"NO")=0,"YES","NO")</f>
        <v>NO</v>
      </c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inlineStr">
        <is>
          <t>D/32SP4734/93.1M/2914/277/1.2M/LS23A/X/N12</t>
        </is>
      </c>
      <c r="AK82" s="9" t="inlineStr">
        <is>
          <t>93.1 m m</t>
        </is>
      </c>
      <c r="AL82" s="9" t="inlineStr">
        <is>
          <t>Levy Ostrup</t>
        </is>
      </c>
      <c r="AM82" s="9" t="n"/>
      <c r="AN82" s="9" t="n"/>
    </row>
    <row r="83">
      <c r="A83" s="9" t="inlineStr">
        <is>
          <t>EHT Trace</t>
        </is>
      </c>
      <c r="B83" s="9" t="inlineStr">
        <is>
          <t>29103-ET-PG1401-2-1</t>
        </is>
      </c>
      <c r="C83" s="9" t="inlineStr">
        <is>
          <t>29103-ET-PG1401-2</t>
        </is>
      </c>
      <c r="D83" s="9" t="inlineStr">
        <is>
          <t>HTC-22 / CB-22</t>
        </is>
      </c>
      <c r="E83" s="9" t="inlineStr">
        <is>
          <t>29103-PG-1401</t>
        </is>
      </c>
      <c r="F83" s="9" t="inlineStr">
        <is>
          <t>29103-65R-ET-PG1401-02-01</t>
        </is>
      </c>
      <c r="G83" s="9" t="inlineStr">
        <is>
          <t>13.1</t>
        </is>
      </c>
      <c r="H83" s="9" t="inlineStr">
        <is>
          <t>29103-ET-PG1401-2-1.pdf</t>
        </is>
      </c>
      <c r="I83" s="4" t="str">
        <f>IF($H83&lt;&gt;"","YES","NO")</f>
        <v>YES</v>
      </c>
      <c r="J83" s="4" t="str">
        <f>IF(N($T83)&gt;0,"YES","NO")</f>
        <v>NO</v>
      </c>
      <c r="K83" s="4" t="str">
        <f>IF(OR($A83="EHT Trace"),IF(AND($U83&lt;&gt;"",$V83&lt;&gt;""),"YES","NO"),"N/A")</f>
        <v>NO</v>
      </c>
      <c r="L83" s="4" t="str">
        <f>IF(OR($A83="EHT Trace"),IF(AND($X83&lt;&gt;"",$Y83&lt;&gt;""),"YES","NO"),"N/A")</f>
        <v>NO</v>
      </c>
      <c r="M83" s="4" t="str">
        <f>IF(OR($A83="EHT Trace"),IF(AND($AA83&lt;&gt;"",$AB83&lt;&gt;""),"YES","NO"),"N/A")</f>
        <v>NO</v>
      </c>
      <c r="N83" s="4" t="str">
        <f>IF(OR($A83="Power Cable"),IF(AND($AD83&lt;&gt;""),"YES","NO"),"N/A")</f>
        <v>N/A</v>
      </c>
      <c r="O83" s="4" t="str">
        <f>IF(OR($A83="Power Cable",$A83="RTD Cable",$A83="Fieldbus Cable"),IF(AND($AE83&lt;&gt;""),"YES","NO"),"N/A")</f>
        <v>N/A</v>
      </c>
      <c r="P83" s="4" t="str">
        <f>IF(OR($A83="RTD"),IF(AND($AH83&lt;&gt;""),"YES","NO"),"N/A")</f>
        <v>N/A</v>
      </c>
      <c r="Q83" s="4" t="str">
        <f>IF(OR($A83="RTD"),IF(AND($AI83&lt;&gt;""),"YES","NO"),"N/A")</f>
        <v>N/A</v>
      </c>
      <c r="R83" s="4" t="str">
        <f>IF(OR($AM83&lt;&gt;"",$Z83&lt;&gt;"",$AC83&lt;&gt;""),"YES","NO")</f>
        <v>NO</v>
      </c>
      <c r="S83" s="4" t="str">
        <f>IF(COUNTIF(I83:R83,"NO")=0,"YES","NO")</f>
        <v>NO</v>
      </c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inlineStr">
        <is>
          <t>E/32SB3700/8.6M/401/89.2/1.2M/LS23A/X/N12/XNF</t>
        </is>
      </c>
      <c r="AK83" s="9" t="inlineStr">
        <is>
          <t>8.6 m m</t>
        </is>
      </c>
      <c r="AL83" s="9" t="inlineStr">
        <is>
          <t>Levy Ostrup</t>
        </is>
      </c>
      <c r="AM83" s="9" t="n"/>
      <c r="AN83" s="9" t="n"/>
    </row>
    <row r="84">
      <c r="A84" s="9" t="inlineStr">
        <is>
          <t>EHT Trace</t>
        </is>
      </c>
      <c r="B84" s="9" t="inlineStr">
        <is>
          <t>29103-ET-PG1401-2-2</t>
        </is>
      </c>
      <c r="C84" s="9" t="inlineStr">
        <is>
          <t>29103-ET-PG1401-2</t>
        </is>
      </c>
      <c r="D84" s="9" t="inlineStr">
        <is>
          <t>HTC-22 / CB-22</t>
        </is>
      </c>
      <c r="E84" s="9" t="inlineStr">
        <is>
          <t>29103-PG-1401</t>
        </is>
      </c>
      <c r="F84" s="9" t="inlineStr">
        <is>
          <t>29103-65R-ET-PG1401-02-01</t>
        </is>
      </c>
      <c r="G84" s="9" t="inlineStr">
        <is>
          <t>13.1</t>
        </is>
      </c>
      <c r="H84" s="9" t="inlineStr">
        <is>
          <t>29103-ET-PG1401-2-2.pdf</t>
        </is>
      </c>
      <c r="I84" s="4" t="str">
        <f>IF($H84&lt;&gt;"","YES","NO")</f>
        <v>YES</v>
      </c>
      <c r="J84" s="4" t="str">
        <f>IF(N($T84)&gt;0,"YES","NO")</f>
        <v>NO</v>
      </c>
      <c r="K84" s="4" t="str">
        <f>IF(OR($A84="EHT Trace"),IF(AND($U84&lt;&gt;"",$V84&lt;&gt;""),"YES","NO"),"N/A")</f>
        <v>NO</v>
      </c>
      <c r="L84" s="4" t="str">
        <f>IF(OR($A84="EHT Trace"),IF(AND($X84&lt;&gt;"",$Y84&lt;&gt;""),"YES","NO"),"N/A")</f>
        <v>NO</v>
      </c>
      <c r="M84" s="4" t="str">
        <f>IF(OR($A84="EHT Trace"),IF(AND($AA84&lt;&gt;"",$AB84&lt;&gt;""),"YES","NO"),"N/A")</f>
        <v>NO</v>
      </c>
      <c r="N84" s="4" t="str">
        <f>IF(OR($A84="Power Cable"),IF(AND($AD84&lt;&gt;""),"YES","NO"),"N/A")</f>
        <v>N/A</v>
      </c>
      <c r="O84" s="4" t="str">
        <f>IF(OR($A84="Power Cable",$A84="RTD Cable",$A84="Fieldbus Cable"),IF(AND($AE84&lt;&gt;""),"YES","NO"),"N/A")</f>
        <v>N/A</v>
      </c>
      <c r="P84" s="4" t="str">
        <f>IF(OR($A84="RTD"),IF(AND($AH84&lt;&gt;""),"YES","NO"),"N/A")</f>
        <v>N/A</v>
      </c>
      <c r="Q84" s="4" t="str">
        <f>IF(OR($A84="RTD"),IF(AND($AI84&lt;&gt;""),"YES","NO"),"N/A")</f>
        <v>N/A</v>
      </c>
      <c r="R84" s="4" t="str">
        <f>IF(OR($AM84&lt;&gt;"",$Z84&lt;&gt;"",$AC84&lt;&gt;""),"YES","NO")</f>
        <v>NO</v>
      </c>
      <c r="S84" s="4" t="str">
        <f>IF(COUNTIF(I84:R84,"NO")=0,"YES","NO")</f>
        <v>NO</v>
      </c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inlineStr">
        <is>
          <t>E/32SB3700/6.3M/294/65.4/1.2M/LS23A/X/N12/XMF</t>
        </is>
      </c>
      <c r="AK84" s="9" t="inlineStr">
        <is>
          <t>6.3 m m</t>
        </is>
      </c>
      <c r="AL84" s="9" t="inlineStr">
        <is>
          <t>Levy Ostrup</t>
        </is>
      </c>
      <c r="AM84" s="9" t="n"/>
      <c r="AN84" s="9" t="n"/>
    </row>
    <row r="85">
      <c r="A85" s="9" t="inlineStr">
        <is>
          <t>EHT Trace</t>
        </is>
      </c>
      <c r="B85" s="9" t="inlineStr">
        <is>
          <t>29103-ET-PG1401-2-3</t>
        </is>
      </c>
      <c r="C85" s="9" t="inlineStr">
        <is>
          <t>29103-ET-PG1401-2</t>
        </is>
      </c>
      <c r="D85" s="9" t="inlineStr">
        <is>
          <t>HTC-22 / CB-22</t>
        </is>
      </c>
      <c r="E85" s="9" t="inlineStr">
        <is>
          <t>29103-PG-1401</t>
        </is>
      </c>
      <c r="F85" s="9" t="inlineStr">
        <is>
          <t>29103-65R-ET-PG1401-02-01</t>
        </is>
      </c>
      <c r="G85" s="9" t="inlineStr">
        <is>
          <t>13.1</t>
        </is>
      </c>
      <c r="H85" s="9" t="inlineStr">
        <is>
          <t>29103-ET-PG1401-2-3.pdf</t>
        </is>
      </c>
      <c r="I85" s="4" t="str">
        <f>IF($H85&lt;&gt;"","YES","NO")</f>
        <v>YES</v>
      </c>
      <c r="J85" s="4" t="str">
        <f>IF(N($T85)&gt;0,"YES","NO")</f>
        <v>NO</v>
      </c>
      <c r="K85" s="4" t="str">
        <f>IF(OR($A85="EHT Trace"),IF(AND($U85&lt;&gt;"",$V85&lt;&gt;""),"YES","NO"),"N/A")</f>
        <v>NO</v>
      </c>
      <c r="L85" s="4" t="str">
        <f>IF(OR($A85="EHT Trace"),IF(AND($X85&lt;&gt;"",$Y85&lt;&gt;""),"YES","NO"),"N/A")</f>
        <v>NO</v>
      </c>
      <c r="M85" s="4" t="str">
        <f>IF(OR($A85="EHT Trace"),IF(AND($AA85&lt;&gt;"",$AB85&lt;&gt;""),"YES","NO"),"N/A")</f>
        <v>NO</v>
      </c>
      <c r="N85" s="4" t="str">
        <f>IF(OR($A85="Power Cable"),IF(AND($AD85&lt;&gt;""),"YES","NO"),"N/A")</f>
        <v>N/A</v>
      </c>
      <c r="O85" s="4" t="str">
        <f>IF(OR($A85="Power Cable",$A85="RTD Cable",$A85="Fieldbus Cable"),IF(AND($AE85&lt;&gt;""),"YES","NO"),"N/A")</f>
        <v>N/A</v>
      </c>
      <c r="P85" s="4" t="str">
        <f>IF(OR($A85="RTD"),IF(AND($AH85&lt;&gt;""),"YES","NO"),"N/A")</f>
        <v>N/A</v>
      </c>
      <c r="Q85" s="4" t="str">
        <f>IF(OR($A85="RTD"),IF(AND($AI85&lt;&gt;""),"YES","NO"),"N/A")</f>
        <v>N/A</v>
      </c>
      <c r="R85" s="4" t="str">
        <f>IF(OR($AM85&lt;&gt;"",$Z85&lt;&gt;"",$AC85&lt;&gt;""),"YES","NO")</f>
        <v>NO</v>
      </c>
      <c r="S85" s="4" t="str">
        <f>IF(COUNTIF(I85:R85,"NO")=0,"YES","NO")</f>
        <v>NO</v>
      </c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inlineStr">
        <is>
          <t>D/32SB3700/11.8M/550/122/1.2M/LS23A/X/N12/XMN</t>
        </is>
      </c>
      <c r="AK85" s="9" t="inlineStr">
        <is>
          <t>11.8 m m</t>
        </is>
      </c>
      <c r="AL85" s="9" t="inlineStr">
        <is>
          <t>Levy Ostrup</t>
        </is>
      </c>
      <c r="AM85" s="9" t="n"/>
      <c r="AN85" s="9" t="n"/>
    </row>
    <row r="86">
      <c r="A86" s="9" t="inlineStr">
        <is>
          <t>EHT Trace</t>
        </is>
      </c>
      <c r="B86" s="9" t="inlineStr">
        <is>
          <t>29103-ET-PG1501-1-1</t>
        </is>
      </c>
      <c r="C86" s="9" t="inlineStr">
        <is>
          <t>29103-ET-PG1501-1</t>
        </is>
      </c>
      <c r="D86" s="9" t="inlineStr">
        <is>
          <t>HTC-11 / CB-11</t>
        </is>
      </c>
      <c r="E86" s="9" t="inlineStr">
        <is>
          <t>29103-PG-1501, 29103-PE-1502, 29103-P-1500</t>
        </is>
      </c>
      <c r="F86" s="9" t="inlineStr">
        <is>
          <t>29103-65R-ET-PG1501-01-01</t>
        </is>
      </c>
      <c r="G86" s="9" t="inlineStr">
        <is>
          <t>13.1</t>
        </is>
      </c>
      <c r="H86" s="9" t="inlineStr">
        <is>
          <t>29103-ET-PG1501-1-1.pdf</t>
        </is>
      </c>
      <c r="I86" s="4" t="str">
        <f>IF($H86&lt;&gt;"","YES","NO")</f>
        <v>YES</v>
      </c>
      <c r="J86" s="4" t="str">
        <f>IF(N($T86)&gt;0,"YES","NO")</f>
        <v>NO</v>
      </c>
      <c r="K86" s="4" t="str">
        <f>IF(OR($A86="EHT Trace"),IF(AND($U86&lt;&gt;"",$V86&lt;&gt;""),"YES","NO"),"N/A")</f>
        <v>NO</v>
      </c>
      <c r="L86" s="4" t="str">
        <f>IF(OR($A86="EHT Trace"),IF(AND($X86&lt;&gt;"",$Y86&lt;&gt;""),"YES","NO"),"N/A")</f>
        <v>NO</v>
      </c>
      <c r="M86" s="4" t="str">
        <f>IF(OR($A86="EHT Trace"),IF(AND($AA86&lt;&gt;"",$AB86&lt;&gt;""),"YES","NO"),"N/A")</f>
        <v>NO</v>
      </c>
      <c r="N86" s="4" t="str">
        <f>IF(OR($A86="Power Cable"),IF(AND($AD86&lt;&gt;""),"YES","NO"),"N/A")</f>
        <v>N/A</v>
      </c>
      <c r="O86" s="4" t="str">
        <f>IF(OR($A86="Power Cable",$A86="RTD Cable",$A86="Fieldbus Cable"),IF(AND($AE86&lt;&gt;""),"YES","NO"),"N/A")</f>
        <v>N/A</v>
      </c>
      <c r="P86" s="4" t="str">
        <f>IF(OR($A86="RTD"),IF(AND($AH86&lt;&gt;""),"YES","NO"),"N/A")</f>
        <v>N/A</v>
      </c>
      <c r="Q86" s="4" t="str">
        <f>IF(OR($A86="RTD"),IF(AND($AI86&lt;&gt;""),"YES","NO"),"N/A")</f>
        <v>N/A</v>
      </c>
      <c r="R86" s="4" t="str">
        <f>IF(OR($AM86&lt;&gt;"",$Z86&lt;&gt;"",$AC86&lt;&gt;""),"YES","NO")</f>
        <v>NO</v>
      </c>
      <c r="S86" s="4" t="str">
        <f>IF(COUNTIF(I86:R86,"NO")=0,"YES","NO")</f>
        <v>NO</v>
      </c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inlineStr">
        <is>
          <t>D/32SP4734/90M/3006/277/1.2M/LS23A/X/N12</t>
        </is>
      </c>
      <c r="AK86" s="9" t="inlineStr">
        <is>
          <t>90 m m</t>
        </is>
      </c>
      <c r="AL86" s="9" t="inlineStr">
        <is>
          <t>Levy Ostrup</t>
        </is>
      </c>
      <c r="AM86" s="9" t="n"/>
      <c r="AN86" s="9" t="n"/>
    </row>
    <row r="87">
      <c r="A87" s="9" t="inlineStr">
        <is>
          <t>EHT Trace</t>
        </is>
      </c>
      <c r="B87" s="9" t="inlineStr">
        <is>
          <t>29103-ET-PG1501-2-1</t>
        </is>
      </c>
      <c r="C87" s="9" t="inlineStr">
        <is>
          <t>29103-ET-PG1501-2</t>
        </is>
      </c>
      <c r="D87" s="9" t="inlineStr">
        <is>
          <t>HTC-28 / CB-28</t>
        </is>
      </c>
      <c r="E87" s="9" t="inlineStr">
        <is>
          <t>29103-PG-1501</t>
        </is>
      </c>
      <c r="F87" s="9" t="inlineStr">
        <is>
          <t>29103-65R-ET-PG1501-02-01</t>
        </is>
      </c>
      <c r="G87" s="9" t="inlineStr">
        <is>
          <t>13.1</t>
        </is>
      </c>
      <c r="H87" s="9" t="inlineStr">
        <is>
          <t>29103-ET-PG1501-2-1.pdf</t>
        </is>
      </c>
      <c r="I87" s="4" t="str">
        <f>IF($H87&lt;&gt;"","YES","NO")</f>
        <v>YES</v>
      </c>
      <c r="J87" s="4" t="str">
        <f>IF(N($T87)&gt;0,"YES","NO")</f>
        <v>NO</v>
      </c>
      <c r="K87" s="4" t="str">
        <f>IF(OR($A87="EHT Trace"),IF(AND($U87&lt;&gt;"",$V87&lt;&gt;""),"YES","NO"),"N/A")</f>
        <v>NO</v>
      </c>
      <c r="L87" s="4" t="str">
        <f>IF(OR($A87="EHT Trace"),IF(AND($X87&lt;&gt;"",$Y87&lt;&gt;""),"YES","NO"),"N/A")</f>
        <v>NO</v>
      </c>
      <c r="M87" s="4" t="str">
        <f>IF(OR($A87="EHT Trace"),IF(AND($AA87&lt;&gt;"",$AB87&lt;&gt;""),"YES","NO"),"N/A")</f>
        <v>NO</v>
      </c>
      <c r="N87" s="4" t="str">
        <f>IF(OR($A87="Power Cable"),IF(AND($AD87&lt;&gt;""),"YES","NO"),"N/A")</f>
        <v>N/A</v>
      </c>
      <c r="O87" s="4" t="str">
        <f>IF(OR($A87="Power Cable",$A87="RTD Cable",$A87="Fieldbus Cable"),IF(AND($AE87&lt;&gt;""),"YES","NO"),"N/A")</f>
        <v>N/A</v>
      </c>
      <c r="P87" s="4" t="str">
        <f>IF(OR($A87="RTD"),IF(AND($AH87&lt;&gt;""),"YES","NO"),"N/A")</f>
        <v>N/A</v>
      </c>
      <c r="Q87" s="4" t="str">
        <f>IF(OR($A87="RTD"),IF(AND($AI87&lt;&gt;""),"YES","NO"),"N/A")</f>
        <v>N/A</v>
      </c>
      <c r="R87" s="4" t="str">
        <f>IF(OR($AM87&lt;&gt;"",$Z87&lt;&gt;"",$AC87&lt;&gt;""),"YES","NO")</f>
        <v>NO</v>
      </c>
      <c r="S87" s="4" t="str">
        <f>IF(COUNTIF(I87:R87,"NO")=0,"YES","NO")</f>
        <v>NO</v>
      </c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inlineStr">
        <is>
          <t>E/32SB3700/9.2M/409/93.3/1.2M/LS23A/X/N12/XNF</t>
        </is>
      </c>
      <c r="AK87" s="9" t="inlineStr">
        <is>
          <t>9.2 m m</t>
        </is>
      </c>
      <c r="AL87" s="9" t="inlineStr">
        <is>
          <t>Levy Ostrup</t>
        </is>
      </c>
      <c r="AM87" s="9" t="n"/>
      <c r="AN87" s="9" t="n"/>
    </row>
    <row r="88">
      <c r="A88" s="9" t="inlineStr">
        <is>
          <t>EHT Trace</t>
        </is>
      </c>
      <c r="B88" s="9" t="inlineStr">
        <is>
          <t>29103-ET-PG1501-2-2</t>
        </is>
      </c>
      <c r="C88" s="9" t="inlineStr">
        <is>
          <t>29103-ET-PG1501-2</t>
        </is>
      </c>
      <c r="D88" s="9" t="inlineStr">
        <is>
          <t>HTC-28 / CB-28</t>
        </is>
      </c>
      <c r="E88" s="9" t="inlineStr">
        <is>
          <t>29103-PG-1501</t>
        </is>
      </c>
      <c r="F88" s="9" t="inlineStr">
        <is>
          <t>29103-65R-ET-PG1501-02-01</t>
        </is>
      </c>
      <c r="G88" s="9" t="inlineStr">
        <is>
          <t>13.1</t>
        </is>
      </c>
      <c r="H88" s="9" t="inlineStr">
        <is>
          <t>29103-ET-PG1501-2-2.pdf</t>
        </is>
      </c>
      <c r="I88" s="4" t="str">
        <f>IF($H88&lt;&gt;"","YES","NO")</f>
        <v>YES</v>
      </c>
      <c r="J88" s="4" t="str">
        <f>IF(N($T88)&gt;0,"YES","NO")</f>
        <v>NO</v>
      </c>
      <c r="K88" s="4" t="str">
        <f>IF(OR($A88="EHT Trace"),IF(AND($U88&lt;&gt;"",$V88&lt;&gt;""),"YES","NO"),"N/A")</f>
        <v>NO</v>
      </c>
      <c r="L88" s="4" t="str">
        <f>IF(OR($A88="EHT Trace"),IF(AND($X88&lt;&gt;"",$Y88&lt;&gt;""),"YES","NO"),"N/A")</f>
        <v>NO</v>
      </c>
      <c r="M88" s="4" t="str">
        <f>IF(OR($A88="EHT Trace"),IF(AND($AA88&lt;&gt;"",$AB88&lt;&gt;""),"YES","NO"),"N/A")</f>
        <v>NO</v>
      </c>
      <c r="N88" s="4" t="str">
        <f>IF(OR($A88="Power Cable"),IF(AND($AD88&lt;&gt;""),"YES","NO"),"N/A")</f>
        <v>N/A</v>
      </c>
      <c r="O88" s="4" t="str">
        <f>IF(OR($A88="Power Cable",$A88="RTD Cable",$A88="Fieldbus Cable"),IF(AND($AE88&lt;&gt;""),"YES","NO"),"N/A")</f>
        <v>N/A</v>
      </c>
      <c r="P88" s="4" t="str">
        <f>IF(OR($A88="RTD"),IF(AND($AH88&lt;&gt;""),"YES","NO"),"N/A")</f>
        <v>N/A</v>
      </c>
      <c r="Q88" s="4" t="str">
        <f>IF(OR($A88="RTD"),IF(AND($AI88&lt;&gt;""),"YES","NO"),"N/A")</f>
        <v>N/A</v>
      </c>
      <c r="R88" s="4" t="str">
        <f>IF(OR($AM88&lt;&gt;"",$Z88&lt;&gt;"",$AC88&lt;&gt;""),"YES","NO")</f>
        <v>NO</v>
      </c>
      <c r="S88" s="4" t="str">
        <f>IF(COUNTIF(I88:R88,"NO")=0,"YES","NO")</f>
        <v>NO</v>
      </c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inlineStr">
        <is>
          <t>E/32SB3700/6.3M/280/63.9/1.2M/LS23A/X/N12/XMF</t>
        </is>
      </c>
      <c r="AK88" s="9" t="inlineStr">
        <is>
          <t>6.3 m m</t>
        </is>
      </c>
      <c r="AL88" s="9" t="inlineStr">
        <is>
          <t>Levy Ostrup</t>
        </is>
      </c>
      <c r="AM88" s="9" t="n"/>
      <c r="AN88" s="9" t="n"/>
    </row>
    <row r="89">
      <c r="A89" s="9" t="inlineStr">
        <is>
          <t>EHT Trace</t>
        </is>
      </c>
      <c r="B89" s="9" t="inlineStr">
        <is>
          <t>29103-ET-PG1501-2-3</t>
        </is>
      </c>
      <c r="C89" s="9" t="inlineStr">
        <is>
          <t>29103-ET-PG1501-2</t>
        </is>
      </c>
      <c r="D89" s="9" t="inlineStr">
        <is>
          <t>HTC-28 / CB-28</t>
        </is>
      </c>
      <c r="E89" s="9" t="inlineStr">
        <is>
          <t>29103-PG-1501</t>
        </is>
      </c>
      <c r="F89" s="9" t="inlineStr">
        <is>
          <t>29103-65R-ET-PG1501-02-01</t>
        </is>
      </c>
      <c r="G89" s="9" t="inlineStr">
        <is>
          <t>13.1</t>
        </is>
      </c>
      <c r="H89" s="9" t="inlineStr">
        <is>
          <t>29103-ET-PG1501-2-3.pdf</t>
        </is>
      </c>
      <c r="I89" s="4" t="str">
        <f>IF($H89&lt;&gt;"","YES","NO")</f>
        <v>YES</v>
      </c>
      <c r="J89" s="4" t="str">
        <f>IF(N($T89)&gt;0,"YES","NO")</f>
        <v>NO</v>
      </c>
      <c r="K89" s="4" t="str">
        <f>IF(OR($A89="EHT Trace"),IF(AND($U89&lt;&gt;"",$V89&lt;&gt;""),"YES","NO"),"N/A")</f>
        <v>NO</v>
      </c>
      <c r="L89" s="4" t="str">
        <f>IF(OR($A89="EHT Trace"),IF(AND($X89&lt;&gt;"",$Y89&lt;&gt;""),"YES","NO"),"N/A")</f>
        <v>NO</v>
      </c>
      <c r="M89" s="4" t="str">
        <f>IF(OR($A89="EHT Trace"),IF(AND($AA89&lt;&gt;"",$AB89&lt;&gt;""),"YES","NO"),"N/A")</f>
        <v>NO</v>
      </c>
      <c r="N89" s="4" t="str">
        <f>IF(OR($A89="Power Cable"),IF(AND($AD89&lt;&gt;""),"YES","NO"),"N/A")</f>
        <v>N/A</v>
      </c>
      <c r="O89" s="4" t="str">
        <f>IF(OR($A89="Power Cable",$A89="RTD Cable",$A89="Fieldbus Cable"),IF(AND($AE89&lt;&gt;""),"YES","NO"),"N/A")</f>
        <v>N/A</v>
      </c>
      <c r="P89" s="4" t="str">
        <f>IF(OR($A89="RTD"),IF(AND($AH89&lt;&gt;""),"YES","NO"),"N/A")</f>
        <v>N/A</v>
      </c>
      <c r="Q89" s="4" t="str">
        <f>IF(OR($A89="RTD"),IF(AND($AI89&lt;&gt;""),"YES","NO"),"N/A")</f>
        <v>N/A</v>
      </c>
      <c r="R89" s="4" t="str">
        <f>IF(OR($AM89&lt;&gt;"",$Z89&lt;&gt;"",$AC89&lt;&gt;""),"YES","NO")</f>
        <v>NO</v>
      </c>
      <c r="S89" s="4" t="str">
        <f>IF(COUNTIF(I89:R89,"NO")=0,"YES","NO")</f>
        <v>NO</v>
      </c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inlineStr">
        <is>
          <t>D/32SB3700/11.8M/525/120/1.2M/LS23A/X/N12/XMN</t>
        </is>
      </c>
      <c r="AK89" s="9" t="inlineStr">
        <is>
          <t>11.8 m m</t>
        </is>
      </c>
      <c r="AL89" s="9" t="inlineStr">
        <is>
          <t>Levy Ostrup</t>
        </is>
      </c>
      <c r="AM89" s="9" t="n"/>
      <c r="AN89" s="9" t="n"/>
    </row>
    <row r="90">
      <c r="A90" s="9" t="inlineStr">
        <is>
          <t>EHT Trace</t>
        </is>
      </c>
      <c r="B90" s="9" t="inlineStr">
        <is>
          <t>29103-ET-PG1601-1-1</t>
        </is>
      </c>
      <c r="C90" s="9" t="inlineStr">
        <is>
          <t>29103-ET-PG1601-1</t>
        </is>
      </c>
      <c r="D90" s="9" t="inlineStr">
        <is>
          <t>HTC-14 / CB-14</t>
        </is>
      </c>
      <c r="E90" s="9" t="inlineStr">
        <is>
          <t>29103-PG-1601, 29103-PE-1602, 29103-P-1600</t>
        </is>
      </c>
      <c r="F90" s="9" t="inlineStr">
        <is>
          <t>29103-65R-ET-PG1601-01-01</t>
        </is>
      </c>
      <c r="G90" s="9" t="inlineStr">
        <is>
          <t>13.1</t>
        </is>
      </c>
      <c r="H90" s="9" t="inlineStr">
        <is>
          <t>29103-ET-PG1601-1-1.pdf</t>
        </is>
      </c>
      <c r="I90" s="4" t="str">
        <f>IF($H90&lt;&gt;"","YES","NO")</f>
        <v>YES</v>
      </c>
      <c r="J90" s="4" t="str">
        <f>IF(N($T90)&gt;0,"YES","NO")</f>
        <v>NO</v>
      </c>
      <c r="K90" s="4" t="str">
        <f>IF(OR($A90="EHT Trace"),IF(AND($U90&lt;&gt;"",$V90&lt;&gt;""),"YES","NO"),"N/A")</f>
        <v>NO</v>
      </c>
      <c r="L90" s="4" t="str">
        <f>IF(OR($A90="EHT Trace"),IF(AND($X90&lt;&gt;"",$Y90&lt;&gt;""),"YES","NO"),"N/A")</f>
        <v>NO</v>
      </c>
      <c r="M90" s="4" t="str">
        <f>IF(OR($A90="EHT Trace"),IF(AND($AA90&lt;&gt;"",$AB90&lt;&gt;""),"YES","NO"),"N/A")</f>
        <v>NO</v>
      </c>
      <c r="N90" s="4" t="str">
        <f>IF(OR($A90="Power Cable"),IF(AND($AD90&lt;&gt;""),"YES","NO"),"N/A")</f>
        <v>N/A</v>
      </c>
      <c r="O90" s="4" t="str">
        <f>IF(OR($A90="Power Cable",$A90="RTD Cable",$A90="Fieldbus Cable"),IF(AND($AE90&lt;&gt;""),"YES","NO"),"N/A")</f>
        <v>N/A</v>
      </c>
      <c r="P90" s="4" t="str">
        <f>IF(OR($A90="RTD"),IF(AND($AH90&lt;&gt;""),"YES","NO"),"N/A")</f>
        <v>N/A</v>
      </c>
      <c r="Q90" s="4" t="str">
        <f>IF(OR($A90="RTD"),IF(AND($AI90&lt;&gt;""),"YES","NO"),"N/A")</f>
        <v>N/A</v>
      </c>
      <c r="R90" s="4" t="str">
        <f>IF(OR($AM90&lt;&gt;"",$Z90&lt;&gt;"",$AC90&lt;&gt;""),"YES","NO")</f>
        <v>NO</v>
      </c>
      <c r="S90" s="4" t="str">
        <f>IF(COUNTIF(I90:R90,"NO")=0,"YES","NO")</f>
        <v>NO</v>
      </c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inlineStr">
        <is>
          <t>D/32SP4734/93.1M/2914/277/1.2M/LS23A/X/N12</t>
        </is>
      </c>
      <c r="AK90" s="9" t="inlineStr">
        <is>
          <t>93.1 m m</t>
        </is>
      </c>
      <c r="AL90" s="9" t="inlineStr">
        <is>
          <t>Levy Ostrup</t>
        </is>
      </c>
      <c r="AM90" s="9" t="n"/>
      <c r="AN90" s="9" t="n"/>
    </row>
    <row r="91">
      <c r="A91" s="9" t="inlineStr">
        <is>
          <t>EHT Trace</t>
        </is>
      </c>
      <c r="B91" s="9" t="inlineStr">
        <is>
          <t>29103-ET-PG1601-2-1</t>
        </is>
      </c>
      <c r="C91" s="9" t="inlineStr">
        <is>
          <t>29103-ET-PG1601-2</t>
        </is>
      </c>
      <c r="D91" s="9" t="inlineStr">
        <is>
          <t>HTC-31 / CB-31</t>
        </is>
      </c>
      <c r="E91" s="9" t="inlineStr">
        <is>
          <t>29103-PG-1601</t>
        </is>
      </c>
      <c r="F91" s="9" t="inlineStr">
        <is>
          <t>29103-65R-ET-PG1601-02-01</t>
        </is>
      </c>
      <c r="G91" s="9" t="inlineStr">
        <is>
          <t>13.1</t>
        </is>
      </c>
      <c r="H91" s="9" t="inlineStr">
        <is>
          <t>29103-ET-PG1601-2-1.pdf</t>
        </is>
      </c>
      <c r="I91" s="4" t="str">
        <f>IF($H91&lt;&gt;"","YES","NO")</f>
        <v>YES</v>
      </c>
      <c r="J91" s="4" t="str">
        <f>IF(N($T91)&gt;0,"YES","NO")</f>
        <v>NO</v>
      </c>
      <c r="K91" s="4" t="str">
        <f>IF(OR($A91="EHT Trace"),IF(AND($U91&lt;&gt;"",$V91&lt;&gt;""),"YES","NO"),"N/A")</f>
        <v>NO</v>
      </c>
      <c r="L91" s="4" t="str">
        <f>IF(OR($A91="EHT Trace"),IF(AND($X91&lt;&gt;"",$Y91&lt;&gt;""),"YES","NO"),"N/A")</f>
        <v>NO</v>
      </c>
      <c r="M91" s="4" t="str">
        <f>IF(OR($A91="EHT Trace"),IF(AND($AA91&lt;&gt;"",$AB91&lt;&gt;""),"YES","NO"),"N/A")</f>
        <v>NO</v>
      </c>
      <c r="N91" s="4" t="str">
        <f>IF(OR($A91="Power Cable"),IF(AND($AD91&lt;&gt;""),"YES","NO"),"N/A")</f>
        <v>N/A</v>
      </c>
      <c r="O91" s="4" t="str">
        <f>IF(OR($A91="Power Cable",$A91="RTD Cable",$A91="Fieldbus Cable"),IF(AND($AE91&lt;&gt;""),"YES","NO"),"N/A")</f>
        <v>N/A</v>
      </c>
      <c r="P91" s="4" t="str">
        <f>IF(OR($A91="RTD"),IF(AND($AH91&lt;&gt;""),"YES","NO"),"N/A")</f>
        <v>N/A</v>
      </c>
      <c r="Q91" s="4" t="str">
        <f>IF(OR($A91="RTD"),IF(AND($AI91&lt;&gt;""),"YES","NO"),"N/A")</f>
        <v>N/A</v>
      </c>
      <c r="R91" s="4" t="str">
        <f>IF(OR($AM91&lt;&gt;"",$Z91&lt;&gt;"",$AC91&lt;&gt;""),"YES","NO")</f>
        <v>NO</v>
      </c>
      <c r="S91" s="4" t="str">
        <f>IF(COUNTIF(I91:R91,"NO")=0,"YES","NO")</f>
        <v>NO</v>
      </c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inlineStr">
        <is>
          <t>E/32SB3700/8.6M/401/89.2/1.2M/LS23A/X/N12/XNF</t>
        </is>
      </c>
      <c r="AK91" s="9" t="inlineStr">
        <is>
          <t>8.6 m m</t>
        </is>
      </c>
      <c r="AL91" s="9" t="inlineStr">
        <is>
          <t>Levy Ostrup</t>
        </is>
      </c>
      <c r="AM91" s="9" t="n"/>
      <c r="AN91" s="9" t="n"/>
    </row>
    <row r="92">
      <c r="A92" s="9" t="inlineStr">
        <is>
          <t>EHT Trace</t>
        </is>
      </c>
      <c r="B92" s="9" t="inlineStr">
        <is>
          <t>29103-ET-PG1601-2-2</t>
        </is>
      </c>
      <c r="C92" s="9" t="inlineStr">
        <is>
          <t>29103-ET-PG1601-2</t>
        </is>
      </c>
      <c r="D92" s="9" t="inlineStr">
        <is>
          <t>HTC-31 / CB-31</t>
        </is>
      </c>
      <c r="E92" s="9" t="inlineStr">
        <is>
          <t>29103-PG-1601</t>
        </is>
      </c>
      <c r="F92" s="9" t="inlineStr">
        <is>
          <t>29103-65R-ET-PG1601-02-01</t>
        </is>
      </c>
      <c r="G92" s="9" t="inlineStr">
        <is>
          <t>13.1</t>
        </is>
      </c>
      <c r="H92" s="9" t="inlineStr">
        <is>
          <t>29103-ET-PG1601-2-2.pdf</t>
        </is>
      </c>
      <c r="I92" s="4" t="str">
        <f>IF($H92&lt;&gt;"","YES","NO")</f>
        <v>YES</v>
      </c>
      <c r="J92" s="4" t="str">
        <f>IF(N($T92)&gt;0,"YES","NO")</f>
        <v>NO</v>
      </c>
      <c r="K92" s="4" t="str">
        <f>IF(OR($A92="EHT Trace"),IF(AND($U92&lt;&gt;"",$V92&lt;&gt;""),"YES","NO"),"N/A")</f>
        <v>YES</v>
      </c>
      <c r="L92" s="4" t="str">
        <f>IF(OR($A92="EHT Trace"),IF(AND($X92&lt;&gt;"",$Y92&lt;&gt;""),"YES","NO"),"N/A")</f>
        <v>NO</v>
      </c>
      <c r="M92" s="4" t="str">
        <f>IF(OR($A92="EHT Trace"),IF(AND($AA92&lt;&gt;"",$AB92&lt;&gt;""),"YES","NO"),"N/A")</f>
        <v>NO</v>
      </c>
      <c r="N92" s="4" t="str">
        <f>IF(OR($A92="Power Cable"),IF(AND($AD92&lt;&gt;""),"YES","NO"),"N/A")</f>
        <v>N/A</v>
      </c>
      <c r="O92" s="4" t="str">
        <f>IF(OR($A92="Power Cable",$A92="RTD Cable",$A92="Fieldbus Cable"),IF(AND($AE92&lt;&gt;""),"YES","NO"),"N/A")</f>
        <v>N/A</v>
      </c>
      <c r="P92" s="4" t="str">
        <f>IF(OR($A92="RTD"),IF(AND($AH92&lt;&gt;""),"YES","NO"),"N/A")</f>
        <v>N/A</v>
      </c>
      <c r="Q92" s="4" t="str">
        <f>IF(OR($A92="RTD"),IF(AND($AI92&lt;&gt;""),"YES","NO"),"N/A")</f>
        <v>N/A</v>
      </c>
      <c r="R92" s="4" t="str">
        <f>IF(OR($AM92&lt;&gt;"",$Z92&lt;&gt;"",$AC92&lt;&gt;""),"YES","NO")</f>
        <v>NO</v>
      </c>
      <c r="S92" s="4" t="str">
        <f>IF(COUNTIF(I92:R92,"NO")=0,"YES","NO")</f>
        <v>NO</v>
      </c>
      <c r="T92" s="9" t="n"/>
      <c r="U92" s="9" t="inlineStr">
        <is>
          <t>&gt;550 MΩ</t>
        </is>
      </c>
      <c r="V92" s="9" t="inlineStr">
        <is>
          <t>14.9 Ω</t>
        </is>
      </c>
      <c r="W92" s="9" t="inlineStr">
        <is>
          <t>2026-05-18</t>
        </is>
      </c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inlineStr">
        <is>
          <t>E/32SB3700/6.3M/294/65.4/1.2M/LS23A/X/N12/XMF</t>
        </is>
      </c>
      <c r="AK92" s="9" t="inlineStr">
        <is>
          <t>6.3 m m</t>
        </is>
      </c>
      <c r="AL92" s="9" t="inlineStr">
        <is>
          <t>Levy Ostrup</t>
        </is>
      </c>
      <c r="AM92" s="9" t="n"/>
      <c r="AN92" s="9" t="n"/>
    </row>
    <row r="93">
      <c r="A93" s="9" t="inlineStr">
        <is>
          <t>EHT Trace</t>
        </is>
      </c>
      <c r="B93" s="9" t="inlineStr">
        <is>
          <t>29103-ET-PG1601-2-3</t>
        </is>
      </c>
      <c r="C93" s="9" t="inlineStr">
        <is>
          <t>29103-ET-PG1601-2</t>
        </is>
      </c>
      <c r="D93" s="9" t="inlineStr">
        <is>
          <t>HTC-31 / CB-31</t>
        </is>
      </c>
      <c r="E93" s="9" t="inlineStr">
        <is>
          <t>29103-PG-1601</t>
        </is>
      </c>
      <c r="F93" s="9" t="inlineStr">
        <is>
          <t>29103-65R-ET-PG1601-02-01</t>
        </is>
      </c>
      <c r="G93" s="9" t="inlineStr">
        <is>
          <t>13.1</t>
        </is>
      </c>
      <c r="H93" s="9" t="inlineStr">
        <is>
          <t>29103-ET-PG1601-2-3.pdf</t>
        </is>
      </c>
      <c r="I93" s="4" t="str">
        <f>IF($H93&lt;&gt;"","YES","NO")</f>
        <v>YES</v>
      </c>
      <c r="J93" s="4" t="str">
        <f>IF(N($T93)&gt;0,"YES","NO")</f>
        <v>NO</v>
      </c>
      <c r="K93" s="4" t="str">
        <f>IF(OR($A93="EHT Trace"),IF(AND($U93&lt;&gt;"",$V93&lt;&gt;""),"YES","NO"),"N/A")</f>
        <v>YES</v>
      </c>
      <c r="L93" s="4" t="str">
        <f>IF(OR($A93="EHT Trace"),IF(AND($X93&lt;&gt;"",$Y93&lt;&gt;""),"YES","NO"),"N/A")</f>
        <v>NO</v>
      </c>
      <c r="M93" s="4" t="str">
        <f>IF(OR($A93="EHT Trace"),IF(AND($AA93&lt;&gt;"",$AB93&lt;&gt;""),"YES","NO"),"N/A")</f>
        <v>NO</v>
      </c>
      <c r="N93" s="4" t="str">
        <f>IF(OR($A93="Power Cable"),IF(AND($AD93&lt;&gt;""),"YES","NO"),"N/A")</f>
        <v>N/A</v>
      </c>
      <c r="O93" s="4" t="str">
        <f>IF(OR($A93="Power Cable",$A93="RTD Cable",$A93="Fieldbus Cable"),IF(AND($AE93&lt;&gt;""),"YES","NO"),"N/A")</f>
        <v>N/A</v>
      </c>
      <c r="P93" s="4" t="str">
        <f>IF(OR($A93="RTD"),IF(AND($AH93&lt;&gt;""),"YES","NO"),"N/A")</f>
        <v>N/A</v>
      </c>
      <c r="Q93" s="4" t="str">
        <f>IF(OR($A93="RTD"),IF(AND($AI93&lt;&gt;""),"YES","NO"),"N/A")</f>
        <v>N/A</v>
      </c>
      <c r="R93" s="4" t="str">
        <f>IF(OR($AM93&lt;&gt;"",$Z93&lt;&gt;"",$AC93&lt;&gt;""),"YES","NO")</f>
        <v>NO</v>
      </c>
      <c r="S93" s="4" t="str">
        <f>IF(COUNTIF(I93:R93,"NO")=0,"YES","NO")</f>
        <v>NO</v>
      </c>
      <c r="T93" s="9" t="n"/>
      <c r="U93" s="9" t="inlineStr">
        <is>
          <t>&gt;550 MΩ</t>
        </is>
      </c>
      <c r="V93" s="9" t="inlineStr">
        <is>
          <t>28 Ω</t>
        </is>
      </c>
      <c r="W93" s="9" t="inlineStr">
        <is>
          <t>2026-05-18</t>
        </is>
      </c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inlineStr">
        <is>
          <t>D/32SB3700/11.8M/550/122/1.2M/LS23A/X/N12/XMN</t>
        </is>
      </c>
      <c r="AK93" s="9" t="inlineStr">
        <is>
          <t>11.8 m m</t>
        </is>
      </c>
      <c r="AL93" s="9" t="inlineStr">
        <is>
          <t>Levy Ostrup</t>
        </is>
      </c>
      <c r="AM93" s="9" t="n"/>
      <c r="AN93" s="9" t="n"/>
    </row>
    <row r="94">
      <c r="A94" s="9" t="inlineStr">
        <is>
          <t>EHT Trace</t>
        </is>
      </c>
      <c r="B94" s="9" t="inlineStr">
        <is>
          <t>29103-ET-PG1701-1-1</t>
        </is>
      </c>
      <c r="C94" s="9" t="inlineStr">
        <is>
          <t>29103-ET-PG1701-1</t>
        </is>
      </c>
      <c r="D94" s="9" t="inlineStr">
        <is>
          <t>HTC-21 / CB-21</t>
        </is>
      </c>
      <c r="E94" s="9" t="inlineStr">
        <is>
          <t>29103-PG-1701, 29103-PE-1702, 29103-P-1700</t>
        </is>
      </c>
      <c r="F94" s="9" t="inlineStr">
        <is>
          <t>29103-65R-ET-PG1701-01-01</t>
        </is>
      </c>
      <c r="G94" s="9" t="inlineStr">
        <is>
          <t>13.1</t>
        </is>
      </c>
      <c r="H94" s="9" t="inlineStr">
        <is>
          <t>29103-ET-PG1701-1-1.pdf</t>
        </is>
      </c>
      <c r="I94" s="4" t="str">
        <f>IF($H94&lt;&gt;"","YES","NO")</f>
        <v>YES</v>
      </c>
      <c r="J94" s="4" t="str">
        <f>IF(N($T94)&gt;0,"YES","NO")</f>
        <v>NO</v>
      </c>
      <c r="K94" s="4" t="str">
        <f>IF(OR($A94="EHT Trace"),IF(AND($U94&lt;&gt;"",$V94&lt;&gt;""),"YES","NO"),"N/A")</f>
        <v>NO</v>
      </c>
      <c r="L94" s="4" t="str">
        <f>IF(OR($A94="EHT Trace"),IF(AND($X94&lt;&gt;"",$Y94&lt;&gt;""),"YES","NO"),"N/A")</f>
        <v>NO</v>
      </c>
      <c r="M94" s="4" t="str">
        <f>IF(OR($A94="EHT Trace"),IF(AND($AA94&lt;&gt;"",$AB94&lt;&gt;""),"YES","NO"),"N/A")</f>
        <v>NO</v>
      </c>
      <c r="N94" s="4" t="str">
        <f>IF(OR($A94="Power Cable"),IF(AND($AD94&lt;&gt;""),"YES","NO"),"N/A")</f>
        <v>N/A</v>
      </c>
      <c r="O94" s="4" t="str">
        <f>IF(OR($A94="Power Cable",$A94="RTD Cable",$A94="Fieldbus Cable"),IF(AND($AE94&lt;&gt;""),"YES","NO"),"N/A")</f>
        <v>N/A</v>
      </c>
      <c r="P94" s="4" t="str">
        <f>IF(OR($A94="RTD"),IF(AND($AH94&lt;&gt;""),"YES","NO"),"N/A")</f>
        <v>N/A</v>
      </c>
      <c r="Q94" s="4" t="str">
        <f>IF(OR($A94="RTD"),IF(AND($AI94&lt;&gt;""),"YES","NO"),"N/A")</f>
        <v>N/A</v>
      </c>
      <c r="R94" s="4" t="str">
        <f>IF(OR($AM94&lt;&gt;"",$Z94&lt;&gt;"",$AC94&lt;&gt;""),"YES","NO")</f>
        <v>NO</v>
      </c>
      <c r="S94" s="4" t="str">
        <f>IF(COUNTIF(I94:R94,"NO")=0,"YES","NO")</f>
        <v>NO</v>
      </c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inlineStr">
        <is>
          <t>D/32SP4734/90M/3006/277/1.2M/LS23A/X/N12</t>
        </is>
      </c>
      <c r="AK94" s="9" t="inlineStr">
        <is>
          <t>90 m m</t>
        </is>
      </c>
      <c r="AL94" s="9" t="inlineStr">
        <is>
          <t>Levy Ostrup</t>
        </is>
      </c>
      <c r="AM94" s="9" t="n"/>
      <c r="AN94" s="9" t="n"/>
    </row>
    <row r="95">
      <c r="A95" s="9" t="inlineStr">
        <is>
          <t>EHT Trace</t>
        </is>
      </c>
      <c r="B95" s="9" t="inlineStr">
        <is>
          <t>29103-ET-PG1701-2-1</t>
        </is>
      </c>
      <c r="C95" s="9" t="inlineStr">
        <is>
          <t>29103-ET-PG1701-2</t>
        </is>
      </c>
      <c r="D95" s="9" t="inlineStr">
        <is>
          <t>HTC-25 / CB-25</t>
        </is>
      </c>
      <c r="E95" s="9" t="inlineStr">
        <is>
          <t>29103-PG-1701</t>
        </is>
      </c>
      <c r="F95" s="9" t="inlineStr">
        <is>
          <t>29103-65R-ET-PG1701-02-01</t>
        </is>
      </c>
      <c r="G95" s="9" t="inlineStr">
        <is>
          <t>13.1</t>
        </is>
      </c>
      <c r="H95" s="9" t="inlineStr">
        <is>
          <t>29103-ET-PG1701-2-1.pdf</t>
        </is>
      </c>
      <c r="I95" s="4" t="str">
        <f>IF($H95&lt;&gt;"","YES","NO")</f>
        <v>YES</v>
      </c>
      <c r="J95" s="4" t="str">
        <f>IF(N($T95)&gt;0,"YES","NO")</f>
        <v>NO</v>
      </c>
      <c r="K95" s="4" t="str">
        <f>IF(OR($A95="EHT Trace"),IF(AND($U95&lt;&gt;"",$V95&lt;&gt;""),"YES","NO"),"N/A")</f>
        <v>YES</v>
      </c>
      <c r="L95" s="4" t="str">
        <f>IF(OR($A95="EHT Trace"),IF(AND($X95&lt;&gt;"",$Y95&lt;&gt;""),"YES","NO"),"N/A")</f>
        <v>NO</v>
      </c>
      <c r="M95" s="4" t="str">
        <f>IF(OR($A95="EHT Trace"),IF(AND($AA95&lt;&gt;"",$AB95&lt;&gt;""),"YES","NO"),"N/A")</f>
        <v>NO</v>
      </c>
      <c r="N95" s="4" t="str">
        <f>IF(OR($A95="Power Cable"),IF(AND($AD95&lt;&gt;""),"YES","NO"),"N/A")</f>
        <v>N/A</v>
      </c>
      <c r="O95" s="4" t="str">
        <f>IF(OR($A95="Power Cable",$A95="RTD Cable",$A95="Fieldbus Cable"),IF(AND($AE95&lt;&gt;""),"YES","NO"),"N/A")</f>
        <v>N/A</v>
      </c>
      <c r="P95" s="4" t="str">
        <f>IF(OR($A95="RTD"),IF(AND($AH95&lt;&gt;""),"YES","NO"),"N/A")</f>
        <v>N/A</v>
      </c>
      <c r="Q95" s="4" t="str">
        <f>IF(OR($A95="RTD"),IF(AND($AI95&lt;&gt;""),"YES","NO"),"N/A")</f>
        <v>N/A</v>
      </c>
      <c r="R95" s="4" t="str">
        <f>IF(OR($AM95&lt;&gt;"",$Z95&lt;&gt;"",$AC95&lt;&gt;""),"YES","NO")</f>
        <v>NO</v>
      </c>
      <c r="S95" s="4" t="str">
        <f>IF(COUNTIF(I95:R95,"NO")=0,"YES","NO")</f>
        <v>NO</v>
      </c>
      <c r="T95" s="9" t="n"/>
      <c r="U95" s="9" t="inlineStr">
        <is>
          <t>&gt;550 MΩ</t>
        </is>
      </c>
      <c r="V95" s="9" t="inlineStr">
        <is>
          <t>21.8 Ω</t>
        </is>
      </c>
      <c r="W95" s="9" t="inlineStr">
        <is>
          <t>2026-05-18</t>
        </is>
      </c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inlineStr">
        <is>
          <t>E/32SB3700/9.2M/409/93.3/1.2M/LS23A/X/N12/XNF</t>
        </is>
      </c>
      <c r="AK95" s="9" t="inlineStr">
        <is>
          <t>9.2 m m</t>
        </is>
      </c>
      <c r="AL95" s="9" t="inlineStr">
        <is>
          <t>Levy Ostrup</t>
        </is>
      </c>
      <c r="AM95" s="9" t="n"/>
      <c r="AN95" s="9" t="n"/>
    </row>
    <row r="96">
      <c r="A96" s="9" t="inlineStr">
        <is>
          <t>EHT Trace</t>
        </is>
      </c>
      <c r="B96" s="9" t="inlineStr">
        <is>
          <t>29103-ET-PG1701-2-2</t>
        </is>
      </c>
      <c r="C96" s="9" t="inlineStr">
        <is>
          <t>29103-ET-PG1701-2</t>
        </is>
      </c>
      <c r="D96" s="9" t="inlineStr">
        <is>
          <t>HTC-25 / CB-25</t>
        </is>
      </c>
      <c r="E96" s="9" t="inlineStr">
        <is>
          <t>29103-PG-1701</t>
        </is>
      </c>
      <c r="F96" s="9" t="inlineStr">
        <is>
          <t>29103-65R-ET-PG1701-02-01</t>
        </is>
      </c>
      <c r="G96" s="9" t="inlineStr">
        <is>
          <t>13.1</t>
        </is>
      </c>
      <c r="H96" s="9" t="inlineStr">
        <is>
          <t>29103-ET-PG1701-2-2.pdf</t>
        </is>
      </c>
      <c r="I96" s="4" t="str">
        <f>IF($H96&lt;&gt;"","YES","NO")</f>
        <v>YES</v>
      </c>
      <c r="J96" s="4" t="str">
        <f>IF(N($T96)&gt;0,"YES","NO")</f>
        <v>NO</v>
      </c>
      <c r="K96" s="4" t="str">
        <f>IF(OR($A96="EHT Trace"),IF(AND($U96&lt;&gt;"",$V96&lt;&gt;""),"YES","NO"),"N/A")</f>
        <v>YES</v>
      </c>
      <c r="L96" s="4" t="str">
        <f>IF(OR($A96="EHT Trace"),IF(AND($X96&lt;&gt;"",$Y96&lt;&gt;""),"YES","NO"),"N/A")</f>
        <v>NO</v>
      </c>
      <c r="M96" s="4" t="str">
        <f>IF(OR($A96="EHT Trace"),IF(AND($AA96&lt;&gt;"",$AB96&lt;&gt;""),"YES","NO"),"N/A")</f>
        <v>NO</v>
      </c>
      <c r="N96" s="4" t="str">
        <f>IF(OR($A96="Power Cable"),IF(AND($AD96&lt;&gt;""),"YES","NO"),"N/A")</f>
        <v>N/A</v>
      </c>
      <c r="O96" s="4" t="str">
        <f>IF(OR($A96="Power Cable",$A96="RTD Cable",$A96="Fieldbus Cable"),IF(AND($AE96&lt;&gt;""),"YES","NO"),"N/A")</f>
        <v>N/A</v>
      </c>
      <c r="P96" s="4" t="str">
        <f>IF(OR($A96="RTD"),IF(AND($AH96&lt;&gt;""),"YES","NO"),"N/A")</f>
        <v>N/A</v>
      </c>
      <c r="Q96" s="4" t="str">
        <f>IF(OR($A96="RTD"),IF(AND($AI96&lt;&gt;""),"YES","NO"),"N/A")</f>
        <v>N/A</v>
      </c>
      <c r="R96" s="4" t="str">
        <f>IF(OR($AM96&lt;&gt;"",$Z96&lt;&gt;"",$AC96&lt;&gt;""),"YES","NO")</f>
        <v>NO</v>
      </c>
      <c r="S96" s="4" t="str">
        <f>IF(COUNTIF(I96:R96,"NO")=0,"YES","NO")</f>
        <v>NO</v>
      </c>
      <c r="T96" s="9" t="n"/>
      <c r="U96" s="9" t="inlineStr">
        <is>
          <t>&gt;550 MΩ</t>
        </is>
      </c>
      <c r="V96" s="9" t="inlineStr">
        <is>
          <t>15 Ω</t>
        </is>
      </c>
      <c r="W96" s="9" t="inlineStr">
        <is>
          <t>2026-05-18</t>
        </is>
      </c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inlineStr">
        <is>
          <t>E/32SB3700/6.3M/280/63.9/1.2M/LS23A/X/N12/XMF</t>
        </is>
      </c>
      <c r="AK96" s="9" t="inlineStr">
        <is>
          <t>6.3 m m</t>
        </is>
      </c>
      <c r="AL96" s="9" t="inlineStr">
        <is>
          <t>Levy Ostrup</t>
        </is>
      </c>
      <c r="AM96" s="9" t="n"/>
      <c r="AN96" s="9" t="n"/>
    </row>
    <row r="97">
      <c r="A97" s="9" t="inlineStr">
        <is>
          <t>EHT Trace</t>
        </is>
      </c>
      <c r="B97" s="9" t="inlineStr">
        <is>
          <t>29103-ET-PG1701-2-3</t>
        </is>
      </c>
      <c r="C97" s="9" t="inlineStr">
        <is>
          <t>29103-ET-PG1701-2</t>
        </is>
      </c>
      <c r="D97" s="9" t="inlineStr">
        <is>
          <t>HTC-25 / CB-25</t>
        </is>
      </c>
      <c r="E97" s="9" t="inlineStr">
        <is>
          <t>29103-PG-1701</t>
        </is>
      </c>
      <c r="F97" s="9" t="inlineStr">
        <is>
          <t>29103-65R-ET-PG1701-02-01</t>
        </is>
      </c>
      <c r="G97" s="9" t="inlineStr">
        <is>
          <t>13.1</t>
        </is>
      </c>
      <c r="H97" s="9" t="inlineStr">
        <is>
          <t>29103-ET-PG1701-2-3.pdf</t>
        </is>
      </c>
      <c r="I97" s="4" t="str">
        <f>IF($H97&lt;&gt;"","YES","NO")</f>
        <v>YES</v>
      </c>
      <c r="J97" s="4" t="str">
        <f>IF(N($T97)&gt;0,"YES","NO")</f>
        <v>NO</v>
      </c>
      <c r="K97" s="4" t="str">
        <f>IF(OR($A97="EHT Trace"),IF(AND($U97&lt;&gt;"",$V97&lt;&gt;""),"YES","NO"),"N/A")</f>
        <v>YES</v>
      </c>
      <c r="L97" s="4" t="str">
        <f>IF(OR($A97="EHT Trace"),IF(AND($X97&lt;&gt;"",$Y97&lt;&gt;""),"YES","NO"),"N/A")</f>
        <v>NO</v>
      </c>
      <c r="M97" s="4" t="str">
        <f>IF(OR($A97="EHT Trace"),IF(AND($AA97&lt;&gt;"",$AB97&lt;&gt;""),"YES","NO"),"N/A")</f>
        <v>NO</v>
      </c>
      <c r="N97" s="4" t="str">
        <f>IF(OR($A97="Power Cable"),IF(AND($AD97&lt;&gt;""),"YES","NO"),"N/A")</f>
        <v>N/A</v>
      </c>
      <c r="O97" s="4" t="str">
        <f>IF(OR($A97="Power Cable",$A97="RTD Cable",$A97="Fieldbus Cable"),IF(AND($AE97&lt;&gt;""),"YES","NO"),"N/A")</f>
        <v>N/A</v>
      </c>
      <c r="P97" s="4" t="str">
        <f>IF(OR($A97="RTD"),IF(AND($AH97&lt;&gt;""),"YES","NO"),"N/A")</f>
        <v>N/A</v>
      </c>
      <c r="Q97" s="4" t="str">
        <f>IF(OR($A97="RTD"),IF(AND($AI97&lt;&gt;""),"YES","NO"),"N/A")</f>
        <v>N/A</v>
      </c>
      <c r="R97" s="4" t="str">
        <f>IF(OR($AM97&lt;&gt;"",$Z97&lt;&gt;"",$AC97&lt;&gt;""),"YES","NO")</f>
        <v>NO</v>
      </c>
      <c r="S97" s="4" t="str">
        <f>IF(COUNTIF(I97:R97,"NO")=0,"YES","NO")</f>
        <v>NO</v>
      </c>
      <c r="T97" s="9" t="n"/>
      <c r="U97" s="9" t="inlineStr">
        <is>
          <t>&gt;550 MΩ</t>
        </is>
      </c>
      <c r="V97" s="9" t="inlineStr">
        <is>
          <t>28.2 Ω</t>
        </is>
      </c>
      <c r="W97" s="9" t="inlineStr">
        <is>
          <t>2026-05-18</t>
        </is>
      </c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inlineStr">
        <is>
          <t>D/32SB3700/11.8M/525/120/1.2M/LS23A/X/N12/XMN</t>
        </is>
      </c>
      <c r="AK97" s="9" t="inlineStr">
        <is>
          <t>11.8 m m</t>
        </is>
      </c>
      <c r="AL97" s="9" t="inlineStr">
        <is>
          <t>Levy Ostrup</t>
        </is>
      </c>
      <c r="AM97" s="9" t="n"/>
      <c r="AN97" s="9" t="n"/>
    </row>
    <row r="98">
      <c r="A98" s="9" t="inlineStr">
        <is>
          <t>EHT Trace</t>
        </is>
      </c>
      <c r="B98" s="9" t="inlineStr">
        <is>
          <t>29103-ET-ST1303-1-1</t>
        </is>
      </c>
      <c r="C98" s="9" t="inlineStr">
        <is>
          <t>29103-ET-ST1303-1</t>
        </is>
      </c>
      <c r="D98" s="9" t="inlineStr">
        <is>
          <t>29103-AMB-004</t>
        </is>
      </c>
      <c r="E98" s="9" t="inlineStr">
        <is>
          <t>29103-ST-1304, 29103-ST-1303</t>
        </is>
      </c>
      <c r="F98" s="9" t="inlineStr">
        <is>
          <t>29103-65R-ET-ST1303-01-01</t>
        </is>
      </c>
      <c r="G98" s="9" t="inlineStr">
        <is>
          <t>13.1</t>
        </is>
      </c>
      <c r="H98" s="9" t="inlineStr">
        <is>
          <t>29103-ET-ST1303-1-1.pdf</t>
        </is>
      </c>
      <c r="I98" s="4" t="str">
        <f>IF($H98&lt;&gt;"","YES","NO")</f>
        <v>YES</v>
      </c>
      <c r="J98" s="4" t="str">
        <f>IF(N($T98)&gt;0,"YES","NO")</f>
        <v>NO</v>
      </c>
      <c r="K98" s="4" t="str">
        <f>IF(OR($A98="EHT Trace"),IF(AND($U98&lt;&gt;"",$V98&lt;&gt;""),"YES","NO"),"N/A")</f>
        <v>NO</v>
      </c>
      <c r="L98" s="4" t="str">
        <f>IF(OR($A98="EHT Trace"),IF(AND($X98&lt;&gt;"",$Y98&lt;&gt;""),"YES","NO"),"N/A")</f>
        <v>NO</v>
      </c>
      <c r="M98" s="4" t="str">
        <f>IF(OR($A98="EHT Trace"),IF(AND($AA98&lt;&gt;"",$AB98&lt;&gt;""),"YES","NO"),"N/A")</f>
        <v>NO</v>
      </c>
      <c r="N98" s="4" t="str">
        <f>IF(OR($A98="Power Cable"),IF(AND($AD98&lt;&gt;""),"YES","NO"),"N/A")</f>
        <v>N/A</v>
      </c>
      <c r="O98" s="4" t="str">
        <f>IF(OR($A98="Power Cable",$A98="RTD Cable",$A98="Fieldbus Cable"),IF(AND($AE98&lt;&gt;""),"YES","NO"),"N/A")</f>
        <v>N/A</v>
      </c>
      <c r="P98" s="4" t="str">
        <f>IF(OR($A98="RTD"),IF(AND($AH98&lt;&gt;""),"YES","NO"),"N/A")</f>
        <v>N/A</v>
      </c>
      <c r="Q98" s="4" t="str">
        <f>IF(OR($A98="RTD"),IF(AND($AI98&lt;&gt;""),"YES","NO"),"N/A")</f>
        <v>N/A</v>
      </c>
      <c r="R98" s="4" t="str">
        <f>IF(OR($AM98&lt;&gt;"",$Z98&lt;&gt;"",$AC98&lt;&gt;""),"YES","NO")</f>
        <v>NO</v>
      </c>
      <c r="S98" s="4" t="str">
        <f>IF(COUNTIF(I98:R98,"NO")=0,"YES","NO")</f>
        <v>NO</v>
      </c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inlineStr">
        <is>
          <t>E/32SB2114/17.5M/282/136/1.2M/LS23A/X/N12/XNF</t>
        </is>
      </c>
      <c r="AK98" s="9" t="inlineStr">
        <is>
          <t>17.5 m m</t>
        </is>
      </c>
      <c r="AL98" s="9" t="inlineStr">
        <is>
          <t>Levy Ostrup</t>
        </is>
      </c>
      <c r="AM98" s="9" t="n"/>
      <c r="AN98" s="9" t="n"/>
    </row>
    <row r="99">
      <c r="A99" s="9" t="inlineStr">
        <is>
          <t>EHT Trace</t>
        </is>
      </c>
      <c r="B99" s="9" t="inlineStr">
        <is>
          <t>29103-ET-ST1303-1-2</t>
        </is>
      </c>
      <c r="C99" s="9" t="inlineStr">
        <is>
          <t>29103-ET-ST1303-1</t>
        </is>
      </c>
      <c r="D99" s="9" t="inlineStr">
        <is>
          <t>29103-AMB-004</t>
        </is>
      </c>
      <c r="E99" s="9" t="inlineStr">
        <is>
          <t>29103-ST-1304</t>
        </is>
      </c>
      <c r="F99" s="9" t="inlineStr">
        <is>
          <t>29103-65R-ET-ST1303-01-01</t>
        </is>
      </c>
      <c r="G99" s="9" t="inlineStr">
        <is>
          <t>13.1</t>
        </is>
      </c>
      <c r="H99" s="9" t="inlineStr">
        <is>
          <t>29103-ET-ST1303-1-2.pdf</t>
        </is>
      </c>
      <c r="I99" s="4" t="str">
        <f>IF($H99&lt;&gt;"","YES","NO")</f>
        <v>YES</v>
      </c>
      <c r="J99" s="4" t="str">
        <f>IF(N($T99)&gt;0,"YES","NO")</f>
        <v>NO</v>
      </c>
      <c r="K99" s="4" t="str">
        <f>IF(OR($A99="EHT Trace"),IF(AND($U99&lt;&gt;"",$V99&lt;&gt;""),"YES","NO"),"N/A")</f>
        <v>NO</v>
      </c>
      <c r="L99" s="4" t="str">
        <f>IF(OR($A99="EHT Trace"),IF(AND($X99&lt;&gt;"",$Y99&lt;&gt;""),"YES","NO"),"N/A")</f>
        <v>NO</v>
      </c>
      <c r="M99" s="4" t="str">
        <f>IF(OR($A99="EHT Trace"),IF(AND($AA99&lt;&gt;"",$AB99&lt;&gt;""),"YES","NO"),"N/A")</f>
        <v>NO</v>
      </c>
      <c r="N99" s="4" t="str">
        <f>IF(OR($A99="Power Cable"),IF(AND($AD99&lt;&gt;""),"YES","NO"),"N/A")</f>
        <v>N/A</v>
      </c>
      <c r="O99" s="4" t="str">
        <f>IF(OR($A99="Power Cable",$A99="RTD Cable",$A99="Fieldbus Cable"),IF(AND($AE99&lt;&gt;""),"YES","NO"),"N/A")</f>
        <v>N/A</v>
      </c>
      <c r="P99" s="4" t="str">
        <f>IF(OR($A99="RTD"),IF(AND($AH99&lt;&gt;""),"YES","NO"),"N/A")</f>
        <v>N/A</v>
      </c>
      <c r="Q99" s="4" t="str">
        <f>IF(OR($A99="RTD"),IF(AND($AI99&lt;&gt;""),"YES","NO"),"N/A")</f>
        <v>N/A</v>
      </c>
      <c r="R99" s="4" t="str">
        <f>IF(OR($AM99&lt;&gt;"",$Z99&lt;&gt;"",$AC99&lt;&gt;""),"YES","NO")</f>
        <v>NO</v>
      </c>
      <c r="S99" s="4" t="str">
        <f>IF(COUNTIF(I99:R99,"NO")=0,"YES","NO")</f>
        <v>NO</v>
      </c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inlineStr">
        <is>
          <t>D/32SB2114/18.2M/293/141/1.2M/LS23A/X/N12/XMN</t>
        </is>
      </c>
      <c r="AK99" s="9" t="inlineStr">
        <is>
          <t>18.2 m m</t>
        </is>
      </c>
      <c r="AL99" s="9" t="inlineStr">
        <is>
          <t>Levy Ostrup</t>
        </is>
      </c>
      <c r="AM99" s="9" t="n"/>
      <c r="AN99" s="9" t="n"/>
    </row>
    <row r="100">
      <c r="A100" s="9" t="inlineStr">
        <is>
          <t>EHT Trace</t>
        </is>
      </c>
      <c r="B100" s="9" t="inlineStr">
        <is>
          <t>29103-ET-ST1303-1-3</t>
        </is>
      </c>
      <c r="C100" s="9" t="inlineStr">
        <is>
          <t>29103-ET-ST1303-1</t>
        </is>
      </c>
      <c r="D100" s="9" t="inlineStr">
        <is>
          <t>29103-AMB-004</t>
        </is>
      </c>
      <c r="E100" s="9" t="inlineStr">
        <is>
          <t>29103-ST-1303</t>
        </is>
      </c>
      <c r="F100" s="9" t="inlineStr">
        <is>
          <t>29103-65R-ET-ST1303-01-01</t>
        </is>
      </c>
      <c r="G100" s="9" t="inlineStr">
        <is>
          <t>13.1</t>
        </is>
      </c>
      <c r="H100" s="9" t="inlineStr">
        <is>
          <t>29103-ET-ST1303-1-3.pdf</t>
        </is>
      </c>
      <c r="I100" s="4" t="str">
        <f>IF($H100&lt;&gt;"","YES","NO")</f>
        <v>YES</v>
      </c>
      <c r="J100" s="4" t="str">
        <f>IF(N($T100)&gt;0,"YES","NO")</f>
        <v>NO</v>
      </c>
      <c r="K100" s="4" t="str">
        <f>IF(OR($A100="EHT Trace"),IF(AND($U100&lt;&gt;"",$V100&lt;&gt;""),"YES","NO"),"N/A")</f>
        <v>YES</v>
      </c>
      <c r="L100" s="4" t="str">
        <f>IF(OR($A100="EHT Trace"),IF(AND($X100&lt;&gt;"",$Y100&lt;&gt;""),"YES","NO"),"N/A")</f>
        <v>NO</v>
      </c>
      <c r="M100" s="4" t="str">
        <f>IF(OR($A100="EHT Trace"),IF(AND($AA100&lt;&gt;"",$AB100&lt;&gt;""),"YES","NO"),"N/A")</f>
        <v>NO</v>
      </c>
      <c r="N100" s="4" t="str">
        <f>IF(OR($A100="Power Cable"),IF(AND($AD100&lt;&gt;""),"YES","NO"),"N/A")</f>
        <v>N/A</v>
      </c>
      <c r="O100" s="4" t="str">
        <f>IF(OR($A100="Power Cable",$A100="RTD Cable",$A100="Fieldbus Cable"),IF(AND($AE100&lt;&gt;""),"YES","NO"),"N/A")</f>
        <v>N/A</v>
      </c>
      <c r="P100" s="4" t="str">
        <f>IF(OR($A100="RTD"),IF(AND($AH100&lt;&gt;""),"YES","NO"),"N/A")</f>
        <v>N/A</v>
      </c>
      <c r="Q100" s="4" t="str">
        <f>IF(OR($A100="RTD"),IF(AND($AI100&lt;&gt;""),"YES","NO"),"N/A")</f>
        <v>N/A</v>
      </c>
      <c r="R100" s="4" t="str">
        <f>IF(OR($AM100&lt;&gt;"",$Z100&lt;&gt;"",$AC100&lt;&gt;""),"YES","NO")</f>
        <v>NO</v>
      </c>
      <c r="S100" s="4" t="str">
        <f>IF(COUNTIF(I100:R100,"NO")=0,"YES","NO")</f>
        <v>NO</v>
      </c>
      <c r="T100" s="9" t="n"/>
      <c r="U100" s="9" t="inlineStr">
        <is>
          <t>&gt;550 MΩ</t>
        </is>
      </c>
      <c r="V100" s="9" t="inlineStr">
        <is>
          <t>55.4 Ω</t>
        </is>
      </c>
      <c r="W100" s="9" t="inlineStr">
        <is>
          <t>2026-05-18</t>
        </is>
      </c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inlineStr">
        <is>
          <t>E/32SA2170/9.5M/162/93/1.2M/LS23A/X/N12/XNF</t>
        </is>
      </c>
      <c r="AK100" s="9" t="inlineStr">
        <is>
          <t>9.5 m m</t>
        </is>
      </c>
      <c r="AL100" s="9" t="inlineStr">
        <is>
          <t>Levy Ostrup</t>
        </is>
      </c>
      <c r="AM100" s="9" t="n"/>
      <c r="AN100" s="9" t="n"/>
    </row>
    <row r="101">
      <c r="A101" s="9" t="inlineStr">
        <is>
          <t>EHT Trace</t>
        </is>
      </c>
      <c r="B101" s="9" t="inlineStr">
        <is>
          <t>29103-ET-ST1303-1-4</t>
        </is>
      </c>
      <c r="C101" s="9" t="inlineStr">
        <is>
          <t>29103-ET-ST1303-1</t>
        </is>
      </c>
      <c r="D101" s="9" t="inlineStr">
        <is>
          <t>29103-AMB-004</t>
        </is>
      </c>
      <c r="E101" s="9" t="inlineStr">
        <is>
          <t>29103-ST-1303</t>
        </is>
      </c>
      <c r="F101" s="9" t="inlineStr">
        <is>
          <t>29103-65R-ET-ST1303-01-01</t>
        </is>
      </c>
      <c r="G101" s="9" t="inlineStr">
        <is>
          <t>13.1</t>
        </is>
      </c>
      <c r="H101" s="9" t="inlineStr">
        <is>
          <t>29103-ET-ST1303-1-4.pdf</t>
        </is>
      </c>
      <c r="I101" s="4" t="str">
        <f>IF($H101&lt;&gt;"","YES","NO")</f>
        <v>YES</v>
      </c>
      <c r="J101" s="4" t="str">
        <f>IF(N($T101)&gt;0,"YES","NO")</f>
        <v>NO</v>
      </c>
      <c r="K101" s="4" t="str">
        <f>IF(OR($A101="EHT Trace"),IF(AND($U101&lt;&gt;"",$V101&lt;&gt;""),"YES","NO"),"N/A")</f>
        <v>YES</v>
      </c>
      <c r="L101" s="4" t="str">
        <f>IF(OR($A101="EHT Trace"),IF(AND($X101&lt;&gt;"",$Y101&lt;&gt;""),"YES","NO"),"N/A")</f>
        <v>NO</v>
      </c>
      <c r="M101" s="4" t="str">
        <f>IF(OR($A101="EHT Trace"),IF(AND($AA101&lt;&gt;"",$AB101&lt;&gt;""),"YES","NO"),"N/A")</f>
        <v>NO</v>
      </c>
      <c r="N101" s="4" t="str">
        <f>IF(OR($A101="Power Cable"),IF(AND($AD101&lt;&gt;""),"YES","NO"),"N/A")</f>
        <v>N/A</v>
      </c>
      <c r="O101" s="4" t="str">
        <f>IF(OR($A101="Power Cable",$A101="RTD Cable",$A101="Fieldbus Cable"),IF(AND($AE101&lt;&gt;""),"YES","NO"),"N/A")</f>
        <v>N/A</v>
      </c>
      <c r="P101" s="4" t="str">
        <f>IF(OR($A101="RTD"),IF(AND($AH101&lt;&gt;""),"YES","NO"),"N/A")</f>
        <v>N/A</v>
      </c>
      <c r="Q101" s="4" t="str">
        <f>IF(OR($A101="RTD"),IF(AND($AI101&lt;&gt;""),"YES","NO"),"N/A")</f>
        <v>N/A</v>
      </c>
      <c r="R101" s="4" t="str">
        <f>IF(OR($AM101&lt;&gt;"",$Z101&lt;&gt;"",$AC101&lt;&gt;""),"YES","NO")</f>
        <v>NO</v>
      </c>
      <c r="S101" s="4" t="str">
        <f>IF(COUNTIF(I101:R101,"NO")=0,"YES","NO")</f>
        <v>NO</v>
      </c>
      <c r="T101" s="9" t="n"/>
      <c r="U101" s="9" t="inlineStr">
        <is>
          <t>&gt;550 MΩ</t>
        </is>
      </c>
      <c r="V101" s="9" t="inlineStr">
        <is>
          <t>33.8 Ω</t>
        </is>
      </c>
      <c r="W101" s="9" t="inlineStr">
        <is>
          <t>2026-05-18</t>
        </is>
      </c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inlineStr">
        <is>
          <t>E/32SA2170/5.7M/97/55.8/1.2M/LS23A/X/N12/XMF</t>
        </is>
      </c>
      <c r="AK101" s="9" t="inlineStr">
        <is>
          <t>5.7 m m</t>
        </is>
      </c>
      <c r="AL101" s="9" t="inlineStr">
        <is>
          <t>Levy Ostrup</t>
        </is>
      </c>
      <c r="AM101" s="9" t="n"/>
      <c r="AN101" s="9" t="n"/>
    </row>
    <row r="102">
      <c r="A102" s="9" t="inlineStr">
        <is>
          <t>EHT Trace</t>
        </is>
      </c>
      <c r="B102" s="9" t="inlineStr">
        <is>
          <t>29103-ET-ST1303-1-5</t>
        </is>
      </c>
      <c r="C102" s="9" t="inlineStr">
        <is>
          <t>29103-ET-ST1303-1</t>
        </is>
      </c>
      <c r="D102" s="9" t="inlineStr">
        <is>
          <t>29103-AMB-004</t>
        </is>
      </c>
      <c r="E102" s="9" t="inlineStr">
        <is>
          <t>29103-ST-1303</t>
        </is>
      </c>
      <c r="F102" s="9" t="inlineStr">
        <is>
          <t>29103-65R-ET-ST1303-01-01</t>
        </is>
      </c>
      <c r="G102" s="9" t="inlineStr">
        <is>
          <t>13.1</t>
        </is>
      </c>
      <c r="H102" s="9" t="inlineStr">
        <is>
          <t>29103-ET-ST1303-1-5.pdf</t>
        </is>
      </c>
      <c r="I102" s="4" t="str">
        <f>IF($H102&lt;&gt;"","YES","NO")</f>
        <v>YES</v>
      </c>
      <c r="J102" s="4" t="str">
        <f>IF(N($T102)&gt;0,"YES","NO")</f>
        <v>NO</v>
      </c>
      <c r="K102" s="4" t="str">
        <f>IF(OR($A102="EHT Trace"),IF(AND($U102&lt;&gt;"",$V102&lt;&gt;""),"YES","NO"),"N/A")</f>
        <v>YES</v>
      </c>
      <c r="L102" s="4" t="str">
        <f>IF(OR($A102="EHT Trace"),IF(AND($X102&lt;&gt;"",$Y102&lt;&gt;""),"YES","NO"),"N/A")</f>
        <v>NO</v>
      </c>
      <c r="M102" s="4" t="str">
        <f>IF(OR($A102="EHT Trace"),IF(AND($AA102&lt;&gt;"",$AB102&lt;&gt;""),"YES","NO"),"N/A")</f>
        <v>NO</v>
      </c>
      <c r="N102" s="4" t="str">
        <f>IF(OR($A102="Power Cable"),IF(AND($AD102&lt;&gt;""),"YES","NO"),"N/A")</f>
        <v>N/A</v>
      </c>
      <c r="O102" s="4" t="str">
        <f>IF(OR($A102="Power Cable",$A102="RTD Cable",$A102="Fieldbus Cable"),IF(AND($AE102&lt;&gt;""),"YES","NO"),"N/A")</f>
        <v>N/A</v>
      </c>
      <c r="P102" s="4" t="str">
        <f>IF(OR($A102="RTD"),IF(AND($AH102&lt;&gt;""),"YES","NO"),"N/A")</f>
        <v>N/A</v>
      </c>
      <c r="Q102" s="4" t="str">
        <f>IF(OR($A102="RTD"),IF(AND($AI102&lt;&gt;""),"YES","NO"),"N/A")</f>
        <v>N/A</v>
      </c>
      <c r="R102" s="4" t="str">
        <f>IF(OR($AM102&lt;&gt;"",$Z102&lt;&gt;"",$AC102&lt;&gt;""),"YES","NO")</f>
        <v>NO</v>
      </c>
      <c r="S102" s="4" t="str">
        <f>IF(COUNTIF(I102:R102,"NO")=0,"YES","NO")</f>
        <v>NO</v>
      </c>
      <c r="T102" s="9" t="n"/>
      <c r="U102" s="9" t="inlineStr">
        <is>
          <t>&gt;550 MΩ</t>
        </is>
      </c>
      <c r="V102" s="9" t="inlineStr">
        <is>
          <t>76.2 Ω</t>
        </is>
      </c>
      <c r="W102" s="9" t="inlineStr">
        <is>
          <t>2026-05-18</t>
        </is>
      </c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inlineStr">
        <is>
          <t>D/32SA2170/13.1M/224/128/1.2M/LS23A/X/N12/XMN</t>
        </is>
      </c>
      <c r="AK102" s="9" t="inlineStr">
        <is>
          <t>13.1 m m</t>
        </is>
      </c>
      <c r="AL102" s="9" t="inlineStr">
        <is>
          <t>Levy Ostrup</t>
        </is>
      </c>
      <c r="AM102" s="9" t="n"/>
      <c r="AN102" s="9" t="n"/>
    </row>
    <row r="103">
      <c r="A103" s="9" t="inlineStr">
        <is>
          <t>EHT Trace</t>
        </is>
      </c>
      <c r="B103" s="9" t="inlineStr">
        <is>
          <t>29103-ET-ST1403-1-1</t>
        </is>
      </c>
      <c r="C103" s="9" t="inlineStr">
        <is>
          <t>29103-ET-ST1403-1</t>
        </is>
      </c>
      <c r="D103" s="9" t="inlineStr">
        <is>
          <t>29103-AMB-004</t>
        </is>
      </c>
      <c r="E103" s="9" t="inlineStr">
        <is>
          <t>29103-ST-1404, 29103-ST-1403</t>
        </is>
      </c>
      <c r="F103" s="9" t="inlineStr">
        <is>
          <t>29103-65R-ET-ST1403-01-01</t>
        </is>
      </c>
      <c r="G103" s="9" t="inlineStr">
        <is>
          <t>13.1</t>
        </is>
      </c>
      <c r="H103" s="9" t="inlineStr">
        <is>
          <t>29103-ET-ST1403-1-1.pdf</t>
        </is>
      </c>
      <c r="I103" s="4" t="str">
        <f>IF($H103&lt;&gt;"","YES","NO")</f>
        <v>YES</v>
      </c>
      <c r="J103" s="4" t="str">
        <f>IF(N($T103)&gt;0,"YES","NO")</f>
        <v>NO</v>
      </c>
      <c r="K103" s="4" t="str">
        <f>IF(OR($A103="EHT Trace"),IF(AND($U103&lt;&gt;"",$V103&lt;&gt;""),"YES","NO"),"N/A")</f>
        <v>NO</v>
      </c>
      <c r="L103" s="4" t="str">
        <f>IF(OR($A103="EHT Trace"),IF(AND($X103&lt;&gt;"",$Y103&lt;&gt;""),"YES","NO"),"N/A")</f>
        <v>NO</v>
      </c>
      <c r="M103" s="4" t="str">
        <f>IF(OR($A103="EHT Trace"),IF(AND($AA103&lt;&gt;"",$AB103&lt;&gt;""),"YES","NO"),"N/A")</f>
        <v>NO</v>
      </c>
      <c r="N103" s="4" t="str">
        <f>IF(OR($A103="Power Cable"),IF(AND($AD103&lt;&gt;""),"YES","NO"),"N/A")</f>
        <v>N/A</v>
      </c>
      <c r="O103" s="4" t="str">
        <f>IF(OR($A103="Power Cable",$A103="RTD Cable",$A103="Fieldbus Cable"),IF(AND($AE103&lt;&gt;""),"YES","NO"),"N/A")</f>
        <v>N/A</v>
      </c>
      <c r="P103" s="4" t="str">
        <f>IF(OR($A103="RTD"),IF(AND($AH103&lt;&gt;""),"YES","NO"),"N/A")</f>
        <v>N/A</v>
      </c>
      <c r="Q103" s="4" t="str">
        <f>IF(OR($A103="RTD"),IF(AND($AI103&lt;&gt;""),"YES","NO"),"N/A")</f>
        <v>N/A</v>
      </c>
      <c r="R103" s="4" t="str">
        <f>IF(OR($AM103&lt;&gt;"",$Z103&lt;&gt;"",$AC103&lt;&gt;""),"YES","NO")</f>
        <v>NO</v>
      </c>
      <c r="S103" s="4" t="str">
        <f>IF(COUNTIF(I103:R103,"NO")=0,"YES","NO")</f>
        <v>NO</v>
      </c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inlineStr">
        <is>
          <t>E/32SB2114/17.3M/282/135/1.2M/LS23A/X/N12/XNF</t>
        </is>
      </c>
      <c r="AK103" s="9" t="inlineStr">
        <is>
          <t>17.3 m m</t>
        </is>
      </c>
      <c r="AL103" s="9" t="inlineStr">
        <is>
          <t>Levy Ostrup</t>
        </is>
      </c>
      <c r="AM103" s="9" t="n"/>
      <c r="AN103" s="9" t="n"/>
    </row>
    <row r="104">
      <c r="A104" s="9" t="inlineStr">
        <is>
          <t>EHT Trace</t>
        </is>
      </c>
      <c r="B104" s="9" t="inlineStr">
        <is>
          <t>29103-ET-ST1403-1-2</t>
        </is>
      </c>
      <c r="C104" s="9" t="inlineStr">
        <is>
          <t>29103-ET-ST1403-1</t>
        </is>
      </c>
      <c r="D104" s="9" t="inlineStr">
        <is>
          <t>29103-AMB-004</t>
        </is>
      </c>
      <c r="E104" s="9" t="inlineStr">
        <is>
          <t>29103-ST-1404</t>
        </is>
      </c>
      <c r="F104" s="9" t="inlineStr">
        <is>
          <t>29103-65R-ET-ST1403-01-01</t>
        </is>
      </c>
      <c r="G104" s="9" t="inlineStr">
        <is>
          <t>13.1</t>
        </is>
      </c>
      <c r="H104" s="9" t="inlineStr">
        <is>
          <t>29103-ET-ST1403-1-2.pdf</t>
        </is>
      </c>
      <c r="I104" s="4" t="str">
        <f>IF($H104&lt;&gt;"","YES","NO")</f>
        <v>YES</v>
      </c>
      <c r="J104" s="4" t="str">
        <f>IF(N($T104)&gt;0,"YES","NO")</f>
        <v>NO</v>
      </c>
      <c r="K104" s="4" t="str">
        <f>IF(OR($A104="EHT Trace"),IF(AND($U104&lt;&gt;"",$V104&lt;&gt;""),"YES","NO"),"N/A")</f>
        <v>NO</v>
      </c>
      <c r="L104" s="4" t="str">
        <f>IF(OR($A104="EHT Trace"),IF(AND($X104&lt;&gt;"",$Y104&lt;&gt;""),"YES","NO"),"N/A")</f>
        <v>NO</v>
      </c>
      <c r="M104" s="4" t="str">
        <f>IF(OR($A104="EHT Trace"),IF(AND($AA104&lt;&gt;"",$AB104&lt;&gt;""),"YES","NO"),"N/A")</f>
        <v>NO</v>
      </c>
      <c r="N104" s="4" t="str">
        <f>IF(OR($A104="Power Cable"),IF(AND($AD104&lt;&gt;""),"YES","NO"),"N/A")</f>
        <v>N/A</v>
      </c>
      <c r="O104" s="4" t="str">
        <f>IF(OR($A104="Power Cable",$A104="RTD Cable",$A104="Fieldbus Cable"),IF(AND($AE104&lt;&gt;""),"YES","NO"),"N/A")</f>
        <v>N/A</v>
      </c>
      <c r="P104" s="4" t="str">
        <f>IF(OR($A104="RTD"),IF(AND($AH104&lt;&gt;""),"YES","NO"),"N/A")</f>
        <v>N/A</v>
      </c>
      <c r="Q104" s="4" t="str">
        <f>IF(OR($A104="RTD"),IF(AND($AI104&lt;&gt;""),"YES","NO"),"N/A")</f>
        <v>N/A</v>
      </c>
      <c r="R104" s="4" t="str">
        <f>IF(OR($AM104&lt;&gt;"",$Z104&lt;&gt;"",$AC104&lt;&gt;""),"YES","NO")</f>
        <v>NO</v>
      </c>
      <c r="S104" s="4" t="str">
        <f>IF(COUNTIF(I104:R104,"NO")=0,"YES","NO")</f>
        <v>NO</v>
      </c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inlineStr">
        <is>
          <t>D/32SB2114/18.2M/297/142/1.2M/LS23A/X/N12/XMN</t>
        </is>
      </c>
      <c r="AK104" s="9" t="inlineStr">
        <is>
          <t>18.2 m m</t>
        </is>
      </c>
      <c r="AL104" s="9" t="inlineStr">
        <is>
          <t>Levy Ostrup</t>
        </is>
      </c>
      <c r="AM104" s="9" t="n"/>
      <c r="AN104" s="9" t="n"/>
    </row>
    <row r="105">
      <c r="A105" s="9" t="inlineStr">
        <is>
          <t>EHT Trace</t>
        </is>
      </c>
      <c r="B105" s="9" t="inlineStr">
        <is>
          <t>29103-ET-ST1403-1-3</t>
        </is>
      </c>
      <c r="C105" s="9" t="inlineStr">
        <is>
          <t>29103-ET-ST1403-1</t>
        </is>
      </c>
      <c r="D105" s="9" t="inlineStr">
        <is>
          <t>29103-AMB-004</t>
        </is>
      </c>
      <c r="E105" s="9" t="inlineStr">
        <is>
          <t>29103-ST-1403</t>
        </is>
      </c>
      <c r="F105" s="9" t="inlineStr">
        <is>
          <t>29103-65R-ET-ST1403-01-01</t>
        </is>
      </c>
      <c r="G105" s="9" t="inlineStr">
        <is>
          <t>13.1</t>
        </is>
      </c>
      <c r="H105" s="9" t="inlineStr">
        <is>
          <t>29103-ET-ST1403-1-3.pdf</t>
        </is>
      </c>
      <c r="I105" s="4" t="str">
        <f>IF($H105&lt;&gt;"","YES","NO")</f>
        <v>YES</v>
      </c>
      <c r="J105" s="4" t="str">
        <f>IF(N($T105)&gt;0,"YES","NO")</f>
        <v>NO</v>
      </c>
      <c r="K105" s="4" t="str">
        <f>IF(OR($A105="EHT Trace"),IF(AND($U105&lt;&gt;"",$V105&lt;&gt;""),"YES","NO"),"N/A")</f>
        <v>YES</v>
      </c>
      <c r="L105" s="4" t="str">
        <f>IF(OR($A105="EHT Trace"),IF(AND($X105&lt;&gt;"",$Y105&lt;&gt;""),"YES","NO"),"N/A")</f>
        <v>NO</v>
      </c>
      <c r="M105" s="4" t="str">
        <f>IF(OR($A105="EHT Trace"),IF(AND($AA105&lt;&gt;"",$AB105&lt;&gt;""),"YES","NO"),"N/A")</f>
        <v>NO</v>
      </c>
      <c r="N105" s="4" t="str">
        <f>IF(OR($A105="Power Cable"),IF(AND($AD105&lt;&gt;""),"YES","NO"),"N/A")</f>
        <v>N/A</v>
      </c>
      <c r="O105" s="4" t="str">
        <f>IF(OR($A105="Power Cable",$A105="RTD Cable",$A105="Fieldbus Cable"),IF(AND($AE105&lt;&gt;""),"YES","NO"),"N/A")</f>
        <v>N/A</v>
      </c>
      <c r="P105" s="4" t="str">
        <f>IF(OR($A105="RTD"),IF(AND($AH105&lt;&gt;""),"YES","NO"),"N/A")</f>
        <v>N/A</v>
      </c>
      <c r="Q105" s="4" t="str">
        <f>IF(OR($A105="RTD"),IF(AND($AI105&lt;&gt;""),"YES","NO"),"N/A")</f>
        <v>N/A</v>
      </c>
      <c r="R105" s="4" t="str">
        <f>IF(OR($AM105&lt;&gt;"",$Z105&lt;&gt;"",$AC105&lt;&gt;""),"YES","NO")</f>
        <v>NO</v>
      </c>
      <c r="S105" s="4" t="str">
        <f>IF(COUNTIF(I105:R105,"NO")=0,"YES","NO")</f>
        <v>NO</v>
      </c>
      <c r="T105" s="9" t="n"/>
      <c r="U105" s="9" t="inlineStr">
        <is>
          <t>&gt;550 MΩ</t>
        </is>
      </c>
      <c r="V105" s="9" t="inlineStr">
        <is>
          <t>51.8 Ω</t>
        </is>
      </c>
      <c r="W105" s="9" t="inlineStr">
        <is>
          <t>2026-05-18</t>
        </is>
      </c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inlineStr">
        <is>
          <t>E/32SA2200/7.6M/127/79.7/1.2M/LS23A/X/N12/XNF</t>
        </is>
      </c>
      <c r="AK105" s="9" t="inlineStr">
        <is>
          <t>7.6 m m</t>
        </is>
      </c>
      <c r="AL105" s="9" t="inlineStr">
        <is>
          <t>Levy Ostrup</t>
        </is>
      </c>
      <c r="AM105" s="9" t="n"/>
      <c r="AN105" s="9" t="n"/>
    </row>
    <row r="106">
      <c r="A106" s="9" t="inlineStr">
        <is>
          <t>EHT Trace</t>
        </is>
      </c>
      <c r="B106" s="9" t="inlineStr">
        <is>
          <t>29103-ET-ST1403-1-4</t>
        </is>
      </c>
      <c r="C106" s="9" t="inlineStr">
        <is>
          <t>29103-ET-ST1403-1</t>
        </is>
      </c>
      <c r="D106" s="9" t="inlineStr">
        <is>
          <t>29103-AMB-004</t>
        </is>
      </c>
      <c r="E106" s="9" t="inlineStr">
        <is>
          <t>29103-ST-1403</t>
        </is>
      </c>
      <c r="F106" s="9" t="inlineStr">
        <is>
          <t>29103-65R-ET-ST1403-01-01</t>
        </is>
      </c>
      <c r="G106" s="9" t="inlineStr">
        <is>
          <t>13.1</t>
        </is>
      </c>
      <c r="H106" s="9" t="inlineStr">
        <is>
          <t>29103-ET-ST1403-1-4.pdf</t>
        </is>
      </c>
      <c r="I106" s="4" t="str">
        <f>IF($H106&lt;&gt;"","YES","NO")</f>
        <v>YES</v>
      </c>
      <c r="J106" s="4" t="str">
        <f>IF(N($T106)&gt;0,"YES","NO")</f>
        <v>NO</v>
      </c>
      <c r="K106" s="4" t="str">
        <f>IF(OR($A106="EHT Trace"),IF(AND($U106&lt;&gt;"",$V106&lt;&gt;""),"YES","NO"),"N/A")</f>
        <v>YES</v>
      </c>
      <c r="L106" s="4" t="str">
        <f>IF(OR($A106="EHT Trace"),IF(AND($X106&lt;&gt;"",$Y106&lt;&gt;""),"YES","NO"),"N/A")</f>
        <v>NO</v>
      </c>
      <c r="M106" s="4" t="str">
        <f>IF(OR($A106="EHT Trace"),IF(AND($AA106&lt;&gt;"",$AB106&lt;&gt;""),"YES","NO"),"N/A")</f>
        <v>NO</v>
      </c>
      <c r="N106" s="4" t="str">
        <f>IF(OR($A106="Power Cable"),IF(AND($AD106&lt;&gt;""),"YES","NO"),"N/A")</f>
        <v>N/A</v>
      </c>
      <c r="O106" s="4" t="str">
        <f>IF(OR($A106="Power Cable",$A106="RTD Cable",$A106="Fieldbus Cable"),IF(AND($AE106&lt;&gt;""),"YES","NO"),"N/A")</f>
        <v>N/A</v>
      </c>
      <c r="P106" s="4" t="str">
        <f>IF(OR($A106="RTD"),IF(AND($AH106&lt;&gt;""),"YES","NO"),"N/A")</f>
        <v>N/A</v>
      </c>
      <c r="Q106" s="4" t="str">
        <f>IF(OR($A106="RTD"),IF(AND($AI106&lt;&gt;""),"YES","NO"),"N/A")</f>
        <v>N/A</v>
      </c>
      <c r="R106" s="4" t="str">
        <f>IF(OR($AM106&lt;&gt;"",$Z106&lt;&gt;"",$AC106&lt;&gt;""),"YES","NO")</f>
        <v>NO</v>
      </c>
      <c r="S106" s="4" t="str">
        <f>IF(COUNTIF(I106:R106,"NO")=0,"YES","NO")</f>
        <v>NO</v>
      </c>
      <c r="T106" s="9" t="n"/>
      <c r="U106" s="9" t="inlineStr">
        <is>
          <t>&gt;550 MΩ</t>
        </is>
      </c>
      <c r="V106" s="9" t="inlineStr">
        <is>
          <t>38.7 Ω</t>
        </is>
      </c>
      <c r="W106" s="9" t="inlineStr">
        <is>
          <t>2026-05-18</t>
        </is>
      </c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inlineStr">
        <is>
          <t>E/32SA2200/5.7M/95/59.8/1.2M/LS23A/X/N12/XMF</t>
        </is>
      </c>
      <c r="AK106" s="9" t="inlineStr">
        <is>
          <t>5.7 m m</t>
        </is>
      </c>
      <c r="AL106" s="9" t="inlineStr">
        <is>
          <t>Levy Ostrup</t>
        </is>
      </c>
      <c r="AM106" s="9" t="n"/>
      <c r="AN106" s="9" t="n"/>
    </row>
    <row r="107">
      <c r="A107" s="9" t="inlineStr">
        <is>
          <t>EHT Trace</t>
        </is>
      </c>
      <c r="B107" s="9" t="inlineStr">
        <is>
          <t>29103-ET-ST1403-1-5</t>
        </is>
      </c>
      <c r="C107" s="9" t="inlineStr">
        <is>
          <t>29103-ET-ST1403-1</t>
        </is>
      </c>
      <c r="D107" s="9" t="inlineStr">
        <is>
          <t>29103-AMB-004</t>
        </is>
      </c>
      <c r="E107" s="9" t="inlineStr">
        <is>
          <t>29103-ST-1403</t>
        </is>
      </c>
      <c r="F107" s="9" t="inlineStr">
        <is>
          <t>29103-65R-ET-ST1403-01-01</t>
        </is>
      </c>
      <c r="G107" s="9" t="inlineStr">
        <is>
          <t>13.1</t>
        </is>
      </c>
      <c r="H107" s="9" t="inlineStr">
        <is>
          <t>29103-ET-ST1403-1-5.pdf</t>
        </is>
      </c>
      <c r="I107" s="4" t="str">
        <f>IF($H107&lt;&gt;"","YES","NO")</f>
        <v>YES</v>
      </c>
      <c r="J107" s="4" t="str">
        <f>IF(N($T107)&gt;0,"YES","NO")</f>
        <v>NO</v>
      </c>
      <c r="K107" s="4" t="str">
        <f>IF(OR($A107="EHT Trace"),IF(AND($U107&lt;&gt;"",$V107&lt;&gt;""),"YES","NO"),"N/A")</f>
        <v>YES</v>
      </c>
      <c r="L107" s="4" t="str">
        <f>IF(OR($A107="EHT Trace"),IF(AND($X107&lt;&gt;"",$Y107&lt;&gt;""),"YES","NO"),"N/A")</f>
        <v>NO</v>
      </c>
      <c r="M107" s="4" t="str">
        <f>IF(OR($A107="EHT Trace"),IF(AND($AA107&lt;&gt;"",$AB107&lt;&gt;""),"YES","NO"),"N/A")</f>
        <v>NO</v>
      </c>
      <c r="N107" s="4" t="str">
        <f>IF(OR($A107="Power Cable"),IF(AND($AD107&lt;&gt;""),"YES","NO"),"N/A")</f>
        <v>N/A</v>
      </c>
      <c r="O107" s="4" t="str">
        <f>IF(OR($A107="Power Cable",$A107="RTD Cable",$A107="Fieldbus Cable"),IF(AND($AE107&lt;&gt;""),"YES","NO"),"N/A")</f>
        <v>N/A</v>
      </c>
      <c r="P107" s="4" t="str">
        <f>IF(OR($A107="RTD"),IF(AND($AH107&lt;&gt;""),"YES","NO"),"N/A")</f>
        <v>N/A</v>
      </c>
      <c r="Q107" s="4" t="str">
        <f>IF(OR($A107="RTD"),IF(AND($AI107&lt;&gt;""),"YES","NO"),"N/A")</f>
        <v>N/A</v>
      </c>
      <c r="R107" s="4" t="str">
        <f>IF(OR($AM107&lt;&gt;"",$Z107&lt;&gt;"",$AC107&lt;&gt;""),"YES","NO")</f>
        <v>NO</v>
      </c>
      <c r="S107" s="4" t="str">
        <f>IF(COUNTIF(I107:R107,"NO")=0,"YES","NO")</f>
        <v>NO</v>
      </c>
      <c r="T107" s="9" t="n"/>
      <c r="U107" s="9" t="inlineStr">
        <is>
          <t>&gt;550 MΩ</t>
        </is>
      </c>
      <c r="V107" s="9" t="inlineStr">
        <is>
          <t>88.3 Ω</t>
        </is>
      </c>
      <c r="W107" s="9" t="inlineStr">
        <is>
          <t>2026-05-18</t>
        </is>
      </c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inlineStr">
        <is>
          <t>D/32SA2200/13.1M/219/137/1.2M/LS23A/X/N12/XMN</t>
        </is>
      </c>
      <c r="AK107" s="9" t="inlineStr">
        <is>
          <t>13.1 m m</t>
        </is>
      </c>
      <c r="AL107" s="9" t="inlineStr">
        <is>
          <t>Levy Ostrup</t>
        </is>
      </c>
      <c r="AM107" s="9" t="n"/>
      <c r="AN107" s="9" t="n"/>
    </row>
    <row r="108">
      <c r="A108" s="9" t="inlineStr">
        <is>
          <t>EHT Trace</t>
        </is>
      </c>
      <c r="B108" s="9" t="inlineStr">
        <is>
          <t>29103-ET-ST1503-1-1</t>
        </is>
      </c>
      <c r="C108" s="9" t="inlineStr">
        <is>
          <t>29103-ET-ST1503-1</t>
        </is>
      </c>
      <c r="D108" s="9" t="inlineStr">
        <is>
          <t>29103-AMB-006</t>
        </is>
      </c>
      <c r="E108" s="9" t="inlineStr">
        <is>
          <t>29103-ST-1504, 29103-ST-1503</t>
        </is>
      </c>
      <c r="F108" s="9" t="inlineStr">
        <is>
          <t>29103-65R-ET-ST1503-01-01</t>
        </is>
      </c>
      <c r="G108" s="9" t="inlineStr">
        <is>
          <t>13.1</t>
        </is>
      </c>
      <c r="H108" s="9" t="inlineStr">
        <is>
          <t>29103-ET-ST1503-1-1.pdf</t>
        </is>
      </c>
      <c r="I108" s="4" t="str">
        <f>IF($H108&lt;&gt;"","YES","NO")</f>
        <v>YES</v>
      </c>
      <c r="J108" s="4" t="str">
        <f>IF(N($T108)&gt;0,"YES","NO")</f>
        <v>NO</v>
      </c>
      <c r="K108" s="4" t="str">
        <f>IF(OR($A108="EHT Trace"),IF(AND($U108&lt;&gt;"",$V108&lt;&gt;""),"YES","NO"),"N/A")</f>
        <v>NO</v>
      </c>
      <c r="L108" s="4" t="str">
        <f>IF(OR($A108="EHT Trace"),IF(AND($X108&lt;&gt;"",$Y108&lt;&gt;""),"YES","NO"),"N/A")</f>
        <v>NO</v>
      </c>
      <c r="M108" s="4" t="str">
        <f>IF(OR($A108="EHT Trace"),IF(AND($AA108&lt;&gt;"",$AB108&lt;&gt;""),"YES","NO"),"N/A")</f>
        <v>NO</v>
      </c>
      <c r="N108" s="4" t="str">
        <f>IF(OR($A108="Power Cable"),IF(AND($AD108&lt;&gt;""),"YES","NO"),"N/A")</f>
        <v>N/A</v>
      </c>
      <c r="O108" s="4" t="str">
        <f>IF(OR($A108="Power Cable",$A108="RTD Cable",$A108="Fieldbus Cable"),IF(AND($AE108&lt;&gt;""),"YES","NO"),"N/A")</f>
        <v>N/A</v>
      </c>
      <c r="P108" s="4" t="str">
        <f>IF(OR($A108="RTD"),IF(AND($AH108&lt;&gt;""),"YES","NO"),"N/A")</f>
        <v>N/A</v>
      </c>
      <c r="Q108" s="4" t="str">
        <f>IF(OR($A108="RTD"),IF(AND($AI108&lt;&gt;""),"YES","NO"),"N/A")</f>
        <v>N/A</v>
      </c>
      <c r="R108" s="4" t="str">
        <f>IF(OR($AM108&lt;&gt;"",$Z108&lt;&gt;"",$AC108&lt;&gt;""),"YES","NO")</f>
        <v>NO</v>
      </c>
      <c r="S108" s="4" t="str">
        <f>IF(COUNTIF(I108:R108,"NO")=0,"YES","NO")</f>
        <v>NO</v>
      </c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inlineStr">
        <is>
          <t>E/32SB2114/17.5M/282/136/1.2M/LS23A/X/N12/XNF</t>
        </is>
      </c>
      <c r="AK108" s="9" t="inlineStr">
        <is>
          <t>17.5 m m</t>
        </is>
      </c>
      <c r="AL108" s="9" t="inlineStr">
        <is>
          <t>Levy Ostrup</t>
        </is>
      </c>
      <c r="AM108" s="9" t="n"/>
      <c r="AN108" s="9" t="n"/>
    </row>
    <row r="109">
      <c r="A109" s="9" t="inlineStr">
        <is>
          <t>EHT Trace</t>
        </is>
      </c>
      <c r="B109" s="9" t="inlineStr">
        <is>
          <t>29103-ET-ST1503-1-2</t>
        </is>
      </c>
      <c r="C109" s="9" t="inlineStr">
        <is>
          <t>29103-ET-ST1503-1</t>
        </is>
      </c>
      <c r="D109" s="9" t="inlineStr">
        <is>
          <t>29103-AMB-006</t>
        </is>
      </c>
      <c r="E109" s="9" t="inlineStr">
        <is>
          <t>29103-ST-1504</t>
        </is>
      </c>
      <c r="F109" s="9" t="inlineStr">
        <is>
          <t>29103-65R-ET-ST1503-01-01</t>
        </is>
      </c>
      <c r="G109" s="9" t="inlineStr">
        <is>
          <t>13.1</t>
        </is>
      </c>
      <c r="H109" s="9" t="inlineStr">
        <is>
          <t>29103-ET-ST1503-1-2.pdf</t>
        </is>
      </c>
      <c r="I109" s="4" t="str">
        <f>IF($H109&lt;&gt;"","YES","NO")</f>
        <v>YES</v>
      </c>
      <c r="J109" s="4" t="str">
        <f>IF(N($T109)&gt;0,"YES","NO")</f>
        <v>NO</v>
      </c>
      <c r="K109" s="4" t="str">
        <f>IF(OR($A109="EHT Trace"),IF(AND($U109&lt;&gt;"",$V109&lt;&gt;""),"YES","NO"),"N/A")</f>
        <v>NO</v>
      </c>
      <c r="L109" s="4" t="str">
        <f>IF(OR($A109="EHT Trace"),IF(AND($X109&lt;&gt;"",$Y109&lt;&gt;""),"YES","NO"),"N/A")</f>
        <v>NO</v>
      </c>
      <c r="M109" s="4" t="str">
        <f>IF(OR($A109="EHT Trace"),IF(AND($AA109&lt;&gt;"",$AB109&lt;&gt;""),"YES","NO"),"N/A")</f>
        <v>NO</v>
      </c>
      <c r="N109" s="4" t="str">
        <f>IF(OR($A109="Power Cable"),IF(AND($AD109&lt;&gt;""),"YES","NO"),"N/A")</f>
        <v>N/A</v>
      </c>
      <c r="O109" s="4" t="str">
        <f>IF(OR($A109="Power Cable",$A109="RTD Cable",$A109="Fieldbus Cable"),IF(AND($AE109&lt;&gt;""),"YES","NO"),"N/A")</f>
        <v>N/A</v>
      </c>
      <c r="P109" s="4" t="str">
        <f>IF(OR($A109="RTD"),IF(AND($AH109&lt;&gt;""),"YES","NO"),"N/A")</f>
        <v>N/A</v>
      </c>
      <c r="Q109" s="4" t="str">
        <f>IF(OR($A109="RTD"),IF(AND($AI109&lt;&gt;""),"YES","NO"),"N/A")</f>
        <v>N/A</v>
      </c>
      <c r="R109" s="4" t="str">
        <f>IF(OR($AM109&lt;&gt;"",$Z109&lt;&gt;"",$AC109&lt;&gt;""),"YES","NO")</f>
        <v>NO</v>
      </c>
      <c r="S109" s="4" t="str">
        <f>IF(COUNTIF(I109:R109,"NO")=0,"YES","NO")</f>
        <v>NO</v>
      </c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inlineStr">
        <is>
          <t>D/32SB2114/18.2M/293/141/1.2M/LS23A/X/N12/XMN</t>
        </is>
      </c>
      <c r="AK109" s="9" t="inlineStr">
        <is>
          <t>18.2 m m</t>
        </is>
      </c>
      <c r="AL109" s="9" t="inlineStr">
        <is>
          <t>Levy Ostrup</t>
        </is>
      </c>
      <c r="AM109" s="9" t="n"/>
      <c r="AN109" s="9" t="n"/>
    </row>
    <row r="110">
      <c r="A110" s="9" t="inlineStr">
        <is>
          <t>EHT Trace</t>
        </is>
      </c>
      <c r="B110" s="9" t="inlineStr">
        <is>
          <t>29103-ET-ST1503-1-3</t>
        </is>
      </c>
      <c r="C110" s="9" t="inlineStr">
        <is>
          <t>29103-ET-ST1503-1</t>
        </is>
      </c>
      <c r="D110" s="9" t="inlineStr">
        <is>
          <t>29103-AMB-006</t>
        </is>
      </c>
      <c r="E110" s="9" t="inlineStr">
        <is>
          <t>29103-ST-1503</t>
        </is>
      </c>
      <c r="F110" s="9" t="inlineStr">
        <is>
          <t>29103-65R-ET-ST1503-01-01</t>
        </is>
      </c>
      <c r="G110" s="9" t="inlineStr">
        <is>
          <t>13.1</t>
        </is>
      </c>
      <c r="H110" s="9" t="inlineStr">
        <is>
          <t>29103-ET-ST1503-1-3.pdf</t>
        </is>
      </c>
      <c r="I110" s="4" t="str">
        <f>IF($H110&lt;&gt;"","YES","NO")</f>
        <v>YES</v>
      </c>
      <c r="J110" s="4" t="str">
        <f>IF(N($T110)&gt;0,"YES","NO")</f>
        <v>NO</v>
      </c>
      <c r="K110" s="4" t="str">
        <f>IF(OR($A110="EHT Trace"),IF(AND($U110&lt;&gt;"",$V110&lt;&gt;""),"YES","NO"),"N/A")</f>
        <v>YES</v>
      </c>
      <c r="L110" s="4" t="str">
        <f>IF(OR($A110="EHT Trace"),IF(AND($X110&lt;&gt;"",$Y110&lt;&gt;""),"YES","NO"),"N/A")</f>
        <v>NO</v>
      </c>
      <c r="M110" s="4" t="str">
        <f>IF(OR($A110="EHT Trace"),IF(AND($AA110&lt;&gt;"",$AB110&lt;&gt;""),"YES","NO"),"N/A")</f>
        <v>NO</v>
      </c>
      <c r="N110" s="4" t="str">
        <f>IF(OR($A110="Power Cable"),IF(AND($AD110&lt;&gt;""),"YES","NO"),"N/A")</f>
        <v>N/A</v>
      </c>
      <c r="O110" s="4" t="str">
        <f>IF(OR($A110="Power Cable",$A110="RTD Cable",$A110="Fieldbus Cable"),IF(AND($AE110&lt;&gt;""),"YES","NO"),"N/A")</f>
        <v>N/A</v>
      </c>
      <c r="P110" s="4" t="str">
        <f>IF(OR($A110="RTD"),IF(AND($AH110&lt;&gt;""),"YES","NO"),"N/A")</f>
        <v>N/A</v>
      </c>
      <c r="Q110" s="4" t="str">
        <f>IF(OR($A110="RTD"),IF(AND($AI110&lt;&gt;""),"YES","NO"),"N/A")</f>
        <v>N/A</v>
      </c>
      <c r="R110" s="4" t="str">
        <f>IF(OR($AM110&lt;&gt;"",$Z110&lt;&gt;"",$AC110&lt;&gt;""),"YES","NO")</f>
        <v>NO</v>
      </c>
      <c r="S110" s="4" t="str">
        <f>IF(COUNTIF(I110:R110,"NO")=0,"YES","NO")</f>
        <v>NO</v>
      </c>
      <c r="T110" s="9" t="n"/>
      <c r="U110" s="9" t="inlineStr">
        <is>
          <t>&gt;550 MΩ</t>
        </is>
      </c>
      <c r="V110" s="9" t="inlineStr">
        <is>
          <t>55.5 Ω</t>
        </is>
      </c>
      <c r="W110" s="9" t="inlineStr">
        <is>
          <t>2026-05-18</t>
        </is>
      </c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inlineStr">
        <is>
          <t>E/32SA2170/9.5M/162/93/1.2M/LS23A/X/N12/XNF</t>
        </is>
      </c>
      <c r="AK110" s="9" t="inlineStr">
        <is>
          <t>9.5 m m</t>
        </is>
      </c>
      <c r="AL110" s="9" t="inlineStr">
        <is>
          <t>Levy Ostrup</t>
        </is>
      </c>
      <c r="AM110" s="9" t="n"/>
      <c r="AN110" s="9" t="n"/>
    </row>
    <row r="111">
      <c r="A111" s="9" t="inlineStr">
        <is>
          <t>EHT Trace</t>
        </is>
      </c>
      <c r="B111" s="9" t="inlineStr">
        <is>
          <t>29103-ET-ST1503-1-4</t>
        </is>
      </c>
      <c r="C111" s="9" t="inlineStr">
        <is>
          <t>29103-ET-ST1503-1</t>
        </is>
      </c>
      <c r="D111" s="9" t="inlineStr">
        <is>
          <t>29103-AMB-006</t>
        </is>
      </c>
      <c r="E111" s="9" t="inlineStr">
        <is>
          <t>29103-ST-1503</t>
        </is>
      </c>
      <c r="F111" s="9" t="inlineStr">
        <is>
          <t>29103-65R-ET-ST1503-01-01</t>
        </is>
      </c>
      <c r="G111" s="9" t="inlineStr">
        <is>
          <t>13.1</t>
        </is>
      </c>
      <c r="H111" s="9" t="inlineStr">
        <is>
          <t>29103-ET-ST1503-1-4.pdf</t>
        </is>
      </c>
      <c r="I111" s="4" t="str">
        <f>IF($H111&lt;&gt;"","YES","NO")</f>
        <v>YES</v>
      </c>
      <c r="J111" s="4" t="str">
        <f>IF(N($T111)&gt;0,"YES","NO")</f>
        <v>NO</v>
      </c>
      <c r="K111" s="4" t="str">
        <f>IF(OR($A111="EHT Trace"),IF(AND($U111&lt;&gt;"",$V111&lt;&gt;""),"YES","NO"),"N/A")</f>
        <v>YES</v>
      </c>
      <c r="L111" s="4" t="str">
        <f>IF(OR($A111="EHT Trace"),IF(AND($X111&lt;&gt;"",$Y111&lt;&gt;""),"YES","NO"),"N/A")</f>
        <v>NO</v>
      </c>
      <c r="M111" s="4" t="str">
        <f>IF(OR($A111="EHT Trace"),IF(AND($AA111&lt;&gt;"",$AB111&lt;&gt;""),"YES","NO"),"N/A")</f>
        <v>NO</v>
      </c>
      <c r="N111" s="4" t="str">
        <f>IF(OR($A111="Power Cable"),IF(AND($AD111&lt;&gt;""),"YES","NO"),"N/A")</f>
        <v>N/A</v>
      </c>
      <c r="O111" s="4" t="str">
        <f>IF(OR($A111="Power Cable",$A111="RTD Cable",$A111="Fieldbus Cable"),IF(AND($AE111&lt;&gt;""),"YES","NO"),"N/A")</f>
        <v>N/A</v>
      </c>
      <c r="P111" s="4" t="str">
        <f>IF(OR($A111="RTD"),IF(AND($AH111&lt;&gt;""),"YES","NO"),"N/A")</f>
        <v>N/A</v>
      </c>
      <c r="Q111" s="4" t="str">
        <f>IF(OR($A111="RTD"),IF(AND($AI111&lt;&gt;""),"YES","NO"),"N/A")</f>
        <v>N/A</v>
      </c>
      <c r="R111" s="4" t="str">
        <f>IF(OR($AM111&lt;&gt;"",$Z111&lt;&gt;"",$AC111&lt;&gt;""),"YES","NO")</f>
        <v>NO</v>
      </c>
      <c r="S111" s="4" t="str">
        <f>IF(COUNTIF(I111:R111,"NO")=0,"YES","NO")</f>
        <v>NO</v>
      </c>
      <c r="T111" s="9" t="n"/>
      <c r="U111" s="9" t="inlineStr">
        <is>
          <t>&gt;550 MΩ</t>
        </is>
      </c>
      <c r="V111" s="9" t="inlineStr">
        <is>
          <t>33.5 Ω</t>
        </is>
      </c>
      <c r="W111" s="9" t="inlineStr">
        <is>
          <t>2026-05-18</t>
        </is>
      </c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inlineStr">
        <is>
          <t>E/32SA2170/5.7M/97/55.8/1.2M/LS23A/X/N12/XMF</t>
        </is>
      </c>
      <c r="AK111" s="9" t="inlineStr">
        <is>
          <t>5.7 m m</t>
        </is>
      </c>
      <c r="AL111" s="9" t="inlineStr">
        <is>
          <t>Levy Ostrup</t>
        </is>
      </c>
      <c r="AM111" s="9" t="n"/>
      <c r="AN111" s="9" t="n"/>
    </row>
    <row r="112">
      <c r="A112" s="9" t="inlineStr">
        <is>
          <t>EHT Trace</t>
        </is>
      </c>
      <c r="B112" s="9" t="inlineStr">
        <is>
          <t>29103-ET-ST1503-1-5</t>
        </is>
      </c>
      <c r="C112" s="9" t="inlineStr">
        <is>
          <t>29103-ET-ST1503-1</t>
        </is>
      </c>
      <c r="D112" s="9" t="inlineStr">
        <is>
          <t>29103-AMB-006</t>
        </is>
      </c>
      <c r="E112" s="9" t="inlineStr">
        <is>
          <t>29103-ST-1503</t>
        </is>
      </c>
      <c r="F112" s="9" t="inlineStr">
        <is>
          <t>29103-65R-ET-ST1503-01-01</t>
        </is>
      </c>
      <c r="G112" s="9" t="inlineStr">
        <is>
          <t>13.1</t>
        </is>
      </c>
      <c r="H112" s="9" t="inlineStr">
        <is>
          <t>29103-ET-ST1503-1-5.pdf</t>
        </is>
      </c>
      <c r="I112" s="4" t="str">
        <f>IF($H112&lt;&gt;"","YES","NO")</f>
        <v>YES</v>
      </c>
      <c r="J112" s="4" t="str">
        <f>IF(N($T112)&gt;0,"YES","NO")</f>
        <v>NO</v>
      </c>
      <c r="K112" s="4" t="str">
        <f>IF(OR($A112="EHT Trace"),IF(AND($U112&lt;&gt;"",$V112&lt;&gt;""),"YES","NO"),"N/A")</f>
        <v>YES</v>
      </c>
      <c r="L112" s="4" t="str">
        <f>IF(OR($A112="EHT Trace"),IF(AND($X112&lt;&gt;"",$Y112&lt;&gt;""),"YES","NO"),"N/A")</f>
        <v>NO</v>
      </c>
      <c r="M112" s="4" t="str">
        <f>IF(OR($A112="EHT Trace"),IF(AND($AA112&lt;&gt;"",$AB112&lt;&gt;""),"YES","NO"),"N/A")</f>
        <v>NO</v>
      </c>
      <c r="N112" s="4" t="str">
        <f>IF(OR($A112="Power Cable"),IF(AND($AD112&lt;&gt;""),"YES","NO"),"N/A")</f>
        <v>N/A</v>
      </c>
      <c r="O112" s="4" t="str">
        <f>IF(OR($A112="Power Cable",$A112="RTD Cable",$A112="Fieldbus Cable"),IF(AND($AE112&lt;&gt;""),"YES","NO"),"N/A")</f>
        <v>N/A</v>
      </c>
      <c r="P112" s="4" t="str">
        <f>IF(OR($A112="RTD"),IF(AND($AH112&lt;&gt;""),"YES","NO"),"N/A")</f>
        <v>N/A</v>
      </c>
      <c r="Q112" s="4" t="str">
        <f>IF(OR($A112="RTD"),IF(AND($AI112&lt;&gt;""),"YES","NO"),"N/A")</f>
        <v>N/A</v>
      </c>
      <c r="R112" s="4" t="str">
        <f>IF(OR($AM112&lt;&gt;"",$Z112&lt;&gt;"",$AC112&lt;&gt;""),"YES","NO")</f>
        <v>NO</v>
      </c>
      <c r="S112" s="4" t="str">
        <f>IF(COUNTIF(I112:R112,"NO")=0,"YES","NO")</f>
        <v>NO</v>
      </c>
      <c r="T112" s="9" t="n"/>
      <c r="U112" s="9" t="inlineStr">
        <is>
          <t>&gt;550 MΩ</t>
        </is>
      </c>
      <c r="V112" s="9" t="inlineStr">
        <is>
          <t>76.1 Ω</t>
        </is>
      </c>
      <c r="W112" s="9" t="inlineStr">
        <is>
          <t>2026-05-18</t>
        </is>
      </c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inlineStr">
        <is>
          <t>D/32SA2170/13.1M/224/128/1.2M/LS23A/X/N12/XMN</t>
        </is>
      </c>
      <c r="AK112" s="9" t="inlineStr">
        <is>
          <t>13.1 m m</t>
        </is>
      </c>
      <c r="AL112" s="9" t="inlineStr">
        <is>
          <t>Levy Ostrup</t>
        </is>
      </c>
      <c r="AM112" s="9" t="n"/>
      <c r="AN112" s="9" t="n"/>
    </row>
    <row r="113">
      <c r="A113" s="9" t="inlineStr">
        <is>
          <t>EHT Trace</t>
        </is>
      </c>
      <c r="B113" s="9" t="inlineStr">
        <is>
          <t>29103-ET-ST1603-1-1</t>
        </is>
      </c>
      <c r="C113" s="9" t="inlineStr">
        <is>
          <t>29103-ET-ST1603-1</t>
        </is>
      </c>
      <c r="D113" s="9" t="inlineStr">
        <is>
          <t>29103-AMB-006</t>
        </is>
      </c>
      <c r="E113" s="9" t="inlineStr">
        <is>
          <t>29103-ST-1604, 29103-ST-1603</t>
        </is>
      </c>
      <c r="F113" s="9" t="inlineStr">
        <is>
          <t>29103-65R-ET-ST1603-01-01</t>
        </is>
      </c>
      <c r="G113" s="9" t="inlineStr">
        <is>
          <t>13.1</t>
        </is>
      </c>
      <c r="H113" s="9" t="inlineStr">
        <is>
          <t>29103-ET-ST1603-1-1.pdf</t>
        </is>
      </c>
      <c r="I113" s="4" t="str">
        <f>IF($H113&lt;&gt;"","YES","NO")</f>
        <v>YES</v>
      </c>
      <c r="J113" s="4" t="str">
        <f>IF(N($T113)&gt;0,"YES","NO")</f>
        <v>NO</v>
      </c>
      <c r="K113" s="4" t="str">
        <f>IF(OR($A113="EHT Trace"),IF(AND($U113&lt;&gt;"",$V113&lt;&gt;""),"YES","NO"),"N/A")</f>
        <v>NO</v>
      </c>
      <c r="L113" s="4" t="str">
        <f>IF(OR($A113="EHT Trace"),IF(AND($X113&lt;&gt;"",$Y113&lt;&gt;""),"YES","NO"),"N/A")</f>
        <v>NO</v>
      </c>
      <c r="M113" s="4" t="str">
        <f>IF(OR($A113="EHT Trace"),IF(AND($AA113&lt;&gt;"",$AB113&lt;&gt;""),"YES","NO"),"N/A")</f>
        <v>NO</v>
      </c>
      <c r="N113" s="4" t="str">
        <f>IF(OR($A113="Power Cable"),IF(AND($AD113&lt;&gt;""),"YES","NO"),"N/A")</f>
        <v>N/A</v>
      </c>
      <c r="O113" s="4" t="str">
        <f>IF(OR($A113="Power Cable",$A113="RTD Cable",$A113="Fieldbus Cable"),IF(AND($AE113&lt;&gt;""),"YES","NO"),"N/A")</f>
        <v>N/A</v>
      </c>
      <c r="P113" s="4" t="str">
        <f>IF(OR($A113="RTD"),IF(AND($AH113&lt;&gt;""),"YES","NO"),"N/A")</f>
        <v>N/A</v>
      </c>
      <c r="Q113" s="4" t="str">
        <f>IF(OR($A113="RTD"),IF(AND($AI113&lt;&gt;""),"YES","NO"),"N/A")</f>
        <v>N/A</v>
      </c>
      <c r="R113" s="4" t="str">
        <f>IF(OR($AM113&lt;&gt;"",$Z113&lt;&gt;"",$AC113&lt;&gt;""),"YES","NO")</f>
        <v>NO</v>
      </c>
      <c r="S113" s="4" t="str">
        <f>IF(COUNTIF(I113:R113,"NO")=0,"YES","NO")</f>
        <v>NO</v>
      </c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inlineStr">
        <is>
          <t>E/32SB2114/17.3M/282/135/1.2M/LS23A/X/N12/XNF</t>
        </is>
      </c>
      <c r="AK113" s="9" t="inlineStr">
        <is>
          <t>17.3 m m</t>
        </is>
      </c>
      <c r="AL113" s="9" t="inlineStr">
        <is>
          <t>Levy Ostrup</t>
        </is>
      </c>
      <c r="AM113" s="9" t="n"/>
      <c r="AN113" s="9" t="n"/>
    </row>
    <row r="114">
      <c r="A114" s="9" t="inlineStr">
        <is>
          <t>EHT Trace</t>
        </is>
      </c>
      <c r="B114" s="9" t="inlineStr">
        <is>
          <t>29103-ET-ST1603-1-2</t>
        </is>
      </c>
      <c r="C114" s="9" t="inlineStr">
        <is>
          <t>29103-ET-ST1603-1</t>
        </is>
      </c>
      <c r="D114" s="9" t="inlineStr">
        <is>
          <t>29103-AMB-006</t>
        </is>
      </c>
      <c r="E114" s="9" t="inlineStr">
        <is>
          <t>29103-ST-1604</t>
        </is>
      </c>
      <c r="F114" s="9" t="inlineStr">
        <is>
          <t>29103-65R-ET-ST1603-01-01</t>
        </is>
      </c>
      <c r="G114" s="9" t="inlineStr">
        <is>
          <t>13.1</t>
        </is>
      </c>
      <c r="H114" s="9" t="inlineStr">
        <is>
          <t>29103-ET-ST1603-1-2.pdf</t>
        </is>
      </c>
      <c r="I114" s="4" t="str">
        <f>IF($H114&lt;&gt;"","YES","NO")</f>
        <v>YES</v>
      </c>
      <c r="J114" s="4" t="str">
        <f>IF(N($T114)&gt;0,"YES","NO")</f>
        <v>NO</v>
      </c>
      <c r="K114" s="4" t="str">
        <f>IF(OR($A114="EHT Trace"),IF(AND($U114&lt;&gt;"",$V114&lt;&gt;""),"YES","NO"),"N/A")</f>
        <v>NO</v>
      </c>
      <c r="L114" s="4" t="str">
        <f>IF(OR($A114="EHT Trace"),IF(AND($X114&lt;&gt;"",$Y114&lt;&gt;""),"YES","NO"),"N/A")</f>
        <v>NO</v>
      </c>
      <c r="M114" s="4" t="str">
        <f>IF(OR($A114="EHT Trace"),IF(AND($AA114&lt;&gt;"",$AB114&lt;&gt;""),"YES","NO"),"N/A")</f>
        <v>NO</v>
      </c>
      <c r="N114" s="4" t="str">
        <f>IF(OR($A114="Power Cable"),IF(AND($AD114&lt;&gt;""),"YES","NO"),"N/A")</f>
        <v>N/A</v>
      </c>
      <c r="O114" s="4" t="str">
        <f>IF(OR($A114="Power Cable",$A114="RTD Cable",$A114="Fieldbus Cable"),IF(AND($AE114&lt;&gt;""),"YES","NO"),"N/A")</f>
        <v>N/A</v>
      </c>
      <c r="P114" s="4" t="str">
        <f>IF(OR($A114="RTD"),IF(AND($AH114&lt;&gt;""),"YES","NO"),"N/A")</f>
        <v>N/A</v>
      </c>
      <c r="Q114" s="4" t="str">
        <f>IF(OR($A114="RTD"),IF(AND($AI114&lt;&gt;""),"YES","NO"),"N/A")</f>
        <v>N/A</v>
      </c>
      <c r="R114" s="4" t="str">
        <f>IF(OR($AM114&lt;&gt;"",$Z114&lt;&gt;"",$AC114&lt;&gt;""),"YES","NO")</f>
        <v>NO</v>
      </c>
      <c r="S114" s="4" t="str">
        <f>IF(COUNTIF(I114:R114,"NO")=0,"YES","NO")</f>
        <v>NO</v>
      </c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inlineStr">
        <is>
          <t>D/32SB2114/18.2M/297/142/1.2M/LS23A/X/N12/XMN</t>
        </is>
      </c>
      <c r="AK114" s="9" t="inlineStr">
        <is>
          <t>18.2 m m</t>
        </is>
      </c>
      <c r="AL114" s="9" t="inlineStr">
        <is>
          <t>Levy Ostrup</t>
        </is>
      </c>
      <c r="AM114" s="9" t="n"/>
      <c r="AN114" s="9" t="n"/>
    </row>
    <row r="115">
      <c r="A115" s="9" t="inlineStr">
        <is>
          <t>EHT Trace</t>
        </is>
      </c>
      <c r="B115" s="9" t="inlineStr">
        <is>
          <t>29103-ET-ST1603-1-3</t>
        </is>
      </c>
      <c r="C115" s="9" t="inlineStr">
        <is>
          <t>29103-ET-ST1603-1</t>
        </is>
      </c>
      <c r="D115" s="9" t="inlineStr">
        <is>
          <t>29103-AMB-006</t>
        </is>
      </c>
      <c r="E115" s="9" t="inlineStr">
        <is>
          <t>29103-ST-1603</t>
        </is>
      </c>
      <c r="F115" s="9" t="inlineStr">
        <is>
          <t>29103-65R-ET-ST1603-01-01</t>
        </is>
      </c>
      <c r="G115" s="9" t="inlineStr">
        <is>
          <t>13.1</t>
        </is>
      </c>
      <c r="H115" s="9" t="inlineStr">
        <is>
          <t>29103-ET-ST1603-1-3.pdf</t>
        </is>
      </c>
      <c r="I115" s="4" t="str">
        <f>IF($H115&lt;&gt;"","YES","NO")</f>
        <v>YES</v>
      </c>
      <c r="J115" s="4" t="str">
        <f>IF(N($T115)&gt;0,"YES","NO")</f>
        <v>NO</v>
      </c>
      <c r="K115" s="4" t="str">
        <f>IF(OR($A115="EHT Trace"),IF(AND($U115&lt;&gt;"",$V115&lt;&gt;""),"YES","NO"),"N/A")</f>
        <v>NO</v>
      </c>
      <c r="L115" s="4" t="str">
        <f>IF(OR($A115="EHT Trace"),IF(AND($X115&lt;&gt;"",$Y115&lt;&gt;""),"YES","NO"),"N/A")</f>
        <v>NO</v>
      </c>
      <c r="M115" s="4" t="str">
        <f>IF(OR($A115="EHT Trace"),IF(AND($AA115&lt;&gt;"",$AB115&lt;&gt;""),"YES","NO"),"N/A")</f>
        <v>NO</v>
      </c>
      <c r="N115" s="4" t="str">
        <f>IF(OR($A115="Power Cable"),IF(AND($AD115&lt;&gt;""),"YES","NO"),"N/A")</f>
        <v>N/A</v>
      </c>
      <c r="O115" s="4" t="str">
        <f>IF(OR($A115="Power Cable",$A115="RTD Cable",$A115="Fieldbus Cable"),IF(AND($AE115&lt;&gt;""),"YES","NO"),"N/A")</f>
        <v>N/A</v>
      </c>
      <c r="P115" s="4" t="str">
        <f>IF(OR($A115="RTD"),IF(AND($AH115&lt;&gt;""),"YES","NO"),"N/A")</f>
        <v>N/A</v>
      </c>
      <c r="Q115" s="4" t="str">
        <f>IF(OR($A115="RTD"),IF(AND($AI115&lt;&gt;""),"YES","NO"),"N/A")</f>
        <v>N/A</v>
      </c>
      <c r="R115" s="4" t="str">
        <f>IF(OR($AM115&lt;&gt;"",$Z115&lt;&gt;"",$AC115&lt;&gt;""),"YES","NO")</f>
        <v>NO</v>
      </c>
      <c r="S115" s="4" t="str">
        <f>IF(COUNTIF(I115:R115,"NO")=0,"YES","NO")</f>
        <v>NO</v>
      </c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inlineStr">
        <is>
          <t>E/32SA2200/7.6M/127/79.7/1.2M/LS23A/X/N12/XNF</t>
        </is>
      </c>
      <c r="AK115" s="9" t="inlineStr">
        <is>
          <t>7.6 m m</t>
        </is>
      </c>
      <c r="AL115" s="9" t="inlineStr">
        <is>
          <t>Levy Ostrup</t>
        </is>
      </c>
      <c r="AM115" s="9" t="n"/>
      <c r="AN115" s="9" t="n"/>
    </row>
    <row r="116">
      <c r="A116" s="9" t="inlineStr">
        <is>
          <t>EHT Trace</t>
        </is>
      </c>
      <c r="B116" s="9" t="inlineStr">
        <is>
          <t>29103-ET-ST1603-1-4</t>
        </is>
      </c>
      <c r="C116" s="9" t="inlineStr">
        <is>
          <t>29103-ET-ST1603-1</t>
        </is>
      </c>
      <c r="D116" s="9" t="inlineStr">
        <is>
          <t>29103-AMB-006</t>
        </is>
      </c>
      <c r="E116" s="9" t="inlineStr">
        <is>
          <t>29103-ST-1603</t>
        </is>
      </c>
      <c r="F116" s="9" t="inlineStr">
        <is>
          <t>29103-65R-ET-ST1603-01-01</t>
        </is>
      </c>
      <c r="G116" s="9" t="inlineStr">
        <is>
          <t>13.1</t>
        </is>
      </c>
      <c r="H116" s="9" t="inlineStr">
        <is>
          <t>29103-ET-ST1603-1-4.pdf</t>
        </is>
      </c>
      <c r="I116" s="4" t="str">
        <f>IF($H116&lt;&gt;"","YES","NO")</f>
        <v>YES</v>
      </c>
      <c r="J116" s="4" t="str">
        <f>IF(N($T116)&gt;0,"YES","NO")</f>
        <v>NO</v>
      </c>
      <c r="K116" s="4" t="str">
        <f>IF(OR($A116="EHT Trace"),IF(AND($U116&lt;&gt;"",$V116&lt;&gt;""),"YES","NO"),"N/A")</f>
        <v>NO</v>
      </c>
      <c r="L116" s="4" t="str">
        <f>IF(OR($A116="EHT Trace"),IF(AND($X116&lt;&gt;"",$Y116&lt;&gt;""),"YES","NO"),"N/A")</f>
        <v>NO</v>
      </c>
      <c r="M116" s="4" t="str">
        <f>IF(OR($A116="EHT Trace"),IF(AND($AA116&lt;&gt;"",$AB116&lt;&gt;""),"YES","NO"),"N/A")</f>
        <v>NO</v>
      </c>
      <c r="N116" s="4" t="str">
        <f>IF(OR($A116="Power Cable"),IF(AND($AD116&lt;&gt;""),"YES","NO"),"N/A")</f>
        <v>N/A</v>
      </c>
      <c r="O116" s="4" t="str">
        <f>IF(OR($A116="Power Cable",$A116="RTD Cable",$A116="Fieldbus Cable"),IF(AND($AE116&lt;&gt;""),"YES","NO"),"N/A")</f>
        <v>N/A</v>
      </c>
      <c r="P116" s="4" t="str">
        <f>IF(OR($A116="RTD"),IF(AND($AH116&lt;&gt;""),"YES","NO"),"N/A")</f>
        <v>N/A</v>
      </c>
      <c r="Q116" s="4" t="str">
        <f>IF(OR($A116="RTD"),IF(AND($AI116&lt;&gt;""),"YES","NO"),"N/A")</f>
        <v>N/A</v>
      </c>
      <c r="R116" s="4" t="str">
        <f>IF(OR($AM116&lt;&gt;"",$Z116&lt;&gt;"",$AC116&lt;&gt;""),"YES","NO")</f>
        <v>NO</v>
      </c>
      <c r="S116" s="4" t="str">
        <f>IF(COUNTIF(I116:R116,"NO")=0,"YES","NO")</f>
        <v>NO</v>
      </c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inlineStr">
        <is>
          <t>E/32SA2200/5.7M/95/59.8/1.2M/LS23A/X/N12/XMF</t>
        </is>
      </c>
      <c r="AK116" s="9" t="inlineStr">
        <is>
          <t>5.7 m m</t>
        </is>
      </c>
      <c r="AL116" s="9" t="inlineStr">
        <is>
          <t>Levy Ostrup</t>
        </is>
      </c>
      <c r="AM116" s="9" t="n"/>
      <c r="AN116" s="9" t="n"/>
    </row>
    <row r="117">
      <c r="A117" s="9" t="inlineStr">
        <is>
          <t>EHT Trace</t>
        </is>
      </c>
      <c r="B117" s="9" t="inlineStr">
        <is>
          <t>29103-ET-ST1603-1-5</t>
        </is>
      </c>
      <c r="C117" s="9" t="inlineStr">
        <is>
          <t>29103-ET-ST1603-1</t>
        </is>
      </c>
      <c r="D117" s="9" t="inlineStr">
        <is>
          <t>29103-AMB-006</t>
        </is>
      </c>
      <c r="E117" s="9" t="inlineStr">
        <is>
          <t>29103-ST-1603</t>
        </is>
      </c>
      <c r="F117" s="9" t="inlineStr">
        <is>
          <t>29103-65R-ET-ST1603-01-01</t>
        </is>
      </c>
      <c r="G117" s="9" t="inlineStr">
        <is>
          <t>13.1</t>
        </is>
      </c>
      <c r="H117" s="9" t="inlineStr">
        <is>
          <t>29103-ET-ST1603-1-5.pdf</t>
        </is>
      </c>
      <c r="I117" s="4" t="str">
        <f>IF($H117&lt;&gt;"","YES","NO")</f>
        <v>YES</v>
      </c>
      <c r="J117" s="4" t="str">
        <f>IF(N($T117)&gt;0,"YES","NO")</f>
        <v>NO</v>
      </c>
      <c r="K117" s="4" t="str">
        <f>IF(OR($A117="EHT Trace"),IF(AND($U117&lt;&gt;"",$V117&lt;&gt;""),"YES","NO"),"N/A")</f>
        <v>NO</v>
      </c>
      <c r="L117" s="4" t="str">
        <f>IF(OR($A117="EHT Trace"),IF(AND($X117&lt;&gt;"",$Y117&lt;&gt;""),"YES","NO"),"N/A")</f>
        <v>NO</v>
      </c>
      <c r="M117" s="4" t="str">
        <f>IF(OR($A117="EHT Trace"),IF(AND($AA117&lt;&gt;"",$AB117&lt;&gt;""),"YES","NO"),"N/A")</f>
        <v>NO</v>
      </c>
      <c r="N117" s="4" t="str">
        <f>IF(OR($A117="Power Cable"),IF(AND($AD117&lt;&gt;""),"YES","NO"),"N/A")</f>
        <v>N/A</v>
      </c>
      <c r="O117" s="4" t="str">
        <f>IF(OR($A117="Power Cable",$A117="RTD Cable",$A117="Fieldbus Cable"),IF(AND($AE117&lt;&gt;""),"YES","NO"),"N/A")</f>
        <v>N/A</v>
      </c>
      <c r="P117" s="4" t="str">
        <f>IF(OR($A117="RTD"),IF(AND($AH117&lt;&gt;""),"YES","NO"),"N/A")</f>
        <v>N/A</v>
      </c>
      <c r="Q117" s="4" t="str">
        <f>IF(OR($A117="RTD"),IF(AND($AI117&lt;&gt;""),"YES","NO"),"N/A")</f>
        <v>N/A</v>
      </c>
      <c r="R117" s="4" t="str">
        <f>IF(OR($AM117&lt;&gt;"",$Z117&lt;&gt;"",$AC117&lt;&gt;""),"YES","NO")</f>
        <v>NO</v>
      </c>
      <c r="S117" s="4" t="str">
        <f>IF(COUNTIF(I117:R117,"NO")=0,"YES","NO")</f>
        <v>NO</v>
      </c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inlineStr">
        <is>
          <t>D/32SA2200/13.1M/219/137/1.2M/LS23A/X/N12/XMN</t>
        </is>
      </c>
      <c r="AK117" s="9" t="inlineStr">
        <is>
          <t>13.1 m m</t>
        </is>
      </c>
      <c r="AL117" s="9" t="inlineStr">
        <is>
          <t>Levy Ostrup</t>
        </is>
      </c>
      <c r="AM117" s="9" t="n"/>
      <c r="AN117" s="9" t="n"/>
    </row>
    <row r="118">
      <c r="A118" s="9" t="inlineStr">
        <is>
          <t>EHT Trace</t>
        </is>
      </c>
      <c r="B118" s="9" t="inlineStr">
        <is>
          <t>29103-ET-ST1703-1-1</t>
        </is>
      </c>
      <c r="C118" s="9" t="inlineStr">
        <is>
          <t>29103-ET-ST1703-1</t>
        </is>
      </c>
      <c r="D118" s="9" t="inlineStr">
        <is>
          <t>29103-AMB-006</t>
        </is>
      </c>
      <c r="E118" s="9" t="inlineStr">
        <is>
          <t>29103-ST-1704, 29103-ST-1703</t>
        </is>
      </c>
      <c r="F118" s="9" t="inlineStr">
        <is>
          <t>29103-65R-ET-ST1703-01-01</t>
        </is>
      </c>
      <c r="G118" s="9" t="inlineStr">
        <is>
          <t>13.1</t>
        </is>
      </c>
      <c r="H118" s="9" t="inlineStr">
        <is>
          <t>29103-ET-ST1703-1-1.pdf</t>
        </is>
      </c>
      <c r="I118" s="4" t="str">
        <f>IF($H118&lt;&gt;"","YES","NO")</f>
        <v>YES</v>
      </c>
      <c r="J118" s="4" t="str">
        <f>IF(N($T118)&gt;0,"YES","NO")</f>
        <v>NO</v>
      </c>
      <c r="K118" s="4" t="str">
        <f>IF(OR($A118="EHT Trace"),IF(AND($U118&lt;&gt;"",$V118&lt;&gt;""),"YES","NO"),"N/A")</f>
        <v>NO</v>
      </c>
      <c r="L118" s="4" t="str">
        <f>IF(OR($A118="EHT Trace"),IF(AND($X118&lt;&gt;"",$Y118&lt;&gt;""),"YES","NO"),"N/A")</f>
        <v>NO</v>
      </c>
      <c r="M118" s="4" t="str">
        <f>IF(OR($A118="EHT Trace"),IF(AND($AA118&lt;&gt;"",$AB118&lt;&gt;""),"YES","NO"),"N/A")</f>
        <v>NO</v>
      </c>
      <c r="N118" s="4" t="str">
        <f>IF(OR($A118="Power Cable"),IF(AND($AD118&lt;&gt;""),"YES","NO"),"N/A")</f>
        <v>N/A</v>
      </c>
      <c r="O118" s="4" t="str">
        <f>IF(OR($A118="Power Cable",$A118="RTD Cable",$A118="Fieldbus Cable"),IF(AND($AE118&lt;&gt;""),"YES","NO"),"N/A")</f>
        <v>N/A</v>
      </c>
      <c r="P118" s="4" t="str">
        <f>IF(OR($A118="RTD"),IF(AND($AH118&lt;&gt;""),"YES","NO"),"N/A")</f>
        <v>N/A</v>
      </c>
      <c r="Q118" s="4" t="str">
        <f>IF(OR($A118="RTD"),IF(AND($AI118&lt;&gt;""),"YES","NO"),"N/A")</f>
        <v>N/A</v>
      </c>
      <c r="R118" s="4" t="str">
        <f>IF(OR($AM118&lt;&gt;"",$Z118&lt;&gt;"",$AC118&lt;&gt;""),"YES","NO")</f>
        <v>NO</v>
      </c>
      <c r="S118" s="4" t="str">
        <f>IF(COUNTIF(I118:R118,"NO")=0,"YES","NO")</f>
        <v>NO</v>
      </c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inlineStr">
        <is>
          <t>E/32SB2114/17.5M/282/136/1.2M/LS23A/X/N12/XNF</t>
        </is>
      </c>
      <c r="AK118" s="9" t="inlineStr">
        <is>
          <t>17.5 m m</t>
        </is>
      </c>
      <c r="AL118" s="9" t="inlineStr">
        <is>
          <t>Levy Ostrup</t>
        </is>
      </c>
      <c r="AM118" s="9" t="n"/>
      <c r="AN118" s="9" t="n"/>
    </row>
    <row r="119">
      <c r="A119" s="9" t="inlineStr">
        <is>
          <t>EHT Trace</t>
        </is>
      </c>
      <c r="B119" s="9" t="inlineStr">
        <is>
          <t>29103-ET-ST1703-1-2</t>
        </is>
      </c>
      <c r="C119" s="9" t="inlineStr">
        <is>
          <t>29103-ET-ST1703-1</t>
        </is>
      </c>
      <c r="D119" s="9" t="inlineStr">
        <is>
          <t>29103-AMB-006</t>
        </is>
      </c>
      <c r="E119" s="9" t="inlineStr">
        <is>
          <t>29103-ST-1704</t>
        </is>
      </c>
      <c r="F119" s="9" t="inlineStr">
        <is>
          <t>29103-65R-ET-ST1703-01-01</t>
        </is>
      </c>
      <c r="G119" s="9" t="inlineStr">
        <is>
          <t>13.1</t>
        </is>
      </c>
      <c r="H119" s="9" t="inlineStr">
        <is>
          <t>29103-ET-ST1703-1-2.pdf</t>
        </is>
      </c>
      <c r="I119" s="4" t="str">
        <f>IF($H119&lt;&gt;"","YES","NO")</f>
        <v>YES</v>
      </c>
      <c r="J119" s="4" t="str">
        <f>IF(N($T119)&gt;0,"YES","NO")</f>
        <v>NO</v>
      </c>
      <c r="K119" s="4" t="str">
        <f>IF(OR($A119="EHT Trace"),IF(AND($U119&lt;&gt;"",$V119&lt;&gt;""),"YES","NO"),"N/A")</f>
        <v>NO</v>
      </c>
      <c r="L119" s="4" t="str">
        <f>IF(OR($A119="EHT Trace"),IF(AND($X119&lt;&gt;"",$Y119&lt;&gt;""),"YES","NO"),"N/A")</f>
        <v>NO</v>
      </c>
      <c r="M119" s="4" t="str">
        <f>IF(OR($A119="EHT Trace"),IF(AND($AA119&lt;&gt;"",$AB119&lt;&gt;""),"YES","NO"),"N/A")</f>
        <v>NO</v>
      </c>
      <c r="N119" s="4" t="str">
        <f>IF(OR($A119="Power Cable"),IF(AND($AD119&lt;&gt;""),"YES","NO"),"N/A")</f>
        <v>N/A</v>
      </c>
      <c r="O119" s="4" t="str">
        <f>IF(OR($A119="Power Cable",$A119="RTD Cable",$A119="Fieldbus Cable"),IF(AND($AE119&lt;&gt;""),"YES","NO"),"N/A")</f>
        <v>N/A</v>
      </c>
      <c r="P119" s="4" t="str">
        <f>IF(OR($A119="RTD"),IF(AND($AH119&lt;&gt;""),"YES","NO"),"N/A")</f>
        <v>N/A</v>
      </c>
      <c r="Q119" s="4" t="str">
        <f>IF(OR($A119="RTD"),IF(AND($AI119&lt;&gt;""),"YES","NO"),"N/A")</f>
        <v>N/A</v>
      </c>
      <c r="R119" s="4" t="str">
        <f>IF(OR($AM119&lt;&gt;"",$Z119&lt;&gt;"",$AC119&lt;&gt;""),"YES","NO")</f>
        <v>NO</v>
      </c>
      <c r="S119" s="4" t="str">
        <f>IF(COUNTIF(I119:R119,"NO")=0,"YES","NO")</f>
        <v>NO</v>
      </c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inlineStr">
        <is>
          <t>D/32SB2114/18.2M/293/141/1.2M/LS23A/X/N12/XMN</t>
        </is>
      </c>
      <c r="AK119" s="9" t="inlineStr">
        <is>
          <t>18.2 m m</t>
        </is>
      </c>
      <c r="AL119" s="9" t="inlineStr">
        <is>
          <t>Levy Ostrup</t>
        </is>
      </c>
      <c r="AM119" s="9" t="n"/>
      <c r="AN119" s="9" t="n"/>
    </row>
    <row r="120">
      <c r="A120" s="9" t="inlineStr">
        <is>
          <t>EHT Trace</t>
        </is>
      </c>
      <c r="B120" s="9" t="inlineStr">
        <is>
          <t>29103-ET-ST1703-1-3</t>
        </is>
      </c>
      <c r="C120" s="9" t="inlineStr">
        <is>
          <t>29103-ET-ST1703-1</t>
        </is>
      </c>
      <c r="D120" s="9" t="inlineStr">
        <is>
          <t>29103-AMB-006</t>
        </is>
      </c>
      <c r="E120" s="9" t="inlineStr">
        <is>
          <t>29103-ST-1703</t>
        </is>
      </c>
      <c r="F120" s="9" t="inlineStr">
        <is>
          <t>29103-65R-ET-ST1703-01-01</t>
        </is>
      </c>
      <c r="G120" s="9" t="inlineStr">
        <is>
          <t>13.1</t>
        </is>
      </c>
      <c r="H120" s="9" t="inlineStr">
        <is>
          <t>29103-ET-ST1703-1-3.pdf</t>
        </is>
      </c>
      <c r="I120" s="4" t="str">
        <f>IF($H120&lt;&gt;"","YES","NO")</f>
        <v>YES</v>
      </c>
      <c r="J120" s="4" t="str">
        <f>IF(N($T120)&gt;0,"YES","NO")</f>
        <v>NO</v>
      </c>
      <c r="K120" s="4" t="str">
        <f>IF(OR($A120="EHT Trace"),IF(AND($U120&lt;&gt;"",$V120&lt;&gt;""),"YES","NO"),"N/A")</f>
        <v>NO</v>
      </c>
      <c r="L120" s="4" t="str">
        <f>IF(OR($A120="EHT Trace"),IF(AND($X120&lt;&gt;"",$Y120&lt;&gt;""),"YES","NO"),"N/A")</f>
        <v>NO</v>
      </c>
      <c r="M120" s="4" t="str">
        <f>IF(OR($A120="EHT Trace"),IF(AND($AA120&lt;&gt;"",$AB120&lt;&gt;""),"YES","NO"),"N/A")</f>
        <v>NO</v>
      </c>
      <c r="N120" s="4" t="str">
        <f>IF(OR($A120="Power Cable"),IF(AND($AD120&lt;&gt;""),"YES","NO"),"N/A")</f>
        <v>N/A</v>
      </c>
      <c r="O120" s="4" t="str">
        <f>IF(OR($A120="Power Cable",$A120="RTD Cable",$A120="Fieldbus Cable"),IF(AND($AE120&lt;&gt;""),"YES","NO"),"N/A")</f>
        <v>N/A</v>
      </c>
      <c r="P120" s="4" t="str">
        <f>IF(OR($A120="RTD"),IF(AND($AH120&lt;&gt;""),"YES","NO"),"N/A")</f>
        <v>N/A</v>
      </c>
      <c r="Q120" s="4" t="str">
        <f>IF(OR($A120="RTD"),IF(AND($AI120&lt;&gt;""),"YES","NO"),"N/A")</f>
        <v>N/A</v>
      </c>
      <c r="R120" s="4" t="str">
        <f>IF(OR($AM120&lt;&gt;"",$Z120&lt;&gt;"",$AC120&lt;&gt;""),"YES","NO")</f>
        <v>NO</v>
      </c>
      <c r="S120" s="4" t="str">
        <f>IF(COUNTIF(I120:R120,"NO")=0,"YES","NO")</f>
        <v>NO</v>
      </c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inlineStr">
        <is>
          <t>E/32SA2170/9.5M/162/93/1.2M/LS23A/X/N12/XNF</t>
        </is>
      </c>
      <c r="AK120" s="9" t="inlineStr">
        <is>
          <t>9.5 m m</t>
        </is>
      </c>
      <c r="AL120" s="9" t="inlineStr">
        <is>
          <t>Levy Ostrup</t>
        </is>
      </c>
      <c r="AM120" s="9" t="n"/>
      <c r="AN120" s="9" t="n"/>
    </row>
    <row r="121">
      <c r="A121" s="9" t="inlineStr">
        <is>
          <t>EHT Trace</t>
        </is>
      </c>
      <c r="B121" s="9" t="inlineStr">
        <is>
          <t>29103-ET-ST1703-1-4</t>
        </is>
      </c>
      <c r="C121" s="9" t="inlineStr">
        <is>
          <t>29103-ET-ST1703-1</t>
        </is>
      </c>
      <c r="D121" s="9" t="inlineStr">
        <is>
          <t>29103-AMB-006</t>
        </is>
      </c>
      <c r="E121" s="9" t="inlineStr">
        <is>
          <t>29103-ST-1703</t>
        </is>
      </c>
      <c r="F121" s="9" t="inlineStr">
        <is>
          <t>29103-65R-ET-ST1703-01-01</t>
        </is>
      </c>
      <c r="G121" s="9" t="inlineStr">
        <is>
          <t>13.1</t>
        </is>
      </c>
      <c r="H121" s="9" t="inlineStr">
        <is>
          <t>29103-ET-ST1703-1-4.pdf</t>
        </is>
      </c>
      <c r="I121" s="4" t="str">
        <f>IF($H121&lt;&gt;"","YES","NO")</f>
        <v>YES</v>
      </c>
      <c r="J121" s="4" t="str">
        <f>IF(N($T121)&gt;0,"YES","NO")</f>
        <v>NO</v>
      </c>
      <c r="K121" s="4" t="str">
        <f>IF(OR($A121="EHT Trace"),IF(AND($U121&lt;&gt;"",$V121&lt;&gt;""),"YES","NO"),"N/A")</f>
        <v>NO</v>
      </c>
      <c r="L121" s="4" t="str">
        <f>IF(OR($A121="EHT Trace"),IF(AND($X121&lt;&gt;"",$Y121&lt;&gt;""),"YES","NO"),"N/A")</f>
        <v>NO</v>
      </c>
      <c r="M121" s="4" t="str">
        <f>IF(OR($A121="EHT Trace"),IF(AND($AA121&lt;&gt;"",$AB121&lt;&gt;""),"YES","NO"),"N/A")</f>
        <v>NO</v>
      </c>
      <c r="N121" s="4" t="str">
        <f>IF(OR($A121="Power Cable"),IF(AND($AD121&lt;&gt;""),"YES","NO"),"N/A")</f>
        <v>N/A</v>
      </c>
      <c r="O121" s="4" t="str">
        <f>IF(OR($A121="Power Cable",$A121="RTD Cable",$A121="Fieldbus Cable"),IF(AND($AE121&lt;&gt;""),"YES","NO"),"N/A")</f>
        <v>N/A</v>
      </c>
      <c r="P121" s="4" t="str">
        <f>IF(OR($A121="RTD"),IF(AND($AH121&lt;&gt;""),"YES","NO"),"N/A")</f>
        <v>N/A</v>
      </c>
      <c r="Q121" s="4" t="str">
        <f>IF(OR($A121="RTD"),IF(AND($AI121&lt;&gt;""),"YES","NO"),"N/A")</f>
        <v>N/A</v>
      </c>
      <c r="R121" s="4" t="str">
        <f>IF(OR($AM121&lt;&gt;"",$Z121&lt;&gt;"",$AC121&lt;&gt;""),"YES","NO")</f>
        <v>NO</v>
      </c>
      <c r="S121" s="4" t="str">
        <f>IF(COUNTIF(I121:R121,"NO")=0,"YES","NO")</f>
        <v>NO</v>
      </c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inlineStr">
        <is>
          <t>E/32SA2170/5.7M/97/55.8/1.2M/LS23A/X/N12/XMF</t>
        </is>
      </c>
      <c r="AK121" s="9" t="inlineStr">
        <is>
          <t>5.7 m m</t>
        </is>
      </c>
      <c r="AL121" s="9" t="inlineStr">
        <is>
          <t>Levy Ostrup</t>
        </is>
      </c>
      <c r="AM121" s="9" t="n"/>
      <c r="AN121" s="9" t="n"/>
    </row>
    <row r="122">
      <c r="A122" s="9" t="inlineStr">
        <is>
          <t>EHT Trace</t>
        </is>
      </c>
      <c r="B122" s="9" t="inlineStr">
        <is>
          <t>29103-ET-ST1703-1-5</t>
        </is>
      </c>
      <c r="C122" s="9" t="inlineStr">
        <is>
          <t>29103-ET-ST1703-1</t>
        </is>
      </c>
      <c r="D122" s="9" t="inlineStr">
        <is>
          <t>29103-AMB-006</t>
        </is>
      </c>
      <c r="E122" s="9" t="inlineStr">
        <is>
          <t>29103-ST-1703</t>
        </is>
      </c>
      <c r="F122" s="9" t="inlineStr">
        <is>
          <t>29103-65R-ET-ST1703-01-01</t>
        </is>
      </c>
      <c r="G122" s="9" t="inlineStr">
        <is>
          <t>13.1</t>
        </is>
      </c>
      <c r="H122" s="9" t="inlineStr">
        <is>
          <t>29103-ET-ST1703-1-5.pdf</t>
        </is>
      </c>
      <c r="I122" s="4" t="str">
        <f>IF($H122&lt;&gt;"","YES","NO")</f>
        <v>YES</v>
      </c>
      <c r="J122" s="4" t="str">
        <f>IF(N($T122)&gt;0,"YES","NO")</f>
        <v>NO</v>
      </c>
      <c r="K122" s="4" t="str">
        <f>IF(OR($A122="EHT Trace"),IF(AND($U122&lt;&gt;"",$V122&lt;&gt;""),"YES","NO"),"N/A")</f>
        <v>NO</v>
      </c>
      <c r="L122" s="4" t="str">
        <f>IF(OR($A122="EHT Trace"),IF(AND($X122&lt;&gt;"",$Y122&lt;&gt;""),"YES","NO"),"N/A")</f>
        <v>NO</v>
      </c>
      <c r="M122" s="4" t="str">
        <f>IF(OR($A122="EHT Trace"),IF(AND($AA122&lt;&gt;"",$AB122&lt;&gt;""),"YES","NO"),"N/A")</f>
        <v>NO</v>
      </c>
      <c r="N122" s="4" t="str">
        <f>IF(OR($A122="Power Cable"),IF(AND($AD122&lt;&gt;""),"YES","NO"),"N/A")</f>
        <v>N/A</v>
      </c>
      <c r="O122" s="4" t="str">
        <f>IF(OR($A122="Power Cable",$A122="RTD Cable",$A122="Fieldbus Cable"),IF(AND($AE122&lt;&gt;""),"YES","NO"),"N/A")</f>
        <v>N/A</v>
      </c>
      <c r="P122" s="4" t="str">
        <f>IF(OR($A122="RTD"),IF(AND($AH122&lt;&gt;""),"YES","NO"),"N/A")</f>
        <v>N/A</v>
      </c>
      <c r="Q122" s="4" t="str">
        <f>IF(OR($A122="RTD"),IF(AND($AI122&lt;&gt;""),"YES","NO"),"N/A")</f>
        <v>N/A</v>
      </c>
      <c r="R122" s="4" t="str">
        <f>IF(OR($AM122&lt;&gt;"",$Z122&lt;&gt;"",$AC122&lt;&gt;""),"YES","NO")</f>
        <v>NO</v>
      </c>
      <c r="S122" s="4" t="str">
        <f>IF(COUNTIF(I122:R122,"NO")=0,"YES","NO")</f>
        <v>NO</v>
      </c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inlineStr">
        <is>
          <t>D/32SA2170/13.1M/224/128/1.2M/LS23A/X/N12/XMN</t>
        </is>
      </c>
      <c r="AK122" s="9" t="inlineStr">
        <is>
          <t>13.1 m m</t>
        </is>
      </c>
      <c r="AL122" s="9" t="inlineStr">
        <is>
          <t>Levy Ostrup</t>
        </is>
      </c>
      <c r="AM122" s="9" t="n"/>
      <c r="AN122" s="9" t="n"/>
    </row>
    <row r="123">
      <c r="A123" s="9" t="inlineStr">
        <is>
          <t>Power Cable</t>
        </is>
      </c>
      <c r="B123" s="9" t="inlineStr">
        <is>
          <t>29103-AMB-004</t>
        </is>
      </c>
      <c r="C123" s="9" t="inlineStr"/>
      <c r="D123" s="9" t="inlineStr">
        <is>
          <t>29103-HTP-003 HTC-37</t>
        </is>
      </c>
      <c r="E123" s="9" t="inlineStr">
        <is>
          <t>29103-HTP-003</t>
        </is>
      </c>
      <c r="F123" s="9" t="inlineStr"/>
      <c r="G123" s="9" t="inlineStr">
        <is>
          <t>113</t>
        </is>
      </c>
      <c r="H123" s="9" t="inlineStr">
        <is>
          <t>29103-AMB-004.pdf</t>
        </is>
      </c>
      <c r="I123" s="4" t="str">
        <f>IF($H123&lt;&gt;"","YES","NO")</f>
        <v>YES</v>
      </c>
      <c r="J123" s="4" t="str">
        <f>IF(N($T123)&gt;0,"YES","NO")</f>
        <v>NO</v>
      </c>
      <c r="K123" s="4" t="str">
        <f>IF(OR($A123="EHT Trace"),IF(AND($U123&lt;&gt;"",$V123&lt;&gt;""),"YES","NO"),"N/A")</f>
        <v>N/A</v>
      </c>
      <c r="L123" s="4" t="str">
        <f>IF(OR($A123="EHT Trace"),IF(AND($X123&lt;&gt;"",$Y123&lt;&gt;""),"YES","NO"),"N/A")</f>
        <v>N/A</v>
      </c>
      <c r="M123" s="4" t="str">
        <f>IF(OR($A123="EHT Trace"),IF(AND($AA123&lt;&gt;"",$AB123&lt;&gt;""),"YES","NO"),"N/A")</f>
        <v>N/A</v>
      </c>
      <c r="N123" s="4" t="str">
        <f>IF(OR($A123="Power Cable"),IF(AND($AD123&lt;&gt;""),"YES","NO"),"N/A")</f>
        <v>NO</v>
      </c>
      <c r="O123" s="4" t="str">
        <f>IF(OR($A123="Power Cable",$A123="RTD Cable",$A123="Fieldbus Cable"),IF(AND($AE123&lt;&gt;""),"YES","NO"),"N/A")</f>
        <v>NO</v>
      </c>
      <c r="P123" s="4" t="str">
        <f>IF(OR($A123="RTD"),IF(AND($AH123&lt;&gt;""),"YES","NO"),"N/A")</f>
        <v>N/A</v>
      </c>
      <c r="Q123" s="4" t="str">
        <f>IF(OR($A123="RTD"),IF(AND($AI123&lt;&gt;""),"YES","NO"),"N/A")</f>
        <v>N/A</v>
      </c>
      <c r="R123" s="4" t="str">
        <f>IF(OR($AM123&lt;&gt;"",$Z123&lt;&gt;"",$AC123&lt;&gt;""),"YES","NO")</f>
        <v>NO</v>
      </c>
      <c r="S123" s="4" t="str">
        <f>IF(COUNTIF(I123:R123,"NO")=0,"YES","NO")</f>
        <v>NO</v>
      </c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inlineStr">
        <is>
          <t>Teck</t>
        </is>
      </c>
      <c r="AK123" s="9" t="inlineStr">
        <is>
          <t>8AWG</t>
        </is>
      </c>
      <c r="AL123" s="9" t="inlineStr">
        <is>
          <t>Levy Ostrup</t>
        </is>
      </c>
      <c r="AM123" s="9" t="n"/>
      <c r="AN123" s="9" t="n"/>
    </row>
    <row r="124">
      <c r="A124" s="9" t="inlineStr">
        <is>
          <t>Power Cable</t>
        </is>
      </c>
      <c r="B124" s="9" t="inlineStr">
        <is>
          <t>29103-AMB-005</t>
        </is>
      </c>
      <c r="C124" s="9" t="inlineStr"/>
      <c r="D124" s="9" t="inlineStr">
        <is>
          <t>29103-HTP-003 HTC-01</t>
        </is>
      </c>
      <c r="E124" s="9" t="inlineStr">
        <is>
          <t>29103-HTP-003</t>
        </is>
      </c>
      <c r="F124" s="9" t="inlineStr"/>
      <c r="G124" s="9" t="inlineStr">
        <is>
          <t>113</t>
        </is>
      </c>
      <c r="H124" s="9" t="inlineStr">
        <is>
          <t>29103-AMB-005.pdf</t>
        </is>
      </c>
      <c r="I124" s="4" t="str">
        <f>IF($H124&lt;&gt;"","YES","NO")</f>
        <v>YES</v>
      </c>
      <c r="J124" s="4" t="str">
        <f>IF(N($T124)&gt;0,"YES","NO")</f>
        <v>NO</v>
      </c>
      <c r="K124" s="4" t="str">
        <f>IF(OR($A124="EHT Trace"),IF(AND($U124&lt;&gt;"",$V124&lt;&gt;""),"YES","NO"),"N/A")</f>
        <v>N/A</v>
      </c>
      <c r="L124" s="4" t="str">
        <f>IF(OR($A124="EHT Trace"),IF(AND($X124&lt;&gt;"",$Y124&lt;&gt;""),"YES","NO"),"N/A")</f>
        <v>N/A</v>
      </c>
      <c r="M124" s="4" t="str">
        <f>IF(OR($A124="EHT Trace"),IF(AND($AA124&lt;&gt;"",$AB124&lt;&gt;""),"YES","NO"),"N/A")</f>
        <v>N/A</v>
      </c>
      <c r="N124" s="4" t="str">
        <f>IF(OR($A124="Power Cable"),IF(AND($AD124&lt;&gt;""),"YES","NO"),"N/A")</f>
        <v>NO</v>
      </c>
      <c r="O124" s="4" t="str">
        <f>IF(OR($A124="Power Cable",$A124="RTD Cable",$A124="Fieldbus Cable"),IF(AND($AE124&lt;&gt;""),"YES","NO"),"N/A")</f>
        <v>NO</v>
      </c>
      <c r="P124" s="4" t="str">
        <f>IF(OR($A124="RTD"),IF(AND($AH124&lt;&gt;""),"YES","NO"),"N/A")</f>
        <v>N/A</v>
      </c>
      <c r="Q124" s="4" t="str">
        <f>IF(OR($A124="RTD"),IF(AND($AI124&lt;&gt;""),"YES","NO"),"N/A")</f>
        <v>N/A</v>
      </c>
      <c r="R124" s="4" t="str">
        <f>IF(OR($AM124&lt;&gt;"",$Z124&lt;&gt;"",$AC124&lt;&gt;""),"YES","NO")</f>
        <v>NO</v>
      </c>
      <c r="S124" s="4" t="str">
        <f>IF(COUNTIF(I124:R124,"NO")=0,"YES","NO")</f>
        <v>NO</v>
      </c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inlineStr">
        <is>
          <t>Teck</t>
        </is>
      </c>
      <c r="AK124" s="9" t="inlineStr">
        <is>
          <t>8AWG</t>
        </is>
      </c>
      <c r="AL124" s="9" t="inlineStr">
        <is>
          <t>Levy Ostrup</t>
        </is>
      </c>
      <c r="AM124" s="9" t="n"/>
      <c r="AN124" s="9" t="n"/>
    </row>
    <row r="125">
      <c r="A125" s="9" t="inlineStr">
        <is>
          <t>Power Cable</t>
        </is>
      </c>
      <c r="B125" s="9" t="inlineStr">
        <is>
          <t>29103-AMB-006</t>
        </is>
      </c>
      <c r="C125" s="9" t="inlineStr"/>
      <c r="D125" s="9" t="inlineStr">
        <is>
          <t>29103-HTP-003 HTC-03</t>
        </is>
      </c>
      <c r="E125" s="9" t="inlineStr">
        <is>
          <t>29103-HTP-003</t>
        </is>
      </c>
      <c r="F125" s="9" t="inlineStr"/>
      <c r="G125" s="9" t="inlineStr">
        <is>
          <t>113</t>
        </is>
      </c>
      <c r="H125" s="9" t="inlineStr">
        <is>
          <t>29103-AMB-006.pdf</t>
        </is>
      </c>
      <c r="I125" s="4" t="str">
        <f>IF($H125&lt;&gt;"","YES","NO")</f>
        <v>YES</v>
      </c>
      <c r="J125" s="4" t="str">
        <f>IF(N($T125)&gt;0,"YES","NO")</f>
        <v>NO</v>
      </c>
      <c r="K125" s="4" t="str">
        <f>IF(OR($A125="EHT Trace"),IF(AND($U125&lt;&gt;"",$V125&lt;&gt;""),"YES","NO"),"N/A")</f>
        <v>N/A</v>
      </c>
      <c r="L125" s="4" t="str">
        <f>IF(OR($A125="EHT Trace"),IF(AND($X125&lt;&gt;"",$Y125&lt;&gt;""),"YES","NO"),"N/A")</f>
        <v>N/A</v>
      </c>
      <c r="M125" s="4" t="str">
        <f>IF(OR($A125="EHT Trace"),IF(AND($AA125&lt;&gt;"",$AB125&lt;&gt;""),"YES","NO"),"N/A")</f>
        <v>N/A</v>
      </c>
      <c r="N125" s="4" t="str">
        <f>IF(OR($A125="Power Cable"),IF(AND($AD125&lt;&gt;""),"YES","NO"),"N/A")</f>
        <v>NO</v>
      </c>
      <c r="O125" s="4" t="str">
        <f>IF(OR($A125="Power Cable",$A125="RTD Cable",$A125="Fieldbus Cable"),IF(AND($AE125&lt;&gt;""),"YES","NO"),"N/A")</f>
        <v>NO</v>
      </c>
      <c r="P125" s="4" t="str">
        <f>IF(OR($A125="RTD"),IF(AND($AH125&lt;&gt;""),"YES","NO"),"N/A")</f>
        <v>N/A</v>
      </c>
      <c r="Q125" s="4" t="str">
        <f>IF(OR($A125="RTD"),IF(AND($AI125&lt;&gt;""),"YES","NO"),"N/A")</f>
        <v>N/A</v>
      </c>
      <c r="R125" s="4" t="str">
        <f>IF(OR($AM125&lt;&gt;"",$Z125&lt;&gt;"",$AC125&lt;&gt;""),"YES","NO")</f>
        <v>NO</v>
      </c>
      <c r="S125" s="4" t="str">
        <f>IF(COUNTIF(I125:R125,"NO")=0,"YES","NO")</f>
        <v>NO</v>
      </c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inlineStr">
        <is>
          <t>Teck</t>
        </is>
      </c>
      <c r="AK125" s="9" t="inlineStr">
        <is>
          <t>8AWG</t>
        </is>
      </c>
      <c r="AL125" s="9" t="inlineStr">
        <is>
          <t>Levy Ostrup</t>
        </is>
      </c>
      <c r="AM125" s="9" t="n"/>
      <c r="AN125" s="9" t="n"/>
    </row>
    <row r="126">
      <c r="A126" s="9" t="inlineStr">
        <is>
          <t>Power Cable</t>
        </is>
      </c>
      <c r="B126" s="9" t="inlineStr">
        <is>
          <t>29103-ET-FG1305-1-PWK-1</t>
        </is>
      </c>
      <c r="C126" s="9" t="inlineStr">
        <is>
          <t>29103-ET-FG1305-1</t>
        </is>
      </c>
      <c r="D126" s="9" t="inlineStr">
        <is>
          <t>29103-AMB-004</t>
        </is>
      </c>
      <c r="E126" s="9" t="inlineStr">
        <is>
          <t>29103-HTP-003</t>
        </is>
      </c>
      <c r="F126" s="9" t="inlineStr"/>
      <c r="G126" s="9" t="inlineStr">
        <is>
          <t>113</t>
        </is>
      </c>
      <c r="H126" s="9" t="inlineStr">
        <is>
          <t>29103-ET-FG1305-1-PWK-1.pdf</t>
        </is>
      </c>
      <c r="I126" s="4" t="str">
        <f>IF($H126&lt;&gt;"","YES","NO")</f>
        <v>YES</v>
      </c>
      <c r="J126" s="4" t="str">
        <f>IF(N($T126)&gt;0,"YES","NO")</f>
        <v>NO</v>
      </c>
      <c r="K126" s="4" t="str">
        <f>IF(OR($A126="EHT Trace"),IF(AND($U126&lt;&gt;"",$V126&lt;&gt;""),"YES","NO"),"N/A")</f>
        <v>N/A</v>
      </c>
      <c r="L126" s="4" t="str">
        <f>IF(OR($A126="EHT Trace"),IF(AND($X126&lt;&gt;"",$Y126&lt;&gt;""),"YES","NO"),"N/A")</f>
        <v>N/A</v>
      </c>
      <c r="M126" s="4" t="str">
        <f>IF(OR($A126="EHT Trace"),IF(AND($AA126&lt;&gt;"",$AB126&lt;&gt;""),"YES","NO"),"N/A")</f>
        <v>N/A</v>
      </c>
      <c r="N126" s="4" t="str">
        <f>IF(OR($A126="Power Cable"),IF(AND($AD126&lt;&gt;""),"YES","NO"),"N/A")</f>
        <v>NO</v>
      </c>
      <c r="O126" s="4" t="str">
        <f>IF(OR($A126="Power Cable",$A126="RTD Cable",$A126="Fieldbus Cable"),IF(AND($AE126&lt;&gt;""),"YES","NO"),"N/A")</f>
        <v>NO</v>
      </c>
      <c r="P126" s="4" t="str">
        <f>IF(OR($A126="RTD"),IF(AND($AH126&lt;&gt;""),"YES","NO"),"N/A")</f>
        <v>N/A</v>
      </c>
      <c r="Q126" s="4" t="str">
        <f>IF(OR($A126="RTD"),IF(AND($AI126&lt;&gt;""),"YES","NO"),"N/A")</f>
        <v>N/A</v>
      </c>
      <c r="R126" s="4" t="str">
        <f>IF(OR($AM126&lt;&gt;"",$Z126&lt;&gt;"",$AC126&lt;&gt;""),"YES","NO")</f>
        <v>NO</v>
      </c>
      <c r="S126" s="4" t="str">
        <f>IF(COUNTIF(I126:R126,"NO")=0,"YES","NO")</f>
        <v>NO</v>
      </c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inlineStr">
        <is>
          <t>Teck</t>
        </is>
      </c>
      <c r="AK126" s="9" t="inlineStr">
        <is>
          <t>10AWG</t>
        </is>
      </c>
      <c r="AL126" s="9" t="inlineStr">
        <is>
          <t>Levy Ostrup</t>
        </is>
      </c>
      <c r="AM126" s="9" t="n"/>
      <c r="AN126" s="9" t="n"/>
    </row>
    <row r="127">
      <c r="A127" s="9" t="inlineStr">
        <is>
          <t>Power Cable</t>
        </is>
      </c>
      <c r="B127" s="9" t="inlineStr">
        <is>
          <t>29103-ET-FG1501-1-PWK-1</t>
        </is>
      </c>
      <c r="C127" s="9" t="inlineStr">
        <is>
          <t>29103-ET-FG1501-1</t>
        </is>
      </c>
      <c r="D127" s="9" t="inlineStr">
        <is>
          <t>29103-AMB-005</t>
        </is>
      </c>
      <c r="E127" s="9" t="inlineStr">
        <is>
          <t>29103-HTP-003</t>
        </is>
      </c>
      <c r="F127" s="9" t="inlineStr"/>
      <c r="G127" s="9" t="inlineStr">
        <is>
          <t>113</t>
        </is>
      </c>
      <c r="H127" s="9" t="inlineStr">
        <is>
          <t>29103-ET-FG1501-1-PWK-1.pdf</t>
        </is>
      </c>
      <c r="I127" s="4" t="str">
        <f>IF($H127&lt;&gt;"","YES","NO")</f>
        <v>YES</v>
      </c>
      <c r="J127" s="4" t="str">
        <f>IF(N($T127)&gt;0,"YES","NO")</f>
        <v>NO</v>
      </c>
      <c r="K127" s="4" t="str">
        <f>IF(OR($A127="EHT Trace"),IF(AND($U127&lt;&gt;"",$V127&lt;&gt;""),"YES","NO"),"N/A")</f>
        <v>N/A</v>
      </c>
      <c r="L127" s="4" t="str">
        <f>IF(OR($A127="EHT Trace"),IF(AND($X127&lt;&gt;"",$Y127&lt;&gt;""),"YES","NO"),"N/A")</f>
        <v>N/A</v>
      </c>
      <c r="M127" s="4" t="str">
        <f>IF(OR($A127="EHT Trace"),IF(AND($AA127&lt;&gt;"",$AB127&lt;&gt;""),"YES","NO"),"N/A")</f>
        <v>N/A</v>
      </c>
      <c r="N127" s="4" t="str">
        <f>IF(OR($A127="Power Cable"),IF(AND($AD127&lt;&gt;""),"YES","NO"),"N/A")</f>
        <v>NO</v>
      </c>
      <c r="O127" s="4" t="str">
        <f>IF(OR($A127="Power Cable",$A127="RTD Cable",$A127="Fieldbus Cable"),IF(AND($AE127&lt;&gt;""),"YES","NO"),"N/A")</f>
        <v>NO</v>
      </c>
      <c r="P127" s="4" t="str">
        <f>IF(OR($A127="RTD"),IF(AND($AH127&lt;&gt;""),"YES","NO"),"N/A")</f>
        <v>N/A</v>
      </c>
      <c r="Q127" s="4" t="str">
        <f>IF(OR($A127="RTD"),IF(AND($AI127&lt;&gt;""),"YES","NO"),"N/A")</f>
        <v>N/A</v>
      </c>
      <c r="R127" s="4" t="str">
        <f>IF(OR($AM127&lt;&gt;"",$Z127&lt;&gt;"",$AC127&lt;&gt;""),"YES","NO")</f>
        <v>NO</v>
      </c>
      <c r="S127" s="4" t="str">
        <f>IF(COUNTIF(I127:R127,"NO")=0,"YES","NO")</f>
        <v>NO</v>
      </c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inlineStr">
        <is>
          <t>Teck</t>
        </is>
      </c>
      <c r="AK127" s="9" t="inlineStr">
        <is>
          <t>10AWG</t>
        </is>
      </c>
      <c r="AL127" s="9" t="inlineStr">
        <is>
          <t>Levy Ostrup</t>
        </is>
      </c>
      <c r="AM127" s="9" t="n"/>
      <c r="AN127" s="9" t="n"/>
    </row>
    <row r="128">
      <c r="A128" s="9" t="inlineStr">
        <is>
          <t>Power Cable</t>
        </is>
      </c>
      <c r="B128" s="9" t="inlineStr">
        <is>
          <t>29103-ET-FG1503-1-PWK-1</t>
        </is>
      </c>
      <c r="C128" s="9" t="inlineStr">
        <is>
          <t>29103-ET-FG1503-1</t>
        </is>
      </c>
      <c r="D128" s="9" t="inlineStr">
        <is>
          <t>29103-AMB-005</t>
        </is>
      </c>
      <c r="E128" s="9" t="inlineStr">
        <is>
          <t>29103-HTP-003</t>
        </is>
      </c>
      <c r="F128" s="9" t="inlineStr"/>
      <c r="G128" s="9" t="inlineStr">
        <is>
          <t>113</t>
        </is>
      </c>
      <c r="H128" s="9" t="inlineStr">
        <is>
          <t>29103-ET-FG1503-1-PWK-1.pdf</t>
        </is>
      </c>
      <c r="I128" s="4" t="str">
        <f>IF($H128&lt;&gt;"","YES","NO")</f>
        <v>YES</v>
      </c>
      <c r="J128" s="4" t="str">
        <f>IF(N($T128)&gt;0,"YES","NO")</f>
        <v>NO</v>
      </c>
      <c r="K128" s="4" t="str">
        <f>IF(OR($A128="EHT Trace"),IF(AND($U128&lt;&gt;"",$V128&lt;&gt;""),"YES","NO"),"N/A")</f>
        <v>N/A</v>
      </c>
      <c r="L128" s="4" t="str">
        <f>IF(OR($A128="EHT Trace"),IF(AND($X128&lt;&gt;"",$Y128&lt;&gt;""),"YES","NO"),"N/A")</f>
        <v>N/A</v>
      </c>
      <c r="M128" s="4" t="str">
        <f>IF(OR($A128="EHT Trace"),IF(AND($AA128&lt;&gt;"",$AB128&lt;&gt;""),"YES","NO"),"N/A")</f>
        <v>N/A</v>
      </c>
      <c r="N128" s="4" t="str">
        <f>IF(OR($A128="Power Cable"),IF(AND($AD128&lt;&gt;""),"YES","NO"),"N/A")</f>
        <v>NO</v>
      </c>
      <c r="O128" s="4" t="str">
        <f>IF(OR($A128="Power Cable",$A128="RTD Cable",$A128="Fieldbus Cable"),IF(AND($AE128&lt;&gt;""),"YES","NO"),"N/A")</f>
        <v>NO</v>
      </c>
      <c r="P128" s="4" t="str">
        <f>IF(OR($A128="RTD"),IF(AND($AH128&lt;&gt;""),"YES","NO"),"N/A")</f>
        <v>N/A</v>
      </c>
      <c r="Q128" s="4" t="str">
        <f>IF(OR($A128="RTD"),IF(AND($AI128&lt;&gt;""),"YES","NO"),"N/A")</f>
        <v>N/A</v>
      </c>
      <c r="R128" s="4" t="str">
        <f>IF(OR($AM128&lt;&gt;"",$Z128&lt;&gt;"",$AC128&lt;&gt;""),"YES","NO")</f>
        <v>NO</v>
      </c>
      <c r="S128" s="4" t="str">
        <f>IF(COUNTIF(I128:R128,"NO")=0,"YES","NO")</f>
        <v>NO</v>
      </c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inlineStr">
        <is>
          <t>Teck</t>
        </is>
      </c>
      <c r="AK128" s="9" t="inlineStr">
        <is>
          <t>10AWG</t>
        </is>
      </c>
      <c r="AL128" s="9" t="inlineStr">
        <is>
          <t>Levy Ostrup</t>
        </is>
      </c>
      <c r="AM128" s="9" t="n"/>
      <c r="AN128" s="9" t="n"/>
    </row>
    <row r="129">
      <c r="A129" s="9" t="inlineStr">
        <is>
          <t>Power Cable</t>
        </is>
      </c>
      <c r="B129" s="9" t="inlineStr">
        <is>
          <t>29103-ET-FG1505-1-PWK-1</t>
        </is>
      </c>
      <c r="C129" s="9" t="inlineStr">
        <is>
          <t>29103-ET-FG1505-1</t>
        </is>
      </c>
      <c r="D129" s="9" t="inlineStr">
        <is>
          <t>29103-AMB-006</t>
        </is>
      </c>
      <c r="E129" s="9" t="inlineStr">
        <is>
          <t>29103-HTP-003</t>
        </is>
      </c>
      <c r="F129" s="9" t="inlineStr"/>
      <c r="G129" s="9" t="inlineStr">
        <is>
          <t>113</t>
        </is>
      </c>
      <c r="H129" s="9" t="inlineStr">
        <is>
          <t>29103-ET-FG1505-1-PWK-1.pdf</t>
        </is>
      </c>
      <c r="I129" s="4" t="str">
        <f>IF($H129&lt;&gt;"","YES","NO")</f>
        <v>YES</v>
      </c>
      <c r="J129" s="4" t="str">
        <f>IF(N($T129)&gt;0,"YES","NO")</f>
        <v>NO</v>
      </c>
      <c r="K129" s="4" t="str">
        <f>IF(OR($A129="EHT Trace"),IF(AND($U129&lt;&gt;"",$V129&lt;&gt;""),"YES","NO"),"N/A")</f>
        <v>N/A</v>
      </c>
      <c r="L129" s="4" t="str">
        <f>IF(OR($A129="EHT Trace"),IF(AND($X129&lt;&gt;"",$Y129&lt;&gt;""),"YES","NO"),"N/A")</f>
        <v>N/A</v>
      </c>
      <c r="M129" s="4" t="str">
        <f>IF(OR($A129="EHT Trace"),IF(AND($AA129&lt;&gt;"",$AB129&lt;&gt;""),"YES","NO"),"N/A")</f>
        <v>N/A</v>
      </c>
      <c r="N129" s="4" t="str">
        <f>IF(OR($A129="Power Cable"),IF(AND($AD129&lt;&gt;""),"YES","NO"),"N/A")</f>
        <v>NO</v>
      </c>
      <c r="O129" s="4" t="str">
        <f>IF(OR($A129="Power Cable",$A129="RTD Cable",$A129="Fieldbus Cable"),IF(AND($AE129&lt;&gt;""),"YES","NO"),"N/A")</f>
        <v>NO</v>
      </c>
      <c r="P129" s="4" t="str">
        <f>IF(OR($A129="RTD"),IF(AND($AH129&lt;&gt;""),"YES","NO"),"N/A")</f>
        <v>N/A</v>
      </c>
      <c r="Q129" s="4" t="str">
        <f>IF(OR($A129="RTD"),IF(AND($AI129&lt;&gt;""),"YES","NO"),"N/A")</f>
        <v>N/A</v>
      </c>
      <c r="R129" s="4" t="str">
        <f>IF(OR($AM129&lt;&gt;"",$Z129&lt;&gt;"",$AC129&lt;&gt;""),"YES","NO")</f>
        <v>NO</v>
      </c>
      <c r="S129" s="4" t="str">
        <f>IF(COUNTIF(I129:R129,"NO")=0,"YES","NO")</f>
        <v>NO</v>
      </c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inlineStr">
        <is>
          <t>Teck</t>
        </is>
      </c>
      <c r="AK129" s="9" t="inlineStr">
        <is>
          <t>10AWG</t>
        </is>
      </c>
      <c r="AL129" s="9" t="inlineStr">
        <is>
          <t>Levy Ostrup</t>
        </is>
      </c>
      <c r="AM129" s="9" t="n"/>
      <c r="AN129" s="9" t="n"/>
    </row>
    <row r="130">
      <c r="A130" s="9" t="inlineStr">
        <is>
          <t>Power Cable</t>
        </is>
      </c>
      <c r="B130" s="9" t="inlineStr">
        <is>
          <t>29103-ET-FG1601-1-PWK-1</t>
        </is>
      </c>
      <c r="C130" s="9" t="inlineStr">
        <is>
          <t>29103-ET-FG1601-1</t>
        </is>
      </c>
      <c r="D130" s="9" t="inlineStr">
        <is>
          <t>29103-AMB-005</t>
        </is>
      </c>
      <c r="E130" s="9" t="inlineStr">
        <is>
          <t>29103-HTP-003</t>
        </is>
      </c>
      <c r="F130" s="9" t="inlineStr"/>
      <c r="G130" s="9" t="inlineStr">
        <is>
          <t>113</t>
        </is>
      </c>
      <c r="H130" s="9" t="inlineStr">
        <is>
          <t>29103-ET-FG1601-1-PWK-1.pdf</t>
        </is>
      </c>
      <c r="I130" s="4" t="str">
        <f>IF($H130&lt;&gt;"","YES","NO")</f>
        <v>YES</v>
      </c>
      <c r="J130" s="4" t="str">
        <f>IF(N($T130)&gt;0,"YES","NO")</f>
        <v>NO</v>
      </c>
      <c r="K130" s="4" t="str">
        <f>IF(OR($A130="EHT Trace"),IF(AND($U130&lt;&gt;"",$V130&lt;&gt;""),"YES","NO"),"N/A")</f>
        <v>N/A</v>
      </c>
      <c r="L130" s="4" t="str">
        <f>IF(OR($A130="EHT Trace"),IF(AND($X130&lt;&gt;"",$Y130&lt;&gt;""),"YES","NO"),"N/A")</f>
        <v>N/A</v>
      </c>
      <c r="M130" s="4" t="str">
        <f>IF(OR($A130="EHT Trace"),IF(AND($AA130&lt;&gt;"",$AB130&lt;&gt;""),"YES","NO"),"N/A")</f>
        <v>N/A</v>
      </c>
      <c r="N130" s="4" t="str">
        <f>IF(OR($A130="Power Cable"),IF(AND($AD130&lt;&gt;""),"YES","NO"),"N/A")</f>
        <v>NO</v>
      </c>
      <c r="O130" s="4" t="str">
        <f>IF(OR($A130="Power Cable",$A130="RTD Cable",$A130="Fieldbus Cable"),IF(AND($AE130&lt;&gt;""),"YES","NO"),"N/A")</f>
        <v>NO</v>
      </c>
      <c r="P130" s="4" t="str">
        <f>IF(OR($A130="RTD"),IF(AND($AH130&lt;&gt;""),"YES","NO"),"N/A")</f>
        <v>N/A</v>
      </c>
      <c r="Q130" s="4" t="str">
        <f>IF(OR($A130="RTD"),IF(AND($AI130&lt;&gt;""),"YES","NO"),"N/A")</f>
        <v>N/A</v>
      </c>
      <c r="R130" s="4" t="str">
        <f>IF(OR($AM130&lt;&gt;"",$Z130&lt;&gt;"",$AC130&lt;&gt;""),"YES","NO")</f>
        <v>NO</v>
      </c>
      <c r="S130" s="4" t="str">
        <f>IF(COUNTIF(I130:R130,"NO")=0,"YES","NO")</f>
        <v>NO</v>
      </c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inlineStr">
        <is>
          <t>Teck</t>
        </is>
      </c>
      <c r="AK130" s="9" t="inlineStr">
        <is>
          <t>10AWG</t>
        </is>
      </c>
      <c r="AL130" s="9" t="inlineStr">
        <is>
          <t>Levy Ostrup</t>
        </is>
      </c>
      <c r="AM130" s="9" t="n"/>
      <c r="AN130" s="9" t="n"/>
    </row>
    <row r="131">
      <c r="A131" s="9" t="inlineStr">
        <is>
          <t>Power Cable</t>
        </is>
      </c>
      <c r="B131" s="9" t="inlineStr">
        <is>
          <t>29103-ET-FG1603-1-PWK-1</t>
        </is>
      </c>
      <c r="C131" s="9" t="inlineStr">
        <is>
          <t>29103-ET-FG1603-1</t>
        </is>
      </c>
      <c r="D131" s="9" t="inlineStr">
        <is>
          <t>29103-AMB-005</t>
        </is>
      </c>
      <c r="E131" s="9" t="inlineStr">
        <is>
          <t>29103-HTP-003</t>
        </is>
      </c>
      <c r="F131" s="9" t="inlineStr"/>
      <c r="G131" s="9" t="inlineStr">
        <is>
          <t>113</t>
        </is>
      </c>
      <c r="H131" s="9" t="inlineStr">
        <is>
          <t>29103-ET-FG1603-1-PWK-1.pdf</t>
        </is>
      </c>
      <c r="I131" s="4" t="str">
        <f>IF($H131&lt;&gt;"","YES","NO")</f>
        <v>YES</v>
      </c>
      <c r="J131" s="4" t="str">
        <f>IF(N($T131)&gt;0,"YES","NO")</f>
        <v>NO</v>
      </c>
      <c r="K131" s="4" t="str">
        <f>IF(OR($A131="EHT Trace"),IF(AND($U131&lt;&gt;"",$V131&lt;&gt;""),"YES","NO"),"N/A")</f>
        <v>N/A</v>
      </c>
      <c r="L131" s="4" t="str">
        <f>IF(OR($A131="EHT Trace"),IF(AND($X131&lt;&gt;"",$Y131&lt;&gt;""),"YES","NO"),"N/A")</f>
        <v>N/A</v>
      </c>
      <c r="M131" s="4" t="str">
        <f>IF(OR($A131="EHT Trace"),IF(AND($AA131&lt;&gt;"",$AB131&lt;&gt;""),"YES","NO"),"N/A")</f>
        <v>N/A</v>
      </c>
      <c r="N131" s="4" t="str">
        <f>IF(OR($A131="Power Cable"),IF(AND($AD131&lt;&gt;""),"YES","NO"),"N/A")</f>
        <v>NO</v>
      </c>
      <c r="O131" s="4" t="str">
        <f>IF(OR($A131="Power Cable",$A131="RTD Cable",$A131="Fieldbus Cable"),IF(AND($AE131&lt;&gt;""),"YES","NO"),"N/A")</f>
        <v>NO</v>
      </c>
      <c r="P131" s="4" t="str">
        <f>IF(OR($A131="RTD"),IF(AND($AH131&lt;&gt;""),"YES","NO"),"N/A")</f>
        <v>N/A</v>
      </c>
      <c r="Q131" s="4" t="str">
        <f>IF(OR($A131="RTD"),IF(AND($AI131&lt;&gt;""),"YES","NO"),"N/A")</f>
        <v>N/A</v>
      </c>
      <c r="R131" s="4" t="str">
        <f>IF(OR($AM131&lt;&gt;"",$Z131&lt;&gt;"",$AC131&lt;&gt;""),"YES","NO")</f>
        <v>NO</v>
      </c>
      <c r="S131" s="4" t="str">
        <f>IF(COUNTIF(I131:R131,"NO")=0,"YES","NO")</f>
        <v>NO</v>
      </c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inlineStr">
        <is>
          <t>Teck</t>
        </is>
      </c>
      <c r="AK131" s="9" t="inlineStr">
        <is>
          <t>10AWG</t>
        </is>
      </c>
      <c r="AL131" s="9" t="inlineStr">
        <is>
          <t>Levy Ostrup</t>
        </is>
      </c>
      <c r="AM131" s="9" t="n"/>
      <c r="AN131" s="9" t="n"/>
    </row>
    <row r="132">
      <c r="A132" s="9" t="inlineStr">
        <is>
          <t>Power Cable</t>
        </is>
      </c>
      <c r="B132" s="9" t="inlineStr">
        <is>
          <t>29103-ET-FG1701-1-PWK-1</t>
        </is>
      </c>
      <c r="C132" s="9" t="inlineStr">
        <is>
          <t>29103-ET-FG1701-1</t>
        </is>
      </c>
      <c r="D132" s="9" t="inlineStr">
        <is>
          <t>29103-HTP-003 HTC-39</t>
        </is>
      </c>
      <c r="E132" s="9" t="inlineStr">
        <is>
          <t>29103-HTP-003</t>
        </is>
      </c>
      <c r="F132" s="9" t="inlineStr"/>
      <c r="G132" s="9" t="inlineStr">
        <is>
          <t>113</t>
        </is>
      </c>
      <c r="H132" s="9" t="inlineStr">
        <is>
          <t>29103-ET-FG1701-1-PWK-1.pdf</t>
        </is>
      </c>
      <c r="I132" s="4" t="str">
        <f>IF($H132&lt;&gt;"","YES","NO")</f>
        <v>YES</v>
      </c>
      <c r="J132" s="4" t="str">
        <f>IF(N($T132)&gt;0,"YES","NO")</f>
        <v>NO</v>
      </c>
      <c r="K132" s="4" t="str">
        <f>IF(OR($A132="EHT Trace"),IF(AND($U132&lt;&gt;"",$V132&lt;&gt;""),"YES","NO"),"N/A")</f>
        <v>N/A</v>
      </c>
      <c r="L132" s="4" t="str">
        <f>IF(OR($A132="EHT Trace"),IF(AND($X132&lt;&gt;"",$Y132&lt;&gt;""),"YES","NO"),"N/A")</f>
        <v>N/A</v>
      </c>
      <c r="M132" s="4" t="str">
        <f>IF(OR($A132="EHT Trace"),IF(AND($AA132&lt;&gt;"",$AB132&lt;&gt;""),"YES","NO"),"N/A")</f>
        <v>N/A</v>
      </c>
      <c r="N132" s="4" t="str">
        <f>IF(OR($A132="Power Cable"),IF(AND($AD132&lt;&gt;""),"YES","NO"),"N/A")</f>
        <v>NO</v>
      </c>
      <c r="O132" s="4" t="str">
        <f>IF(OR($A132="Power Cable",$A132="RTD Cable",$A132="Fieldbus Cable"),IF(AND($AE132&lt;&gt;""),"YES","NO"),"N/A")</f>
        <v>NO</v>
      </c>
      <c r="P132" s="4" t="str">
        <f>IF(OR($A132="RTD"),IF(AND($AH132&lt;&gt;""),"YES","NO"),"N/A")</f>
        <v>N/A</v>
      </c>
      <c r="Q132" s="4" t="str">
        <f>IF(OR($A132="RTD"),IF(AND($AI132&lt;&gt;""),"YES","NO"),"N/A")</f>
        <v>N/A</v>
      </c>
      <c r="R132" s="4" t="str">
        <f>IF(OR($AM132&lt;&gt;"",$Z132&lt;&gt;"",$AC132&lt;&gt;""),"YES","NO")</f>
        <v>NO</v>
      </c>
      <c r="S132" s="4" t="str">
        <f>IF(COUNTIF(I132:R132,"NO")=0,"YES","NO")</f>
        <v>NO</v>
      </c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inlineStr">
        <is>
          <t>Teck</t>
        </is>
      </c>
      <c r="AK132" s="9" t="inlineStr">
        <is>
          <t>10AWG</t>
        </is>
      </c>
      <c r="AL132" s="9" t="inlineStr">
        <is>
          <t>Levy Ostrup</t>
        </is>
      </c>
      <c r="AM132" s="9" t="n"/>
      <c r="AN132" s="9" t="n"/>
    </row>
    <row r="133">
      <c r="A133" s="9" t="inlineStr">
        <is>
          <t>Power Cable</t>
        </is>
      </c>
      <c r="B133" s="9" t="inlineStr">
        <is>
          <t>29103-ET-FG1703-1-PWK-1</t>
        </is>
      </c>
      <c r="C133" s="9" t="inlineStr">
        <is>
          <t>29103-ET-FG1703-1</t>
        </is>
      </c>
      <c r="D133" s="9" t="inlineStr">
        <is>
          <t>29103-HTP-003 HTC-40</t>
        </is>
      </c>
      <c r="E133" s="9" t="inlineStr">
        <is>
          <t>29103-HTP-003</t>
        </is>
      </c>
      <c r="F133" s="9" t="inlineStr"/>
      <c r="G133" s="9" t="inlineStr">
        <is>
          <t>113</t>
        </is>
      </c>
      <c r="H133" s="9" t="inlineStr">
        <is>
          <t>29103-ET-FG1703-1-PWK-1.pdf</t>
        </is>
      </c>
      <c r="I133" s="4" t="str">
        <f>IF($H133&lt;&gt;"","YES","NO")</f>
        <v>YES</v>
      </c>
      <c r="J133" s="4" t="str">
        <f>IF(N($T133)&gt;0,"YES","NO")</f>
        <v>NO</v>
      </c>
      <c r="K133" s="4" t="str">
        <f>IF(OR($A133="EHT Trace"),IF(AND($U133&lt;&gt;"",$V133&lt;&gt;""),"YES","NO"),"N/A")</f>
        <v>N/A</v>
      </c>
      <c r="L133" s="4" t="str">
        <f>IF(OR($A133="EHT Trace"),IF(AND($X133&lt;&gt;"",$Y133&lt;&gt;""),"YES","NO"),"N/A")</f>
        <v>N/A</v>
      </c>
      <c r="M133" s="4" t="str">
        <f>IF(OR($A133="EHT Trace"),IF(AND($AA133&lt;&gt;"",$AB133&lt;&gt;""),"YES","NO"),"N/A")</f>
        <v>N/A</v>
      </c>
      <c r="N133" s="4" t="str">
        <f>IF(OR($A133="Power Cable"),IF(AND($AD133&lt;&gt;""),"YES","NO"),"N/A")</f>
        <v>NO</v>
      </c>
      <c r="O133" s="4" t="str">
        <f>IF(OR($A133="Power Cable",$A133="RTD Cable",$A133="Fieldbus Cable"),IF(AND($AE133&lt;&gt;""),"YES","NO"),"N/A")</f>
        <v>NO</v>
      </c>
      <c r="P133" s="4" t="str">
        <f>IF(OR($A133="RTD"),IF(AND($AH133&lt;&gt;""),"YES","NO"),"N/A")</f>
        <v>N/A</v>
      </c>
      <c r="Q133" s="4" t="str">
        <f>IF(OR($A133="RTD"),IF(AND($AI133&lt;&gt;""),"YES","NO"),"N/A")</f>
        <v>N/A</v>
      </c>
      <c r="R133" s="4" t="str">
        <f>IF(OR($AM133&lt;&gt;"",$Z133&lt;&gt;"",$AC133&lt;&gt;""),"YES","NO")</f>
        <v>NO</v>
      </c>
      <c r="S133" s="4" t="str">
        <f>IF(COUNTIF(I133:R133,"NO")=0,"YES","NO")</f>
        <v>NO</v>
      </c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inlineStr">
        <is>
          <t>Teck</t>
        </is>
      </c>
      <c r="AK133" s="9" t="inlineStr">
        <is>
          <t>10AWG</t>
        </is>
      </c>
      <c r="AL133" s="9" t="inlineStr">
        <is>
          <t>Levy Ostrup</t>
        </is>
      </c>
      <c r="AM133" s="9" t="n"/>
      <c r="AN133" s="9" t="n"/>
    </row>
    <row r="134">
      <c r="A134" s="9" t="inlineStr">
        <is>
          <t>Power Cable</t>
        </is>
      </c>
      <c r="B134" s="9" t="inlineStr">
        <is>
          <t>29103-ET-P1404-1-PWK-1</t>
        </is>
      </c>
      <c r="C134" s="9" t="inlineStr">
        <is>
          <t>29103-ET-P1404-1</t>
        </is>
      </c>
      <c r="D134" s="9" t="inlineStr">
        <is>
          <t>29103-HTP-003 HTC-34</t>
        </is>
      </c>
      <c r="E134" s="9" t="inlineStr">
        <is>
          <t>29103-HTP-003</t>
        </is>
      </c>
      <c r="F134" s="9" t="inlineStr"/>
      <c r="G134" s="9" t="inlineStr">
        <is>
          <t>113</t>
        </is>
      </c>
      <c r="H134" s="9" t="inlineStr">
        <is>
          <t>29103-ET-P1404-1-PWK-1.pdf</t>
        </is>
      </c>
      <c r="I134" s="4" t="str">
        <f>IF($H134&lt;&gt;"","YES","NO")</f>
        <v>YES</v>
      </c>
      <c r="J134" s="4" t="str">
        <f>IF(N($T134)&gt;0,"YES","NO")</f>
        <v>NO</v>
      </c>
      <c r="K134" s="4" t="str">
        <f>IF(OR($A134="EHT Trace"),IF(AND($U134&lt;&gt;"",$V134&lt;&gt;""),"YES","NO"),"N/A")</f>
        <v>N/A</v>
      </c>
      <c r="L134" s="4" t="str">
        <f>IF(OR($A134="EHT Trace"),IF(AND($X134&lt;&gt;"",$Y134&lt;&gt;""),"YES","NO"),"N/A")</f>
        <v>N/A</v>
      </c>
      <c r="M134" s="4" t="str">
        <f>IF(OR($A134="EHT Trace"),IF(AND($AA134&lt;&gt;"",$AB134&lt;&gt;""),"YES","NO"),"N/A")</f>
        <v>N/A</v>
      </c>
      <c r="N134" s="4" t="str">
        <f>IF(OR($A134="Power Cable"),IF(AND($AD134&lt;&gt;""),"YES","NO"),"N/A")</f>
        <v>NO</v>
      </c>
      <c r="O134" s="4" t="str">
        <f>IF(OR($A134="Power Cable",$A134="RTD Cable",$A134="Fieldbus Cable"),IF(AND($AE134&lt;&gt;""),"YES","NO"),"N/A")</f>
        <v>NO</v>
      </c>
      <c r="P134" s="4" t="str">
        <f>IF(OR($A134="RTD"),IF(AND($AH134&lt;&gt;""),"YES","NO"),"N/A")</f>
        <v>N/A</v>
      </c>
      <c r="Q134" s="4" t="str">
        <f>IF(OR($A134="RTD"),IF(AND($AI134&lt;&gt;""),"YES","NO"),"N/A")</f>
        <v>N/A</v>
      </c>
      <c r="R134" s="4" t="str">
        <f>IF(OR($AM134&lt;&gt;"",$Z134&lt;&gt;"",$AC134&lt;&gt;""),"YES","NO")</f>
        <v>NO</v>
      </c>
      <c r="S134" s="4" t="str">
        <f>IF(COUNTIF(I134:R134,"NO")=0,"YES","NO")</f>
        <v>NO</v>
      </c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inlineStr">
        <is>
          <t>Teck</t>
        </is>
      </c>
      <c r="AK134" s="9" t="inlineStr">
        <is>
          <t>10AWG</t>
        </is>
      </c>
      <c r="AL134" s="9" t="inlineStr">
        <is>
          <t>Levy Ostrup</t>
        </is>
      </c>
      <c r="AM134" s="9" t="n"/>
      <c r="AN134" s="9" t="n"/>
    </row>
    <row r="135">
      <c r="A135" s="9" t="inlineStr">
        <is>
          <t>Power Cable</t>
        </is>
      </c>
      <c r="B135" s="9" t="inlineStr">
        <is>
          <t>29103-ET-P1404-2-PWK-1</t>
        </is>
      </c>
      <c r="C135" s="9" t="inlineStr">
        <is>
          <t>29103-ET-P1404-2</t>
        </is>
      </c>
      <c r="D135" s="9" t="inlineStr">
        <is>
          <t>29103-HTP-003 HTC-26</t>
        </is>
      </c>
      <c r="E135" s="9" t="inlineStr">
        <is>
          <t>29103-HTP-003</t>
        </is>
      </c>
      <c r="F135" s="9" t="inlineStr"/>
      <c r="G135" s="9" t="inlineStr">
        <is>
          <t>113</t>
        </is>
      </c>
      <c r="H135" s="9" t="inlineStr">
        <is>
          <t>29103-ET-P1404-2-PWK-1.pdf</t>
        </is>
      </c>
      <c r="I135" s="4" t="str">
        <f>IF($H135&lt;&gt;"","YES","NO")</f>
        <v>YES</v>
      </c>
      <c r="J135" s="4" t="str">
        <f>IF(N($T135)&gt;0,"YES","NO")</f>
        <v>NO</v>
      </c>
      <c r="K135" s="4" t="str">
        <f>IF(OR($A135="EHT Trace"),IF(AND($U135&lt;&gt;"",$V135&lt;&gt;""),"YES","NO"),"N/A")</f>
        <v>N/A</v>
      </c>
      <c r="L135" s="4" t="str">
        <f>IF(OR($A135="EHT Trace"),IF(AND($X135&lt;&gt;"",$Y135&lt;&gt;""),"YES","NO"),"N/A")</f>
        <v>N/A</v>
      </c>
      <c r="M135" s="4" t="str">
        <f>IF(OR($A135="EHT Trace"),IF(AND($AA135&lt;&gt;"",$AB135&lt;&gt;""),"YES","NO"),"N/A")</f>
        <v>N/A</v>
      </c>
      <c r="N135" s="4" t="str">
        <f>IF(OR($A135="Power Cable"),IF(AND($AD135&lt;&gt;""),"YES","NO"),"N/A")</f>
        <v>NO</v>
      </c>
      <c r="O135" s="4" t="str">
        <f>IF(OR($A135="Power Cable",$A135="RTD Cable",$A135="Fieldbus Cable"),IF(AND($AE135&lt;&gt;""),"YES","NO"),"N/A")</f>
        <v>NO</v>
      </c>
      <c r="P135" s="4" t="str">
        <f>IF(OR($A135="RTD"),IF(AND($AH135&lt;&gt;""),"YES","NO"),"N/A")</f>
        <v>N/A</v>
      </c>
      <c r="Q135" s="4" t="str">
        <f>IF(OR($A135="RTD"),IF(AND($AI135&lt;&gt;""),"YES","NO"),"N/A")</f>
        <v>N/A</v>
      </c>
      <c r="R135" s="4" t="str">
        <f>IF(OR($AM135&lt;&gt;"",$Z135&lt;&gt;"",$AC135&lt;&gt;""),"YES","NO")</f>
        <v>NO</v>
      </c>
      <c r="S135" s="4" t="str">
        <f>IF(COUNTIF(I135:R135,"NO")=0,"YES","NO")</f>
        <v>NO</v>
      </c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inlineStr">
        <is>
          <t>Teck</t>
        </is>
      </c>
      <c r="AK135" s="9" t="inlineStr">
        <is>
          <t>10AWG</t>
        </is>
      </c>
      <c r="AL135" s="9" t="inlineStr">
        <is>
          <t>Levy Ostrup</t>
        </is>
      </c>
      <c r="AM135" s="9" t="n"/>
      <c r="AN135" s="9" t="n"/>
    </row>
    <row r="136">
      <c r="A136" s="9" t="inlineStr">
        <is>
          <t>Power Cable</t>
        </is>
      </c>
      <c r="B136" s="9" t="inlineStr">
        <is>
          <t>29103-ET-P1501-1-PWK-1</t>
        </is>
      </c>
      <c r="C136" s="9" t="inlineStr">
        <is>
          <t>29103-ET-P1501-1</t>
        </is>
      </c>
      <c r="D136" s="9" t="inlineStr">
        <is>
          <t>29103-HTP-003 HTC-04</t>
        </is>
      </c>
      <c r="E136" s="9" t="inlineStr">
        <is>
          <t>29103-HTP-003</t>
        </is>
      </c>
      <c r="F136" s="9" t="inlineStr"/>
      <c r="G136" s="9" t="inlineStr">
        <is>
          <t>113</t>
        </is>
      </c>
      <c r="H136" s="9" t="inlineStr">
        <is>
          <t>29103-ET-P1501-1-PWK-1.pdf</t>
        </is>
      </c>
      <c r="I136" s="4" t="str">
        <f>IF($H136&lt;&gt;"","YES","NO")</f>
        <v>YES</v>
      </c>
      <c r="J136" s="4" t="str">
        <f>IF(N($T136)&gt;0,"YES","NO")</f>
        <v>NO</v>
      </c>
      <c r="K136" s="4" t="str">
        <f>IF(OR($A136="EHT Trace"),IF(AND($U136&lt;&gt;"",$V136&lt;&gt;""),"YES","NO"),"N/A")</f>
        <v>N/A</v>
      </c>
      <c r="L136" s="4" t="str">
        <f>IF(OR($A136="EHT Trace"),IF(AND($X136&lt;&gt;"",$Y136&lt;&gt;""),"YES","NO"),"N/A")</f>
        <v>N/A</v>
      </c>
      <c r="M136" s="4" t="str">
        <f>IF(OR($A136="EHT Trace"),IF(AND($AA136&lt;&gt;"",$AB136&lt;&gt;""),"YES","NO"),"N/A")</f>
        <v>N/A</v>
      </c>
      <c r="N136" s="4" t="str">
        <f>IF(OR($A136="Power Cable"),IF(AND($AD136&lt;&gt;""),"YES","NO"),"N/A")</f>
        <v>NO</v>
      </c>
      <c r="O136" s="4" t="str">
        <f>IF(OR($A136="Power Cable",$A136="RTD Cable",$A136="Fieldbus Cable"),IF(AND($AE136&lt;&gt;""),"YES","NO"),"N/A")</f>
        <v>NO</v>
      </c>
      <c r="P136" s="4" t="str">
        <f>IF(OR($A136="RTD"),IF(AND($AH136&lt;&gt;""),"YES","NO"),"N/A")</f>
        <v>N/A</v>
      </c>
      <c r="Q136" s="4" t="str">
        <f>IF(OR($A136="RTD"),IF(AND($AI136&lt;&gt;""),"YES","NO"),"N/A")</f>
        <v>N/A</v>
      </c>
      <c r="R136" s="4" t="str">
        <f>IF(OR($AM136&lt;&gt;"",$Z136&lt;&gt;"",$AC136&lt;&gt;""),"YES","NO")</f>
        <v>NO</v>
      </c>
      <c r="S136" s="4" t="str">
        <f>IF(COUNTIF(I136:R136,"NO")=0,"YES","NO")</f>
        <v>NO</v>
      </c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inlineStr">
        <is>
          <t>Teck</t>
        </is>
      </c>
      <c r="AK136" s="9" t="inlineStr">
        <is>
          <t>10AWG</t>
        </is>
      </c>
      <c r="AL136" s="9" t="inlineStr">
        <is>
          <t>Levy Ostrup</t>
        </is>
      </c>
      <c r="AM136" s="9" t="n"/>
      <c r="AN136" s="9" t="n"/>
    </row>
    <row r="137">
      <c r="A137" s="9" t="inlineStr">
        <is>
          <t>Power Cable</t>
        </is>
      </c>
      <c r="B137" s="9" t="inlineStr">
        <is>
          <t>29103-ET-P1504-1-PWK-1</t>
        </is>
      </c>
      <c r="C137" s="9" t="inlineStr">
        <is>
          <t>29103-ET-P1504-1</t>
        </is>
      </c>
      <c r="D137" s="9" t="inlineStr">
        <is>
          <t>29103-HTP-003 HTC-02</t>
        </is>
      </c>
      <c r="E137" s="9" t="inlineStr">
        <is>
          <t>29103-HTP-003</t>
        </is>
      </c>
      <c r="F137" s="9" t="inlineStr"/>
      <c r="G137" s="9" t="inlineStr">
        <is>
          <t>113</t>
        </is>
      </c>
      <c r="H137" s="9" t="inlineStr">
        <is>
          <t>29103-ET-P1504-1-PWK-1.pdf</t>
        </is>
      </c>
      <c r="I137" s="4" t="str">
        <f>IF($H137&lt;&gt;"","YES","NO")</f>
        <v>YES</v>
      </c>
      <c r="J137" s="4" t="str">
        <f>IF(N($T137)&gt;0,"YES","NO")</f>
        <v>NO</v>
      </c>
      <c r="K137" s="4" t="str">
        <f>IF(OR($A137="EHT Trace"),IF(AND($U137&lt;&gt;"",$V137&lt;&gt;""),"YES","NO"),"N/A")</f>
        <v>N/A</v>
      </c>
      <c r="L137" s="4" t="str">
        <f>IF(OR($A137="EHT Trace"),IF(AND($X137&lt;&gt;"",$Y137&lt;&gt;""),"YES","NO"),"N/A")</f>
        <v>N/A</v>
      </c>
      <c r="M137" s="4" t="str">
        <f>IF(OR($A137="EHT Trace"),IF(AND($AA137&lt;&gt;"",$AB137&lt;&gt;""),"YES","NO"),"N/A")</f>
        <v>N/A</v>
      </c>
      <c r="N137" s="4" t="str">
        <f>IF(OR($A137="Power Cable"),IF(AND($AD137&lt;&gt;""),"YES","NO"),"N/A")</f>
        <v>NO</v>
      </c>
      <c r="O137" s="4" t="str">
        <f>IF(OR($A137="Power Cable",$A137="RTD Cable",$A137="Fieldbus Cable"),IF(AND($AE137&lt;&gt;""),"YES","NO"),"N/A")</f>
        <v>NO</v>
      </c>
      <c r="P137" s="4" t="str">
        <f>IF(OR($A137="RTD"),IF(AND($AH137&lt;&gt;""),"YES","NO"),"N/A")</f>
        <v>N/A</v>
      </c>
      <c r="Q137" s="4" t="str">
        <f>IF(OR($A137="RTD"),IF(AND($AI137&lt;&gt;""),"YES","NO"),"N/A")</f>
        <v>N/A</v>
      </c>
      <c r="R137" s="4" t="str">
        <f>IF(OR($AM137&lt;&gt;"",$Z137&lt;&gt;"",$AC137&lt;&gt;""),"YES","NO")</f>
        <v>NO</v>
      </c>
      <c r="S137" s="4" t="str">
        <f>IF(COUNTIF(I137:R137,"NO")=0,"YES","NO")</f>
        <v>NO</v>
      </c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inlineStr">
        <is>
          <t>Teck</t>
        </is>
      </c>
      <c r="AK137" s="9" t="inlineStr">
        <is>
          <t>10AWG</t>
        </is>
      </c>
      <c r="AL137" s="9" t="inlineStr">
        <is>
          <t>Levy Ostrup</t>
        </is>
      </c>
      <c r="AM137" s="9" t="n"/>
      <c r="AN137" s="9" t="n"/>
    </row>
    <row r="138">
      <c r="A138" s="9" t="inlineStr">
        <is>
          <t>Power Cable</t>
        </is>
      </c>
      <c r="B138" s="9" t="inlineStr">
        <is>
          <t>29103-ET-P1504-2-PWK-1</t>
        </is>
      </c>
      <c r="C138" s="9" t="inlineStr">
        <is>
          <t>29103-ET-P1504-2</t>
        </is>
      </c>
      <c r="D138" s="9" t="inlineStr">
        <is>
          <t>29103-HTP-003 HTC-27</t>
        </is>
      </c>
      <c r="E138" s="9" t="inlineStr">
        <is>
          <t>29103-HTP-003</t>
        </is>
      </c>
      <c r="F138" s="9" t="inlineStr"/>
      <c r="G138" s="9" t="inlineStr">
        <is>
          <t>113</t>
        </is>
      </c>
      <c r="H138" s="9" t="inlineStr">
        <is>
          <t>29103-ET-P1504-2-PWK-1.pdf</t>
        </is>
      </c>
      <c r="I138" s="4" t="str">
        <f>IF($H138&lt;&gt;"","YES","NO")</f>
        <v>YES</v>
      </c>
      <c r="J138" s="4" t="str">
        <f>IF(N($T138)&gt;0,"YES","NO")</f>
        <v>NO</v>
      </c>
      <c r="K138" s="4" t="str">
        <f>IF(OR($A138="EHT Trace"),IF(AND($U138&lt;&gt;"",$V138&lt;&gt;""),"YES","NO"),"N/A")</f>
        <v>N/A</v>
      </c>
      <c r="L138" s="4" t="str">
        <f>IF(OR($A138="EHT Trace"),IF(AND($X138&lt;&gt;"",$Y138&lt;&gt;""),"YES","NO"),"N/A")</f>
        <v>N/A</v>
      </c>
      <c r="M138" s="4" t="str">
        <f>IF(OR($A138="EHT Trace"),IF(AND($AA138&lt;&gt;"",$AB138&lt;&gt;""),"YES","NO"),"N/A")</f>
        <v>N/A</v>
      </c>
      <c r="N138" s="4" t="str">
        <f>IF(OR($A138="Power Cable"),IF(AND($AD138&lt;&gt;""),"YES","NO"),"N/A")</f>
        <v>NO</v>
      </c>
      <c r="O138" s="4" t="str">
        <f>IF(OR($A138="Power Cable",$A138="RTD Cable",$A138="Fieldbus Cable"),IF(AND($AE138&lt;&gt;""),"YES","NO"),"N/A")</f>
        <v>NO</v>
      </c>
      <c r="P138" s="4" t="str">
        <f>IF(OR($A138="RTD"),IF(AND($AH138&lt;&gt;""),"YES","NO"),"N/A")</f>
        <v>N/A</v>
      </c>
      <c r="Q138" s="4" t="str">
        <f>IF(OR($A138="RTD"),IF(AND($AI138&lt;&gt;""),"YES","NO"),"N/A")</f>
        <v>N/A</v>
      </c>
      <c r="R138" s="4" t="str">
        <f>IF(OR($AM138&lt;&gt;"",$Z138&lt;&gt;"",$AC138&lt;&gt;""),"YES","NO")</f>
        <v>NO</v>
      </c>
      <c r="S138" s="4" t="str">
        <f>IF(COUNTIF(I138:R138,"NO")=0,"YES","NO")</f>
        <v>NO</v>
      </c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inlineStr">
        <is>
          <t>Teck</t>
        </is>
      </c>
      <c r="AK138" s="9" t="inlineStr">
        <is>
          <t>10AWG</t>
        </is>
      </c>
      <c r="AL138" s="9" t="inlineStr">
        <is>
          <t>Levy Ostrup</t>
        </is>
      </c>
      <c r="AM138" s="9" t="n"/>
      <c r="AN138" s="9" t="n"/>
    </row>
    <row r="139">
      <c r="A139" s="9" t="inlineStr">
        <is>
          <t>Power Cable</t>
        </is>
      </c>
      <c r="B139" s="9" t="inlineStr">
        <is>
          <t>29103-ET-P1601-1-PWK-1</t>
        </is>
      </c>
      <c r="C139" s="9" t="inlineStr">
        <is>
          <t>29103-ET-P1601-1</t>
        </is>
      </c>
      <c r="D139" s="9" t="inlineStr">
        <is>
          <t>29103-HTP-003 HTC-05</t>
        </is>
      </c>
      <c r="E139" s="9" t="inlineStr">
        <is>
          <t>29103-HTP-003</t>
        </is>
      </c>
      <c r="F139" s="9" t="inlineStr"/>
      <c r="G139" s="9" t="inlineStr">
        <is>
          <t>113</t>
        </is>
      </c>
      <c r="H139" s="9" t="inlineStr">
        <is>
          <t>29103-ET-P1601-1-PWK-1.pdf</t>
        </is>
      </c>
      <c r="I139" s="4" t="str">
        <f>IF($H139&lt;&gt;"","YES","NO")</f>
        <v>YES</v>
      </c>
      <c r="J139" s="4" t="str">
        <f>IF(N($T139)&gt;0,"YES","NO")</f>
        <v>NO</v>
      </c>
      <c r="K139" s="4" t="str">
        <f>IF(OR($A139="EHT Trace"),IF(AND($U139&lt;&gt;"",$V139&lt;&gt;""),"YES","NO"),"N/A")</f>
        <v>N/A</v>
      </c>
      <c r="L139" s="4" t="str">
        <f>IF(OR($A139="EHT Trace"),IF(AND($X139&lt;&gt;"",$Y139&lt;&gt;""),"YES","NO"),"N/A")</f>
        <v>N/A</v>
      </c>
      <c r="M139" s="4" t="str">
        <f>IF(OR($A139="EHT Trace"),IF(AND($AA139&lt;&gt;"",$AB139&lt;&gt;""),"YES","NO"),"N/A")</f>
        <v>N/A</v>
      </c>
      <c r="N139" s="4" t="str">
        <f>IF(OR($A139="Power Cable"),IF(AND($AD139&lt;&gt;""),"YES","NO"),"N/A")</f>
        <v>NO</v>
      </c>
      <c r="O139" s="4" t="str">
        <f>IF(OR($A139="Power Cable",$A139="RTD Cable",$A139="Fieldbus Cable"),IF(AND($AE139&lt;&gt;""),"YES","NO"),"N/A")</f>
        <v>NO</v>
      </c>
      <c r="P139" s="4" t="str">
        <f>IF(OR($A139="RTD"),IF(AND($AH139&lt;&gt;""),"YES","NO"),"N/A")</f>
        <v>N/A</v>
      </c>
      <c r="Q139" s="4" t="str">
        <f>IF(OR($A139="RTD"),IF(AND($AI139&lt;&gt;""),"YES","NO"),"N/A")</f>
        <v>N/A</v>
      </c>
      <c r="R139" s="4" t="str">
        <f>IF(OR($AM139&lt;&gt;"",$Z139&lt;&gt;"",$AC139&lt;&gt;""),"YES","NO")</f>
        <v>NO</v>
      </c>
      <c r="S139" s="4" t="str">
        <f>IF(COUNTIF(I139:R139,"NO")=0,"YES","NO")</f>
        <v>NO</v>
      </c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inlineStr">
        <is>
          <t>Teck</t>
        </is>
      </c>
      <c r="AK139" s="9" t="inlineStr">
        <is>
          <t>10AWG</t>
        </is>
      </c>
      <c r="AL139" s="9" t="inlineStr">
        <is>
          <t>Levy Ostrup</t>
        </is>
      </c>
      <c r="AM139" s="9" t="n"/>
      <c r="AN139" s="9" t="n"/>
    </row>
    <row r="140">
      <c r="A140" s="9" t="inlineStr">
        <is>
          <t>Power Cable</t>
        </is>
      </c>
      <c r="B140" s="9" t="inlineStr">
        <is>
          <t>29103-ET-P1604-1-PWK-1</t>
        </is>
      </c>
      <c r="C140" s="9" t="inlineStr">
        <is>
          <t>29103-ET-P1604-1</t>
        </is>
      </c>
      <c r="D140" s="9" t="inlineStr">
        <is>
          <t>29103-HTP-003 HTC-09</t>
        </is>
      </c>
      <c r="E140" s="9" t="inlineStr">
        <is>
          <t>29103-HTP-003</t>
        </is>
      </c>
      <c r="F140" s="9" t="inlineStr"/>
      <c r="G140" s="9" t="inlineStr">
        <is>
          <t>113</t>
        </is>
      </c>
      <c r="H140" s="9" t="inlineStr">
        <is>
          <t>29103-ET-P1604-1-PWK-1.pdf</t>
        </is>
      </c>
      <c r="I140" s="4" t="str">
        <f>IF($H140&lt;&gt;"","YES","NO")</f>
        <v>YES</v>
      </c>
      <c r="J140" s="4" t="str">
        <f>IF(N($T140)&gt;0,"YES","NO")</f>
        <v>NO</v>
      </c>
      <c r="K140" s="4" t="str">
        <f>IF(OR($A140="EHT Trace"),IF(AND($U140&lt;&gt;"",$V140&lt;&gt;""),"YES","NO"),"N/A")</f>
        <v>N/A</v>
      </c>
      <c r="L140" s="4" t="str">
        <f>IF(OR($A140="EHT Trace"),IF(AND($X140&lt;&gt;"",$Y140&lt;&gt;""),"YES","NO"),"N/A")</f>
        <v>N/A</v>
      </c>
      <c r="M140" s="4" t="str">
        <f>IF(OR($A140="EHT Trace"),IF(AND($AA140&lt;&gt;"",$AB140&lt;&gt;""),"YES","NO"),"N/A")</f>
        <v>N/A</v>
      </c>
      <c r="N140" s="4" t="str">
        <f>IF(OR($A140="Power Cable"),IF(AND($AD140&lt;&gt;""),"YES","NO"),"N/A")</f>
        <v>NO</v>
      </c>
      <c r="O140" s="4" t="str">
        <f>IF(OR($A140="Power Cable",$A140="RTD Cable",$A140="Fieldbus Cable"),IF(AND($AE140&lt;&gt;""),"YES","NO"),"N/A")</f>
        <v>NO</v>
      </c>
      <c r="P140" s="4" t="str">
        <f>IF(OR($A140="RTD"),IF(AND($AH140&lt;&gt;""),"YES","NO"),"N/A")</f>
        <v>N/A</v>
      </c>
      <c r="Q140" s="4" t="str">
        <f>IF(OR($A140="RTD"),IF(AND($AI140&lt;&gt;""),"YES","NO"),"N/A")</f>
        <v>N/A</v>
      </c>
      <c r="R140" s="4" t="str">
        <f>IF(OR($AM140&lt;&gt;"",$Z140&lt;&gt;"",$AC140&lt;&gt;""),"YES","NO")</f>
        <v>NO</v>
      </c>
      <c r="S140" s="4" t="str">
        <f>IF(COUNTIF(I140:R140,"NO")=0,"YES","NO")</f>
        <v>NO</v>
      </c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inlineStr">
        <is>
          <t>Teck</t>
        </is>
      </c>
      <c r="AK140" s="9" t="inlineStr">
        <is>
          <t>10AWG</t>
        </is>
      </c>
      <c r="AL140" s="9" t="inlineStr">
        <is>
          <t>Levy Ostrup</t>
        </is>
      </c>
      <c r="AM140" s="9" t="n"/>
      <c r="AN140" s="9" t="n"/>
    </row>
    <row r="141">
      <c r="A141" s="9" t="inlineStr">
        <is>
          <t>Power Cable</t>
        </is>
      </c>
      <c r="B141" s="9" t="inlineStr">
        <is>
          <t>29103-ET-P1604-2-PWK-1</t>
        </is>
      </c>
      <c r="C141" s="9" t="inlineStr">
        <is>
          <t>29103-ET-P1604-2</t>
        </is>
      </c>
      <c r="D141" s="9" t="inlineStr">
        <is>
          <t>29103-HTP-003 HTC-17</t>
        </is>
      </c>
      <c r="E141" s="9" t="inlineStr">
        <is>
          <t>29103-HTP-003</t>
        </is>
      </c>
      <c r="F141" s="9" t="inlineStr"/>
      <c r="G141" s="9" t="inlineStr">
        <is>
          <t>113</t>
        </is>
      </c>
      <c r="H141" s="9" t="inlineStr">
        <is>
          <t>29103-ET-P1604-2-PWK-1.pdf</t>
        </is>
      </c>
      <c r="I141" s="4" t="str">
        <f>IF($H141&lt;&gt;"","YES","NO")</f>
        <v>YES</v>
      </c>
      <c r="J141" s="4" t="str">
        <f>IF(N($T141)&gt;0,"YES","NO")</f>
        <v>NO</v>
      </c>
      <c r="K141" s="4" t="str">
        <f>IF(OR($A141="EHT Trace"),IF(AND($U141&lt;&gt;"",$V141&lt;&gt;""),"YES","NO"),"N/A")</f>
        <v>N/A</v>
      </c>
      <c r="L141" s="4" t="str">
        <f>IF(OR($A141="EHT Trace"),IF(AND($X141&lt;&gt;"",$Y141&lt;&gt;""),"YES","NO"),"N/A")</f>
        <v>N/A</v>
      </c>
      <c r="M141" s="4" t="str">
        <f>IF(OR($A141="EHT Trace"),IF(AND($AA141&lt;&gt;"",$AB141&lt;&gt;""),"YES","NO"),"N/A")</f>
        <v>N/A</v>
      </c>
      <c r="N141" s="4" t="str">
        <f>IF(OR($A141="Power Cable"),IF(AND($AD141&lt;&gt;""),"YES","NO"),"N/A")</f>
        <v>NO</v>
      </c>
      <c r="O141" s="4" t="str">
        <f>IF(OR($A141="Power Cable",$A141="RTD Cable",$A141="Fieldbus Cable"),IF(AND($AE141&lt;&gt;""),"YES","NO"),"N/A")</f>
        <v>NO</v>
      </c>
      <c r="P141" s="4" t="str">
        <f>IF(OR($A141="RTD"),IF(AND($AH141&lt;&gt;""),"YES","NO"),"N/A")</f>
        <v>N/A</v>
      </c>
      <c r="Q141" s="4" t="str">
        <f>IF(OR($A141="RTD"),IF(AND($AI141&lt;&gt;""),"YES","NO"),"N/A")</f>
        <v>N/A</v>
      </c>
      <c r="R141" s="4" t="str">
        <f>IF(OR($AM141&lt;&gt;"",$Z141&lt;&gt;"",$AC141&lt;&gt;""),"YES","NO")</f>
        <v>NO</v>
      </c>
      <c r="S141" s="4" t="str">
        <f>IF(COUNTIF(I141:R141,"NO")=0,"YES","NO")</f>
        <v>NO</v>
      </c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inlineStr">
        <is>
          <t>Teck</t>
        </is>
      </c>
      <c r="AK141" s="9" t="inlineStr">
        <is>
          <t>10AWG</t>
        </is>
      </c>
      <c r="AL141" s="9" t="inlineStr">
        <is>
          <t>Levy Ostrup</t>
        </is>
      </c>
      <c r="AM141" s="9" t="n"/>
      <c r="AN141" s="9" t="n"/>
    </row>
    <row r="142">
      <c r="A142" s="9" t="inlineStr">
        <is>
          <t>Power Cable</t>
        </is>
      </c>
      <c r="B142" s="9" t="inlineStr">
        <is>
          <t>29103-ET-P1701-1-PWK-1</t>
        </is>
      </c>
      <c r="C142" s="9" t="inlineStr">
        <is>
          <t>29103-ET-P1701-1</t>
        </is>
      </c>
      <c r="D142" s="9" t="inlineStr">
        <is>
          <t>29103-HTP-003 HTC-19</t>
        </is>
      </c>
      <c r="E142" s="9" t="inlineStr">
        <is>
          <t>29103-HTP-003</t>
        </is>
      </c>
      <c r="F142" s="9" t="inlineStr"/>
      <c r="G142" s="9" t="inlineStr">
        <is>
          <t>113</t>
        </is>
      </c>
      <c r="H142" s="9" t="inlineStr">
        <is>
          <t>29103-ET-P1701-1-PWK-1.pdf</t>
        </is>
      </c>
      <c r="I142" s="4" t="str">
        <f>IF($H142&lt;&gt;"","YES","NO")</f>
        <v>YES</v>
      </c>
      <c r="J142" s="4" t="str">
        <f>IF(N($T142)&gt;0,"YES","NO")</f>
        <v>NO</v>
      </c>
      <c r="K142" s="4" t="str">
        <f>IF(OR($A142="EHT Trace"),IF(AND($U142&lt;&gt;"",$V142&lt;&gt;""),"YES","NO"),"N/A")</f>
        <v>N/A</v>
      </c>
      <c r="L142" s="4" t="str">
        <f>IF(OR($A142="EHT Trace"),IF(AND($X142&lt;&gt;"",$Y142&lt;&gt;""),"YES","NO"),"N/A")</f>
        <v>N/A</v>
      </c>
      <c r="M142" s="4" t="str">
        <f>IF(OR($A142="EHT Trace"),IF(AND($AA142&lt;&gt;"",$AB142&lt;&gt;""),"YES","NO"),"N/A")</f>
        <v>N/A</v>
      </c>
      <c r="N142" s="4" t="str">
        <f>IF(OR($A142="Power Cable"),IF(AND($AD142&lt;&gt;""),"YES","NO"),"N/A")</f>
        <v>NO</v>
      </c>
      <c r="O142" s="4" t="str">
        <f>IF(OR($A142="Power Cable",$A142="RTD Cable",$A142="Fieldbus Cable"),IF(AND($AE142&lt;&gt;""),"YES","NO"),"N/A")</f>
        <v>NO</v>
      </c>
      <c r="P142" s="4" t="str">
        <f>IF(OR($A142="RTD"),IF(AND($AH142&lt;&gt;""),"YES","NO"),"N/A")</f>
        <v>N/A</v>
      </c>
      <c r="Q142" s="4" t="str">
        <f>IF(OR($A142="RTD"),IF(AND($AI142&lt;&gt;""),"YES","NO"),"N/A")</f>
        <v>N/A</v>
      </c>
      <c r="R142" s="4" t="str">
        <f>IF(OR($AM142&lt;&gt;"",$Z142&lt;&gt;"",$AC142&lt;&gt;""),"YES","NO")</f>
        <v>NO</v>
      </c>
      <c r="S142" s="4" t="str">
        <f>IF(COUNTIF(I142:R142,"NO")=0,"YES","NO")</f>
        <v>NO</v>
      </c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inlineStr">
        <is>
          <t>Teck</t>
        </is>
      </c>
      <c r="AK142" s="9" t="inlineStr">
        <is>
          <t>10AWG</t>
        </is>
      </c>
      <c r="AL142" s="9" t="inlineStr">
        <is>
          <t>Levy Ostrup</t>
        </is>
      </c>
      <c r="AM142" s="9" t="n"/>
      <c r="AN142" s="9" t="n"/>
    </row>
    <row r="143">
      <c r="A143" s="9" t="inlineStr">
        <is>
          <t>Power Cable</t>
        </is>
      </c>
      <c r="B143" s="9" t="inlineStr">
        <is>
          <t>29103-ET-P1704-1-PWK-1</t>
        </is>
      </c>
      <c r="C143" s="9" t="inlineStr">
        <is>
          <t>29103-ET-P1704-1</t>
        </is>
      </c>
      <c r="D143" s="9" t="inlineStr">
        <is>
          <t>29103-HTP-003 HTC-18</t>
        </is>
      </c>
      <c r="E143" s="9" t="inlineStr">
        <is>
          <t>29103-HTP-003</t>
        </is>
      </c>
      <c r="F143" s="9" t="inlineStr"/>
      <c r="G143" s="9" t="inlineStr">
        <is>
          <t>113</t>
        </is>
      </c>
      <c r="H143" s="9" t="inlineStr">
        <is>
          <t>29103-ET-P1704-1-PWK-1.pdf</t>
        </is>
      </c>
      <c r="I143" s="4" t="str">
        <f>IF($H143&lt;&gt;"","YES","NO")</f>
        <v>YES</v>
      </c>
      <c r="J143" s="4" t="str">
        <f>IF(N($T143)&gt;0,"YES","NO")</f>
        <v>NO</v>
      </c>
      <c r="K143" s="4" t="str">
        <f>IF(OR($A143="EHT Trace"),IF(AND($U143&lt;&gt;"",$V143&lt;&gt;""),"YES","NO"),"N/A")</f>
        <v>N/A</v>
      </c>
      <c r="L143" s="4" t="str">
        <f>IF(OR($A143="EHT Trace"),IF(AND($X143&lt;&gt;"",$Y143&lt;&gt;""),"YES","NO"),"N/A")</f>
        <v>N/A</v>
      </c>
      <c r="M143" s="4" t="str">
        <f>IF(OR($A143="EHT Trace"),IF(AND($AA143&lt;&gt;"",$AB143&lt;&gt;""),"YES","NO"),"N/A")</f>
        <v>N/A</v>
      </c>
      <c r="N143" s="4" t="str">
        <f>IF(OR($A143="Power Cable"),IF(AND($AD143&lt;&gt;""),"YES","NO"),"N/A")</f>
        <v>NO</v>
      </c>
      <c r="O143" s="4" t="str">
        <f>IF(OR($A143="Power Cable",$A143="RTD Cable",$A143="Fieldbus Cable"),IF(AND($AE143&lt;&gt;""),"YES","NO"),"N/A")</f>
        <v>NO</v>
      </c>
      <c r="P143" s="4" t="str">
        <f>IF(OR($A143="RTD"),IF(AND($AH143&lt;&gt;""),"YES","NO"),"N/A")</f>
        <v>N/A</v>
      </c>
      <c r="Q143" s="4" t="str">
        <f>IF(OR($A143="RTD"),IF(AND($AI143&lt;&gt;""),"YES","NO"),"N/A")</f>
        <v>N/A</v>
      </c>
      <c r="R143" s="4" t="str">
        <f>IF(OR($AM143&lt;&gt;"",$Z143&lt;&gt;"",$AC143&lt;&gt;""),"YES","NO")</f>
        <v>NO</v>
      </c>
      <c r="S143" s="4" t="str">
        <f>IF(COUNTIF(I143:R143,"NO")=0,"YES","NO")</f>
        <v>NO</v>
      </c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inlineStr">
        <is>
          <t>Teck</t>
        </is>
      </c>
      <c r="AK143" s="9" t="inlineStr">
        <is>
          <t>10AWG</t>
        </is>
      </c>
      <c r="AL143" s="9" t="inlineStr">
        <is>
          <t>Levy Ostrup</t>
        </is>
      </c>
      <c r="AM143" s="9" t="n"/>
      <c r="AN143" s="9" t="n"/>
    </row>
    <row r="144">
      <c r="A144" s="9" t="inlineStr">
        <is>
          <t>Power Cable</t>
        </is>
      </c>
      <c r="B144" s="9" t="inlineStr">
        <is>
          <t>29103-ET-P1704-2-PWK-1</t>
        </is>
      </c>
      <c r="C144" s="9" t="inlineStr">
        <is>
          <t>29103-ET-P1704-2</t>
        </is>
      </c>
      <c r="D144" s="9" t="inlineStr">
        <is>
          <t>29103-HTP-003 HTC-32</t>
        </is>
      </c>
      <c r="E144" s="9" t="inlineStr">
        <is>
          <t>29103-HTP-003</t>
        </is>
      </c>
      <c r="F144" s="9" t="inlineStr"/>
      <c r="G144" s="9" t="inlineStr">
        <is>
          <t>113</t>
        </is>
      </c>
      <c r="H144" s="9" t="inlineStr">
        <is>
          <t>29103-ET-P1704-2-PWK-1.pdf</t>
        </is>
      </c>
      <c r="I144" s="4" t="str">
        <f>IF($H144&lt;&gt;"","YES","NO")</f>
        <v>YES</v>
      </c>
      <c r="J144" s="4" t="str">
        <f>IF(N($T144)&gt;0,"YES","NO")</f>
        <v>NO</v>
      </c>
      <c r="K144" s="4" t="str">
        <f>IF(OR($A144="EHT Trace"),IF(AND($U144&lt;&gt;"",$V144&lt;&gt;""),"YES","NO"),"N/A")</f>
        <v>N/A</v>
      </c>
      <c r="L144" s="4" t="str">
        <f>IF(OR($A144="EHT Trace"),IF(AND($X144&lt;&gt;"",$Y144&lt;&gt;""),"YES","NO"),"N/A")</f>
        <v>N/A</v>
      </c>
      <c r="M144" s="4" t="str">
        <f>IF(OR($A144="EHT Trace"),IF(AND($AA144&lt;&gt;"",$AB144&lt;&gt;""),"YES","NO"),"N/A")</f>
        <v>N/A</v>
      </c>
      <c r="N144" s="4" t="str">
        <f>IF(OR($A144="Power Cable"),IF(AND($AD144&lt;&gt;""),"YES","NO"),"N/A")</f>
        <v>NO</v>
      </c>
      <c r="O144" s="4" t="str">
        <f>IF(OR($A144="Power Cable",$A144="RTD Cable",$A144="Fieldbus Cable"),IF(AND($AE144&lt;&gt;""),"YES","NO"),"N/A")</f>
        <v>NO</v>
      </c>
      <c r="P144" s="4" t="str">
        <f>IF(OR($A144="RTD"),IF(AND($AH144&lt;&gt;""),"YES","NO"),"N/A")</f>
        <v>N/A</v>
      </c>
      <c r="Q144" s="4" t="str">
        <f>IF(OR($A144="RTD"),IF(AND($AI144&lt;&gt;""),"YES","NO"),"N/A")</f>
        <v>N/A</v>
      </c>
      <c r="R144" s="4" t="str">
        <f>IF(OR($AM144&lt;&gt;"",$Z144&lt;&gt;"",$AC144&lt;&gt;""),"YES","NO")</f>
        <v>NO</v>
      </c>
      <c r="S144" s="4" t="str">
        <f>IF(COUNTIF(I144:R144,"NO")=0,"YES","NO")</f>
        <v>NO</v>
      </c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inlineStr">
        <is>
          <t>Teck</t>
        </is>
      </c>
      <c r="AK144" s="9" t="inlineStr">
        <is>
          <t>10AWG</t>
        </is>
      </c>
      <c r="AL144" s="9" t="inlineStr">
        <is>
          <t>Levy Ostrup</t>
        </is>
      </c>
      <c r="AM144" s="9" t="n"/>
      <c r="AN144" s="9" t="n"/>
    </row>
    <row r="145">
      <c r="A145" s="9" t="inlineStr">
        <is>
          <t>Power Cable</t>
        </is>
      </c>
      <c r="B145" s="9" t="inlineStr">
        <is>
          <t>29103-ET-P1800-3-PWK-1</t>
        </is>
      </c>
      <c r="C145" s="9" t="inlineStr">
        <is>
          <t>29103-ET-P1800-3</t>
        </is>
      </c>
      <c r="D145" s="9" t="inlineStr">
        <is>
          <t>29103-HTP-003 HTC-24</t>
        </is>
      </c>
      <c r="E145" s="9" t="inlineStr">
        <is>
          <t>29103-HTP-003</t>
        </is>
      </c>
      <c r="F145" s="9" t="inlineStr"/>
      <c r="G145" s="9" t="inlineStr">
        <is>
          <t>113</t>
        </is>
      </c>
      <c r="H145" s="9" t="inlineStr">
        <is>
          <t>29103-ET-P1800-3-PWK-1.pdf</t>
        </is>
      </c>
      <c r="I145" s="4" t="str">
        <f>IF($H145&lt;&gt;"","YES","NO")</f>
        <v>YES</v>
      </c>
      <c r="J145" s="4" t="str">
        <f>IF(N($T145)&gt;0,"YES","NO")</f>
        <v>NO</v>
      </c>
      <c r="K145" s="4" t="str">
        <f>IF(OR($A145="EHT Trace"),IF(AND($U145&lt;&gt;"",$V145&lt;&gt;""),"YES","NO"),"N/A")</f>
        <v>N/A</v>
      </c>
      <c r="L145" s="4" t="str">
        <f>IF(OR($A145="EHT Trace"),IF(AND($X145&lt;&gt;"",$Y145&lt;&gt;""),"YES","NO"),"N/A")</f>
        <v>N/A</v>
      </c>
      <c r="M145" s="4" t="str">
        <f>IF(OR($A145="EHT Trace"),IF(AND($AA145&lt;&gt;"",$AB145&lt;&gt;""),"YES","NO"),"N/A")</f>
        <v>N/A</v>
      </c>
      <c r="N145" s="4" t="str">
        <f>IF(OR($A145="Power Cable"),IF(AND($AD145&lt;&gt;""),"YES","NO"),"N/A")</f>
        <v>NO</v>
      </c>
      <c r="O145" s="4" t="str">
        <f>IF(OR($A145="Power Cable",$A145="RTD Cable",$A145="Fieldbus Cable"),IF(AND($AE145&lt;&gt;""),"YES","NO"),"N/A")</f>
        <v>NO</v>
      </c>
      <c r="P145" s="4" t="str">
        <f>IF(OR($A145="RTD"),IF(AND($AH145&lt;&gt;""),"YES","NO"),"N/A")</f>
        <v>N/A</v>
      </c>
      <c r="Q145" s="4" t="str">
        <f>IF(OR($A145="RTD"),IF(AND($AI145&lt;&gt;""),"YES","NO"),"N/A")</f>
        <v>N/A</v>
      </c>
      <c r="R145" s="4" t="str">
        <f>IF(OR($AM145&lt;&gt;"",$Z145&lt;&gt;"",$AC145&lt;&gt;""),"YES","NO")</f>
        <v>NO</v>
      </c>
      <c r="S145" s="4" t="str">
        <f>IF(COUNTIF(I145:R145,"NO")=0,"YES","NO")</f>
        <v>NO</v>
      </c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inlineStr">
        <is>
          <t>Teck</t>
        </is>
      </c>
      <c r="AK145" s="9" t="inlineStr">
        <is>
          <t>10AWG</t>
        </is>
      </c>
      <c r="AL145" s="9" t="inlineStr">
        <is>
          <t>Levy Ostrup</t>
        </is>
      </c>
      <c r="AM145" s="9" t="n"/>
      <c r="AN145" s="9" t="n"/>
    </row>
    <row r="146">
      <c r="A146" s="9" t="inlineStr">
        <is>
          <t>Power Cable</t>
        </is>
      </c>
      <c r="B146" s="9" t="inlineStr">
        <is>
          <t>29103-ET-PE1401-2-PWK-1</t>
        </is>
      </c>
      <c r="C146" s="9" t="inlineStr">
        <is>
          <t>29103-ET-PE1401-2</t>
        </is>
      </c>
      <c r="D146" s="9" t="inlineStr">
        <is>
          <t>29103-HTP-003 HTC-30</t>
        </is>
      </c>
      <c r="E146" s="9" t="inlineStr">
        <is>
          <t>29103-HTP-003</t>
        </is>
      </c>
      <c r="F146" s="9" t="inlineStr"/>
      <c r="G146" s="9" t="inlineStr">
        <is>
          <t>113</t>
        </is>
      </c>
      <c r="H146" s="9" t="inlineStr">
        <is>
          <t>29103-ET-PE1401-2-PWK-1.pdf</t>
        </is>
      </c>
      <c r="I146" s="4" t="str">
        <f>IF($H146&lt;&gt;"","YES","NO")</f>
        <v>YES</v>
      </c>
      <c r="J146" s="4" t="str">
        <f>IF(N($T146)&gt;0,"YES","NO")</f>
        <v>NO</v>
      </c>
      <c r="K146" s="4" t="str">
        <f>IF(OR($A146="EHT Trace"),IF(AND($U146&lt;&gt;"",$V146&lt;&gt;""),"YES","NO"),"N/A")</f>
        <v>N/A</v>
      </c>
      <c r="L146" s="4" t="str">
        <f>IF(OR($A146="EHT Trace"),IF(AND($X146&lt;&gt;"",$Y146&lt;&gt;""),"YES","NO"),"N/A")</f>
        <v>N/A</v>
      </c>
      <c r="M146" s="4" t="str">
        <f>IF(OR($A146="EHT Trace"),IF(AND($AA146&lt;&gt;"",$AB146&lt;&gt;""),"YES","NO"),"N/A")</f>
        <v>N/A</v>
      </c>
      <c r="N146" s="4" t="str">
        <f>IF(OR($A146="Power Cable"),IF(AND($AD146&lt;&gt;""),"YES","NO"),"N/A")</f>
        <v>NO</v>
      </c>
      <c r="O146" s="4" t="str">
        <f>IF(OR($A146="Power Cable",$A146="RTD Cable",$A146="Fieldbus Cable"),IF(AND($AE146&lt;&gt;""),"YES","NO"),"N/A")</f>
        <v>NO</v>
      </c>
      <c r="P146" s="4" t="str">
        <f>IF(OR($A146="RTD"),IF(AND($AH146&lt;&gt;""),"YES","NO"),"N/A")</f>
        <v>N/A</v>
      </c>
      <c r="Q146" s="4" t="str">
        <f>IF(OR($A146="RTD"),IF(AND($AI146&lt;&gt;""),"YES","NO"),"N/A")</f>
        <v>N/A</v>
      </c>
      <c r="R146" s="4" t="str">
        <f>IF(OR($AM146&lt;&gt;"",$Z146&lt;&gt;"",$AC146&lt;&gt;""),"YES","NO")</f>
        <v>NO</v>
      </c>
      <c r="S146" s="4" t="str">
        <f>IF(COUNTIF(I146:R146,"NO")=0,"YES","NO")</f>
        <v>NO</v>
      </c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inlineStr">
        <is>
          <t>Teck</t>
        </is>
      </c>
      <c r="AK146" s="9" t="inlineStr">
        <is>
          <t>10AWG</t>
        </is>
      </c>
      <c r="AL146" s="9" t="inlineStr">
        <is>
          <t>Levy Ostrup</t>
        </is>
      </c>
      <c r="AM146" s="9" t="n"/>
      <c r="AN146" s="9" t="n"/>
    </row>
    <row r="147">
      <c r="A147" s="9" t="inlineStr">
        <is>
          <t>Power Cable</t>
        </is>
      </c>
      <c r="B147" s="9" t="inlineStr">
        <is>
          <t>29103-ET-PE1402-1-PWK-1</t>
        </is>
      </c>
      <c r="C147" s="9" t="inlineStr">
        <is>
          <t>29103-ET-PE1402-1</t>
        </is>
      </c>
      <c r="D147" s="9" t="inlineStr">
        <is>
          <t>29103-HTP-003 HTC-33</t>
        </is>
      </c>
      <c r="E147" s="9" t="inlineStr">
        <is>
          <t>29103-HTP-003</t>
        </is>
      </c>
      <c r="F147" s="9" t="inlineStr"/>
      <c r="G147" s="9" t="inlineStr">
        <is>
          <t>113</t>
        </is>
      </c>
      <c r="H147" s="9" t="inlineStr">
        <is>
          <t>29103-ET-PE1402-1-PWK-1.pdf</t>
        </is>
      </c>
      <c r="I147" s="4" t="str">
        <f>IF($H147&lt;&gt;"","YES","NO")</f>
        <v>YES</v>
      </c>
      <c r="J147" s="4" t="str">
        <f>IF(N($T147)&gt;0,"YES","NO")</f>
        <v>NO</v>
      </c>
      <c r="K147" s="4" t="str">
        <f>IF(OR($A147="EHT Trace"),IF(AND($U147&lt;&gt;"",$V147&lt;&gt;""),"YES","NO"),"N/A")</f>
        <v>N/A</v>
      </c>
      <c r="L147" s="4" t="str">
        <f>IF(OR($A147="EHT Trace"),IF(AND($X147&lt;&gt;"",$Y147&lt;&gt;""),"YES","NO"),"N/A")</f>
        <v>N/A</v>
      </c>
      <c r="M147" s="4" t="str">
        <f>IF(OR($A147="EHT Trace"),IF(AND($AA147&lt;&gt;"",$AB147&lt;&gt;""),"YES","NO"),"N/A")</f>
        <v>N/A</v>
      </c>
      <c r="N147" s="4" t="str">
        <f>IF(OR($A147="Power Cable"),IF(AND($AD147&lt;&gt;""),"YES","NO"),"N/A")</f>
        <v>NO</v>
      </c>
      <c r="O147" s="4" t="str">
        <f>IF(OR($A147="Power Cable",$A147="RTD Cable",$A147="Fieldbus Cable"),IF(AND($AE147&lt;&gt;""),"YES","NO"),"N/A")</f>
        <v>NO</v>
      </c>
      <c r="P147" s="4" t="str">
        <f>IF(OR($A147="RTD"),IF(AND($AH147&lt;&gt;""),"YES","NO"),"N/A")</f>
        <v>N/A</v>
      </c>
      <c r="Q147" s="4" t="str">
        <f>IF(OR($A147="RTD"),IF(AND($AI147&lt;&gt;""),"YES","NO"),"N/A")</f>
        <v>N/A</v>
      </c>
      <c r="R147" s="4" t="str">
        <f>IF(OR($AM147&lt;&gt;"",$Z147&lt;&gt;"",$AC147&lt;&gt;""),"YES","NO")</f>
        <v>NO</v>
      </c>
      <c r="S147" s="4" t="str">
        <f>IF(COUNTIF(I147:R147,"NO")=0,"YES","NO")</f>
        <v>NO</v>
      </c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inlineStr">
        <is>
          <t>Teck</t>
        </is>
      </c>
      <c r="AK147" s="9" t="inlineStr">
        <is>
          <t>10AWG</t>
        </is>
      </c>
      <c r="AL147" s="9" t="inlineStr">
        <is>
          <t>Levy Ostrup</t>
        </is>
      </c>
      <c r="AM147" s="9" t="n"/>
      <c r="AN147" s="9" t="n"/>
    </row>
    <row r="148">
      <c r="A148" s="9" t="inlineStr">
        <is>
          <t>Power Cable</t>
        </is>
      </c>
      <c r="B148" s="9" t="inlineStr">
        <is>
          <t>29103-ET-PE1501-1-PWK-1</t>
        </is>
      </c>
      <c r="C148" s="9" t="inlineStr">
        <is>
          <t>29103-ET-PE1501-1</t>
        </is>
      </c>
      <c r="D148" s="9" t="inlineStr">
        <is>
          <t>29103-HTP-003 HTC-10</t>
        </is>
      </c>
      <c r="E148" s="9" t="inlineStr">
        <is>
          <t>29103-HTP-003</t>
        </is>
      </c>
      <c r="F148" s="9" t="inlineStr"/>
      <c r="G148" s="9" t="inlineStr">
        <is>
          <t>113</t>
        </is>
      </c>
      <c r="H148" s="9" t="inlineStr">
        <is>
          <t>29103-ET-PE1501-1-PWK-1.pdf</t>
        </is>
      </c>
      <c r="I148" s="4" t="str">
        <f>IF($H148&lt;&gt;"","YES","NO")</f>
        <v>YES</v>
      </c>
      <c r="J148" s="4" t="str">
        <f>IF(N($T148)&gt;0,"YES","NO")</f>
        <v>NO</v>
      </c>
      <c r="K148" s="4" t="str">
        <f>IF(OR($A148="EHT Trace"),IF(AND($U148&lt;&gt;"",$V148&lt;&gt;""),"YES","NO"),"N/A")</f>
        <v>N/A</v>
      </c>
      <c r="L148" s="4" t="str">
        <f>IF(OR($A148="EHT Trace"),IF(AND($X148&lt;&gt;"",$Y148&lt;&gt;""),"YES","NO"),"N/A")</f>
        <v>N/A</v>
      </c>
      <c r="M148" s="4" t="str">
        <f>IF(OR($A148="EHT Trace"),IF(AND($AA148&lt;&gt;"",$AB148&lt;&gt;""),"YES","NO"),"N/A")</f>
        <v>N/A</v>
      </c>
      <c r="N148" s="4" t="str">
        <f>IF(OR($A148="Power Cable"),IF(AND($AD148&lt;&gt;""),"YES","NO"),"N/A")</f>
        <v>NO</v>
      </c>
      <c r="O148" s="4" t="str">
        <f>IF(OR($A148="Power Cable",$A148="RTD Cable",$A148="Fieldbus Cable"),IF(AND($AE148&lt;&gt;""),"YES","NO"),"N/A")</f>
        <v>NO</v>
      </c>
      <c r="P148" s="4" t="str">
        <f>IF(OR($A148="RTD"),IF(AND($AH148&lt;&gt;""),"YES","NO"),"N/A")</f>
        <v>N/A</v>
      </c>
      <c r="Q148" s="4" t="str">
        <f>IF(OR($A148="RTD"),IF(AND($AI148&lt;&gt;""),"YES","NO"),"N/A")</f>
        <v>N/A</v>
      </c>
      <c r="R148" s="4" t="str">
        <f>IF(OR($AM148&lt;&gt;"",$Z148&lt;&gt;"",$AC148&lt;&gt;""),"YES","NO")</f>
        <v>NO</v>
      </c>
      <c r="S148" s="4" t="str">
        <f>IF(COUNTIF(I148:R148,"NO")=0,"YES","NO")</f>
        <v>NO</v>
      </c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inlineStr">
        <is>
          <t>Teck</t>
        </is>
      </c>
      <c r="AK148" s="9" t="inlineStr">
        <is>
          <t>10AWG</t>
        </is>
      </c>
      <c r="AL148" s="9" t="inlineStr">
        <is>
          <t>Levy Ostrup</t>
        </is>
      </c>
      <c r="AM148" s="9" t="n"/>
      <c r="AN148" s="9" t="n"/>
    </row>
    <row r="149">
      <c r="A149" s="9" t="inlineStr">
        <is>
          <t>Power Cable</t>
        </is>
      </c>
      <c r="B149" s="9" t="inlineStr">
        <is>
          <t>29103-ET-PE1501-2-PWK-1</t>
        </is>
      </c>
      <c r="C149" s="9" t="inlineStr">
        <is>
          <t>29103-ET-PE1501-2</t>
        </is>
      </c>
      <c r="D149" s="9" t="inlineStr">
        <is>
          <t>29103-HTP-003 HTC-07</t>
        </is>
      </c>
      <c r="E149" s="9" t="inlineStr">
        <is>
          <t>29103-HTP-003</t>
        </is>
      </c>
      <c r="F149" s="9" t="inlineStr"/>
      <c r="G149" s="9" t="inlineStr">
        <is>
          <t>113</t>
        </is>
      </c>
      <c r="H149" s="9" t="inlineStr">
        <is>
          <t>29103-ET-PE1501-2-PWK-1.pdf</t>
        </is>
      </c>
      <c r="I149" s="4" t="str">
        <f>IF($H149&lt;&gt;"","YES","NO")</f>
        <v>YES</v>
      </c>
      <c r="J149" s="4" t="str">
        <f>IF(N($T149)&gt;0,"YES","NO")</f>
        <v>NO</v>
      </c>
      <c r="K149" s="4" t="str">
        <f>IF(OR($A149="EHT Trace"),IF(AND($U149&lt;&gt;"",$V149&lt;&gt;""),"YES","NO"),"N/A")</f>
        <v>N/A</v>
      </c>
      <c r="L149" s="4" t="str">
        <f>IF(OR($A149="EHT Trace"),IF(AND($X149&lt;&gt;"",$Y149&lt;&gt;""),"YES","NO"),"N/A")</f>
        <v>N/A</v>
      </c>
      <c r="M149" s="4" t="str">
        <f>IF(OR($A149="EHT Trace"),IF(AND($AA149&lt;&gt;"",$AB149&lt;&gt;""),"YES","NO"),"N/A")</f>
        <v>N/A</v>
      </c>
      <c r="N149" s="4" t="str">
        <f>IF(OR($A149="Power Cable"),IF(AND($AD149&lt;&gt;""),"YES","NO"),"N/A")</f>
        <v>NO</v>
      </c>
      <c r="O149" s="4" t="str">
        <f>IF(OR($A149="Power Cable",$A149="RTD Cable",$A149="Fieldbus Cable"),IF(AND($AE149&lt;&gt;""),"YES","NO"),"N/A")</f>
        <v>NO</v>
      </c>
      <c r="P149" s="4" t="str">
        <f>IF(OR($A149="RTD"),IF(AND($AH149&lt;&gt;""),"YES","NO"),"N/A")</f>
        <v>N/A</v>
      </c>
      <c r="Q149" s="4" t="str">
        <f>IF(OR($A149="RTD"),IF(AND($AI149&lt;&gt;""),"YES","NO"),"N/A")</f>
        <v>N/A</v>
      </c>
      <c r="R149" s="4" t="str">
        <f>IF(OR($AM149&lt;&gt;"",$Z149&lt;&gt;"",$AC149&lt;&gt;""),"YES","NO")</f>
        <v>NO</v>
      </c>
      <c r="S149" s="4" t="str">
        <f>IF(COUNTIF(I149:R149,"NO")=0,"YES","NO")</f>
        <v>NO</v>
      </c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inlineStr">
        <is>
          <t>Teck</t>
        </is>
      </c>
      <c r="AK149" s="9" t="inlineStr">
        <is>
          <t>10AWG</t>
        </is>
      </c>
      <c r="AL149" s="9" t="inlineStr">
        <is>
          <t>Levy Ostrup</t>
        </is>
      </c>
      <c r="AM149" s="9" t="n"/>
      <c r="AN149" s="9" t="n"/>
    </row>
    <row r="150">
      <c r="A150" s="9" t="inlineStr">
        <is>
          <t>Power Cable</t>
        </is>
      </c>
      <c r="B150" s="9" t="inlineStr">
        <is>
          <t>29103-ET-PE1502-1-PWK-1</t>
        </is>
      </c>
      <c r="C150" s="9" t="inlineStr">
        <is>
          <t>29103-ET-PE1502-1</t>
        </is>
      </c>
      <c r="D150" s="9" t="inlineStr">
        <is>
          <t>29103-HTP-003 HTC-06</t>
        </is>
      </c>
      <c r="E150" s="9" t="inlineStr">
        <is>
          <t>29103-HTP-003</t>
        </is>
      </c>
      <c r="F150" s="9" t="inlineStr"/>
      <c r="G150" s="9" t="inlineStr">
        <is>
          <t>113</t>
        </is>
      </c>
      <c r="H150" s="9" t="inlineStr">
        <is>
          <t>29103-ET-PE1502-1-PWK-1.pdf</t>
        </is>
      </c>
      <c r="I150" s="4" t="str">
        <f>IF($H150&lt;&gt;"","YES","NO")</f>
        <v>YES</v>
      </c>
      <c r="J150" s="4" t="str">
        <f>IF(N($T150)&gt;0,"YES","NO")</f>
        <v>NO</v>
      </c>
      <c r="K150" s="4" t="str">
        <f>IF(OR($A150="EHT Trace"),IF(AND($U150&lt;&gt;"",$V150&lt;&gt;""),"YES","NO"),"N/A")</f>
        <v>N/A</v>
      </c>
      <c r="L150" s="4" t="str">
        <f>IF(OR($A150="EHT Trace"),IF(AND($X150&lt;&gt;"",$Y150&lt;&gt;""),"YES","NO"),"N/A")</f>
        <v>N/A</v>
      </c>
      <c r="M150" s="4" t="str">
        <f>IF(OR($A150="EHT Trace"),IF(AND($AA150&lt;&gt;"",$AB150&lt;&gt;""),"YES","NO"),"N/A")</f>
        <v>N/A</v>
      </c>
      <c r="N150" s="4" t="str">
        <f>IF(OR($A150="Power Cable"),IF(AND($AD150&lt;&gt;""),"YES","NO"),"N/A")</f>
        <v>NO</v>
      </c>
      <c r="O150" s="4" t="str">
        <f>IF(OR($A150="Power Cable",$A150="RTD Cable",$A150="Fieldbus Cable"),IF(AND($AE150&lt;&gt;""),"YES","NO"),"N/A")</f>
        <v>NO</v>
      </c>
      <c r="P150" s="4" t="str">
        <f>IF(OR($A150="RTD"),IF(AND($AH150&lt;&gt;""),"YES","NO"),"N/A")</f>
        <v>N/A</v>
      </c>
      <c r="Q150" s="4" t="str">
        <f>IF(OR($A150="RTD"),IF(AND($AI150&lt;&gt;""),"YES","NO"),"N/A")</f>
        <v>N/A</v>
      </c>
      <c r="R150" s="4" t="str">
        <f>IF(OR($AM150&lt;&gt;"",$Z150&lt;&gt;"",$AC150&lt;&gt;""),"YES","NO")</f>
        <v>NO</v>
      </c>
      <c r="S150" s="4" t="str">
        <f>IF(COUNTIF(I150:R150,"NO")=0,"YES","NO")</f>
        <v>NO</v>
      </c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inlineStr">
        <is>
          <t>Teck</t>
        </is>
      </c>
      <c r="AK150" s="9" t="inlineStr">
        <is>
          <t>10AWG</t>
        </is>
      </c>
      <c r="AL150" s="9" t="inlineStr">
        <is>
          <t>Levy Ostrup</t>
        </is>
      </c>
      <c r="AM150" s="9" t="n"/>
      <c r="AN150" s="9" t="n"/>
    </row>
    <row r="151">
      <c r="A151" s="9" t="inlineStr">
        <is>
          <t>Power Cable</t>
        </is>
      </c>
      <c r="B151" s="9" t="inlineStr">
        <is>
          <t>29103-ET-PE1601-1-PWK-1</t>
        </is>
      </c>
      <c r="C151" s="9" t="inlineStr">
        <is>
          <t>29103-ET-PE1601-1</t>
        </is>
      </c>
      <c r="D151" s="9" t="inlineStr">
        <is>
          <t>29103-HTP-003 HTC-08</t>
        </is>
      </c>
      <c r="E151" s="9" t="inlineStr">
        <is>
          <t>29103-HTP-003</t>
        </is>
      </c>
      <c r="F151" s="9" t="inlineStr"/>
      <c r="G151" s="9" t="inlineStr">
        <is>
          <t>113</t>
        </is>
      </c>
      <c r="H151" s="9" t="inlineStr">
        <is>
          <t>29103-ET-PE1601-1-PWK-1.pdf</t>
        </is>
      </c>
      <c r="I151" s="4" t="str">
        <f>IF($H151&lt;&gt;"","YES","NO")</f>
        <v>YES</v>
      </c>
      <c r="J151" s="4" t="str">
        <f>IF(N($T151)&gt;0,"YES","NO")</f>
        <v>NO</v>
      </c>
      <c r="K151" s="4" t="str">
        <f>IF(OR($A151="EHT Trace"),IF(AND($U151&lt;&gt;"",$V151&lt;&gt;""),"YES","NO"),"N/A")</f>
        <v>N/A</v>
      </c>
      <c r="L151" s="4" t="str">
        <f>IF(OR($A151="EHT Trace"),IF(AND($X151&lt;&gt;"",$Y151&lt;&gt;""),"YES","NO"),"N/A")</f>
        <v>N/A</v>
      </c>
      <c r="M151" s="4" t="str">
        <f>IF(OR($A151="EHT Trace"),IF(AND($AA151&lt;&gt;"",$AB151&lt;&gt;""),"YES","NO"),"N/A")</f>
        <v>N/A</v>
      </c>
      <c r="N151" s="4" t="str">
        <f>IF(OR($A151="Power Cable"),IF(AND($AD151&lt;&gt;""),"YES","NO"),"N/A")</f>
        <v>NO</v>
      </c>
      <c r="O151" s="4" t="str">
        <f>IF(OR($A151="Power Cable",$A151="RTD Cable",$A151="Fieldbus Cable"),IF(AND($AE151&lt;&gt;""),"YES","NO"),"N/A")</f>
        <v>NO</v>
      </c>
      <c r="P151" s="4" t="str">
        <f>IF(OR($A151="RTD"),IF(AND($AH151&lt;&gt;""),"YES","NO"),"N/A")</f>
        <v>N/A</v>
      </c>
      <c r="Q151" s="4" t="str">
        <f>IF(OR($A151="RTD"),IF(AND($AI151&lt;&gt;""),"YES","NO"),"N/A")</f>
        <v>N/A</v>
      </c>
      <c r="R151" s="4" t="str">
        <f>IF(OR($AM151&lt;&gt;"",$Z151&lt;&gt;"",$AC151&lt;&gt;""),"YES","NO")</f>
        <v>NO</v>
      </c>
      <c r="S151" s="4" t="str">
        <f>IF(COUNTIF(I151:R151,"NO")=0,"YES","NO")</f>
        <v>NO</v>
      </c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inlineStr">
        <is>
          <t>Teck</t>
        </is>
      </c>
      <c r="AK151" s="9" t="inlineStr">
        <is>
          <t>10AWG</t>
        </is>
      </c>
      <c r="AL151" s="9" t="inlineStr">
        <is>
          <t>Levy Ostrup</t>
        </is>
      </c>
      <c r="AM151" s="9" t="n"/>
      <c r="AN151" s="9" t="n"/>
    </row>
    <row r="152">
      <c r="A152" s="9" t="inlineStr">
        <is>
          <t>Power Cable</t>
        </is>
      </c>
      <c r="B152" s="9" t="inlineStr">
        <is>
          <t>29103-ET-PE1601-2-PWK-1</t>
        </is>
      </c>
      <c r="C152" s="9" t="inlineStr">
        <is>
          <t>29103-ET-PE1601-2</t>
        </is>
      </c>
      <c r="D152" s="9" t="inlineStr">
        <is>
          <t>29103-HTP-003 HTC-12</t>
        </is>
      </c>
      <c r="E152" s="9" t="inlineStr">
        <is>
          <t>29103-HTP-003</t>
        </is>
      </c>
      <c r="F152" s="9" t="inlineStr"/>
      <c r="G152" s="9" t="inlineStr">
        <is>
          <t>113</t>
        </is>
      </c>
      <c r="H152" s="9" t="inlineStr">
        <is>
          <t>29103-ET-PE1601-2-PWK-1.pdf</t>
        </is>
      </c>
      <c r="I152" s="4" t="str">
        <f>IF($H152&lt;&gt;"","YES","NO")</f>
        <v>YES</v>
      </c>
      <c r="J152" s="4" t="str">
        <f>IF(N($T152)&gt;0,"YES","NO")</f>
        <v>NO</v>
      </c>
      <c r="K152" s="4" t="str">
        <f>IF(OR($A152="EHT Trace"),IF(AND($U152&lt;&gt;"",$V152&lt;&gt;""),"YES","NO"),"N/A")</f>
        <v>N/A</v>
      </c>
      <c r="L152" s="4" t="str">
        <f>IF(OR($A152="EHT Trace"),IF(AND($X152&lt;&gt;"",$Y152&lt;&gt;""),"YES","NO"),"N/A")</f>
        <v>N/A</v>
      </c>
      <c r="M152" s="4" t="str">
        <f>IF(OR($A152="EHT Trace"),IF(AND($AA152&lt;&gt;"",$AB152&lt;&gt;""),"YES","NO"),"N/A")</f>
        <v>N/A</v>
      </c>
      <c r="N152" s="4" t="str">
        <f>IF(OR($A152="Power Cable"),IF(AND($AD152&lt;&gt;""),"YES","NO"),"N/A")</f>
        <v>NO</v>
      </c>
      <c r="O152" s="4" t="str">
        <f>IF(OR($A152="Power Cable",$A152="RTD Cable",$A152="Fieldbus Cable"),IF(AND($AE152&lt;&gt;""),"YES","NO"),"N/A")</f>
        <v>NO</v>
      </c>
      <c r="P152" s="4" t="str">
        <f>IF(OR($A152="RTD"),IF(AND($AH152&lt;&gt;""),"YES","NO"),"N/A")</f>
        <v>N/A</v>
      </c>
      <c r="Q152" s="4" t="str">
        <f>IF(OR($A152="RTD"),IF(AND($AI152&lt;&gt;""),"YES","NO"),"N/A")</f>
        <v>N/A</v>
      </c>
      <c r="R152" s="4" t="str">
        <f>IF(OR($AM152&lt;&gt;"",$Z152&lt;&gt;"",$AC152&lt;&gt;""),"YES","NO")</f>
        <v>NO</v>
      </c>
      <c r="S152" s="4" t="str">
        <f>IF(COUNTIF(I152:R152,"NO")=0,"YES","NO")</f>
        <v>NO</v>
      </c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inlineStr">
        <is>
          <t>Teck</t>
        </is>
      </c>
      <c r="AK152" s="9" t="inlineStr">
        <is>
          <t>10AWG</t>
        </is>
      </c>
      <c r="AL152" s="9" t="inlineStr">
        <is>
          <t>Levy Ostrup</t>
        </is>
      </c>
      <c r="AM152" s="9" t="n"/>
      <c r="AN152" s="9" t="n"/>
    </row>
    <row r="153">
      <c r="A153" s="9" t="inlineStr">
        <is>
          <t>Power Cable</t>
        </is>
      </c>
      <c r="B153" s="9" t="inlineStr">
        <is>
          <t>29103-ET-PE1602-1-PWK-1</t>
        </is>
      </c>
      <c r="C153" s="9" t="inlineStr">
        <is>
          <t>29103-ET-PE1602-1</t>
        </is>
      </c>
      <c r="D153" s="9" t="inlineStr">
        <is>
          <t>29103-HTP-003 HTC-15</t>
        </is>
      </c>
      <c r="E153" s="9" t="inlineStr">
        <is>
          <t>29103-HTP-003</t>
        </is>
      </c>
      <c r="F153" s="9" t="inlineStr"/>
      <c r="G153" s="9" t="inlineStr">
        <is>
          <t>113</t>
        </is>
      </c>
      <c r="H153" s="9" t="inlineStr">
        <is>
          <t>29103-ET-PE1602-1-PWK-1.pdf</t>
        </is>
      </c>
      <c r="I153" s="4" t="str">
        <f>IF($H153&lt;&gt;"","YES","NO")</f>
        <v>YES</v>
      </c>
      <c r="J153" s="4" t="str">
        <f>IF(N($T153)&gt;0,"YES","NO")</f>
        <v>NO</v>
      </c>
      <c r="K153" s="4" t="str">
        <f>IF(OR($A153="EHT Trace"),IF(AND($U153&lt;&gt;"",$V153&lt;&gt;""),"YES","NO"),"N/A")</f>
        <v>N/A</v>
      </c>
      <c r="L153" s="4" t="str">
        <f>IF(OR($A153="EHT Trace"),IF(AND($X153&lt;&gt;"",$Y153&lt;&gt;""),"YES","NO"),"N/A")</f>
        <v>N/A</v>
      </c>
      <c r="M153" s="4" t="str">
        <f>IF(OR($A153="EHT Trace"),IF(AND($AA153&lt;&gt;"",$AB153&lt;&gt;""),"YES","NO"),"N/A")</f>
        <v>N/A</v>
      </c>
      <c r="N153" s="4" t="str">
        <f>IF(OR($A153="Power Cable"),IF(AND($AD153&lt;&gt;""),"YES","NO"),"N/A")</f>
        <v>NO</v>
      </c>
      <c r="O153" s="4" t="str">
        <f>IF(OR($A153="Power Cable",$A153="RTD Cable",$A153="Fieldbus Cable"),IF(AND($AE153&lt;&gt;""),"YES","NO"),"N/A")</f>
        <v>NO</v>
      </c>
      <c r="P153" s="4" t="str">
        <f>IF(OR($A153="RTD"),IF(AND($AH153&lt;&gt;""),"YES","NO"),"N/A")</f>
        <v>N/A</v>
      </c>
      <c r="Q153" s="4" t="str">
        <f>IF(OR($A153="RTD"),IF(AND($AI153&lt;&gt;""),"YES","NO"),"N/A")</f>
        <v>N/A</v>
      </c>
      <c r="R153" s="4" t="str">
        <f>IF(OR($AM153&lt;&gt;"",$Z153&lt;&gt;"",$AC153&lt;&gt;""),"YES","NO")</f>
        <v>NO</v>
      </c>
      <c r="S153" s="4" t="str">
        <f>IF(COUNTIF(I153:R153,"NO")=0,"YES","NO")</f>
        <v>NO</v>
      </c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inlineStr">
        <is>
          <t>Teck</t>
        </is>
      </c>
      <c r="AK153" s="9" t="inlineStr">
        <is>
          <t>10AWG</t>
        </is>
      </c>
      <c r="AL153" s="9" t="inlineStr">
        <is>
          <t>Levy Ostrup</t>
        </is>
      </c>
      <c r="AM153" s="9" t="n"/>
      <c r="AN153" s="9" t="n"/>
    </row>
    <row r="154">
      <c r="A154" s="9" t="inlineStr">
        <is>
          <t>Power Cable</t>
        </is>
      </c>
      <c r="B154" s="9" t="inlineStr">
        <is>
          <t>29103-ET-PE1701-1-PWK-1</t>
        </is>
      </c>
      <c r="C154" s="9" t="inlineStr">
        <is>
          <t>29103-ET-PE1701-1</t>
        </is>
      </c>
      <c r="D154" s="9" t="inlineStr">
        <is>
          <t>29103-HTP-003 HTC-23</t>
        </is>
      </c>
      <c r="E154" s="9" t="inlineStr">
        <is>
          <t>29103-HTP-003</t>
        </is>
      </c>
      <c r="F154" s="9" t="inlineStr"/>
      <c r="G154" s="9" t="inlineStr">
        <is>
          <t>113</t>
        </is>
      </c>
      <c r="H154" s="9" t="inlineStr">
        <is>
          <t>29103-ET-PE1701-1-PWK-1.pdf</t>
        </is>
      </c>
      <c r="I154" s="4" t="str">
        <f>IF($H154&lt;&gt;"","YES","NO")</f>
        <v>YES</v>
      </c>
      <c r="J154" s="4" t="str">
        <f>IF(N($T154)&gt;0,"YES","NO")</f>
        <v>NO</v>
      </c>
      <c r="K154" s="4" t="str">
        <f>IF(OR($A154="EHT Trace"),IF(AND($U154&lt;&gt;"",$V154&lt;&gt;""),"YES","NO"),"N/A")</f>
        <v>N/A</v>
      </c>
      <c r="L154" s="4" t="str">
        <f>IF(OR($A154="EHT Trace"),IF(AND($X154&lt;&gt;"",$Y154&lt;&gt;""),"YES","NO"),"N/A")</f>
        <v>N/A</v>
      </c>
      <c r="M154" s="4" t="str">
        <f>IF(OR($A154="EHT Trace"),IF(AND($AA154&lt;&gt;"",$AB154&lt;&gt;""),"YES","NO"),"N/A")</f>
        <v>N/A</v>
      </c>
      <c r="N154" s="4" t="str">
        <f>IF(OR($A154="Power Cable"),IF(AND($AD154&lt;&gt;""),"YES","NO"),"N/A")</f>
        <v>NO</v>
      </c>
      <c r="O154" s="4" t="str">
        <f>IF(OR($A154="Power Cable",$A154="RTD Cable",$A154="Fieldbus Cable"),IF(AND($AE154&lt;&gt;""),"YES","NO"),"N/A")</f>
        <v>NO</v>
      </c>
      <c r="P154" s="4" t="str">
        <f>IF(OR($A154="RTD"),IF(AND($AH154&lt;&gt;""),"YES","NO"),"N/A")</f>
        <v>N/A</v>
      </c>
      <c r="Q154" s="4" t="str">
        <f>IF(OR($A154="RTD"),IF(AND($AI154&lt;&gt;""),"YES","NO"),"N/A")</f>
        <v>N/A</v>
      </c>
      <c r="R154" s="4" t="str">
        <f>IF(OR($AM154&lt;&gt;"",$Z154&lt;&gt;"",$AC154&lt;&gt;""),"YES","NO")</f>
        <v>NO</v>
      </c>
      <c r="S154" s="4" t="str">
        <f>IF(COUNTIF(I154:R154,"NO")=0,"YES","NO")</f>
        <v>NO</v>
      </c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inlineStr">
        <is>
          <t>Teck</t>
        </is>
      </c>
      <c r="AK154" s="9" t="inlineStr">
        <is>
          <t>10AWG</t>
        </is>
      </c>
      <c r="AL154" s="9" t="inlineStr">
        <is>
          <t>Levy Ostrup</t>
        </is>
      </c>
      <c r="AM154" s="9" t="n"/>
      <c r="AN154" s="9" t="n"/>
    </row>
    <row r="155">
      <c r="A155" s="9" t="inlineStr">
        <is>
          <t>Power Cable</t>
        </is>
      </c>
      <c r="B155" s="9" t="inlineStr">
        <is>
          <t>29103-ET-PE1701-2-PWK-1</t>
        </is>
      </c>
      <c r="C155" s="9" t="inlineStr">
        <is>
          <t>29103-ET-PE1701-2</t>
        </is>
      </c>
      <c r="D155" s="9" t="inlineStr">
        <is>
          <t>29103-HTP-003 HTC-16</t>
        </is>
      </c>
      <c r="E155" s="9" t="inlineStr">
        <is>
          <t>29103-HTP-003</t>
        </is>
      </c>
      <c r="F155" s="9" t="inlineStr"/>
      <c r="G155" s="9" t="inlineStr">
        <is>
          <t>113</t>
        </is>
      </c>
      <c r="H155" s="9" t="inlineStr">
        <is>
          <t>29103-ET-PE1701-2-PWK-1.pdf</t>
        </is>
      </c>
      <c r="I155" s="4" t="str">
        <f>IF($H155&lt;&gt;"","YES","NO")</f>
        <v>YES</v>
      </c>
      <c r="J155" s="4" t="str">
        <f>IF(N($T155)&gt;0,"YES","NO")</f>
        <v>NO</v>
      </c>
      <c r="K155" s="4" t="str">
        <f>IF(OR($A155="EHT Trace"),IF(AND($U155&lt;&gt;"",$V155&lt;&gt;""),"YES","NO"),"N/A")</f>
        <v>N/A</v>
      </c>
      <c r="L155" s="4" t="str">
        <f>IF(OR($A155="EHT Trace"),IF(AND($X155&lt;&gt;"",$Y155&lt;&gt;""),"YES","NO"),"N/A")</f>
        <v>N/A</v>
      </c>
      <c r="M155" s="4" t="str">
        <f>IF(OR($A155="EHT Trace"),IF(AND($AA155&lt;&gt;"",$AB155&lt;&gt;""),"YES","NO"),"N/A")</f>
        <v>N/A</v>
      </c>
      <c r="N155" s="4" t="str">
        <f>IF(OR($A155="Power Cable"),IF(AND($AD155&lt;&gt;""),"YES","NO"),"N/A")</f>
        <v>NO</v>
      </c>
      <c r="O155" s="4" t="str">
        <f>IF(OR($A155="Power Cable",$A155="RTD Cable",$A155="Fieldbus Cable"),IF(AND($AE155&lt;&gt;""),"YES","NO"),"N/A")</f>
        <v>NO</v>
      </c>
      <c r="P155" s="4" t="str">
        <f>IF(OR($A155="RTD"),IF(AND($AH155&lt;&gt;""),"YES","NO"),"N/A")</f>
        <v>N/A</v>
      </c>
      <c r="Q155" s="4" t="str">
        <f>IF(OR($A155="RTD"),IF(AND($AI155&lt;&gt;""),"YES","NO"),"N/A")</f>
        <v>N/A</v>
      </c>
      <c r="R155" s="4" t="str">
        <f>IF(OR($AM155&lt;&gt;"",$Z155&lt;&gt;"",$AC155&lt;&gt;""),"YES","NO")</f>
        <v>NO</v>
      </c>
      <c r="S155" s="4" t="str">
        <f>IF(COUNTIF(I155:R155,"NO")=0,"YES","NO")</f>
        <v>NO</v>
      </c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inlineStr">
        <is>
          <t>Teck</t>
        </is>
      </c>
      <c r="AK155" s="9" t="inlineStr">
        <is>
          <t>10AWG</t>
        </is>
      </c>
      <c r="AL155" s="9" t="inlineStr">
        <is>
          <t>Levy Ostrup</t>
        </is>
      </c>
      <c r="AM155" s="9" t="n"/>
      <c r="AN155" s="9" t="n"/>
    </row>
    <row r="156">
      <c r="A156" s="9" t="inlineStr">
        <is>
          <t>Power Cable</t>
        </is>
      </c>
      <c r="B156" s="9" t="inlineStr">
        <is>
          <t>29103-ET-PE1702-1-PWK-1</t>
        </is>
      </c>
      <c r="C156" s="9" t="inlineStr">
        <is>
          <t>29103-ET-PE1702-1</t>
        </is>
      </c>
      <c r="D156" s="9" t="inlineStr">
        <is>
          <t>29103-HTP-003 HTC-20</t>
        </is>
      </c>
      <c r="E156" s="9" t="inlineStr">
        <is>
          <t>29103-HTP-003</t>
        </is>
      </c>
      <c r="F156" s="9" t="inlineStr"/>
      <c r="G156" s="9" t="inlineStr">
        <is>
          <t>113</t>
        </is>
      </c>
      <c r="H156" s="9" t="inlineStr">
        <is>
          <t>29103-ET-PE1702-1-PWK-1.pdf</t>
        </is>
      </c>
      <c r="I156" s="4" t="str">
        <f>IF($H156&lt;&gt;"","YES","NO")</f>
        <v>YES</v>
      </c>
      <c r="J156" s="4" t="str">
        <f>IF(N($T156)&gt;0,"YES","NO")</f>
        <v>NO</v>
      </c>
      <c r="K156" s="4" t="str">
        <f>IF(OR($A156="EHT Trace"),IF(AND($U156&lt;&gt;"",$V156&lt;&gt;""),"YES","NO"),"N/A")</f>
        <v>N/A</v>
      </c>
      <c r="L156" s="4" t="str">
        <f>IF(OR($A156="EHT Trace"),IF(AND($X156&lt;&gt;"",$Y156&lt;&gt;""),"YES","NO"),"N/A")</f>
        <v>N/A</v>
      </c>
      <c r="M156" s="4" t="str">
        <f>IF(OR($A156="EHT Trace"),IF(AND($AA156&lt;&gt;"",$AB156&lt;&gt;""),"YES","NO"),"N/A")</f>
        <v>N/A</v>
      </c>
      <c r="N156" s="4" t="str">
        <f>IF(OR($A156="Power Cable"),IF(AND($AD156&lt;&gt;""),"YES","NO"),"N/A")</f>
        <v>NO</v>
      </c>
      <c r="O156" s="4" t="str">
        <f>IF(OR($A156="Power Cable",$A156="RTD Cable",$A156="Fieldbus Cable"),IF(AND($AE156&lt;&gt;""),"YES","NO"),"N/A")</f>
        <v>NO</v>
      </c>
      <c r="P156" s="4" t="str">
        <f>IF(OR($A156="RTD"),IF(AND($AH156&lt;&gt;""),"YES","NO"),"N/A")</f>
        <v>N/A</v>
      </c>
      <c r="Q156" s="4" t="str">
        <f>IF(OR($A156="RTD"),IF(AND($AI156&lt;&gt;""),"YES","NO"),"N/A")</f>
        <v>N/A</v>
      </c>
      <c r="R156" s="4" t="str">
        <f>IF(OR($AM156&lt;&gt;"",$Z156&lt;&gt;"",$AC156&lt;&gt;""),"YES","NO")</f>
        <v>NO</v>
      </c>
      <c r="S156" s="4" t="str">
        <f>IF(COUNTIF(I156:R156,"NO")=0,"YES","NO")</f>
        <v>NO</v>
      </c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inlineStr">
        <is>
          <t>Teck</t>
        </is>
      </c>
      <c r="AK156" s="9" t="inlineStr">
        <is>
          <t>10AWG</t>
        </is>
      </c>
      <c r="AL156" s="9" t="inlineStr">
        <is>
          <t>Levy Ostrup</t>
        </is>
      </c>
      <c r="AM156" s="9" t="n"/>
      <c r="AN156" s="9" t="n"/>
    </row>
    <row r="157">
      <c r="A157" s="9" t="inlineStr">
        <is>
          <t>Power Cable</t>
        </is>
      </c>
      <c r="B157" s="9" t="inlineStr">
        <is>
          <t>29103-ET-PE1802-2-PWK-1</t>
        </is>
      </c>
      <c r="C157" s="9" t="inlineStr">
        <is>
          <t>29103-ET-PE1802-2</t>
        </is>
      </c>
      <c r="D157" s="9" t="inlineStr">
        <is>
          <t>29103-HTP-003 HTC-13</t>
        </is>
      </c>
      <c r="E157" s="9" t="inlineStr">
        <is>
          <t>29103-HTP-003</t>
        </is>
      </c>
      <c r="F157" s="9" t="inlineStr"/>
      <c r="G157" s="9" t="inlineStr">
        <is>
          <t>113</t>
        </is>
      </c>
      <c r="H157" s="9" t="inlineStr">
        <is>
          <t>29103-ET-PE1802-2-PWK-1.pdf</t>
        </is>
      </c>
      <c r="I157" s="4" t="str">
        <f>IF($H157&lt;&gt;"","YES","NO")</f>
        <v>YES</v>
      </c>
      <c r="J157" s="4" t="str">
        <f>IF(N($T157)&gt;0,"YES","NO")</f>
        <v>NO</v>
      </c>
      <c r="K157" s="4" t="str">
        <f>IF(OR($A157="EHT Trace"),IF(AND($U157&lt;&gt;"",$V157&lt;&gt;""),"YES","NO"),"N/A")</f>
        <v>N/A</v>
      </c>
      <c r="L157" s="4" t="str">
        <f>IF(OR($A157="EHT Trace"),IF(AND($X157&lt;&gt;"",$Y157&lt;&gt;""),"YES","NO"),"N/A")</f>
        <v>N/A</v>
      </c>
      <c r="M157" s="4" t="str">
        <f>IF(OR($A157="EHT Trace"),IF(AND($AA157&lt;&gt;"",$AB157&lt;&gt;""),"YES","NO"),"N/A")</f>
        <v>N/A</v>
      </c>
      <c r="N157" s="4" t="str">
        <f>IF(OR($A157="Power Cable"),IF(AND($AD157&lt;&gt;""),"YES","NO"),"N/A")</f>
        <v>NO</v>
      </c>
      <c r="O157" s="4" t="str">
        <f>IF(OR($A157="Power Cable",$A157="RTD Cable",$A157="Fieldbus Cable"),IF(AND($AE157&lt;&gt;""),"YES","NO"),"N/A")</f>
        <v>NO</v>
      </c>
      <c r="P157" s="4" t="str">
        <f>IF(OR($A157="RTD"),IF(AND($AH157&lt;&gt;""),"YES","NO"),"N/A")</f>
        <v>N/A</v>
      </c>
      <c r="Q157" s="4" t="str">
        <f>IF(OR($A157="RTD"),IF(AND($AI157&lt;&gt;""),"YES","NO"),"N/A")</f>
        <v>N/A</v>
      </c>
      <c r="R157" s="4" t="str">
        <f>IF(OR($AM157&lt;&gt;"",$Z157&lt;&gt;"",$AC157&lt;&gt;""),"YES","NO")</f>
        <v>NO</v>
      </c>
      <c r="S157" s="4" t="str">
        <f>IF(COUNTIF(I157:R157,"NO")=0,"YES","NO")</f>
        <v>NO</v>
      </c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inlineStr">
        <is>
          <t>Teck</t>
        </is>
      </c>
      <c r="AK157" s="9" t="inlineStr">
        <is>
          <t>10AWG</t>
        </is>
      </c>
      <c r="AL157" s="9" t="inlineStr">
        <is>
          <t>Levy Ostrup</t>
        </is>
      </c>
      <c r="AM157" s="9" t="n"/>
      <c r="AN157" s="9" t="n"/>
    </row>
    <row r="158">
      <c r="A158" s="9" t="inlineStr">
        <is>
          <t>Power Cable</t>
        </is>
      </c>
      <c r="B158" s="9" t="inlineStr">
        <is>
          <t>29103-ET-PE1803-2-PWK-1</t>
        </is>
      </c>
      <c r="C158" s="9" t="inlineStr">
        <is>
          <t>29103-ET-PE1803-2</t>
        </is>
      </c>
      <c r="D158" s="9" t="inlineStr">
        <is>
          <t>29103-HTP-003 HTC-29</t>
        </is>
      </c>
      <c r="E158" s="9" t="inlineStr">
        <is>
          <t>29103-HTP-003</t>
        </is>
      </c>
      <c r="F158" s="9" t="inlineStr"/>
      <c r="G158" s="9" t="inlineStr">
        <is>
          <t>113</t>
        </is>
      </c>
      <c r="H158" s="9" t="inlineStr">
        <is>
          <t>29103-ET-PE1803-2-PWK-1.pdf</t>
        </is>
      </c>
      <c r="I158" s="4" t="str">
        <f>IF($H158&lt;&gt;"","YES","NO")</f>
        <v>YES</v>
      </c>
      <c r="J158" s="4" t="str">
        <f>IF(N($T158)&gt;0,"YES","NO")</f>
        <v>NO</v>
      </c>
      <c r="K158" s="4" t="str">
        <f>IF(OR($A158="EHT Trace"),IF(AND($U158&lt;&gt;"",$V158&lt;&gt;""),"YES","NO"),"N/A")</f>
        <v>N/A</v>
      </c>
      <c r="L158" s="4" t="str">
        <f>IF(OR($A158="EHT Trace"),IF(AND($X158&lt;&gt;"",$Y158&lt;&gt;""),"YES","NO"),"N/A")</f>
        <v>N/A</v>
      </c>
      <c r="M158" s="4" t="str">
        <f>IF(OR($A158="EHT Trace"),IF(AND($AA158&lt;&gt;"",$AB158&lt;&gt;""),"YES","NO"),"N/A")</f>
        <v>N/A</v>
      </c>
      <c r="N158" s="4" t="str">
        <f>IF(OR($A158="Power Cable"),IF(AND($AD158&lt;&gt;""),"YES","NO"),"N/A")</f>
        <v>NO</v>
      </c>
      <c r="O158" s="4" t="str">
        <f>IF(OR($A158="Power Cable",$A158="RTD Cable",$A158="Fieldbus Cable"),IF(AND($AE158&lt;&gt;""),"YES","NO"),"N/A")</f>
        <v>NO</v>
      </c>
      <c r="P158" s="4" t="str">
        <f>IF(OR($A158="RTD"),IF(AND($AH158&lt;&gt;""),"YES","NO"),"N/A")</f>
        <v>N/A</v>
      </c>
      <c r="Q158" s="4" t="str">
        <f>IF(OR($A158="RTD"),IF(AND($AI158&lt;&gt;""),"YES","NO"),"N/A")</f>
        <v>N/A</v>
      </c>
      <c r="R158" s="4" t="str">
        <f>IF(OR($AM158&lt;&gt;"",$Z158&lt;&gt;"",$AC158&lt;&gt;""),"YES","NO")</f>
        <v>NO</v>
      </c>
      <c r="S158" s="4" t="str">
        <f>IF(COUNTIF(I158:R158,"NO")=0,"YES","NO")</f>
        <v>NO</v>
      </c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inlineStr">
        <is>
          <t>Teck</t>
        </is>
      </c>
      <c r="AK158" s="9" t="inlineStr">
        <is>
          <t>10AWG</t>
        </is>
      </c>
      <c r="AL158" s="9" t="inlineStr">
        <is>
          <t>Levy Ostrup</t>
        </is>
      </c>
      <c r="AM158" s="9" t="n"/>
      <c r="AN158" s="9" t="n"/>
    </row>
    <row r="159">
      <c r="A159" s="9" t="inlineStr">
        <is>
          <t>Power Cable</t>
        </is>
      </c>
      <c r="B159" s="9" t="inlineStr">
        <is>
          <t>29103-ET-PG1401-1-PWK-1</t>
        </is>
      </c>
      <c r="C159" s="9" t="inlineStr">
        <is>
          <t>29103-ET-PG1401-1</t>
        </is>
      </c>
      <c r="D159" s="9" t="inlineStr">
        <is>
          <t>29103-HTP-003 HTC-35</t>
        </is>
      </c>
      <c r="E159" s="9" t="inlineStr">
        <is>
          <t>29103-HTP-003</t>
        </is>
      </c>
      <c r="F159" s="9" t="inlineStr"/>
      <c r="G159" s="9" t="inlineStr">
        <is>
          <t>113</t>
        </is>
      </c>
      <c r="H159" s="9" t="inlineStr">
        <is>
          <t>29103-ET-PG1401-1-PWK-1.pdf</t>
        </is>
      </c>
      <c r="I159" s="4" t="str">
        <f>IF($H159&lt;&gt;"","YES","NO")</f>
        <v>YES</v>
      </c>
      <c r="J159" s="4" t="str">
        <f>IF(N($T159)&gt;0,"YES","NO")</f>
        <v>NO</v>
      </c>
      <c r="K159" s="4" t="str">
        <f>IF(OR($A159="EHT Trace"),IF(AND($U159&lt;&gt;"",$V159&lt;&gt;""),"YES","NO"),"N/A")</f>
        <v>N/A</v>
      </c>
      <c r="L159" s="4" t="str">
        <f>IF(OR($A159="EHT Trace"),IF(AND($X159&lt;&gt;"",$Y159&lt;&gt;""),"YES","NO"),"N/A")</f>
        <v>N/A</v>
      </c>
      <c r="M159" s="4" t="str">
        <f>IF(OR($A159="EHT Trace"),IF(AND($AA159&lt;&gt;"",$AB159&lt;&gt;""),"YES","NO"),"N/A")</f>
        <v>N/A</v>
      </c>
      <c r="N159" s="4" t="str">
        <f>IF(OR($A159="Power Cable"),IF(AND($AD159&lt;&gt;""),"YES","NO"),"N/A")</f>
        <v>NO</v>
      </c>
      <c r="O159" s="4" t="str">
        <f>IF(OR($A159="Power Cable",$A159="RTD Cable",$A159="Fieldbus Cable"),IF(AND($AE159&lt;&gt;""),"YES","NO"),"N/A")</f>
        <v>NO</v>
      </c>
      <c r="P159" s="4" t="str">
        <f>IF(OR($A159="RTD"),IF(AND($AH159&lt;&gt;""),"YES","NO"),"N/A")</f>
        <v>N/A</v>
      </c>
      <c r="Q159" s="4" t="str">
        <f>IF(OR($A159="RTD"),IF(AND($AI159&lt;&gt;""),"YES","NO"),"N/A")</f>
        <v>N/A</v>
      </c>
      <c r="R159" s="4" t="str">
        <f>IF(OR($AM159&lt;&gt;"",$Z159&lt;&gt;"",$AC159&lt;&gt;""),"YES","NO")</f>
        <v>NO</v>
      </c>
      <c r="S159" s="4" t="str">
        <f>IF(COUNTIF(I159:R159,"NO")=0,"YES","NO")</f>
        <v>NO</v>
      </c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inlineStr">
        <is>
          <t>Teck</t>
        </is>
      </c>
      <c r="AK159" s="9" t="inlineStr">
        <is>
          <t>10AWG</t>
        </is>
      </c>
      <c r="AL159" s="9" t="inlineStr">
        <is>
          <t>Levy Ostrup</t>
        </is>
      </c>
      <c r="AM159" s="9" t="n"/>
      <c r="AN159" s="9" t="n"/>
    </row>
    <row r="160">
      <c r="A160" s="9" t="inlineStr">
        <is>
          <t>Power Cable</t>
        </is>
      </c>
      <c r="B160" s="9" t="inlineStr">
        <is>
          <t>29103-ET-PG1401-2-PWK-1</t>
        </is>
      </c>
      <c r="C160" s="9" t="inlineStr">
        <is>
          <t>29103-ET-PG1401-2</t>
        </is>
      </c>
      <c r="D160" s="9" t="inlineStr">
        <is>
          <t>29103-HTP-003 HTC-22</t>
        </is>
      </c>
      <c r="E160" s="9" t="inlineStr">
        <is>
          <t>29103-HTP-003</t>
        </is>
      </c>
      <c r="F160" s="9" t="inlineStr"/>
      <c r="G160" s="9" t="inlineStr">
        <is>
          <t>113</t>
        </is>
      </c>
      <c r="H160" s="9" t="inlineStr">
        <is>
          <t>29103-ET-PG1401-2-PWK-1.pdf</t>
        </is>
      </c>
      <c r="I160" s="4" t="str">
        <f>IF($H160&lt;&gt;"","YES","NO")</f>
        <v>YES</v>
      </c>
      <c r="J160" s="4" t="str">
        <f>IF(N($T160)&gt;0,"YES","NO")</f>
        <v>NO</v>
      </c>
      <c r="K160" s="4" t="str">
        <f>IF(OR($A160="EHT Trace"),IF(AND($U160&lt;&gt;"",$V160&lt;&gt;""),"YES","NO"),"N/A")</f>
        <v>N/A</v>
      </c>
      <c r="L160" s="4" t="str">
        <f>IF(OR($A160="EHT Trace"),IF(AND($X160&lt;&gt;"",$Y160&lt;&gt;""),"YES","NO"),"N/A")</f>
        <v>N/A</v>
      </c>
      <c r="M160" s="4" t="str">
        <f>IF(OR($A160="EHT Trace"),IF(AND($AA160&lt;&gt;"",$AB160&lt;&gt;""),"YES","NO"),"N/A")</f>
        <v>N/A</v>
      </c>
      <c r="N160" s="4" t="str">
        <f>IF(OR($A160="Power Cable"),IF(AND($AD160&lt;&gt;""),"YES","NO"),"N/A")</f>
        <v>NO</v>
      </c>
      <c r="O160" s="4" t="str">
        <f>IF(OR($A160="Power Cable",$A160="RTD Cable",$A160="Fieldbus Cable"),IF(AND($AE160&lt;&gt;""),"YES","NO"),"N/A")</f>
        <v>NO</v>
      </c>
      <c r="P160" s="4" t="str">
        <f>IF(OR($A160="RTD"),IF(AND($AH160&lt;&gt;""),"YES","NO"),"N/A")</f>
        <v>N/A</v>
      </c>
      <c r="Q160" s="4" t="str">
        <f>IF(OR($A160="RTD"),IF(AND($AI160&lt;&gt;""),"YES","NO"),"N/A")</f>
        <v>N/A</v>
      </c>
      <c r="R160" s="4" t="str">
        <f>IF(OR($AM160&lt;&gt;"",$Z160&lt;&gt;"",$AC160&lt;&gt;""),"YES","NO")</f>
        <v>NO</v>
      </c>
      <c r="S160" s="4" t="str">
        <f>IF(COUNTIF(I160:R160,"NO")=0,"YES","NO")</f>
        <v>NO</v>
      </c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inlineStr">
        <is>
          <t>Teck</t>
        </is>
      </c>
      <c r="AK160" s="9" t="inlineStr">
        <is>
          <t>10AWG</t>
        </is>
      </c>
      <c r="AL160" s="9" t="inlineStr">
        <is>
          <t>Levy Ostrup</t>
        </is>
      </c>
      <c r="AM160" s="9" t="n"/>
      <c r="AN160" s="9" t="n"/>
    </row>
    <row r="161">
      <c r="A161" s="9" t="inlineStr">
        <is>
          <t>Power Cable</t>
        </is>
      </c>
      <c r="B161" s="9" t="inlineStr">
        <is>
          <t>29103-ET-PG1501-1-PWK-1</t>
        </is>
      </c>
      <c r="C161" s="9" t="inlineStr">
        <is>
          <t>29103-ET-PG1501-1</t>
        </is>
      </c>
      <c r="D161" s="9" t="inlineStr">
        <is>
          <t>29103-HTP-003 HTC-11</t>
        </is>
      </c>
      <c r="E161" s="9" t="inlineStr">
        <is>
          <t>29103-HTP-003</t>
        </is>
      </c>
      <c r="F161" s="9" t="inlineStr"/>
      <c r="G161" s="9" t="inlineStr">
        <is>
          <t>113</t>
        </is>
      </c>
      <c r="H161" s="9" t="inlineStr">
        <is>
          <t>29103-ET-PG1501-1-PWK-1.pdf</t>
        </is>
      </c>
      <c r="I161" s="4" t="str">
        <f>IF($H161&lt;&gt;"","YES","NO")</f>
        <v>YES</v>
      </c>
      <c r="J161" s="4" t="str">
        <f>IF(N($T161)&gt;0,"YES","NO")</f>
        <v>NO</v>
      </c>
      <c r="K161" s="4" t="str">
        <f>IF(OR($A161="EHT Trace"),IF(AND($U161&lt;&gt;"",$V161&lt;&gt;""),"YES","NO"),"N/A")</f>
        <v>N/A</v>
      </c>
      <c r="L161" s="4" t="str">
        <f>IF(OR($A161="EHT Trace"),IF(AND($X161&lt;&gt;"",$Y161&lt;&gt;""),"YES","NO"),"N/A")</f>
        <v>N/A</v>
      </c>
      <c r="M161" s="4" t="str">
        <f>IF(OR($A161="EHT Trace"),IF(AND($AA161&lt;&gt;"",$AB161&lt;&gt;""),"YES","NO"),"N/A")</f>
        <v>N/A</v>
      </c>
      <c r="N161" s="4" t="str">
        <f>IF(OR($A161="Power Cable"),IF(AND($AD161&lt;&gt;""),"YES","NO"),"N/A")</f>
        <v>NO</v>
      </c>
      <c r="O161" s="4" t="str">
        <f>IF(OR($A161="Power Cable",$A161="RTD Cable",$A161="Fieldbus Cable"),IF(AND($AE161&lt;&gt;""),"YES","NO"),"N/A")</f>
        <v>NO</v>
      </c>
      <c r="P161" s="4" t="str">
        <f>IF(OR($A161="RTD"),IF(AND($AH161&lt;&gt;""),"YES","NO"),"N/A")</f>
        <v>N/A</v>
      </c>
      <c r="Q161" s="4" t="str">
        <f>IF(OR($A161="RTD"),IF(AND($AI161&lt;&gt;""),"YES","NO"),"N/A")</f>
        <v>N/A</v>
      </c>
      <c r="R161" s="4" t="str">
        <f>IF(OR($AM161&lt;&gt;"",$Z161&lt;&gt;"",$AC161&lt;&gt;""),"YES","NO")</f>
        <v>NO</v>
      </c>
      <c r="S161" s="4" t="str">
        <f>IF(COUNTIF(I161:R161,"NO")=0,"YES","NO")</f>
        <v>NO</v>
      </c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inlineStr">
        <is>
          <t>Teck</t>
        </is>
      </c>
      <c r="AK161" s="9" t="inlineStr">
        <is>
          <t>10AWG</t>
        </is>
      </c>
      <c r="AL161" s="9" t="inlineStr">
        <is>
          <t>Levy Ostrup</t>
        </is>
      </c>
      <c r="AM161" s="9" t="n"/>
      <c r="AN161" s="9" t="n"/>
    </row>
    <row r="162">
      <c r="A162" s="9" t="inlineStr">
        <is>
          <t>Power Cable</t>
        </is>
      </c>
      <c r="B162" s="9" t="inlineStr">
        <is>
          <t>29103-ET-PG1501-2-PWK-1</t>
        </is>
      </c>
      <c r="C162" s="9" t="inlineStr">
        <is>
          <t>29103-ET-PG1501-2</t>
        </is>
      </c>
      <c r="D162" s="9" t="inlineStr">
        <is>
          <t>29103-HTP-003 HTC-28</t>
        </is>
      </c>
      <c r="E162" s="9" t="inlineStr">
        <is>
          <t>29103-HTP-003</t>
        </is>
      </c>
      <c r="F162" s="9" t="inlineStr"/>
      <c r="G162" s="9" t="inlineStr">
        <is>
          <t>113</t>
        </is>
      </c>
      <c r="H162" s="9" t="inlineStr">
        <is>
          <t>29103-ET-PG1501-2-PWK-1.pdf</t>
        </is>
      </c>
      <c r="I162" s="4" t="str">
        <f>IF($H162&lt;&gt;"","YES","NO")</f>
        <v>YES</v>
      </c>
      <c r="J162" s="4" t="str">
        <f>IF(N($T162)&gt;0,"YES","NO")</f>
        <v>NO</v>
      </c>
      <c r="K162" s="4" t="str">
        <f>IF(OR($A162="EHT Trace"),IF(AND($U162&lt;&gt;"",$V162&lt;&gt;""),"YES","NO"),"N/A")</f>
        <v>N/A</v>
      </c>
      <c r="L162" s="4" t="str">
        <f>IF(OR($A162="EHT Trace"),IF(AND($X162&lt;&gt;"",$Y162&lt;&gt;""),"YES","NO"),"N/A")</f>
        <v>N/A</v>
      </c>
      <c r="M162" s="4" t="str">
        <f>IF(OR($A162="EHT Trace"),IF(AND($AA162&lt;&gt;"",$AB162&lt;&gt;""),"YES","NO"),"N/A")</f>
        <v>N/A</v>
      </c>
      <c r="N162" s="4" t="str">
        <f>IF(OR($A162="Power Cable"),IF(AND($AD162&lt;&gt;""),"YES","NO"),"N/A")</f>
        <v>NO</v>
      </c>
      <c r="O162" s="4" t="str">
        <f>IF(OR($A162="Power Cable",$A162="RTD Cable",$A162="Fieldbus Cable"),IF(AND($AE162&lt;&gt;""),"YES","NO"),"N/A")</f>
        <v>NO</v>
      </c>
      <c r="P162" s="4" t="str">
        <f>IF(OR($A162="RTD"),IF(AND($AH162&lt;&gt;""),"YES","NO"),"N/A")</f>
        <v>N/A</v>
      </c>
      <c r="Q162" s="4" t="str">
        <f>IF(OR($A162="RTD"),IF(AND($AI162&lt;&gt;""),"YES","NO"),"N/A")</f>
        <v>N/A</v>
      </c>
      <c r="R162" s="4" t="str">
        <f>IF(OR($AM162&lt;&gt;"",$Z162&lt;&gt;"",$AC162&lt;&gt;""),"YES","NO")</f>
        <v>NO</v>
      </c>
      <c r="S162" s="4" t="str">
        <f>IF(COUNTIF(I162:R162,"NO")=0,"YES","NO")</f>
        <v>NO</v>
      </c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inlineStr">
        <is>
          <t>Teck</t>
        </is>
      </c>
      <c r="AK162" s="9" t="inlineStr">
        <is>
          <t>10AWG</t>
        </is>
      </c>
      <c r="AL162" s="9" t="inlineStr">
        <is>
          <t>Levy Ostrup</t>
        </is>
      </c>
      <c r="AM162" s="9" t="n"/>
      <c r="AN162" s="9" t="n"/>
    </row>
    <row r="163">
      <c r="A163" s="9" t="inlineStr">
        <is>
          <t>Power Cable</t>
        </is>
      </c>
      <c r="B163" s="9" t="inlineStr">
        <is>
          <t>29103-ET-PG1601-1-PWK-1</t>
        </is>
      </c>
      <c r="C163" s="9" t="inlineStr">
        <is>
          <t>29103-ET-PG1601-1</t>
        </is>
      </c>
      <c r="D163" s="9" t="inlineStr">
        <is>
          <t>29103-HTP-003 HTC-14</t>
        </is>
      </c>
      <c r="E163" s="9" t="inlineStr">
        <is>
          <t>29103-HTP-003</t>
        </is>
      </c>
      <c r="F163" s="9" t="inlineStr"/>
      <c r="G163" s="9" t="inlineStr">
        <is>
          <t>113</t>
        </is>
      </c>
      <c r="H163" s="9" t="inlineStr">
        <is>
          <t>29103-ET-PG1601-1-PWK-1.pdf</t>
        </is>
      </c>
      <c r="I163" s="4" t="str">
        <f>IF($H163&lt;&gt;"","YES","NO")</f>
        <v>YES</v>
      </c>
      <c r="J163" s="4" t="str">
        <f>IF(N($T163)&gt;0,"YES","NO")</f>
        <v>NO</v>
      </c>
      <c r="K163" s="4" t="str">
        <f>IF(OR($A163="EHT Trace"),IF(AND($U163&lt;&gt;"",$V163&lt;&gt;""),"YES","NO"),"N/A")</f>
        <v>N/A</v>
      </c>
      <c r="L163" s="4" t="str">
        <f>IF(OR($A163="EHT Trace"),IF(AND($X163&lt;&gt;"",$Y163&lt;&gt;""),"YES","NO"),"N/A")</f>
        <v>N/A</v>
      </c>
      <c r="M163" s="4" t="str">
        <f>IF(OR($A163="EHT Trace"),IF(AND($AA163&lt;&gt;"",$AB163&lt;&gt;""),"YES","NO"),"N/A")</f>
        <v>N/A</v>
      </c>
      <c r="N163" s="4" t="str">
        <f>IF(OR($A163="Power Cable"),IF(AND($AD163&lt;&gt;""),"YES","NO"),"N/A")</f>
        <v>NO</v>
      </c>
      <c r="O163" s="4" t="str">
        <f>IF(OR($A163="Power Cable",$A163="RTD Cable",$A163="Fieldbus Cable"),IF(AND($AE163&lt;&gt;""),"YES","NO"),"N/A")</f>
        <v>NO</v>
      </c>
      <c r="P163" s="4" t="str">
        <f>IF(OR($A163="RTD"),IF(AND($AH163&lt;&gt;""),"YES","NO"),"N/A")</f>
        <v>N/A</v>
      </c>
      <c r="Q163" s="4" t="str">
        <f>IF(OR($A163="RTD"),IF(AND($AI163&lt;&gt;""),"YES","NO"),"N/A")</f>
        <v>N/A</v>
      </c>
      <c r="R163" s="4" t="str">
        <f>IF(OR($AM163&lt;&gt;"",$Z163&lt;&gt;"",$AC163&lt;&gt;""),"YES","NO")</f>
        <v>NO</v>
      </c>
      <c r="S163" s="4" t="str">
        <f>IF(COUNTIF(I163:R163,"NO")=0,"YES","NO")</f>
        <v>NO</v>
      </c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inlineStr">
        <is>
          <t>Teck</t>
        </is>
      </c>
      <c r="AK163" s="9" t="inlineStr">
        <is>
          <t>10AWG</t>
        </is>
      </c>
      <c r="AL163" s="9" t="inlineStr">
        <is>
          <t>Levy Ostrup</t>
        </is>
      </c>
      <c r="AM163" s="9" t="n"/>
      <c r="AN163" s="9" t="n"/>
    </row>
    <row r="164">
      <c r="A164" s="9" t="inlineStr">
        <is>
          <t>Power Cable</t>
        </is>
      </c>
      <c r="B164" s="9" t="inlineStr">
        <is>
          <t>29103-ET-PG1601-2-PWK-1</t>
        </is>
      </c>
      <c r="C164" s="9" t="inlineStr">
        <is>
          <t>29103-ET-PG1601-2</t>
        </is>
      </c>
      <c r="D164" s="9" t="inlineStr">
        <is>
          <t>29103-HTP-003 HTC-31</t>
        </is>
      </c>
      <c r="E164" s="9" t="inlineStr">
        <is>
          <t>29103-HTP-003</t>
        </is>
      </c>
      <c r="F164" s="9" t="inlineStr"/>
      <c r="G164" s="9" t="inlineStr">
        <is>
          <t>113</t>
        </is>
      </c>
      <c r="H164" s="9" t="inlineStr">
        <is>
          <t>29103-ET-PG1601-2-PWK-1.pdf</t>
        </is>
      </c>
      <c r="I164" s="4" t="str">
        <f>IF($H164&lt;&gt;"","YES","NO")</f>
        <v>YES</v>
      </c>
      <c r="J164" s="4" t="str">
        <f>IF(N($T164)&gt;0,"YES","NO")</f>
        <v>NO</v>
      </c>
      <c r="K164" s="4" t="str">
        <f>IF(OR($A164="EHT Trace"),IF(AND($U164&lt;&gt;"",$V164&lt;&gt;""),"YES","NO"),"N/A")</f>
        <v>N/A</v>
      </c>
      <c r="L164" s="4" t="str">
        <f>IF(OR($A164="EHT Trace"),IF(AND($X164&lt;&gt;"",$Y164&lt;&gt;""),"YES","NO"),"N/A")</f>
        <v>N/A</v>
      </c>
      <c r="M164" s="4" t="str">
        <f>IF(OR($A164="EHT Trace"),IF(AND($AA164&lt;&gt;"",$AB164&lt;&gt;""),"YES","NO"),"N/A")</f>
        <v>N/A</v>
      </c>
      <c r="N164" s="4" t="str">
        <f>IF(OR($A164="Power Cable"),IF(AND($AD164&lt;&gt;""),"YES","NO"),"N/A")</f>
        <v>NO</v>
      </c>
      <c r="O164" s="4" t="str">
        <f>IF(OR($A164="Power Cable",$A164="RTD Cable",$A164="Fieldbus Cable"),IF(AND($AE164&lt;&gt;""),"YES","NO"),"N/A")</f>
        <v>NO</v>
      </c>
      <c r="P164" s="4" t="str">
        <f>IF(OR($A164="RTD"),IF(AND($AH164&lt;&gt;""),"YES","NO"),"N/A")</f>
        <v>N/A</v>
      </c>
      <c r="Q164" s="4" t="str">
        <f>IF(OR($A164="RTD"),IF(AND($AI164&lt;&gt;""),"YES","NO"),"N/A")</f>
        <v>N/A</v>
      </c>
      <c r="R164" s="4" t="str">
        <f>IF(OR($AM164&lt;&gt;"",$Z164&lt;&gt;"",$AC164&lt;&gt;""),"YES","NO")</f>
        <v>NO</v>
      </c>
      <c r="S164" s="4" t="str">
        <f>IF(COUNTIF(I164:R164,"NO")=0,"YES","NO")</f>
        <v>NO</v>
      </c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inlineStr">
        <is>
          <t>Teck</t>
        </is>
      </c>
      <c r="AK164" s="9" t="inlineStr">
        <is>
          <t>10AWG</t>
        </is>
      </c>
      <c r="AL164" s="9" t="inlineStr">
        <is>
          <t>Levy Ostrup</t>
        </is>
      </c>
      <c r="AM164" s="9" t="n"/>
      <c r="AN164" s="9" t="n"/>
    </row>
    <row r="165">
      <c r="A165" s="9" t="inlineStr">
        <is>
          <t>Power Cable</t>
        </is>
      </c>
      <c r="B165" s="9" t="inlineStr">
        <is>
          <t>29103-ET-PG1701-1-PWK-1</t>
        </is>
      </c>
      <c r="C165" s="9" t="inlineStr">
        <is>
          <t>29103-ET-PG1701-1</t>
        </is>
      </c>
      <c r="D165" s="9" t="inlineStr">
        <is>
          <t>29103-HTP-003 HTC-21</t>
        </is>
      </c>
      <c r="E165" s="9" t="inlineStr">
        <is>
          <t>29103-HTP-003</t>
        </is>
      </c>
      <c r="F165" s="9" t="inlineStr"/>
      <c r="G165" s="9" t="inlineStr">
        <is>
          <t>113</t>
        </is>
      </c>
      <c r="H165" s="9" t="inlineStr">
        <is>
          <t>29103-ET-PG1701-1-PWK-1.pdf</t>
        </is>
      </c>
      <c r="I165" s="4" t="str">
        <f>IF($H165&lt;&gt;"","YES","NO")</f>
        <v>YES</v>
      </c>
      <c r="J165" s="4" t="str">
        <f>IF(N($T165)&gt;0,"YES","NO")</f>
        <v>NO</v>
      </c>
      <c r="K165" s="4" t="str">
        <f>IF(OR($A165="EHT Trace"),IF(AND($U165&lt;&gt;"",$V165&lt;&gt;""),"YES","NO"),"N/A")</f>
        <v>N/A</v>
      </c>
      <c r="L165" s="4" t="str">
        <f>IF(OR($A165="EHT Trace"),IF(AND($X165&lt;&gt;"",$Y165&lt;&gt;""),"YES","NO"),"N/A")</f>
        <v>N/A</v>
      </c>
      <c r="M165" s="4" t="str">
        <f>IF(OR($A165="EHT Trace"),IF(AND($AA165&lt;&gt;"",$AB165&lt;&gt;""),"YES","NO"),"N/A")</f>
        <v>N/A</v>
      </c>
      <c r="N165" s="4" t="str">
        <f>IF(OR($A165="Power Cable"),IF(AND($AD165&lt;&gt;""),"YES","NO"),"N/A")</f>
        <v>NO</v>
      </c>
      <c r="O165" s="4" t="str">
        <f>IF(OR($A165="Power Cable",$A165="RTD Cable",$A165="Fieldbus Cable"),IF(AND($AE165&lt;&gt;""),"YES","NO"),"N/A")</f>
        <v>NO</v>
      </c>
      <c r="P165" s="4" t="str">
        <f>IF(OR($A165="RTD"),IF(AND($AH165&lt;&gt;""),"YES","NO"),"N/A")</f>
        <v>N/A</v>
      </c>
      <c r="Q165" s="4" t="str">
        <f>IF(OR($A165="RTD"),IF(AND($AI165&lt;&gt;""),"YES","NO"),"N/A")</f>
        <v>N/A</v>
      </c>
      <c r="R165" s="4" t="str">
        <f>IF(OR($AM165&lt;&gt;"",$Z165&lt;&gt;"",$AC165&lt;&gt;""),"YES","NO")</f>
        <v>NO</v>
      </c>
      <c r="S165" s="4" t="str">
        <f>IF(COUNTIF(I165:R165,"NO")=0,"YES","NO")</f>
        <v>NO</v>
      </c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inlineStr">
        <is>
          <t>Teck</t>
        </is>
      </c>
      <c r="AK165" s="9" t="inlineStr">
        <is>
          <t>10AWG</t>
        </is>
      </c>
      <c r="AL165" s="9" t="inlineStr">
        <is>
          <t>Levy Ostrup</t>
        </is>
      </c>
      <c r="AM165" s="9" t="n"/>
      <c r="AN165" s="9" t="n"/>
    </row>
    <row r="166">
      <c r="A166" s="9" t="inlineStr">
        <is>
          <t>Power Cable</t>
        </is>
      </c>
      <c r="B166" s="9" t="inlineStr">
        <is>
          <t>29103-ET-PG1701-2-PWK-1</t>
        </is>
      </c>
      <c r="C166" s="9" t="inlineStr">
        <is>
          <t>29103-ET-PG1701-2</t>
        </is>
      </c>
      <c r="D166" s="9" t="inlineStr">
        <is>
          <t>29103-HTP-003 HTC-25</t>
        </is>
      </c>
      <c r="E166" s="9" t="inlineStr">
        <is>
          <t>29103-HTP-003</t>
        </is>
      </c>
      <c r="F166" s="9" t="inlineStr"/>
      <c r="G166" s="9" t="inlineStr">
        <is>
          <t>113</t>
        </is>
      </c>
      <c r="H166" s="9" t="inlineStr">
        <is>
          <t>29103-ET-PG1701-2-PWK-1.pdf</t>
        </is>
      </c>
      <c r="I166" s="4" t="str">
        <f>IF($H166&lt;&gt;"","YES","NO")</f>
        <v>YES</v>
      </c>
      <c r="J166" s="4" t="str">
        <f>IF(N($T166)&gt;0,"YES","NO")</f>
        <v>NO</v>
      </c>
      <c r="K166" s="4" t="str">
        <f>IF(OR($A166="EHT Trace"),IF(AND($U166&lt;&gt;"",$V166&lt;&gt;""),"YES","NO"),"N/A")</f>
        <v>N/A</v>
      </c>
      <c r="L166" s="4" t="str">
        <f>IF(OR($A166="EHT Trace"),IF(AND($X166&lt;&gt;"",$Y166&lt;&gt;""),"YES","NO"),"N/A")</f>
        <v>N/A</v>
      </c>
      <c r="M166" s="4" t="str">
        <f>IF(OR($A166="EHT Trace"),IF(AND($AA166&lt;&gt;"",$AB166&lt;&gt;""),"YES","NO"),"N/A")</f>
        <v>N/A</v>
      </c>
      <c r="N166" s="4" t="str">
        <f>IF(OR($A166="Power Cable"),IF(AND($AD166&lt;&gt;""),"YES","NO"),"N/A")</f>
        <v>NO</v>
      </c>
      <c r="O166" s="4" t="str">
        <f>IF(OR($A166="Power Cable",$A166="RTD Cable",$A166="Fieldbus Cable"),IF(AND($AE166&lt;&gt;""),"YES","NO"),"N/A")</f>
        <v>NO</v>
      </c>
      <c r="P166" s="4" t="str">
        <f>IF(OR($A166="RTD"),IF(AND($AH166&lt;&gt;""),"YES","NO"),"N/A")</f>
        <v>N/A</v>
      </c>
      <c r="Q166" s="4" t="str">
        <f>IF(OR($A166="RTD"),IF(AND($AI166&lt;&gt;""),"YES","NO"),"N/A")</f>
        <v>N/A</v>
      </c>
      <c r="R166" s="4" t="str">
        <f>IF(OR($AM166&lt;&gt;"",$Z166&lt;&gt;"",$AC166&lt;&gt;""),"YES","NO")</f>
        <v>NO</v>
      </c>
      <c r="S166" s="4" t="str">
        <f>IF(COUNTIF(I166:R166,"NO")=0,"YES","NO")</f>
        <v>NO</v>
      </c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inlineStr">
        <is>
          <t>Teck</t>
        </is>
      </c>
      <c r="AK166" s="9" t="inlineStr">
        <is>
          <t>10AWG</t>
        </is>
      </c>
      <c r="AL166" s="9" t="inlineStr">
        <is>
          <t>Levy Ostrup</t>
        </is>
      </c>
      <c r="AM166" s="9" t="n"/>
      <c r="AN166" s="9" t="n"/>
    </row>
    <row r="167">
      <c r="A167" s="9" t="inlineStr">
        <is>
          <t>Power Cable</t>
        </is>
      </c>
      <c r="B167" s="9" t="inlineStr">
        <is>
          <t>29103-ET-ST1303-1-PWK-1</t>
        </is>
      </c>
      <c r="C167" s="9" t="inlineStr">
        <is>
          <t>29103-ET-ST1303-1</t>
        </is>
      </c>
      <c r="D167" s="9" t="inlineStr">
        <is>
          <t>29103-AMB-004</t>
        </is>
      </c>
      <c r="E167" s="9" t="inlineStr">
        <is>
          <t>29103-HTP-003</t>
        </is>
      </c>
      <c r="F167" s="9" t="inlineStr"/>
      <c r="G167" s="9" t="inlineStr">
        <is>
          <t>113</t>
        </is>
      </c>
      <c r="H167" s="9" t="inlineStr">
        <is>
          <t>29103-ET-ST1303-1-PWK-1.pdf</t>
        </is>
      </c>
      <c r="I167" s="4" t="str">
        <f>IF($H167&lt;&gt;"","YES","NO")</f>
        <v>YES</v>
      </c>
      <c r="J167" s="4" t="str">
        <f>IF(N($T167)&gt;0,"YES","NO")</f>
        <v>NO</v>
      </c>
      <c r="K167" s="4" t="str">
        <f>IF(OR($A167="EHT Trace"),IF(AND($U167&lt;&gt;"",$V167&lt;&gt;""),"YES","NO"),"N/A")</f>
        <v>N/A</v>
      </c>
      <c r="L167" s="4" t="str">
        <f>IF(OR($A167="EHT Trace"),IF(AND($X167&lt;&gt;"",$Y167&lt;&gt;""),"YES","NO"),"N/A")</f>
        <v>N/A</v>
      </c>
      <c r="M167" s="4" t="str">
        <f>IF(OR($A167="EHT Trace"),IF(AND($AA167&lt;&gt;"",$AB167&lt;&gt;""),"YES","NO"),"N/A")</f>
        <v>N/A</v>
      </c>
      <c r="N167" s="4" t="str">
        <f>IF(OR($A167="Power Cable"),IF(AND($AD167&lt;&gt;""),"YES","NO"),"N/A")</f>
        <v>NO</v>
      </c>
      <c r="O167" s="4" t="str">
        <f>IF(OR($A167="Power Cable",$A167="RTD Cable",$A167="Fieldbus Cable"),IF(AND($AE167&lt;&gt;""),"YES","NO"),"N/A")</f>
        <v>NO</v>
      </c>
      <c r="P167" s="4" t="str">
        <f>IF(OR($A167="RTD"),IF(AND($AH167&lt;&gt;""),"YES","NO"),"N/A")</f>
        <v>N/A</v>
      </c>
      <c r="Q167" s="4" t="str">
        <f>IF(OR($A167="RTD"),IF(AND($AI167&lt;&gt;""),"YES","NO"),"N/A")</f>
        <v>N/A</v>
      </c>
      <c r="R167" s="4" t="str">
        <f>IF(OR($AM167&lt;&gt;"",$Z167&lt;&gt;"",$AC167&lt;&gt;""),"YES","NO")</f>
        <v>NO</v>
      </c>
      <c r="S167" s="4" t="str">
        <f>IF(COUNTIF(I167:R167,"NO")=0,"YES","NO")</f>
        <v>NO</v>
      </c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inlineStr">
        <is>
          <t>Teck</t>
        </is>
      </c>
      <c r="AK167" s="9" t="inlineStr">
        <is>
          <t>10AWG</t>
        </is>
      </c>
      <c r="AL167" s="9" t="inlineStr">
        <is>
          <t>Levy Ostrup</t>
        </is>
      </c>
      <c r="AM167" s="9" t="n"/>
      <c r="AN167" s="9" t="n"/>
    </row>
    <row r="168">
      <c r="A168" s="9" t="inlineStr">
        <is>
          <t>Power Cable</t>
        </is>
      </c>
      <c r="B168" s="9" t="inlineStr">
        <is>
          <t>29103-ET-ST1403-1-PWK-1</t>
        </is>
      </c>
      <c r="C168" s="9" t="inlineStr">
        <is>
          <t>29103-ET-ST1403-1</t>
        </is>
      </c>
      <c r="D168" s="9" t="inlineStr">
        <is>
          <t>29103-AMB-004</t>
        </is>
      </c>
      <c r="E168" s="9" t="inlineStr">
        <is>
          <t>29103-HTP-003</t>
        </is>
      </c>
      <c r="F168" s="9" t="inlineStr"/>
      <c r="G168" s="9" t="inlineStr">
        <is>
          <t>113</t>
        </is>
      </c>
      <c r="H168" s="9" t="inlineStr">
        <is>
          <t>29103-ET-ST1403-1-PWK-1.pdf</t>
        </is>
      </c>
      <c r="I168" s="4" t="str">
        <f>IF($H168&lt;&gt;"","YES","NO")</f>
        <v>YES</v>
      </c>
      <c r="J168" s="4" t="str">
        <f>IF(N($T168)&gt;0,"YES","NO")</f>
        <v>NO</v>
      </c>
      <c r="K168" s="4" t="str">
        <f>IF(OR($A168="EHT Trace"),IF(AND($U168&lt;&gt;"",$V168&lt;&gt;""),"YES","NO"),"N/A")</f>
        <v>N/A</v>
      </c>
      <c r="L168" s="4" t="str">
        <f>IF(OR($A168="EHT Trace"),IF(AND($X168&lt;&gt;"",$Y168&lt;&gt;""),"YES","NO"),"N/A")</f>
        <v>N/A</v>
      </c>
      <c r="M168" s="4" t="str">
        <f>IF(OR($A168="EHT Trace"),IF(AND($AA168&lt;&gt;"",$AB168&lt;&gt;""),"YES","NO"),"N/A")</f>
        <v>N/A</v>
      </c>
      <c r="N168" s="4" t="str">
        <f>IF(OR($A168="Power Cable"),IF(AND($AD168&lt;&gt;""),"YES","NO"),"N/A")</f>
        <v>NO</v>
      </c>
      <c r="O168" s="4" t="str">
        <f>IF(OR($A168="Power Cable",$A168="RTD Cable",$A168="Fieldbus Cable"),IF(AND($AE168&lt;&gt;""),"YES","NO"),"N/A")</f>
        <v>NO</v>
      </c>
      <c r="P168" s="4" t="str">
        <f>IF(OR($A168="RTD"),IF(AND($AH168&lt;&gt;""),"YES","NO"),"N/A")</f>
        <v>N/A</v>
      </c>
      <c r="Q168" s="4" t="str">
        <f>IF(OR($A168="RTD"),IF(AND($AI168&lt;&gt;""),"YES","NO"),"N/A")</f>
        <v>N/A</v>
      </c>
      <c r="R168" s="4" t="str">
        <f>IF(OR($AM168&lt;&gt;"",$Z168&lt;&gt;"",$AC168&lt;&gt;""),"YES","NO")</f>
        <v>NO</v>
      </c>
      <c r="S168" s="4" t="str">
        <f>IF(COUNTIF(I168:R168,"NO")=0,"YES","NO")</f>
        <v>NO</v>
      </c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inlineStr">
        <is>
          <t>Teck</t>
        </is>
      </c>
      <c r="AK168" s="9" t="inlineStr">
        <is>
          <t>10AWG</t>
        </is>
      </c>
      <c r="AL168" s="9" t="inlineStr">
        <is>
          <t>Levy Ostrup</t>
        </is>
      </c>
      <c r="AM168" s="9" t="n"/>
      <c r="AN168" s="9" t="n"/>
    </row>
    <row r="169">
      <c r="A169" s="9" t="inlineStr">
        <is>
          <t>Power Cable</t>
        </is>
      </c>
      <c r="B169" s="9" t="inlineStr">
        <is>
          <t>29103-ET-ST1503-1-PWK-1</t>
        </is>
      </c>
      <c r="C169" s="9" t="inlineStr">
        <is>
          <t>29103-ET-ST1503-1</t>
        </is>
      </c>
      <c r="D169" s="9" t="inlineStr">
        <is>
          <t>29103-AMB-006</t>
        </is>
      </c>
      <c r="E169" s="9" t="inlineStr">
        <is>
          <t>29103-HTP-003</t>
        </is>
      </c>
      <c r="F169" s="9" t="inlineStr"/>
      <c r="G169" s="9" t="inlineStr">
        <is>
          <t>113</t>
        </is>
      </c>
      <c r="H169" s="9" t="inlineStr">
        <is>
          <t>29103-ET-ST1503-1-PWK-1.pdf</t>
        </is>
      </c>
      <c r="I169" s="4" t="str">
        <f>IF($H169&lt;&gt;"","YES","NO")</f>
        <v>YES</v>
      </c>
      <c r="J169" s="4" t="str">
        <f>IF(N($T169)&gt;0,"YES","NO")</f>
        <v>NO</v>
      </c>
      <c r="K169" s="4" t="str">
        <f>IF(OR($A169="EHT Trace"),IF(AND($U169&lt;&gt;"",$V169&lt;&gt;""),"YES","NO"),"N/A")</f>
        <v>N/A</v>
      </c>
      <c r="L169" s="4" t="str">
        <f>IF(OR($A169="EHT Trace"),IF(AND($X169&lt;&gt;"",$Y169&lt;&gt;""),"YES","NO"),"N/A")</f>
        <v>N/A</v>
      </c>
      <c r="M169" s="4" t="str">
        <f>IF(OR($A169="EHT Trace"),IF(AND($AA169&lt;&gt;"",$AB169&lt;&gt;""),"YES","NO"),"N/A")</f>
        <v>N/A</v>
      </c>
      <c r="N169" s="4" t="str">
        <f>IF(OR($A169="Power Cable"),IF(AND($AD169&lt;&gt;""),"YES","NO"),"N/A")</f>
        <v>NO</v>
      </c>
      <c r="O169" s="4" t="str">
        <f>IF(OR($A169="Power Cable",$A169="RTD Cable",$A169="Fieldbus Cable"),IF(AND($AE169&lt;&gt;""),"YES","NO"),"N/A")</f>
        <v>NO</v>
      </c>
      <c r="P169" s="4" t="str">
        <f>IF(OR($A169="RTD"),IF(AND($AH169&lt;&gt;""),"YES","NO"),"N/A")</f>
        <v>N/A</v>
      </c>
      <c r="Q169" s="4" t="str">
        <f>IF(OR($A169="RTD"),IF(AND($AI169&lt;&gt;""),"YES","NO"),"N/A")</f>
        <v>N/A</v>
      </c>
      <c r="R169" s="4" t="str">
        <f>IF(OR($AM169&lt;&gt;"",$Z169&lt;&gt;"",$AC169&lt;&gt;""),"YES","NO")</f>
        <v>NO</v>
      </c>
      <c r="S169" s="4" t="str">
        <f>IF(COUNTIF(I169:R169,"NO")=0,"YES","NO")</f>
        <v>NO</v>
      </c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inlineStr">
        <is>
          <t>Teck</t>
        </is>
      </c>
      <c r="AK169" s="9" t="inlineStr">
        <is>
          <t>10AWG</t>
        </is>
      </c>
      <c r="AL169" s="9" t="inlineStr">
        <is>
          <t>Levy Ostrup</t>
        </is>
      </c>
      <c r="AM169" s="9" t="n"/>
      <c r="AN169" s="9" t="n"/>
    </row>
    <row r="170">
      <c r="A170" s="9" t="inlineStr">
        <is>
          <t>Power Cable</t>
        </is>
      </c>
      <c r="B170" s="9" t="inlineStr">
        <is>
          <t>29103-ET-ST1603-1-PWK-1</t>
        </is>
      </c>
      <c r="C170" s="9" t="inlineStr">
        <is>
          <t>29103-ET-ST1603-1</t>
        </is>
      </c>
      <c r="D170" s="9" t="inlineStr">
        <is>
          <t>29103-AMB-006</t>
        </is>
      </c>
      <c r="E170" s="9" t="inlineStr">
        <is>
          <t>29103-HTP-003</t>
        </is>
      </c>
      <c r="F170" s="9" t="inlineStr"/>
      <c r="G170" s="9" t="inlineStr">
        <is>
          <t>113</t>
        </is>
      </c>
      <c r="H170" s="9" t="inlineStr">
        <is>
          <t>29103-ET-ST1603-1-PWK-1.pdf</t>
        </is>
      </c>
      <c r="I170" s="4" t="str">
        <f>IF($H170&lt;&gt;"","YES","NO")</f>
        <v>YES</v>
      </c>
      <c r="J170" s="4" t="str">
        <f>IF(N($T170)&gt;0,"YES","NO")</f>
        <v>NO</v>
      </c>
      <c r="K170" s="4" t="str">
        <f>IF(OR($A170="EHT Trace"),IF(AND($U170&lt;&gt;"",$V170&lt;&gt;""),"YES","NO"),"N/A")</f>
        <v>N/A</v>
      </c>
      <c r="L170" s="4" t="str">
        <f>IF(OR($A170="EHT Trace"),IF(AND($X170&lt;&gt;"",$Y170&lt;&gt;""),"YES","NO"),"N/A")</f>
        <v>N/A</v>
      </c>
      <c r="M170" s="4" t="str">
        <f>IF(OR($A170="EHT Trace"),IF(AND($AA170&lt;&gt;"",$AB170&lt;&gt;""),"YES","NO"),"N/A")</f>
        <v>N/A</v>
      </c>
      <c r="N170" s="4" t="str">
        <f>IF(OR($A170="Power Cable"),IF(AND($AD170&lt;&gt;""),"YES","NO"),"N/A")</f>
        <v>NO</v>
      </c>
      <c r="O170" s="4" t="str">
        <f>IF(OR($A170="Power Cable",$A170="RTD Cable",$A170="Fieldbus Cable"),IF(AND($AE170&lt;&gt;""),"YES","NO"),"N/A")</f>
        <v>NO</v>
      </c>
      <c r="P170" s="4" t="str">
        <f>IF(OR($A170="RTD"),IF(AND($AH170&lt;&gt;""),"YES","NO"),"N/A")</f>
        <v>N/A</v>
      </c>
      <c r="Q170" s="4" t="str">
        <f>IF(OR($A170="RTD"),IF(AND($AI170&lt;&gt;""),"YES","NO"),"N/A")</f>
        <v>N/A</v>
      </c>
      <c r="R170" s="4" t="str">
        <f>IF(OR($AM170&lt;&gt;"",$Z170&lt;&gt;"",$AC170&lt;&gt;""),"YES","NO")</f>
        <v>NO</v>
      </c>
      <c r="S170" s="4" t="str">
        <f>IF(COUNTIF(I170:R170,"NO")=0,"YES","NO")</f>
        <v>NO</v>
      </c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inlineStr">
        <is>
          <t>Teck</t>
        </is>
      </c>
      <c r="AK170" s="9" t="inlineStr">
        <is>
          <t>10AWG</t>
        </is>
      </c>
      <c r="AL170" s="9" t="inlineStr">
        <is>
          <t>Levy Ostrup</t>
        </is>
      </c>
      <c r="AM170" s="9" t="n"/>
      <c r="AN170" s="9" t="n"/>
    </row>
    <row r="171">
      <c r="A171" s="9" t="inlineStr">
        <is>
          <t>Power Cable</t>
        </is>
      </c>
      <c r="B171" s="9" t="inlineStr">
        <is>
          <t>29103-ET-ST1703-1-PWK-1</t>
        </is>
      </c>
      <c r="C171" s="9" t="inlineStr">
        <is>
          <t>29103-ET-ST1703-1</t>
        </is>
      </c>
      <c r="D171" s="9" t="inlineStr">
        <is>
          <t>29103-AMB-006</t>
        </is>
      </c>
      <c r="E171" s="9" t="inlineStr">
        <is>
          <t>29103-HTP-003</t>
        </is>
      </c>
      <c r="F171" s="9" t="inlineStr"/>
      <c r="G171" s="9" t="inlineStr">
        <is>
          <t>113</t>
        </is>
      </c>
      <c r="H171" s="9" t="inlineStr">
        <is>
          <t>29103-ET-ST1703-1-PWK-1.pdf</t>
        </is>
      </c>
      <c r="I171" s="4" t="str">
        <f>IF($H171&lt;&gt;"","YES","NO")</f>
        <v>YES</v>
      </c>
      <c r="J171" s="4" t="str">
        <f>IF(N($T171)&gt;0,"YES","NO")</f>
        <v>NO</v>
      </c>
      <c r="K171" s="4" t="str">
        <f>IF(OR($A171="EHT Trace"),IF(AND($U171&lt;&gt;"",$V171&lt;&gt;""),"YES","NO"),"N/A")</f>
        <v>N/A</v>
      </c>
      <c r="L171" s="4" t="str">
        <f>IF(OR($A171="EHT Trace"),IF(AND($X171&lt;&gt;"",$Y171&lt;&gt;""),"YES","NO"),"N/A")</f>
        <v>N/A</v>
      </c>
      <c r="M171" s="4" t="str">
        <f>IF(OR($A171="EHT Trace"),IF(AND($AA171&lt;&gt;"",$AB171&lt;&gt;""),"YES","NO"),"N/A")</f>
        <v>N/A</v>
      </c>
      <c r="N171" s="4" t="str">
        <f>IF(OR($A171="Power Cable"),IF(AND($AD171&lt;&gt;""),"YES","NO"),"N/A")</f>
        <v>NO</v>
      </c>
      <c r="O171" s="4" t="str">
        <f>IF(OR($A171="Power Cable",$A171="RTD Cable",$A171="Fieldbus Cable"),IF(AND($AE171&lt;&gt;""),"YES","NO"),"N/A")</f>
        <v>NO</v>
      </c>
      <c r="P171" s="4" t="str">
        <f>IF(OR($A171="RTD"),IF(AND($AH171&lt;&gt;""),"YES","NO"),"N/A")</f>
        <v>N/A</v>
      </c>
      <c r="Q171" s="4" t="str">
        <f>IF(OR($A171="RTD"),IF(AND($AI171&lt;&gt;""),"YES","NO"),"N/A")</f>
        <v>N/A</v>
      </c>
      <c r="R171" s="4" t="str">
        <f>IF(OR($AM171&lt;&gt;"",$Z171&lt;&gt;"",$AC171&lt;&gt;""),"YES","NO")</f>
        <v>NO</v>
      </c>
      <c r="S171" s="4" t="str">
        <f>IF(COUNTIF(I171:R171,"NO")=0,"YES","NO")</f>
        <v>NO</v>
      </c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inlineStr">
        <is>
          <t>Teck</t>
        </is>
      </c>
      <c r="AK171" s="9" t="inlineStr">
        <is>
          <t>10AWG</t>
        </is>
      </c>
      <c r="AL171" s="9" t="inlineStr">
        <is>
          <t>Levy Ostrup</t>
        </is>
      </c>
      <c r="AM171" s="9" t="n"/>
      <c r="AN171" s="9" t="n"/>
    </row>
    <row r="172">
      <c r="A172" s="9" t="inlineStr">
        <is>
          <t>RTD</t>
        </is>
      </c>
      <c r="B172" s="9" t="inlineStr">
        <is>
          <t>29103-ET-P1404-1-R-1</t>
        </is>
      </c>
      <c r="C172" s="9" t="inlineStr">
        <is>
          <t>29103-ET-P1404-1</t>
        </is>
      </c>
      <c r="D172" s="9" t="inlineStr">
        <is>
          <t>29103-HTP-003 HTC-34</t>
        </is>
      </c>
      <c r="E172" s="9" t="inlineStr">
        <is>
          <t>PRODUCED EMULSION</t>
        </is>
      </c>
      <c r="F172" s="9" t="inlineStr">
        <is>
          <t>29103-65R-ET-P1404-01-01</t>
        </is>
      </c>
      <c r="G172" s="9" t="inlineStr">
        <is>
          <t>13.2</t>
        </is>
      </c>
      <c r="H172" s="9" t="inlineStr">
        <is>
          <t>29103-ET-P1404-1-R-1.pdf</t>
        </is>
      </c>
      <c r="I172" s="4" t="str">
        <f>IF($H172&lt;&gt;"","YES","NO")</f>
        <v>YES</v>
      </c>
      <c r="J172" s="4" t="str">
        <f>IF(N($T172)&gt;0,"YES","NO")</f>
        <v>NO</v>
      </c>
      <c r="K172" s="4" t="str">
        <f>IF(OR($A172="EHT Trace"),IF(AND($U172&lt;&gt;"",$V172&lt;&gt;""),"YES","NO"),"N/A")</f>
        <v>N/A</v>
      </c>
      <c r="L172" s="4" t="str">
        <f>IF(OR($A172="EHT Trace"),IF(AND($X172&lt;&gt;"",$Y172&lt;&gt;""),"YES","NO"),"N/A")</f>
        <v>N/A</v>
      </c>
      <c r="M172" s="4" t="str">
        <f>IF(OR($A172="EHT Trace"),IF(AND($AA172&lt;&gt;"",$AB172&lt;&gt;""),"YES","NO"),"N/A")</f>
        <v>N/A</v>
      </c>
      <c r="N172" s="4" t="str">
        <f>IF(OR($A172="Power Cable"),IF(AND($AD172&lt;&gt;""),"YES","NO"),"N/A")</f>
        <v>N/A</v>
      </c>
      <c r="O172" s="4" t="str">
        <f>IF(OR($A172="Power Cable",$A172="RTD Cable",$A172="Fieldbus Cable"),IF(AND($AE172&lt;&gt;""),"YES","NO"),"N/A")</f>
        <v>N/A</v>
      </c>
      <c r="P172" s="4" t="str">
        <f>IF(OR($A172="RTD"),IF(AND($AH172&lt;&gt;""),"YES","NO"),"N/A")</f>
        <v>NO</v>
      </c>
      <c r="Q172" s="4" t="str">
        <f>IF(OR($A172="RTD"),IF(AND($AI172&lt;&gt;""),"YES","NO"),"N/A")</f>
        <v>NO</v>
      </c>
      <c r="R172" s="4" t="str">
        <f>IF(OR($AM172&lt;&gt;"",$Z172&lt;&gt;"",$AC172&lt;&gt;""),"YES","NO")</f>
        <v>NO</v>
      </c>
      <c r="S172" s="4" t="str">
        <f>IF(COUNTIF(I172:R172,"NO")=0,"YES","NO")</f>
        <v>NO</v>
      </c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inlineStr">
        <is>
          <t>Levy Ostrup</t>
        </is>
      </c>
      <c r="AM172" s="9" t="n"/>
      <c r="AN172" s="9" t="n"/>
    </row>
    <row r="173">
      <c r="A173" s="9" t="inlineStr">
        <is>
          <t>RTD</t>
        </is>
      </c>
      <c r="B173" s="9" t="inlineStr">
        <is>
          <t>29103-ET-P1404-1-R-2</t>
        </is>
      </c>
      <c r="C173" s="9" t="inlineStr">
        <is>
          <t>29103-ET-P1404-1</t>
        </is>
      </c>
      <c r="D173" s="9" t="inlineStr">
        <is>
          <t>29103-HTP-003 HTC-01</t>
        </is>
      </c>
      <c r="E173" s="9" t="inlineStr">
        <is>
          <t>PRODUCED EMULSION</t>
        </is>
      </c>
      <c r="F173" s="9" t="inlineStr">
        <is>
          <t>29103-65R-ET-P1404-01-01</t>
        </is>
      </c>
      <c r="G173" s="9" t="inlineStr">
        <is>
          <t>13.2</t>
        </is>
      </c>
      <c r="H173" s="9" t="inlineStr">
        <is>
          <t>29103-ET-P1404-1-R-2.pdf</t>
        </is>
      </c>
      <c r="I173" s="4" t="str">
        <f>IF($H173&lt;&gt;"","YES","NO")</f>
        <v>YES</v>
      </c>
      <c r="J173" s="4" t="str">
        <f>IF(N($T173)&gt;0,"YES","NO")</f>
        <v>NO</v>
      </c>
      <c r="K173" s="4" t="str">
        <f>IF(OR($A173="EHT Trace"),IF(AND($U173&lt;&gt;"",$V173&lt;&gt;""),"YES","NO"),"N/A")</f>
        <v>N/A</v>
      </c>
      <c r="L173" s="4" t="str">
        <f>IF(OR($A173="EHT Trace"),IF(AND($X173&lt;&gt;"",$Y173&lt;&gt;""),"YES","NO"),"N/A")</f>
        <v>N/A</v>
      </c>
      <c r="M173" s="4" t="str">
        <f>IF(OR($A173="EHT Trace"),IF(AND($AA173&lt;&gt;"",$AB173&lt;&gt;""),"YES","NO"),"N/A")</f>
        <v>N/A</v>
      </c>
      <c r="N173" s="4" t="str">
        <f>IF(OR($A173="Power Cable"),IF(AND($AD173&lt;&gt;""),"YES","NO"),"N/A")</f>
        <v>N/A</v>
      </c>
      <c r="O173" s="4" t="str">
        <f>IF(OR($A173="Power Cable",$A173="RTD Cable",$A173="Fieldbus Cable"),IF(AND($AE173&lt;&gt;""),"YES","NO"),"N/A")</f>
        <v>N/A</v>
      </c>
      <c r="P173" s="4" t="str">
        <f>IF(OR($A173="RTD"),IF(AND($AH173&lt;&gt;""),"YES","NO"),"N/A")</f>
        <v>NO</v>
      </c>
      <c r="Q173" s="4" t="str">
        <f>IF(OR($A173="RTD"),IF(AND($AI173&lt;&gt;""),"YES","NO"),"N/A")</f>
        <v>NO</v>
      </c>
      <c r="R173" s="4" t="str">
        <f>IF(OR($AM173&lt;&gt;"",$Z173&lt;&gt;"",$AC173&lt;&gt;""),"YES","NO")</f>
        <v>NO</v>
      </c>
      <c r="S173" s="4" t="str">
        <f>IF(COUNTIF(I173:R173,"NO")=0,"YES","NO")</f>
        <v>NO</v>
      </c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inlineStr">
        <is>
          <t>Levy Ostrup</t>
        </is>
      </c>
      <c r="AM173" s="9" t="n"/>
      <c r="AN173" s="9" t="n"/>
    </row>
    <row r="174">
      <c r="A174" s="9" t="inlineStr">
        <is>
          <t>RTD</t>
        </is>
      </c>
      <c r="B174" s="9" t="inlineStr">
        <is>
          <t>29103-ET-P1404-2-R-1</t>
        </is>
      </c>
      <c r="C174" s="9" t="inlineStr">
        <is>
          <t>29103-ET-P1404-2</t>
        </is>
      </c>
      <c r="D174" s="9" t="inlineStr">
        <is>
          <t>29103-HTP-003 HTC-26</t>
        </is>
      </c>
      <c r="E174" s="9" t="inlineStr">
        <is>
          <t>PRODUCED EMULSION</t>
        </is>
      </c>
      <c r="F174" s="9" t="inlineStr">
        <is>
          <t>29103-65R-ET-P1404-02-01</t>
        </is>
      </c>
      <c r="G174" s="9" t="inlineStr">
        <is>
          <t>13.2</t>
        </is>
      </c>
      <c r="H174" s="9" t="inlineStr">
        <is>
          <t>29103-ET-P1404-2-R-1.pdf</t>
        </is>
      </c>
      <c r="I174" s="4" t="str">
        <f>IF($H174&lt;&gt;"","YES","NO")</f>
        <v>YES</v>
      </c>
      <c r="J174" s="4" t="str">
        <f>IF(N($T174)&gt;0,"YES","NO")</f>
        <v>NO</v>
      </c>
      <c r="K174" s="4" t="str">
        <f>IF(OR($A174="EHT Trace"),IF(AND($U174&lt;&gt;"",$V174&lt;&gt;""),"YES","NO"),"N/A")</f>
        <v>N/A</v>
      </c>
      <c r="L174" s="4" t="str">
        <f>IF(OR($A174="EHT Trace"),IF(AND($X174&lt;&gt;"",$Y174&lt;&gt;""),"YES","NO"),"N/A")</f>
        <v>N/A</v>
      </c>
      <c r="M174" s="4" t="str">
        <f>IF(OR($A174="EHT Trace"),IF(AND($AA174&lt;&gt;"",$AB174&lt;&gt;""),"YES","NO"),"N/A")</f>
        <v>N/A</v>
      </c>
      <c r="N174" s="4" t="str">
        <f>IF(OR($A174="Power Cable"),IF(AND($AD174&lt;&gt;""),"YES","NO"),"N/A")</f>
        <v>N/A</v>
      </c>
      <c r="O174" s="4" t="str">
        <f>IF(OR($A174="Power Cable",$A174="RTD Cable",$A174="Fieldbus Cable"),IF(AND($AE174&lt;&gt;""),"YES","NO"),"N/A")</f>
        <v>N/A</v>
      </c>
      <c r="P174" s="4" t="str">
        <f>IF(OR($A174="RTD"),IF(AND($AH174&lt;&gt;""),"YES","NO"),"N/A")</f>
        <v>NO</v>
      </c>
      <c r="Q174" s="4" t="str">
        <f>IF(OR($A174="RTD"),IF(AND($AI174&lt;&gt;""),"YES","NO"),"N/A")</f>
        <v>NO</v>
      </c>
      <c r="R174" s="4" t="str">
        <f>IF(OR($AM174&lt;&gt;"",$Z174&lt;&gt;"",$AC174&lt;&gt;""),"YES","NO")</f>
        <v>NO</v>
      </c>
      <c r="S174" s="4" t="str">
        <f>IF(COUNTIF(I174:R174,"NO")=0,"YES","NO")</f>
        <v>NO</v>
      </c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inlineStr">
        <is>
          <t>Levy Ostrup</t>
        </is>
      </c>
      <c r="AM174" s="9" t="n"/>
      <c r="AN174" s="9" t="n"/>
    </row>
    <row r="175">
      <c r="A175" s="9" t="inlineStr">
        <is>
          <t>RTD</t>
        </is>
      </c>
      <c r="B175" s="9" t="inlineStr">
        <is>
          <t>29103-ET-P1404-2-R-2</t>
        </is>
      </c>
      <c r="C175" s="9" t="inlineStr">
        <is>
          <t>29103-ET-P1404-2</t>
        </is>
      </c>
      <c r="D175" s="9" t="inlineStr">
        <is>
          <t>29103-HTP-003 HTC-03</t>
        </is>
      </c>
      <c r="E175" s="9" t="inlineStr">
        <is>
          <t>PRODUCED EMULSION</t>
        </is>
      </c>
      <c r="F175" s="9" t="inlineStr">
        <is>
          <t>29103-65R-ET-P1404-02-01</t>
        </is>
      </c>
      <c r="G175" s="9" t="inlineStr">
        <is>
          <t>13.2</t>
        </is>
      </c>
      <c r="H175" s="9" t="inlineStr">
        <is>
          <t>29103-ET-P1404-2-R-2.pdf</t>
        </is>
      </c>
      <c r="I175" s="4" t="str">
        <f>IF($H175&lt;&gt;"","YES","NO")</f>
        <v>YES</v>
      </c>
      <c r="J175" s="4" t="str">
        <f>IF(N($T175)&gt;0,"YES","NO")</f>
        <v>NO</v>
      </c>
      <c r="K175" s="4" t="str">
        <f>IF(OR($A175="EHT Trace"),IF(AND($U175&lt;&gt;"",$V175&lt;&gt;""),"YES","NO"),"N/A")</f>
        <v>N/A</v>
      </c>
      <c r="L175" s="4" t="str">
        <f>IF(OR($A175="EHT Trace"),IF(AND($X175&lt;&gt;"",$Y175&lt;&gt;""),"YES","NO"),"N/A")</f>
        <v>N/A</v>
      </c>
      <c r="M175" s="4" t="str">
        <f>IF(OR($A175="EHT Trace"),IF(AND($AA175&lt;&gt;"",$AB175&lt;&gt;""),"YES","NO"),"N/A")</f>
        <v>N/A</v>
      </c>
      <c r="N175" s="4" t="str">
        <f>IF(OR($A175="Power Cable"),IF(AND($AD175&lt;&gt;""),"YES","NO"),"N/A")</f>
        <v>N/A</v>
      </c>
      <c r="O175" s="4" t="str">
        <f>IF(OR($A175="Power Cable",$A175="RTD Cable",$A175="Fieldbus Cable"),IF(AND($AE175&lt;&gt;""),"YES","NO"),"N/A")</f>
        <v>N/A</v>
      </c>
      <c r="P175" s="4" t="str">
        <f>IF(OR($A175="RTD"),IF(AND($AH175&lt;&gt;""),"YES","NO"),"N/A")</f>
        <v>NO</v>
      </c>
      <c r="Q175" s="4" t="str">
        <f>IF(OR($A175="RTD"),IF(AND($AI175&lt;&gt;""),"YES","NO"),"N/A")</f>
        <v>NO</v>
      </c>
      <c r="R175" s="4" t="str">
        <f>IF(OR($AM175&lt;&gt;"",$Z175&lt;&gt;"",$AC175&lt;&gt;""),"YES","NO")</f>
        <v>NO</v>
      </c>
      <c r="S175" s="4" t="str">
        <f>IF(COUNTIF(I175:R175,"NO")=0,"YES","NO")</f>
        <v>NO</v>
      </c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inlineStr">
        <is>
          <t>Levy Ostrup</t>
        </is>
      </c>
      <c r="AM175" s="9" t="n"/>
      <c r="AN175" s="9" t="n"/>
    </row>
    <row r="176">
      <c r="A176" s="9" t="inlineStr">
        <is>
          <t>RTD</t>
        </is>
      </c>
      <c r="B176" s="9" t="inlineStr">
        <is>
          <t>29103-ET-P1501-1-R-1</t>
        </is>
      </c>
      <c r="C176" s="9" t="inlineStr">
        <is>
          <t>29103-ET-P1501-1</t>
        </is>
      </c>
      <c r="D176" s="9" t="inlineStr">
        <is>
          <t>29103-HTP-003 HTC-04</t>
        </is>
      </c>
      <c r="E176" s="9" t="inlineStr">
        <is>
          <t>PRODUCED EMULSION</t>
        </is>
      </c>
      <c r="F176" s="9" t="inlineStr">
        <is>
          <t>29103-65R-ET-P1501-01-01</t>
        </is>
      </c>
      <c r="G176" s="9" t="inlineStr">
        <is>
          <t>13.2</t>
        </is>
      </c>
      <c r="H176" s="9" t="inlineStr">
        <is>
          <t>29103-ET-P1501-1-R-1.pdf</t>
        </is>
      </c>
      <c r="I176" s="4" t="str">
        <f>IF($H176&lt;&gt;"","YES","NO")</f>
        <v>YES</v>
      </c>
      <c r="J176" s="4" t="str">
        <f>IF(N($T176)&gt;0,"YES","NO")</f>
        <v>NO</v>
      </c>
      <c r="K176" s="4" t="str">
        <f>IF(OR($A176="EHT Trace"),IF(AND($U176&lt;&gt;"",$V176&lt;&gt;""),"YES","NO"),"N/A")</f>
        <v>N/A</v>
      </c>
      <c r="L176" s="4" t="str">
        <f>IF(OR($A176="EHT Trace"),IF(AND($X176&lt;&gt;"",$Y176&lt;&gt;""),"YES","NO"),"N/A")</f>
        <v>N/A</v>
      </c>
      <c r="M176" s="4" t="str">
        <f>IF(OR($A176="EHT Trace"),IF(AND($AA176&lt;&gt;"",$AB176&lt;&gt;""),"YES","NO"),"N/A")</f>
        <v>N/A</v>
      </c>
      <c r="N176" s="4" t="str">
        <f>IF(OR($A176="Power Cable"),IF(AND($AD176&lt;&gt;""),"YES","NO"),"N/A")</f>
        <v>N/A</v>
      </c>
      <c r="O176" s="4" t="str">
        <f>IF(OR($A176="Power Cable",$A176="RTD Cable",$A176="Fieldbus Cable"),IF(AND($AE176&lt;&gt;""),"YES","NO"),"N/A")</f>
        <v>N/A</v>
      </c>
      <c r="P176" s="4" t="str">
        <f>IF(OR($A176="RTD"),IF(AND($AH176&lt;&gt;""),"YES","NO"),"N/A")</f>
        <v>NO</v>
      </c>
      <c r="Q176" s="4" t="str">
        <f>IF(OR($A176="RTD"),IF(AND($AI176&lt;&gt;""),"YES","NO"),"N/A")</f>
        <v>NO</v>
      </c>
      <c r="R176" s="4" t="str">
        <f>IF(OR($AM176&lt;&gt;"",$Z176&lt;&gt;"",$AC176&lt;&gt;""),"YES","NO")</f>
        <v>NO</v>
      </c>
      <c r="S176" s="4" t="str">
        <f>IF(COUNTIF(I176:R176,"NO")=0,"YES","NO")</f>
        <v>NO</v>
      </c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inlineStr">
        <is>
          <t>Levy Ostrup</t>
        </is>
      </c>
      <c r="AM176" s="9" t="n"/>
      <c r="AN176" s="9" t="n"/>
    </row>
    <row r="177">
      <c r="A177" s="9" t="inlineStr">
        <is>
          <t>RTD</t>
        </is>
      </c>
      <c r="B177" s="9" t="inlineStr">
        <is>
          <t>29103-ET-P1504-1-R-1</t>
        </is>
      </c>
      <c r="C177" s="9" t="inlineStr">
        <is>
          <t>29103-ET-P1504-1</t>
        </is>
      </c>
      <c r="D177" s="9" t="inlineStr">
        <is>
          <t>29103-HTP-003 HTC-02</t>
        </is>
      </c>
      <c r="E177" s="9" t="inlineStr">
        <is>
          <t>PRODUCED EMULSION</t>
        </is>
      </c>
      <c r="F177" s="9" t="inlineStr">
        <is>
          <t>29103-65R-ET-P1504-01-01</t>
        </is>
      </c>
      <c r="G177" s="9" t="inlineStr">
        <is>
          <t>13.2</t>
        </is>
      </c>
      <c r="H177" s="9" t="inlineStr">
        <is>
          <t>29103-ET-P1504-1-R-1.pdf</t>
        </is>
      </c>
      <c r="I177" s="4" t="str">
        <f>IF($H177&lt;&gt;"","YES","NO")</f>
        <v>YES</v>
      </c>
      <c r="J177" s="4" t="str">
        <f>IF(N($T177)&gt;0,"YES","NO")</f>
        <v>NO</v>
      </c>
      <c r="K177" s="4" t="str">
        <f>IF(OR($A177="EHT Trace"),IF(AND($U177&lt;&gt;"",$V177&lt;&gt;""),"YES","NO"),"N/A")</f>
        <v>N/A</v>
      </c>
      <c r="L177" s="4" t="str">
        <f>IF(OR($A177="EHT Trace"),IF(AND($X177&lt;&gt;"",$Y177&lt;&gt;""),"YES","NO"),"N/A")</f>
        <v>N/A</v>
      </c>
      <c r="M177" s="4" t="str">
        <f>IF(OR($A177="EHT Trace"),IF(AND($AA177&lt;&gt;"",$AB177&lt;&gt;""),"YES","NO"),"N/A")</f>
        <v>N/A</v>
      </c>
      <c r="N177" s="4" t="str">
        <f>IF(OR($A177="Power Cable"),IF(AND($AD177&lt;&gt;""),"YES","NO"),"N/A")</f>
        <v>N/A</v>
      </c>
      <c r="O177" s="4" t="str">
        <f>IF(OR($A177="Power Cable",$A177="RTD Cable",$A177="Fieldbus Cable"),IF(AND($AE177&lt;&gt;""),"YES","NO"),"N/A")</f>
        <v>N/A</v>
      </c>
      <c r="P177" s="4" t="str">
        <f>IF(OR($A177="RTD"),IF(AND($AH177&lt;&gt;""),"YES","NO"),"N/A")</f>
        <v>NO</v>
      </c>
      <c r="Q177" s="4" t="str">
        <f>IF(OR($A177="RTD"),IF(AND($AI177&lt;&gt;""),"YES","NO"),"N/A")</f>
        <v>NO</v>
      </c>
      <c r="R177" s="4" t="str">
        <f>IF(OR($AM177&lt;&gt;"",$Z177&lt;&gt;"",$AC177&lt;&gt;""),"YES","NO")</f>
        <v>NO</v>
      </c>
      <c r="S177" s="4" t="str">
        <f>IF(COUNTIF(I177:R177,"NO")=0,"YES","NO")</f>
        <v>NO</v>
      </c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inlineStr">
        <is>
          <t>Levy Ostrup</t>
        </is>
      </c>
      <c r="AM177" s="9" t="n"/>
      <c r="AN177" s="9" t="n"/>
    </row>
    <row r="178">
      <c r="A178" s="9" t="inlineStr">
        <is>
          <t>RTD</t>
        </is>
      </c>
      <c r="B178" s="9" t="inlineStr">
        <is>
          <t>29103-ET-P1504-1-R-2</t>
        </is>
      </c>
      <c r="C178" s="9" t="inlineStr">
        <is>
          <t>29103-ET-P1504-1</t>
        </is>
      </c>
      <c r="D178" s="9" t="inlineStr">
        <is>
          <t>29103-HTP-003 I/O-1-3</t>
        </is>
      </c>
      <c r="E178" s="9" t="inlineStr">
        <is>
          <t>PRODUCED EMULSION</t>
        </is>
      </c>
      <c r="F178" s="9" t="inlineStr">
        <is>
          <t>29103-65R-ET-P1504-01-01</t>
        </is>
      </c>
      <c r="G178" s="9" t="inlineStr">
        <is>
          <t>13.2</t>
        </is>
      </c>
      <c r="H178" s="9" t="inlineStr">
        <is>
          <t>29103-ET-P1504-1-R-2.pdf</t>
        </is>
      </c>
      <c r="I178" s="4" t="str">
        <f>IF($H178&lt;&gt;"","YES","NO")</f>
        <v>YES</v>
      </c>
      <c r="J178" s="4" t="str">
        <f>IF(N($T178)&gt;0,"YES","NO")</f>
        <v>NO</v>
      </c>
      <c r="K178" s="4" t="str">
        <f>IF(OR($A178="EHT Trace"),IF(AND($U178&lt;&gt;"",$V178&lt;&gt;""),"YES","NO"),"N/A")</f>
        <v>N/A</v>
      </c>
      <c r="L178" s="4" t="str">
        <f>IF(OR($A178="EHT Trace"),IF(AND($X178&lt;&gt;"",$Y178&lt;&gt;""),"YES","NO"),"N/A")</f>
        <v>N/A</v>
      </c>
      <c r="M178" s="4" t="str">
        <f>IF(OR($A178="EHT Trace"),IF(AND($AA178&lt;&gt;"",$AB178&lt;&gt;""),"YES","NO"),"N/A")</f>
        <v>N/A</v>
      </c>
      <c r="N178" s="4" t="str">
        <f>IF(OR($A178="Power Cable"),IF(AND($AD178&lt;&gt;""),"YES","NO"),"N/A")</f>
        <v>N/A</v>
      </c>
      <c r="O178" s="4" t="str">
        <f>IF(OR($A178="Power Cable",$A178="RTD Cable",$A178="Fieldbus Cable"),IF(AND($AE178&lt;&gt;""),"YES","NO"),"N/A")</f>
        <v>N/A</v>
      </c>
      <c r="P178" s="4" t="str">
        <f>IF(OR($A178="RTD"),IF(AND($AH178&lt;&gt;""),"YES","NO"),"N/A")</f>
        <v>NO</v>
      </c>
      <c r="Q178" s="4" t="str">
        <f>IF(OR($A178="RTD"),IF(AND($AI178&lt;&gt;""),"YES","NO"),"N/A")</f>
        <v>NO</v>
      </c>
      <c r="R178" s="4" t="str">
        <f>IF(OR($AM178&lt;&gt;"",$Z178&lt;&gt;"",$AC178&lt;&gt;""),"YES","NO")</f>
        <v>NO</v>
      </c>
      <c r="S178" s="4" t="str">
        <f>IF(COUNTIF(I178:R178,"NO")=0,"YES","NO")</f>
        <v>NO</v>
      </c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inlineStr">
        <is>
          <t>Levy Ostrup</t>
        </is>
      </c>
      <c r="AM178" s="9" t="n"/>
      <c r="AN178" s="9" t="n"/>
    </row>
    <row r="179">
      <c r="A179" s="9" t="inlineStr">
        <is>
          <t>RTD</t>
        </is>
      </c>
      <c r="B179" s="9" t="inlineStr">
        <is>
          <t>29103-ET-P1504-2-R-1</t>
        </is>
      </c>
      <c r="C179" s="9" t="inlineStr">
        <is>
          <t>29103-ET-P1504-2</t>
        </is>
      </c>
      <c r="D179" s="9" t="inlineStr">
        <is>
          <t>29103-HTP-003 HTC-27</t>
        </is>
      </c>
      <c r="E179" s="9" t="inlineStr">
        <is>
          <t>PRODUCED EMULSION</t>
        </is>
      </c>
      <c r="F179" s="9" t="inlineStr">
        <is>
          <t>29103-65R-ET-P1504-02-01</t>
        </is>
      </c>
      <c r="G179" s="9" t="inlineStr">
        <is>
          <t>13.2</t>
        </is>
      </c>
      <c r="H179" s="9" t="inlineStr">
        <is>
          <t>29103-ET-P1504-2-R-1.pdf</t>
        </is>
      </c>
      <c r="I179" s="4" t="str">
        <f>IF($H179&lt;&gt;"","YES","NO")</f>
        <v>YES</v>
      </c>
      <c r="J179" s="4" t="str">
        <f>IF(N($T179)&gt;0,"YES","NO")</f>
        <v>NO</v>
      </c>
      <c r="K179" s="4" t="str">
        <f>IF(OR($A179="EHT Trace"),IF(AND($U179&lt;&gt;"",$V179&lt;&gt;""),"YES","NO"),"N/A")</f>
        <v>N/A</v>
      </c>
      <c r="L179" s="4" t="str">
        <f>IF(OR($A179="EHT Trace"),IF(AND($X179&lt;&gt;"",$Y179&lt;&gt;""),"YES","NO"),"N/A")</f>
        <v>N/A</v>
      </c>
      <c r="M179" s="4" t="str">
        <f>IF(OR($A179="EHT Trace"),IF(AND($AA179&lt;&gt;"",$AB179&lt;&gt;""),"YES","NO"),"N/A")</f>
        <v>N/A</v>
      </c>
      <c r="N179" s="4" t="str">
        <f>IF(OR($A179="Power Cable"),IF(AND($AD179&lt;&gt;""),"YES","NO"),"N/A")</f>
        <v>N/A</v>
      </c>
      <c r="O179" s="4" t="str">
        <f>IF(OR($A179="Power Cable",$A179="RTD Cable",$A179="Fieldbus Cable"),IF(AND($AE179&lt;&gt;""),"YES","NO"),"N/A")</f>
        <v>N/A</v>
      </c>
      <c r="P179" s="4" t="str">
        <f>IF(OR($A179="RTD"),IF(AND($AH179&lt;&gt;""),"YES","NO"),"N/A")</f>
        <v>NO</v>
      </c>
      <c r="Q179" s="4" t="str">
        <f>IF(OR($A179="RTD"),IF(AND($AI179&lt;&gt;""),"YES","NO"),"N/A")</f>
        <v>NO</v>
      </c>
      <c r="R179" s="4" t="str">
        <f>IF(OR($AM179&lt;&gt;"",$Z179&lt;&gt;"",$AC179&lt;&gt;""),"YES","NO")</f>
        <v>NO</v>
      </c>
      <c r="S179" s="4" t="str">
        <f>IF(COUNTIF(I179:R179,"NO")=0,"YES","NO")</f>
        <v>NO</v>
      </c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inlineStr">
        <is>
          <t>Levy Ostrup</t>
        </is>
      </c>
      <c r="AM179" s="9" t="n"/>
      <c r="AN179" s="9" t="n"/>
    </row>
    <row r="180">
      <c r="A180" s="9" t="inlineStr">
        <is>
          <t>RTD</t>
        </is>
      </c>
      <c r="B180" s="9" t="inlineStr">
        <is>
          <t>29103-ET-P1504-2-R-2</t>
        </is>
      </c>
      <c r="C180" s="9" t="inlineStr">
        <is>
          <t>29103-ET-P1504-2</t>
        </is>
      </c>
      <c r="D180" s="9" t="inlineStr">
        <is>
          <t>29103-HTP-003 HTC-58</t>
        </is>
      </c>
      <c r="E180" s="9" t="inlineStr">
        <is>
          <t>PRODUCED EMULSION</t>
        </is>
      </c>
      <c r="F180" s="9" t="inlineStr">
        <is>
          <t>29103-65R-ET-P1504-02-01</t>
        </is>
      </c>
      <c r="G180" s="9" t="inlineStr">
        <is>
          <t>13.2</t>
        </is>
      </c>
      <c r="H180" s="9" t="inlineStr">
        <is>
          <t>29103-ET-P1504-2-R-2.pdf</t>
        </is>
      </c>
      <c r="I180" s="4" t="str">
        <f>IF($H180&lt;&gt;"","YES","NO")</f>
        <v>YES</v>
      </c>
      <c r="J180" s="4" t="str">
        <f>IF(N($T180)&gt;0,"YES","NO")</f>
        <v>NO</v>
      </c>
      <c r="K180" s="4" t="str">
        <f>IF(OR($A180="EHT Trace"),IF(AND($U180&lt;&gt;"",$V180&lt;&gt;""),"YES","NO"),"N/A")</f>
        <v>N/A</v>
      </c>
      <c r="L180" s="4" t="str">
        <f>IF(OR($A180="EHT Trace"),IF(AND($X180&lt;&gt;"",$Y180&lt;&gt;""),"YES","NO"),"N/A")</f>
        <v>N/A</v>
      </c>
      <c r="M180" s="4" t="str">
        <f>IF(OR($A180="EHT Trace"),IF(AND($AA180&lt;&gt;"",$AB180&lt;&gt;""),"YES","NO"),"N/A")</f>
        <v>N/A</v>
      </c>
      <c r="N180" s="4" t="str">
        <f>IF(OR($A180="Power Cable"),IF(AND($AD180&lt;&gt;""),"YES","NO"),"N/A")</f>
        <v>N/A</v>
      </c>
      <c r="O180" s="4" t="str">
        <f>IF(OR($A180="Power Cable",$A180="RTD Cable",$A180="Fieldbus Cable"),IF(AND($AE180&lt;&gt;""),"YES","NO"),"N/A")</f>
        <v>N/A</v>
      </c>
      <c r="P180" s="4" t="str">
        <f>IF(OR($A180="RTD"),IF(AND($AH180&lt;&gt;""),"YES","NO"),"N/A")</f>
        <v>NO</v>
      </c>
      <c r="Q180" s="4" t="str">
        <f>IF(OR($A180="RTD"),IF(AND($AI180&lt;&gt;""),"YES","NO"),"N/A")</f>
        <v>NO</v>
      </c>
      <c r="R180" s="4" t="str">
        <f>IF(OR($AM180&lt;&gt;"",$Z180&lt;&gt;"",$AC180&lt;&gt;""),"YES","NO")</f>
        <v>NO</v>
      </c>
      <c r="S180" s="4" t="str">
        <f>IF(COUNTIF(I180:R180,"NO")=0,"YES","NO")</f>
        <v>NO</v>
      </c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inlineStr">
        <is>
          <t>Levy Ostrup</t>
        </is>
      </c>
      <c r="AM180" s="9" t="n"/>
      <c r="AN180" s="9" t="n"/>
    </row>
    <row r="181">
      <c r="A181" s="9" t="inlineStr">
        <is>
          <t>RTD</t>
        </is>
      </c>
      <c r="B181" s="9" t="inlineStr">
        <is>
          <t>29103-ET-P1601-1-R-1</t>
        </is>
      </c>
      <c r="C181" s="9" t="inlineStr">
        <is>
          <t>29103-ET-P1601-1</t>
        </is>
      </c>
      <c r="D181" s="9" t="inlineStr">
        <is>
          <t>29103-HTP-003 HTC-05</t>
        </is>
      </c>
      <c r="E181" s="9" t="inlineStr">
        <is>
          <t>PRODUCED EMULSION</t>
        </is>
      </c>
      <c r="F181" s="9" t="inlineStr">
        <is>
          <t>29103-65R-ET-P1601-01-01</t>
        </is>
      </c>
      <c r="G181" s="9" t="inlineStr">
        <is>
          <t>13.2</t>
        </is>
      </c>
      <c r="H181" s="9" t="inlineStr">
        <is>
          <t>29103-ET-P1601-1-R-1.pdf</t>
        </is>
      </c>
      <c r="I181" s="4" t="str">
        <f>IF($H181&lt;&gt;"","YES","NO")</f>
        <v>YES</v>
      </c>
      <c r="J181" s="4" t="str">
        <f>IF(N($T181)&gt;0,"YES","NO")</f>
        <v>NO</v>
      </c>
      <c r="K181" s="4" t="str">
        <f>IF(OR($A181="EHT Trace"),IF(AND($U181&lt;&gt;"",$V181&lt;&gt;""),"YES","NO"),"N/A")</f>
        <v>N/A</v>
      </c>
      <c r="L181" s="4" t="str">
        <f>IF(OR($A181="EHT Trace"),IF(AND($X181&lt;&gt;"",$Y181&lt;&gt;""),"YES","NO"),"N/A")</f>
        <v>N/A</v>
      </c>
      <c r="M181" s="4" t="str">
        <f>IF(OR($A181="EHT Trace"),IF(AND($AA181&lt;&gt;"",$AB181&lt;&gt;""),"YES","NO"),"N/A")</f>
        <v>N/A</v>
      </c>
      <c r="N181" s="4" t="str">
        <f>IF(OR($A181="Power Cable"),IF(AND($AD181&lt;&gt;""),"YES","NO"),"N/A")</f>
        <v>N/A</v>
      </c>
      <c r="O181" s="4" t="str">
        <f>IF(OR($A181="Power Cable",$A181="RTD Cable",$A181="Fieldbus Cable"),IF(AND($AE181&lt;&gt;""),"YES","NO"),"N/A")</f>
        <v>N/A</v>
      </c>
      <c r="P181" s="4" t="str">
        <f>IF(OR($A181="RTD"),IF(AND($AH181&lt;&gt;""),"YES","NO"),"N/A")</f>
        <v>NO</v>
      </c>
      <c r="Q181" s="4" t="str">
        <f>IF(OR($A181="RTD"),IF(AND($AI181&lt;&gt;""),"YES","NO"),"N/A")</f>
        <v>NO</v>
      </c>
      <c r="R181" s="4" t="str">
        <f>IF(OR($AM181&lt;&gt;"",$Z181&lt;&gt;"",$AC181&lt;&gt;""),"YES","NO")</f>
        <v>NO</v>
      </c>
      <c r="S181" s="4" t="str">
        <f>IF(COUNTIF(I181:R181,"NO")=0,"YES","NO")</f>
        <v>NO</v>
      </c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inlineStr">
        <is>
          <t>Levy Ostrup</t>
        </is>
      </c>
      <c r="AM181" s="9" t="n"/>
      <c r="AN181" s="9" t="n"/>
    </row>
    <row r="182">
      <c r="A182" s="9" t="inlineStr">
        <is>
          <t>RTD</t>
        </is>
      </c>
      <c r="B182" s="9" t="inlineStr">
        <is>
          <t>29103-ET-P1604-1-R-1</t>
        </is>
      </c>
      <c r="C182" s="9" t="inlineStr">
        <is>
          <t>29103-ET-P1604-1</t>
        </is>
      </c>
      <c r="D182" s="9" t="inlineStr">
        <is>
          <t>29103-HTP-003 HTC-09</t>
        </is>
      </c>
      <c r="E182" s="9" t="inlineStr">
        <is>
          <t>PRODUCED EMULSION</t>
        </is>
      </c>
      <c r="F182" s="9" t="inlineStr">
        <is>
          <t>29103-65R-ET-P1604-01-01</t>
        </is>
      </c>
      <c r="G182" s="9" t="inlineStr">
        <is>
          <t>13.2</t>
        </is>
      </c>
      <c r="H182" s="9" t="inlineStr">
        <is>
          <t>29103-ET-P1604-1-R-1.pdf</t>
        </is>
      </c>
      <c r="I182" s="4" t="str">
        <f>IF($H182&lt;&gt;"","YES","NO")</f>
        <v>YES</v>
      </c>
      <c r="J182" s="4" t="str">
        <f>IF(N($T182)&gt;0,"YES","NO")</f>
        <v>NO</v>
      </c>
      <c r="K182" s="4" t="str">
        <f>IF(OR($A182="EHT Trace"),IF(AND($U182&lt;&gt;"",$V182&lt;&gt;""),"YES","NO"),"N/A")</f>
        <v>N/A</v>
      </c>
      <c r="L182" s="4" t="str">
        <f>IF(OR($A182="EHT Trace"),IF(AND($X182&lt;&gt;"",$Y182&lt;&gt;""),"YES","NO"),"N/A")</f>
        <v>N/A</v>
      </c>
      <c r="M182" s="4" t="str">
        <f>IF(OR($A182="EHT Trace"),IF(AND($AA182&lt;&gt;"",$AB182&lt;&gt;""),"YES","NO"),"N/A")</f>
        <v>N/A</v>
      </c>
      <c r="N182" s="4" t="str">
        <f>IF(OR($A182="Power Cable"),IF(AND($AD182&lt;&gt;""),"YES","NO"),"N/A")</f>
        <v>N/A</v>
      </c>
      <c r="O182" s="4" t="str">
        <f>IF(OR($A182="Power Cable",$A182="RTD Cable",$A182="Fieldbus Cable"),IF(AND($AE182&lt;&gt;""),"YES","NO"),"N/A")</f>
        <v>N/A</v>
      </c>
      <c r="P182" s="4" t="str">
        <f>IF(OR($A182="RTD"),IF(AND($AH182&lt;&gt;""),"YES","NO"),"N/A")</f>
        <v>NO</v>
      </c>
      <c r="Q182" s="4" t="str">
        <f>IF(OR($A182="RTD"),IF(AND($AI182&lt;&gt;""),"YES","NO"),"N/A")</f>
        <v>NO</v>
      </c>
      <c r="R182" s="4" t="str">
        <f>IF(OR($AM182&lt;&gt;"",$Z182&lt;&gt;"",$AC182&lt;&gt;""),"YES","NO")</f>
        <v>NO</v>
      </c>
      <c r="S182" s="4" t="str">
        <f>IF(COUNTIF(I182:R182,"NO")=0,"YES","NO")</f>
        <v>NO</v>
      </c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inlineStr">
        <is>
          <t>Levy Ostrup</t>
        </is>
      </c>
      <c r="AM182" s="9" t="n"/>
      <c r="AN182" s="9" t="n"/>
    </row>
    <row r="183">
      <c r="A183" s="9" t="inlineStr">
        <is>
          <t>RTD</t>
        </is>
      </c>
      <c r="B183" s="9" t="inlineStr">
        <is>
          <t>29103-ET-P1604-1-R-2</t>
        </is>
      </c>
      <c r="C183" s="9" t="inlineStr">
        <is>
          <t>29103-ET-P1604-1</t>
        </is>
      </c>
      <c r="D183" s="9" t="inlineStr">
        <is>
          <t>29103-HTP-003 I/O-1-4</t>
        </is>
      </c>
      <c r="E183" s="9" t="inlineStr">
        <is>
          <t>PRODUCED EMULSION</t>
        </is>
      </c>
      <c r="F183" s="9" t="inlineStr">
        <is>
          <t>29103-65R-ET-P1604-01-01</t>
        </is>
      </c>
      <c r="G183" s="9" t="inlineStr">
        <is>
          <t>13.2</t>
        </is>
      </c>
      <c r="H183" s="9" t="inlineStr">
        <is>
          <t>29103-ET-P1604-1-R-2.pdf</t>
        </is>
      </c>
      <c r="I183" s="4" t="str">
        <f>IF($H183&lt;&gt;"","YES","NO")</f>
        <v>YES</v>
      </c>
      <c r="J183" s="4" t="str">
        <f>IF(N($T183)&gt;0,"YES","NO")</f>
        <v>NO</v>
      </c>
      <c r="K183" s="4" t="str">
        <f>IF(OR($A183="EHT Trace"),IF(AND($U183&lt;&gt;"",$V183&lt;&gt;""),"YES","NO"),"N/A")</f>
        <v>N/A</v>
      </c>
      <c r="L183" s="4" t="str">
        <f>IF(OR($A183="EHT Trace"),IF(AND($X183&lt;&gt;"",$Y183&lt;&gt;""),"YES","NO"),"N/A")</f>
        <v>N/A</v>
      </c>
      <c r="M183" s="4" t="str">
        <f>IF(OR($A183="EHT Trace"),IF(AND($AA183&lt;&gt;"",$AB183&lt;&gt;""),"YES","NO"),"N/A")</f>
        <v>N/A</v>
      </c>
      <c r="N183" s="4" t="str">
        <f>IF(OR($A183="Power Cable"),IF(AND($AD183&lt;&gt;""),"YES","NO"),"N/A")</f>
        <v>N/A</v>
      </c>
      <c r="O183" s="4" t="str">
        <f>IF(OR($A183="Power Cable",$A183="RTD Cable",$A183="Fieldbus Cable"),IF(AND($AE183&lt;&gt;""),"YES","NO"),"N/A")</f>
        <v>N/A</v>
      </c>
      <c r="P183" s="4" t="str">
        <f>IF(OR($A183="RTD"),IF(AND($AH183&lt;&gt;""),"YES","NO"),"N/A")</f>
        <v>NO</v>
      </c>
      <c r="Q183" s="4" t="str">
        <f>IF(OR($A183="RTD"),IF(AND($AI183&lt;&gt;""),"YES","NO"),"N/A")</f>
        <v>NO</v>
      </c>
      <c r="R183" s="4" t="str">
        <f>IF(OR($AM183&lt;&gt;"",$Z183&lt;&gt;"",$AC183&lt;&gt;""),"YES","NO")</f>
        <v>NO</v>
      </c>
      <c r="S183" s="4" t="str">
        <f>IF(COUNTIF(I183:R183,"NO")=0,"YES","NO")</f>
        <v>NO</v>
      </c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inlineStr">
        <is>
          <t>Levy Ostrup</t>
        </is>
      </c>
      <c r="AM183" s="9" t="n"/>
      <c r="AN183" s="9" t="n"/>
    </row>
    <row r="184">
      <c r="A184" s="9" t="inlineStr">
        <is>
          <t>RTD</t>
        </is>
      </c>
      <c r="B184" s="9" t="inlineStr">
        <is>
          <t>29103-ET-P1604-2-R-1</t>
        </is>
      </c>
      <c r="C184" s="9" t="inlineStr">
        <is>
          <t>29103-ET-P1604-2</t>
        </is>
      </c>
      <c r="D184" s="9" t="inlineStr">
        <is>
          <t>29103-HTP-003 HTC-17</t>
        </is>
      </c>
      <c r="E184" s="9" t="inlineStr">
        <is>
          <t>PRODUCED EMULSION</t>
        </is>
      </c>
      <c r="F184" s="9" t="inlineStr">
        <is>
          <t>29103-65R-ET-P1604-02-01</t>
        </is>
      </c>
      <c r="G184" s="9" t="inlineStr">
        <is>
          <t>13.2</t>
        </is>
      </c>
      <c r="H184" s="9" t="inlineStr">
        <is>
          <t>29103-ET-P1604-2-R-1.pdf</t>
        </is>
      </c>
      <c r="I184" s="4" t="str">
        <f>IF($H184&lt;&gt;"","YES","NO")</f>
        <v>YES</v>
      </c>
      <c r="J184" s="4" t="str">
        <f>IF(N($T184)&gt;0,"YES","NO")</f>
        <v>NO</v>
      </c>
      <c r="K184" s="4" t="str">
        <f>IF(OR($A184="EHT Trace"),IF(AND($U184&lt;&gt;"",$V184&lt;&gt;""),"YES","NO"),"N/A")</f>
        <v>N/A</v>
      </c>
      <c r="L184" s="4" t="str">
        <f>IF(OR($A184="EHT Trace"),IF(AND($X184&lt;&gt;"",$Y184&lt;&gt;""),"YES","NO"),"N/A")</f>
        <v>N/A</v>
      </c>
      <c r="M184" s="4" t="str">
        <f>IF(OR($A184="EHT Trace"),IF(AND($AA184&lt;&gt;"",$AB184&lt;&gt;""),"YES","NO"),"N/A")</f>
        <v>N/A</v>
      </c>
      <c r="N184" s="4" t="str">
        <f>IF(OR($A184="Power Cable"),IF(AND($AD184&lt;&gt;""),"YES","NO"),"N/A")</f>
        <v>N/A</v>
      </c>
      <c r="O184" s="4" t="str">
        <f>IF(OR($A184="Power Cable",$A184="RTD Cable",$A184="Fieldbus Cable"),IF(AND($AE184&lt;&gt;""),"YES","NO"),"N/A")</f>
        <v>N/A</v>
      </c>
      <c r="P184" s="4" t="str">
        <f>IF(OR($A184="RTD"),IF(AND($AH184&lt;&gt;""),"YES","NO"),"N/A")</f>
        <v>NO</v>
      </c>
      <c r="Q184" s="4" t="str">
        <f>IF(OR($A184="RTD"),IF(AND($AI184&lt;&gt;""),"YES","NO"),"N/A")</f>
        <v>NO</v>
      </c>
      <c r="R184" s="4" t="str">
        <f>IF(OR($AM184&lt;&gt;"",$Z184&lt;&gt;"",$AC184&lt;&gt;""),"YES","NO")</f>
        <v>NO</v>
      </c>
      <c r="S184" s="4" t="str">
        <f>IF(COUNTIF(I184:R184,"NO")=0,"YES","NO")</f>
        <v>NO</v>
      </c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inlineStr">
        <is>
          <t>Levy Ostrup</t>
        </is>
      </c>
      <c r="AM184" s="9" t="n"/>
      <c r="AN184" s="9" t="n"/>
    </row>
    <row r="185">
      <c r="A185" s="9" t="inlineStr">
        <is>
          <t>RTD</t>
        </is>
      </c>
      <c r="B185" s="9" t="inlineStr">
        <is>
          <t>29103-ET-P1604-2-R-2</t>
        </is>
      </c>
      <c r="C185" s="9" t="inlineStr">
        <is>
          <t>29103-ET-P1604-2</t>
        </is>
      </c>
      <c r="D185" s="9" t="inlineStr">
        <is>
          <t>29103-HTP-003 HTC-59</t>
        </is>
      </c>
      <c r="E185" s="9" t="inlineStr">
        <is>
          <t>PRODUCED EMULSION</t>
        </is>
      </c>
      <c r="F185" s="9" t="inlineStr">
        <is>
          <t>29103-65R-ET-P1604-02-01</t>
        </is>
      </c>
      <c r="G185" s="9" t="inlineStr">
        <is>
          <t>13.2</t>
        </is>
      </c>
      <c r="H185" s="9" t="inlineStr">
        <is>
          <t>29103-ET-P1604-2-R-2.pdf</t>
        </is>
      </c>
      <c r="I185" s="4" t="str">
        <f>IF($H185&lt;&gt;"","YES","NO")</f>
        <v>YES</v>
      </c>
      <c r="J185" s="4" t="str">
        <f>IF(N($T185)&gt;0,"YES","NO")</f>
        <v>NO</v>
      </c>
      <c r="K185" s="4" t="str">
        <f>IF(OR($A185="EHT Trace"),IF(AND($U185&lt;&gt;"",$V185&lt;&gt;""),"YES","NO"),"N/A")</f>
        <v>N/A</v>
      </c>
      <c r="L185" s="4" t="str">
        <f>IF(OR($A185="EHT Trace"),IF(AND($X185&lt;&gt;"",$Y185&lt;&gt;""),"YES","NO"),"N/A")</f>
        <v>N/A</v>
      </c>
      <c r="M185" s="4" t="str">
        <f>IF(OR($A185="EHT Trace"),IF(AND($AA185&lt;&gt;"",$AB185&lt;&gt;""),"YES","NO"),"N/A")</f>
        <v>N/A</v>
      </c>
      <c r="N185" s="4" t="str">
        <f>IF(OR($A185="Power Cable"),IF(AND($AD185&lt;&gt;""),"YES","NO"),"N/A")</f>
        <v>N/A</v>
      </c>
      <c r="O185" s="4" t="str">
        <f>IF(OR($A185="Power Cable",$A185="RTD Cable",$A185="Fieldbus Cable"),IF(AND($AE185&lt;&gt;""),"YES","NO"),"N/A")</f>
        <v>N/A</v>
      </c>
      <c r="P185" s="4" t="str">
        <f>IF(OR($A185="RTD"),IF(AND($AH185&lt;&gt;""),"YES","NO"),"N/A")</f>
        <v>NO</v>
      </c>
      <c r="Q185" s="4" t="str">
        <f>IF(OR($A185="RTD"),IF(AND($AI185&lt;&gt;""),"YES","NO"),"N/A")</f>
        <v>NO</v>
      </c>
      <c r="R185" s="4" t="str">
        <f>IF(OR($AM185&lt;&gt;"",$Z185&lt;&gt;"",$AC185&lt;&gt;""),"YES","NO")</f>
        <v>NO</v>
      </c>
      <c r="S185" s="4" t="str">
        <f>IF(COUNTIF(I185:R185,"NO")=0,"YES","NO")</f>
        <v>NO</v>
      </c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inlineStr">
        <is>
          <t>Levy Ostrup</t>
        </is>
      </c>
      <c r="AM185" s="9" t="n"/>
      <c r="AN185" s="9" t="n"/>
    </row>
    <row r="186">
      <c r="A186" s="9" t="inlineStr">
        <is>
          <t>RTD</t>
        </is>
      </c>
      <c r="B186" s="9" t="inlineStr">
        <is>
          <t>29103-ET-P1701-1-R-1</t>
        </is>
      </c>
      <c r="C186" s="9" t="inlineStr">
        <is>
          <t>29103-ET-P1701-1</t>
        </is>
      </c>
      <c r="D186" s="9" t="inlineStr">
        <is>
          <t>29103-HTP-003 HTC-19</t>
        </is>
      </c>
      <c r="E186" s="9" t="inlineStr">
        <is>
          <t>PRODUCED EMULSION</t>
        </is>
      </c>
      <c r="F186" s="9" t="inlineStr">
        <is>
          <t>29103-65R-ET-P1701-01-01</t>
        </is>
      </c>
      <c r="G186" s="9" t="inlineStr">
        <is>
          <t>13.2</t>
        </is>
      </c>
      <c r="H186" s="9" t="inlineStr">
        <is>
          <t>29103-ET-P1701-1-R-1.pdf</t>
        </is>
      </c>
      <c r="I186" s="4" t="str">
        <f>IF($H186&lt;&gt;"","YES","NO")</f>
        <v>YES</v>
      </c>
      <c r="J186" s="4" t="str">
        <f>IF(N($T186)&gt;0,"YES","NO")</f>
        <v>NO</v>
      </c>
      <c r="K186" s="4" t="str">
        <f>IF(OR($A186="EHT Trace"),IF(AND($U186&lt;&gt;"",$V186&lt;&gt;""),"YES","NO"),"N/A")</f>
        <v>N/A</v>
      </c>
      <c r="L186" s="4" t="str">
        <f>IF(OR($A186="EHT Trace"),IF(AND($X186&lt;&gt;"",$Y186&lt;&gt;""),"YES","NO"),"N/A")</f>
        <v>N/A</v>
      </c>
      <c r="M186" s="4" t="str">
        <f>IF(OR($A186="EHT Trace"),IF(AND($AA186&lt;&gt;"",$AB186&lt;&gt;""),"YES","NO"),"N/A")</f>
        <v>N/A</v>
      </c>
      <c r="N186" s="4" t="str">
        <f>IF(OR($A186="Power Cable"),IF(AND($AD186&lt;&gt;""),"YES","NO"),"N/A")</f>
        <v>N/A</v>
      </c>
      <c r="O186" s="4" t="str">
        <f>IF(OR($A186="Power Cable",$A186="RTD Cable",$A186="Fieldbus Cable"),IF(AND($AE186&lt;&gt;""),"YES","NO"),"N/A")</f>
        <v>N/A</v>
      </c>
      <c r="P186" s="4" t="str">
        <f>IF(OR($A186="RTD"),IF(AND($AH186&lt;&gt;""),"YES","NO"),"N/A")</f>
        <v>NO</v>
      </c>
      <c r="Q186" s="4" t="str">
        <f>IF(OR($A186="RTD"),IF(AND($AI186&lt;&gt;""),"YES","NO"),"N/A")</f>
        <v>NO</v>
      </c>
      <c r="R186" s="4" t="str">
        <f>IF(OR($AM186&lt;&gt;"",$Z186&lt;&gt;"",$AC186&lt;&gt;""),"YES","NO")</f>
        <v>NO</v>
      </c>
      <c r="S186" s="4" t="str">
        <f>IF(COUNTIF(I186:R186,"NO")=0,"YES","NO")</f>
        <v>NO</v>
      </c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inlineStr">
        <is>
          <t>Levy Ostrup</t>
        </is>
      </c>
      <c r="AM186" s="9" t="n"/>
      <c r="AN186" s="9" t="n"/>
    </row>
    <row r="187">
      <c r="A187" s="9" t="inlineStr">
        <is>
          <t>RTD</t>
        </is>
      </c>
      <c r="B187" s="9" t="inlineStr">
        <is>
          <t>29103-ET-P1704-1-R-1</t>
        </is>
      </c>
      <c r="C187" s="9" t="inlineStr">
        <is>
          <t>29103-ET-P1704-1</t>
        </is>
      </c>
      <c r="D187" s="9" t="inlineStr">
        <is>
          <t>29103-HTP-003 HTC-18</t>
        </is>
      </c>
      <c r="E187" s="9" t="inlineStr">
        <is>
          <t>PRODUCED EMULSION</t>
        </is>
      </c>
      <c r="F187" s="9" t="inlineStr">
        <is>
          <t>29103-65R-ET-P1704-01-01</t>
        </is>
      </c>
      <c r="G187" s="9" t="inlineStr">
        <is>
          <t>13.2</t>
        </is>
      </c>
      <c r="H187" s="9" t="inlineStr">
        <is>
          <t>29103-ET-P1704-1-R-1.pdf</t>
        </is>
      </c>
      <c r="I187" s="4" t="str">
        <f>IF($H187&lt;&gt;"","YES","NO")</f>
        <v>YES</v>
      </c>
      <c r="J187" s="4" t="str">
        <f>IF(N($T187)&gt;0,"YES","NO")</f>
        <v>NO</v>
      </c>
      <c r="K187" s="4" t="str">
        <f>IF(OR($A187="EHT Trace"),IF(AND($U187&lt;&gt;"",$V187&lt;&gt;""),"YES","NO"),"N/A")</f>
        <v>N/A</v>
      </c>
      <c r="L187" s="4" t="str">
        <f>IF(OR($A187="EHT Trace"),IF(AND($X187&lt;&gt;"",$Y187&lt;&gt;""),"YES","NO"),"N/A")</f>
        <v>N/A</v>
      </c>
      <c r="M187" s="4" t="str">
        <f>IF(OR($A187="EHT Trace"),IF(AND($AA187&lt;&gt;"",$AB187&lt;&gt;""),"YES","NO"),"N/A")</f>
        <v>N/A</v>
      </c>
      <c r="N187" s="4" t="str">
        <f>IF(OR($A187="Power Cable"),IF(AND($AD187&lt;&gt;""),"YES","NO"),"N/A")</f>
        <v>N/A</v>
      </c>
      <c r="O187" s="4" t="str">
        <f>IF(OR($A187="Power Cable",$A187="RTD Cable",$A187="Fieldbus Cable"),IF(AND($AE187&lt;&gt;""),"YES","NO"),"N/A")</f>
        <v>N/A</v>
      </c>
      <c r="P187" s="4" t="str">
        <f>IF(OR($A187="RTD"),IF(AND($AH187&lt;&gt;""),"YES","NO"),"N/A")</f>
        <v>NO</v>
      </c>
      <c r="Q187" s="4" t="str">
        <f>IF(OR($A187="RTD"),IF(AND($AI187&lt;&gt;""),"YES","NO"),"N/A")</f>
        <v>NO</v>
      </c>
      <c r="R187" s="4" t="str">
        <f>IF(OR($AM187&lt;&gt;"",$Z187&lt;&gt;"",$AC187&lt;&gt;""),"YES","NO")</f>
        <v>NO</v>
      </c>
      <c r="S187" s="4" t="str">
        <f>IF(COUNTIF(I187:R187,"NO")=0,"YES","NO")</f>
        <v>NO</v>
      </c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inlineStr">
        <is>
          <t>Levy Ostrup</t>
        </is>
      </c>
      <c r="AM187" s="9" t="n"/>
      <c r="AN187" s="9" t="n"/>
    </row>
    <row r="188">
      <c r="A188" s="9" t="inlineStr">
        <is>
          <t>RTD</t>
        </is>
      </c>
      <c r="B188" s="9" t="inlineStr">
        <is>
          <t>29103-ET-P1704-1-R-2</t>
        </is>
      </c>
      <c r="C188" s="9" t="inlineStr">
        <is>
          <t>29103-ET-P1704-1</t>
        </is>
      </c>
      <c r="D188" s="9" t="inlineStr">
        <is>
          <t>29103-HTP-003 I/O-2-1</t>
        </is>
      </c>
      <c r="E188" s="9" t="inlineStr">
        <is>
          <t>PRODUCED EMULSION</t>
        </is>
      </c>
      <c r="F188" s="9" t="inlineStr">
        <is>
          <t>29103-65R-ET-P1704-01-01</t>
        </is>
      </c>
      <c r="G188" s="9" t="inlineStr">
        <is>
          <t>13.2</t>
        </is>
      </c>
      <c r="H188" s="9" t="inlineStr">
        <is>
          <t>29103-ET-P1704-1-R-2.pdf</t>
        </is>
      </c>
      <c r="I188" s="4" t="str">
        <f>IF($H188&lt;&gt;"","YES","NO")</f>
        <v>YES</v>
      </c>
      <c r="J188" s="4" t="str">
        <f>IF(N($T188)&gt;0,"YES","NO")</f>
        <v>NO</v>
      </c>
      <c r="K188" s="4" t="str">
        <f>IF(OR($A188="EHT Trace"),IF(AND($U188&lt;&gt;"",$V188&lt;&gt;""),"YES","NO"),"N/A")</f>
        <v>N/A</v>
      </c>
      <c r="L188" s="4" t="str">
        <f>IF(OR($A188="EHT Trace"),IF(AND($X188&lt;&gt;"",$Y188&lt;&gt;""),"YES","NO"),"N/A")</f>
        <v>N/A</v>
      </c>
      <c r="M188" s="4" t="str">
        <f>IF(OR($A188="EHT Trace"),IF(AND($AA188&lt;&gt;"",$AB188&lt;&gt;""),"YES","NO"),"N/A")</f>
        <v>N/A</v>
      </c>
      <c r="N188" s="4" t="str">
        <f>IF(OR($A188="Power Cable"),IF(AND($AD188&lt;&gt;""),"YES","NO"),"N/A")</f>
        <v>N/A</v>
      </c>
      <c r="O188" s="4" t="str">
        <f>IF(OR($A188="Power Cable",$A188="RTD Cable",$A188="Fieldbus Cable"),IF(AND($AE188&lt;&gt;""),"YES","NO"),"N/A")</f>
        <v>N/A</v>
      </c>
      <c r="P188" s="4" t="str">
        <f>IF(OR($A188="RTD"),IF(AND($AH188&lt;&gt;""),"YES","NO"),"N/A")</f>
        <v>NO</v>
      </c>
      <c r="Q188" s="4" t="str">
        <f>IF(OR($A188="RTD"),IF(AND($AI188&lt;&gt;""),"YES","NO"),"N/A")</f>
        <v>NO</v>
      </c>
      <c r="R188" s="4" t="str">
        <f>IF(OR($AM188&lt;&gt;"",$Z188&lt;&gt;"",$AC188&lt;&gt;""),"YES","NO")</f>
        <v>NO</v>
      </c>
      <c r="S188" s="4" t="str">
        <f>IF(COUNTIF(I188:R188,"NO")=0,"YES","NO")</f>
        <v>NO</v>
      </c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inlineStr">
        <is>
          <t>Levy Ostrup</t>
        </is>
      </c>
      <c r="AM188" s="9" t="n"/>
      <c r="AN188" s="9" t="n"/>
    </row>
    <row r="189">
      <c r="A189" s="9" t="inlineStr">
        <is>
          <t>RTD</t>
        </is>
      </c>
      <c r="B189" s="9" t="inlineStr">
        <is>
          <t>29103-ET-P1704-2-R-1</t>
        </is>
      </c>
      <c r="C189" s="9" t="inlineStr">
        <is>
          <t>29103-ET-P1704-2</t>
        </is>
      </c>
      <c r="D189" s="9" t="inlineStr">
        <is>
          <t>29103-HTP-003 HTC-32</t>
        </is>
      </c>
      <c r="E189" s="9" t="inlineStr">
        <is>
          <t>PRODUCED EMULSION</t>
        </is>
      </c>
      <c r="F189" s="9" t="inlineStr">
        <is>
          <t>29103-65R-ET-P1704-02-01</t>
        </is>
      </c>
      <c r="G189" s="9" t="inlineStr">
        <is>
          <t>13.2</t>
        </is>
      </c>
      <c r="H189" s="9" t="inlineStr">
        <is>
          <t>29103-ET-P1704-2-R-1.pdf</t>
        </is>
      </c>
      <c r="I189" s="4" t="str">
        <f>IF($H189&lt;&gt;"","YES","NO")</f>
        <v>YES</v>
      </c>
      <c r="J189" s="4" t="str">
        <f>IF(N($T189)&gt;0,"YES","NO")</f>
        <v>NO</v>
      </c>
      <c r="K189" s="4" t="str">
        <f>IF(OR($A189="EHT Trace"),IF(AND($U189&lt;&gt;"",$V189&lt;&gt;""),"YES","NO"),"N/A")</f>
        <v>N/A</v>
      </c>
      <c r="L189" s="4" t="str">
        <f>IF(OR($A189="EHT Trace"),IF(AND($X189&lt;&gt;"",$Y189&lt;&gt;""),"YES","NO"),"N/A")</f>
        <v>N/A</v>
      </c>
      <c r="M189" s="4" t="str">
        <f>IF(OR($A189="EHT Trace"),IF(AND($AA189&lt;&gt;"",$AB189&lt;&gt;""),"YES","NO"),"N/A")</f>
        <v>N/A</v>
      </c>
      <c r="N189" s="4" t="str">
        <f>IF(OR($A189="Power Cable"),IF(AND($AD189&lt;&gt;""),"YES","NO"),"N/A")</f>
        <v>N/A</v>
      </c>
      <c r="O189" s="4" t="str">
        <f>IF(OR($A189="Power Cable",$A189="RTD Cable",$A189="Fieldbus Cable"),IF(AND($AE189&lt;&gt;""),"YES","NO"),"N/A")</f>
        <v>N/A</v>
      </c>
      <c r="P189" s="4" t="str">
        <f>IF(OR($A189="RTD"),IF(AND($AH189&lt;&gt;""),"YES","NO"),"N/A")</f>
        <v>NO</v>
      </c>
      <c r="Q189" s="4" t="str">
        <f>IF(OR($A189="RTD"),IF(AND($AI189&lt;&gt;""),"YES","NO"),"N/A")</f>
        <v>NO</v>
      </c>
      <c r="R189" s="4" t="str">
        <f>IF(OR($AM189&lt;&gt;"",$Z189&lt;&gt;"",$AC189&lt;&gt;""),"YES","NO")</f>
        <v>NO</v>
      </c>
      <c r="S189" s="4" t="str">
        <f>IF(COUNTIF(I189:R189,"NO")=0,"YES","NO")</f>
        <v>NO</v>
      </c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inlineStr">
        <is>
          <t>Levy Ostrup</t>
        </is>
      </c>
      <c r="AM189" s="9" t="n"/>
      <c r="AN189" s="9" t="n"/>
    </row>
    <row r="190">
      <c r="A190" s="9" t="inlineStr">
        <is>
          <t>RTD</t>
        </is>
      </c>
      <c r="B190" s="9" t="inlineStr">
        <is>
          <t>29103-ET-P1704-2-R-2</t>
        </is>
      </c>
      <c r="C190" s="9" t="inlineStr">
        <is>
          <t>29103-ET-P1704-2</t>
        </is>
      </c>
      <c r="D190" s="9" t="inlineStr">
        <is>
          <t>29103-HTP-003 HTC-60</t>
        </is>
      </c>
      <c r="E190" s="9" t="inlineStr">
        <is>
          <t>PRODUCED EMULSION</t>
        </is>
      </c>
      <c r="F190" s="9" t="inlineStr">
        <is>
          <t>29103-65R-ET-P1704-02-01</t>
        </is>
      </c>
      <c r="G190" s="9" t="inlineStr">
        <is>
          <t>13.2</t>
        </is>
      </c>
      <c r="H190" s="9" t="inlineStr">
        <is>
          <t>29103-ET-P1704-2-R-2.pdf</t>
        </is>
      </c>
      <c r="I190" s="4" t="str">
        <f>IF($H190&lt;&gt;"","YES","NO")</f>
        <v>YES</v>
      </c>
      <c r="J190" s="4" t="str">
        <f>IF(N($T190)&gt;0,"YES","NO")</f>
        <v>NO</v>
      </c>
      <c r="K190" s="4" t="str">
        <f>IF(OR($A190="EHT Trace"),IF(AND($U190&lt;&gt;"",$V190&lt;&gt;""),"YES","NO"),"N/A")</f>
        <v>N/A</v>
      </c>
      <c r="L190" s="4" t="str">
        <f>IF(OR($A190="EHT Trace"),IF(AND($X190&lt;&gt;"",$Y190&lt;&gt;""),"YES","NO"),"N/A")</f>
        <v>N/A</v>
      </c>
      <c r="M190" s="4" t="str">
        <f>IF(OR($A190="EHT Trace"),IF(AND($AA190&lt;&gt;"",$AB190&lt;&gt;""),"YES","NO"),"N/A")</f>
        <v>N/A</v>
      </c>
      <c r="N190" s="4" t="str">
        <f>IF(OR($A190="Power Cable"),IF(AND($AD190&lt;&gt;""),"YES","NO"),"N/A")</f>
        <v>N/A</v>
      </c>
      <c r="O190" s="4" t="str">
        <f>IF(OR($A190="Power Cable",$A190="RTD Cable",$A190="Fieldbus Cable"),IF(AND($AE190&lt;&gt;""),"YES","NO"),"N/A")</f>
        <v>N/A</v>
      </c>
      <c r="P190" s="4" t="str">
        <f>IF(OR($A190="RTD"),IF(AND($AH190&lt;&gt;""),"YES","NO"),"N/A")</f>
        <v>NO</v>
      </c>
      <c r="Q190" s="4" t="str">
        <f>IF(OR($A190="RTD"),IF(AND($AI190&lt;&gt;""),"YES","NO"),"N/A")</f>
        <v>NO</v>
      </c>
      <c r="R190" s="4" t="str">
        <f>IF(OR($AM190&lt;&gt;"",$Z190&lt;&gt;"",$AC190&lt;&gt;""),"YES","NO")</f>
        <v>NO</v>
      </c>
      <c r="S190" s="4" t="str">
        <f>IF(COUNTIF(I190:R190,"NO")=0,"YES","NO")</f>
        <v>NO</v>
      </c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inlineStr">
        <is>
          <t>Levy Ostrup</t>
        </is>
      </c>
      <c r="AM190" s="9" t="n"/>
      <c r="AN190" s="9" t="n"/>
    </row>
    <row r="191">
      <c r="A191" s="9" t="inlineStr">
        <is>
          <t>RTD</t>
        </is>
      </c>
      <c r="B191" s="9" t="inlineStr">
        <is>
          <t>29103-ET-P1800-3-R-1</t>
        </is>
      </c>
      <c r="C191" s="9" t="inlineStr">
        <is>
          <t>29103-ET-P1800-3</t>
        </is>
      </c>
      <c r="D191" s="9" t="inlineStr">
        <is>
          <t>29103-HTP-003 HTC-24</t>
        </is>
      </c>
      <c r="E191" s="9" t="inlineStr">
        <is>
          <t>PRODUCED EMULSION</t>
        </is>
      </c>
      <c r="F191" s="9" t="inlineStr">
        <is>
          <t>29103-65R-ET-P1800-03-01</t>
        </is>
      </c>
      <c r="G191" s="9" t="inlineStr">
        <is>
          <t>13.2</t>
        </is>
      </c>
      <c r="H191" s="9" t="inlineStr">
        <is>
          <t>29103-ET-P1800-3-R-1.pdf</t>
        </is>
      </c>
      <c r="I191" s="4" t="str">
        <f>IF($H191&lt;&gt;"","YES","NO")</f>
        <v>YES</v>
      </c>
      <c r="J191" s="4" t="str">
        <f>IF(N($T191)&gt;0,"YES","NO")</f>
        <v>NO</v>
      </c>
      <c r="K191" s="4" t="str">
        <f>IF(OR($A191="EHT Trace"),IF(AND($U191&lt;&gt;"",$V191&lt;&gt;""),"YES","NO"),"N/A")</f>
        <v>N/A</v>
      </c>
      <c r="L191" s="4" t="str">
        <f>IF(OR($A191="EHT Trace"),IF(AND($X191&lt;&gt;"",$Y191&lt;&gt;""),"YES","NO"),"N/A")</f>
        <v>N/A</v>
      </c>
      <c r="M191" s="4" t="str">
        <f>IF(OR($A191="EHT Trace"),IF(AND($AA191&lt;&gt;"",$AB191&lt;&gt;""),"YES","NO"),"N/A")</f>
        <v>N/A</v>
      </c>
      <c r="N191" s="4" t="str">
        <f>IF(OR($A191="Power Cable"),IF(AND($AD191&lt;&gt;""),"YES","NO"),"N/A")</f>
        <v>N/A</v>
      </c>
      <c r="O191" s="4" t="str">
        <f>IF(OR($A191="Power Cable",$A191="RTD Cable",$A191="Fieldbus Cable"),IF(AND($AE191&lt;&gt;""),"YES","NO"),"N/A")</f>
        <v>N/A</v>
      </c>
      <c r="P191" s="4" t="str">
        <f>IF(OR($A191="RTD"),IF(AND($AH191&lt;&gt;""),"YES","NO"),"N/A")</f>
        <v>NO</v>
      </c>
      <c r="Q191" s="4" t="str">
        <f>IF(OR($A191="RTD"),IF(AND($AI191&lt;&gt;""),"YES","NO"),"N/A")</f>
        <v>NO</v>
      </c>
      <c r="R191" s="4" t="str">
        <f>IF(OR($AM191&lt;&gt;"",$Z191&lt;&gt;"",$AC191&lt;&gt;""),"YES","NO")</f>
        <v>NO</v>
      </c>
      <c r="S191" s="4" t="str">
        <f>IF(COUNTIF(I191:R191,"NO")=0,"YES","NO")</f>
        <v>NO</v>
      </c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inlineStr">
        <is>
          <t>Levy Ostrup</t>
        </is>
      </c>
      <c r="AM191" s="9" t="n"/>
      <c r="AN191" s="9" t="n"/>
    </row>
    <row r="192">
      <c r="A192" s="9" t="inlineStr">
        <is>
          <t>RTD</t>
        </is>
      </c>
      <c r="B192" s="9" t="inlineStr">
        <is>
          <t>29103-ET-PE1401-2-R-2</t>
        </is>
      </c>
      <c r="C192" s="9" t="inlineStr">
        <is>
          <t>29103-ET-PE1401-2</t>
        </is>
      </c>
      <c r="D192" s="9" t="inlineStr">
        <is>
          <t>29103-HTP-003 I/O-4-3</t>
        </is>
      </c>
      <c r="E192" s="9" t="inlineStr">
        <is>
          <t>PRODUCED EMULSION</t>
        </is>
      </c>
      <c r="F192" s="9" t="inlineStr">
        <is>
          <t>29103-65R-ET-PE1401-02-01</t>
        </is>
      </c>
      <c r="G192" s="9" t="inlineStr">
        <is>
          <t>13.2</t>
        </is>
      </c>
      <c r="H192" s="9" t="inlineStr">
        <is>
          <t>29103-ET-PE1401-2-R-2.pdf</t>
        </is>
      </c>
      <c r="I192" s="4" t="str">
        <f>IF($H192&lt;&gt;"","YES","NO")</f>
        <v>YES</v>
      </c>
      <c r="J192" s="4" t="str">
        <f>IF(N($T192)&gt;0,"YES","NO")</f>
        <v>NO</v>
      </c>
      <c r="K192" s="4" t="str">
        <f>IF(OR($A192="EHT Trace"),IF(AND($U192&lt;&gt;"",$V192&lt;&gt;""),"YES","NO"),"N/A")</f>
        <v>N/A</v>
      </c>
      <c r="L192" s="4" t="str">
        <f>IF(OR($A192="EHT Trace"),IF(AND($X192&lt;&gt;"",$Y192&lt;&gt;""),"YES","NO"),"N/A")</f>
        <v>N/A</v>
      </c>
      <c r="M192" s="4" t="str">
        <f>IF(OR($A192="EHT Trace"),IF(AND($AA192&lt;&gt;"",$AB192&lt;&gt;""),"YES","NO"),"N/A")</f>
        <v>N/A</v>
      </c>
      <c r="N192" s="4" t="str">
        <f>IF(OR($A192="Power Cable"),IF(AND($AD192&lt;&gt;""),"YES","NO"),"N/A")</f>
        <v>N/A</v>
      </c>
      <c r="O192" s="4" t="str">
        <f>IF(OR($A192="Power Cable",$A192="RTD Cable",$A192="Fieldbus Cable"),IF(AND($AE192&lt;&gt;""),"YES","NO"),"N/A")</f>
        <v>N/A</v>
      </c>
      <c r="P192" s="4" t="str">
        <f>IF(OR($A192="RTD"),IF(AND($AH192&lt;&gt;""),"YES","NO"),"N/A")</f>
        <v>NO</v>
      </c>
      <c r="Q192" s="4" t="str">
        <f>IF(OR($A192="RTD"),IF(AND($AI192&lt;&gt;""),"YES","NO"),"N/A")</f>
        <v>NO</v>
      </c>
      <c r="R192" s="4" t="str">
        <f>IF(OR($AM192&lt;&gt;"",$Z192&lt;&gt;"",$AC192&lt;&gt;""),"YES","NO")</f>
        <v>NO</v>
      </c>
      <c r="S192" s="4" t="str">
        <f>IF(COUNTIF(I192:R192,"NO")=0,"YES","NO")</f>
        <v>NO</v>
      </c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inlineStr">
        <is>
          <t>Levy Ostrup</t>
        </is>
      </c>
      <c r="AM192" s="9" t="n"/>
      <c r="AN192" s="9" t="n"/>
    </row>
    <row r="193">
      <c r="A193" s="9" t="inlineStr">
        <is>
          <t>RTD</t>
        </is>
      </c>
      <c r="B193" s="9" t="inlineStr">
        <is>
          <t>29103-ET-PE1402-1-R-1</t>
        </is>
      </c>
      <c r="C193" s="9" t="inlineStr">
        <is>
          <t>29103-ET-PE1402-1</t>
        </is>
      </c>
      <c r="D193" s="9" t="inlineStr">
        <is>
          <t>29103-HTP-003 I/O-4-4 / CB-33</t>
        </is>
      </c>
      <c r="E193" s="9" t="inlineStr">
        <is>
          <t>PRODUCED EMULSION</t>
        </is>
      </c>
      <c r="F193" s="9" t="inlineStr">
        <is>
          <t>29103-4"-PE-1402-DAPCO-64H-ET Rev 1A3   Trace: 29103-ET-PE1402-1-1</t>
        </is>
      </c>
      <c r="G193" s="9" t="inlineStr">
        <is>
          <t>13.2</t>
        </is>
      </c>
      <c r="H193" s="9" t="inlineStr">
        <is>
          <t>29103-ET-PE1402-1-R-1.pdf</t>
        </is>
      </c>
      <c r="I193" s="4" t="str">
        <f>IF($H193&lt;&gt;"","YES","NO")</f>
        <v>YES</v>
      </c>
      <c r="J193" s="4" t="str">
        <f>IF(N($T193)&gt;0,"YES","NO")</f>
        <v>YES</v>
      </c>
      <c r="K193" s="4" t="str">
        <f>IF(OR($A193="EHT Trace"),IF(AND($U193&lt;&gt;"",$V193&lt;&gt;""),"YES","NO"),"N/A")</f>
        <v>N/A</v>
      </c>
      <c r="L193" s="4" t="str">
        <f>IF(OR($A193="EHT Trace"),IF(AND($X193&lt;&gt;"",$Y193&lt;&gt;""),"YES","NO"),"N/A")</f>
        <v>N/A</v>
      </c>
      <c r="M193" s="4" t="str">
        <f>IF(OR($A193="EHT Trace"),IF(AND($AA193&lt;&gt;"",$AB193&lt;&gt;""),"YES","NO"),"N/A")</f>
        <v>N/A</v>
      </c>
      <c r="N193" s="4" t="str">
        <f>IF(OR($A193="Power Cable"),IF(AND($AD193&lt;&gt;""),"YES","NO"),"N/A")</f>
        <v>N/A</v>
      </c>
      <c r="O193" s="4" t="str">
        <f>IF(OR($A193="Power Cable",$A193="RTD Cable",$A193="Fieldbus Cable"),IF(AND($AE193&lt;&gt;""),"YES","NO"),"N/A")</f>
        <v>N/A</v>
      </c>
      <c r="P193" s="4" t="str">
        <f>IF(OR($A193="RTD"),IF(AND($AH193&lt;&gt;""),"YES","NO"),"N/A")</f>
        <v>NO</v>
      </c>
      <c r="Q193" s="4" t="str">
        <f>IF(OR($A193="RTD"),IF(AND($AI193&lt;&gt;""),"YES","NO"),"N/A")</f>
        <v>NO</v>
      </c>
      <c r="R193" s="4" t="str">
        <f>IF(OR($AM193&lt;&gt;"",$Z193&lt;&gt;"",$AC193&lt;&gt;""),"YES","NO")</f>
        <v>YES</v>
      </c>
      <c r="S193" s="4" t="str">
        <f>IF(COUNTIF(I193:R193,"NO")=0,"YES","NO")</f>
        <v>NO</v>
      </c>
      <c r="T193" s="9" t="n">
        <v>5</v>
      </c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inlineStr">
        <is>
          <t>Levy Ostrup</t>
        </is>
      </c>
      <c r="AM193" s="9" t="inlineStr">
        <is>
          <t>2026/08/12</t>
        </is>
      </c>
      <c r="AN193" s="9" t="n"/>
    </row>
    <row r="194">
      <c r="A194" s="9" t="inlineStr">
        <is>
          <t>RTD</t>
        </is>
      </c>
      <c r="B194" s="9" t="inlineStr">
        <is>
          <t>29103-ET-PE1402-1-R-2</t>
        </is>
      </c>
      <c r="C194" s="9" t="inlineStr">
        <is>
          <t>29103-ET-PE1402-1</t>
        </is>
      </c>
      <c r="D194" s="9" t="inlineStr">
        <is>
          <t>29103-HTP-003 I/O-4-4 / CB-33</t>
        </is>
      </c>
      <c r="E194" s="9" t="inlineStr">
        <is>
          <t>PRODUCED EMULSION</t>
        </is>
      </c>
      <c r="F194" s="9" t="inlineStr">
        <is>
          <t>29103-4"-PE-1402-DAPCO-64H-ET Rev 1A3   Trace: 29103-ET-PE1402-1-1</t>
        </is>
      </c>
      <c r="G194" s="9" t="inlineStr">
        <is>
          <t>13.2</t>
        </is>
      </c>
      <c r="H194" s="9" t="inlineStr">
        <is>
          <t>29103-ET-PE1402-1-R-1.pdf</t>
        </is>
      </c>
      <c r="I194" s="4" t="str">
        <f>IF($H194&lt;&gt;"","YES","NO")</f>
        <v>YES</v>
      </c>
      <c r="J194" s="4" t="str">
        <f>IF(N($T194)&gt;0,"YES","NO")</f>
        <v>YES</v>
      </c>
      <c r="K194" s="4" t="str">
        <f>IF(OR($A194="EHT Trace"),IF(AND($U194&lt;&gt;"",$V194&lt;&gt;""),"YES","NO"),"N/A")</f>
        <v>N/A</v>
      </c>
      <c r="L194" s="4" t="str">
        <f>IF(OR($A194="EHT Trace"),IF(AND($X194&lt;&gt;"",$Y194&lt;&gt;""),"YES","NO"),"N/A")</f>
        <v>N/A</v>
      </c>
      <c r="M194" s="4" t="str">
        <f>IF(OR($A194="EHT Trace"),IF(AND($AA194&lt;&gt;"",$AB194&lt;&gt;""),"YES","NO"),"N/A")</f>
        <v>N/A</v>
      </c>
      <c r="N194" s="4" t="str">
        <f>IF(OR($A194="Power Cable"),IF(AND($AD194&lt;&gt;""),"YES","NO"),"N/A")</f>
        <v>N/A</v>
      </c>
      <c r="O194" s="4" t="str">
        <f>IF(OR($A194="Power Cable",$A194="RTD Cable",$A194="Fieldbus Cable"),IF(AND($AE194&lt;&gt;""),"YES","NO"),"N/A")</f>
        <v>N/A</v>
      </c>
      <c r="P194" s="4" t="str">
        <f>IF(OR($A194="RTD"),IF(AND($AH194&lt;&gt;""),"YES","NO"),"N/A")</f>
        <v>NO</v>
      </c>
      <c r="Q194" s="4" t="str">
        <f>IF(OR($A194="RTD"),IF(AND($AI194&lt;&gt;""),"YES","NO"),"N/A")</f>
        <v>NO</v>
      </c>
      <c r="R194" s="4" t="str">
        <f>IF(OR($AM194&lt;&gt;"",$Z194&lt;&gt;"",$AC194&lt;&gt;""),"YES","NO")</f>
        <v>YES</v>
      </c>
      <c r="S194" s="4" t="str">
        <f>IF(COUNTIF(I194:R194,"NO")=0,"YES","NO")</f>
        <v>NO</v>
      </c>
      <c r="T194" s="9" t="n">
        <v>5</v>
      </c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inlineStr">
        <is>
          <t>Levy Ostrup</t>
        </is>
      </c>
      <c r="AM194" s="9" t="inlineStr">
        <is>
          <t>2026/08/12</t>
        </is>
      </c>
      <c r="AN194" s="9" t="n"/>
    </row>
    <row r="195">
      <c r="A195" s="9" t="inlineStr">
        <is>
          <t>RTD</t>
        </is>
      </c>
      <c r="B195" s="9" t="inlineStr">
        <is>
          <t>29103-ET-PE1501-1-R-1</t>
        </is>
      </c>
      <c r="C195" s="9" t="inlineStr">
        <is>
          <t>29103-ET-PE1501-1</t>
        </is>
      </c>
      <c r="D195" s="9" t="inlineStr">
        <is>
          <t>29103-HTP-003 HTC-10</t>
        </is>
      </c>
      <c r="E195" s="9" t="inlineStr">
        <is>
          <t>PRODUCED EMULSION</t>
        </is>
      </c>
      <c r="F195" s="9" t="inlineStr">
        <is>
          <t>29103-65R-ET-PE1501-01-01</t>
        </is>
      </c>
      <c r="G195" s="9" t="inlineStr">
        <is>
          <t>13.2</t>
        </is>
      </c>
      <c r="H195" s="9" t="inlineStr">
        <is>
          <t>29103-ET-PE1501-1-R-1.pdf</t>
        </is>
      </c>
      <c r="I195" s="4" t="str">
        <f>IF($H195&lt;&gt;"","YES","NO")</f>
        <v>YES</v>
      </c>
      <c r="J195" s="4" t="str">
        <f>IF(N($T195)&gt;0,"YES","NO")</f>
        <v>NO</v>
      </c>
      <c r="K195" s="4" t="str">
        <f>IF(OR($A195="EHT Trace"),IF(AND($U195&lt;&gt;"",$V195&lt;&gt;""),"YES","NO"),"N/A")</f>
        <v>N/A</v>
      </c>
      <c r="L195" s="4" t="str">
        <f>IF(OR($A195="EHT Trace"),IF(AND($X195&lt;&gt;"",$Y195&lt;&gt;""),"YES","NO"),"N/A")</f>
        <v>N/A</v>
      </c>
      <c r="M195" s="4" t="str">
        <f>IF(OR($A195="EHT Trace"),IF(AND($AA195&lt;&gt;"",$AB195&lt;&gt;""),"YES","NO"),"N/A")</f>
        <v>N/A</v>
      </c>
      <c r="N195" s="4" t="str">
        <f>IF(OR($A195="Power Cable"),IF(AND($AD195&lt;&gt;""),"YES","NO"),"N/A")</f>
        <v>N/A</v>
      </c>
      <c r="O195" s="4" t="str">
        <f>IF(OR($A195="Power Cable",$A195="RTD Cable",$A195="Fieldbus Cable"),IF(AND($AE195&lt;&gt;""),"YES","NO"),"N/A")</f>
        <v>N/A</v>
      </c>
      <c r="P195" s="4" t="str">
        <f>IF(OR($A195="RTD"),IF(AND($AH195&lt;&gt;""),"YES","NO"),"N/A")</f>
        <v>NO</v>
      </c>
      <c r="Q195" s="4" t="str">
        <f>IF(OR($A195="RTD"),IF(AND($AI195&lt;&gt;""),"YES","NO"),"N/A")</f>
        <v>NO</v>
      </c>
      <c r="R195" s="4" t="str">
        <f>IF(OR($AM195&lt;&gt;"",$Z195&lt;&gt;"",$AC195&lt;&gt;""),"YES","NO")</f>
        <v>NO</v>
      </c>
      <c r="S195" s="4" t="str">
        <f>IF(COUNTIF(I195:R195,"NO")=0,"YES","NO")</f>
        <v>NO</v>
      </c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inlineStr">
        <is>
          <t>Levy Ostrup</t>
        </is>
      </c>
      <c r="AM195" s="9" t="n"/>
      <c r="AN195" s="9" t="n"/>
    </row>
    <row r="196">
      <c r="A196" s="9" t="inlineStr">
        <is>
          <t>RTD</t>
        </is>
      </c>
      <c r="B196" s="9" t="inlineStr">
        <is>
          <t>29103-ET-PE1501-2-R-2</t>
        </is>
      </c>
      <c r="C196" s="9" t="inlineStr">
        <is>
          <t>29103-ET-PE1501-2</t>
        </is>
      </c>
      <c r="D196" s="9" t="inlineStr">
        <is>
          <t>29103-HTP-003 I/O-2-2</t>
        </is>
      </c>
      <c r="E196" s="9" t="inlineStr">
        <is>
          <t>PRODUCED EMULSION</t>
        </is>
      </c>
      <c r="F196" s="9" t="inlineStr">
        <is>
          <t>29103-65R-ET-PE1501-02-01</t>
        </is>
      </c>
      <c r="G196" s="9" t="inlineStr">
        <is>
          <t>13.2</t>
        </is>
      </c>
      <c r="H196" s="9" t="inlineStr">
        <is>
          <t>29103-ET-PE1501-2-R-2.pdf</t>
        </is>
      </c>
      <c r="I196" s="4" t="str">
        <f>IF($H196&lt;&gt;"","YES","NO")</f>
        <v>YES</v>
      </c>
      <c r="J196" s="4" t="str">
        <f>IF(N($T196)&gt;0,"YES","NO")</f>
        <v>NO</v>
      </c>
      <c r="K196" s="4" t="str">
        <f>IF(OR($A196="EHT Trace"),IF(AND($U196&lt;&gt;"",$V196&lt;&gt;""),"YES","NO"),"N/A")</f>
        <v>N/A</v>
      </c>
      <c r="L196" s="4" t="str">
        <f>IF(OR($A196="EHT Trace"),IF(AND($X196&lt;&gt;"",$Y196&lt;&gt;""),"YES","NO"),"N/A")</f>
        <v>N/A</v>
      </c>
      <c r="M196" s="4" t="str">
        <f>IF(OR($A196="EHT Trace"),IF(AND($AA196&lt;&gt;"",$AB196&lt;&gt;""),"YES","NO"),"N/A")</f>
        <v>N/A</v>
      </c>
      <c r="N196" s="4" t="str">
        <f>IF(OR($A196="Power Cable"),IF(AND($AD196&lt;&gt;""),"YES","NO"),"N/A")</f>
        <v>N/A</v>
      </c>
      <c r="O196" s="4" t="str">
        <f>IF(OR($A196="Power Cable",$A196="RTD Cable",$A196="Fieldbus Cable"),IF(AND($AE196&lt;&gt;""),"YES","NO"),"N/A")</f>
        <v>N/A</v>
      </c>
      <c r="P196" s="4" t="str">
        <f>IF(OR($A196="RTD"),IF(AND($AH196&lt;&gt;""),"YES","NO"),"N/A")</f>
        <v>NO</v>
      </c>
      <c r="Q196" s="4" t="str">
        <f>IF(OR($A196="RTD"),IF(AND($AI196&lt;&gt;""),"YES","NO"),"N/A")</f>
        <v>NO</v>
      </c>
      <c r="R196" s="4" t="str">
        <f>IF(OR($AM196&lt;&gt;"",$Z196&lt;&gt;"",$AC196&lt;&gt;""),"YES","NO")</f>
        <v>NO</v>
      </c>
      <c r="S196" s="4" t="str">
        <f>IF(COUNTIF(I196:R196,"NO")=0,"YES","NO")</f>
        <v>NO</v>
      </c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inlineStr">
        <is>
          <t>Levy Ostrup</t>
        </is>
      </c>
      <c r="AM196" s="9" t="n"/>
      <c r="AN196" s="9" t="n"/>
    </row>
    <row r="197">
      <c r="A197" s="9" t="inlineStr">
        <is>
          <t>RTD</t>
        </is>
      </c>
      <c r="B197" s="9" t="inlineStr">
        <is>
          <t>29103-ET-PE1502-1-R-1</t>
        </is>
      </c>
      <c r="C197" s="9" t="inlineStr">
        <is>
          <t>29103-ET-PE1502-1</t>
        </is>
      </c>
      <c r="D197" s="9" t="inlineStr">
        <is>
          <t>29103-HTP-003 I/O-2-3 / CB-06</t>
        </is>
      </c>
      <c r="E197" s="9" t="inlineStr">
        <is>
          <t>PRODUCED EMULSION</t>
        </is>
      </c>
      <c r="F197" s="9" t="inlineStr">
        <is>
          <t>29103-4"-PE-1502-DAPCO-64H-ET Rev 1A2   Trace: 29103-ET-PE1502-1-1</t>
        </is>
      </c>
      <c r="G197" s="9" t="inlineStr">
        <is>
          <t>13.2</t>
        </is>
      </c>
      <c r="H197" s="9" t="inlineStr">
        <is>
          <t>29103-ET-PE1502-1-R-1.pdf</t>
        </is>
      </c>
      <c r="I197" s="4" t="str">
        <f>IF($H197&lt;&gt;"","YES","NO")</f>
        <v>YES</v>
      </c>
      <c r="J197" s="4" t="str">
        <f>IF(N($T197)&gt;0,"YES","NO")</f>
        <v>YES</v>
      </c>
      <c r="K197" s="4" t="str">
        <f>IF(OR($A197="EHT Trace"),IF(AND($U197&lt;&gt;"",$V197&lt;&gt;""),"YES","NO"),"N/A")</f>
        <v>N/A</v>
      </c>
      <c r="L197" s="4" t="str">
        <f>IF(OR($A197="EHT Trace"),IF(AND($X197&lt;&gt;"",$Y197&lt;&gt;""),"YES","NO"),"N/A")</f>
        <v>N/A</v>
      </c>
      <c r="M197" s="4" t="str">
        <f>IF(OR($A197="EHT Trace"),IF(AND($AA197&lt;&gt;"",$AB197&lt;&gt;""),"YES","NO"),"N/A")</f>
        <v>N/A</v>
      </c>
      <c r="N197" s="4" t="str">
        <f>IF(OR($A197="Power Cable"),IF(AND($AD197&lt;&gt;""),"YES","NO"),"N/A")</f>
        <v>N/A</v>
      </c>
      <c r="O197" s="4" t="str">
        <f>IF(OR($A197="Power Cable",$A197="RTD Cable",$A197="Fieldbus Cable"),IF(AND($AE197&lt;&gt;""),"YES","NO"),"N/A")</f>
        <v>N/A</v>
      </c>
      <c r="P197" s="4" t="str">
        <f>IF(OR($A197="RTD"),IF(AND($AH197&lt;&gt;""),"YES","NO"),"N/A")</f>
        <v>NO</v>
      </c>
      <c r="Q197" s="4" t="str">
        <f>IF(OR($A197="RTD"),IF(AND($AI197&lt;&gt;""),"YES","NO"),"N/A")</f>
        <v>NO</v>
      </c>
      <c r="R197" s="4" t="str">
        <f>IF(OR($AM197&lt;&gt;"",$Z197&lt;&gt;"",$AC197&lt;&gt;""),"YES","NO")</f>
        <v>YES</v>
      </c>
      <c r="S197" s="4" t="str">
        <f>IF(COUNTIF(I197:R197,"NO")=0,"YES","NO")</f>
        <v>NO</v>
      </c>
      <c r="T197" s="9" t="n">
        <v>5</v>
      </c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inlineStr">
        <is>
          <t>Levy Ostrup</t>
        </is>
      </c>
      <c r="AM197" s="9" t="inlineStr">
        <is>
          <t>2026/08/10</t>
        </is>
      </c>
      <c r="AN197" s="9" t="inlineStr">
        <is>
          <t>Core markers are correct.</t>
        </is>
      </c>
    </row>
    <row r="198">
      <c r="A198" s="9" t="inlineStr">
        <is>
          <t>RTD</t>
        </is>
      </c>
      <c r="B198" s="9" t="inlineStr">
        <is>
          <t>29103-ET-PE1502-1-R-2</t>
        </is>
      </c>
      <c r="C198" s="9" t="inlineStr">
        <is>
          <t>29103-ET-PE1502-1</t>
        </is>
      </c>
      <c r="D198" s="9" t="inlineStr">
        <is>
          <t>29103-HTP-003 I/O-2-3 / CB-06</t>
        </is>
      </c>
      <c r="E198" s="9" t="inlineStr">
        <is>
          <t>PRODUCED EMULSION</t>
        </is>
      </c>
      <c r="F198" s="9" t="inlineStr">
        <is>
          <t>29103-4"-PE-1502-DAPCO-64H-ET Rev 1A2   Trace: 29103-ET-PE1502-1-1</t>
        </is>
      </c>
      <c r="G198" s="9" t="inlineStr">
        <is>
          <t>13.2</t>
        </is>
      </c>
      <c r="H198" s="9" t="inlineStr">
        <is>
          <t>29103-ET-PE1502-1-R-1.pdf</t>
        </is>
      </c>
      <c r="I198" s="4" t="str">
        <f>IF($H198&lt;&gt;"","YES","NO")</f>
        <v>YES</v>
      </c>
      <c r="J198" s="4" t="str">
        <f>IF(N($T198)&gt;0,"YES","NO")</f>
        <v>YES</v>
      </c>
      <c r="K198" s="4" t="str">
        <f>IF(OR($A198="EHT Trace"),IF(AND($U198&lt;&gt;"",$V198&lt;&gt;""),"YES","NO"),"N/A")</f>
        <v>N/A</v>
      </c>
      <c r="L198" s="4" t="str">
        <f>IF(OR($A198="EHT Trace"),IF(AND($X198&lt;&gt;"",$Y198&lt;&gt;""),"YES","NO"),"N/A")</f>
        <v>N/A</v>
      </c>
      <c r="M198" s="4" t="str">
        <f>IF(OR($A198="EHT Trace"),IF(AND($AA198&lt;&gt;"",$AB198&lt;&gt;""),"YES","NO"),"N/A")</f>
        <v>N/A</v>
      </c>
      <c r="N198" s="4" t="str">
        <f>IF(OR($A198="Power Cable"),IF(AND($AD198&lt;&gt;""),"YES","NO"),"N/A")</f>
        <v>N/A</v>
      </c>
      <c r="O198" s="4" t="str">
        <f>IF(OR($A198="Power Cable",$A198="RTD Cable",$A198="Fieldbus Cable"),IF(AND($AE198&lt;&gt;""),"YES","NO"),"N/A")</f>
        <v>N/A</v>
      </c>
      <c r="P198" s="4" t="str">
        <f>IF(OR($A198="RTD"),IF(AND($AH198&lt;&gt;""),"YES","NO"),"N/A")</f>
        <v>NO</v>
      </c>
      <c r="Q198" s="4" t="str">
        <f>IF(OR($A198="RTD"),IF(AND($AI198&lt;&gt;""),"YES","NO"),"N/A")</f>
        <v>NO</v>
      </c>
      <c r="R198" s="4" t="str">
        <f>IF(OR($AM198&lt;&gt;"",$Z198&lt;&gt;"",$AC198&lt;&gt;""),"YES","NO")</f>
        <v>YES</v>
      </c>
      <c r="S198" s="4" t="str">
        <f>IF(COUNTIF(I198:R198,"NO")=0,"YES","NO")</f>
        <v>NO</v>
      </c>
      <c r="T198" s="9" t="n">
        <v>5</v>
      </c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inlineStr">
        <is>
          <t>Levy Ostrup</t>
        </is>
      </c>
      <c r="AM198" s="9" t="inlineStr">
        <is>
          <t>2026/08/10</t>
        </is>
      </c>
      <c r="AN198" s="9" t="inlineStr">
        <is>
          <t>Core markers are correct.</t>
        </is>
      </c>
    </row>
    <row r="199">
      <c r="A199" s="9" t="inlineStr">
        <is>
          <t>RTD</t>
        </is>
      </c>
      <c r="B199" s="9" t="inlineStr">
        <is>
          <t>29103-ET-PE1601-1-R-1</t>
        </is>
      </c>
      <c r="C199" s="9" t="inlineStr">
        <is>
          <t>29103-ET-PE1601-1</t>
        </is>
      </c>
      <c r="D199" s="9" t="inlineStr">
        <is>
          <t>29103-HTP-003 HTC-08</t>
        </is>
      </c>
      <c r="E199" s="9" t="inlineStr">
        <is>
          <t>PRODUCED EMULSION</t>
        </is>
      </c>
      <c r="F199" s="9" t="inlineStr">
        <is>
          <t>29103-65R-ET-PE1601-01-01</t>
        </is>
      </c>
      <c r="G199" s="9" t="inlineStr">
        <is>
          <t>13.2</t>
        </is>
      </c>
      <c r="H199" s="9" t="inlineStr">
        <is>
          <t>29103-ET-PE1601-1-R-1.pdf</t>
        </is>
      </c>
      <c r="I199" s="4" t="str">
        <f>IF($H199&lt;&gt;"","YES","NO")</f>
        <v>YES</v>
      </c>
      <c r="J199" s="4" t="str">
        <f>IF(N($T199)&gt;0,"YES","NO")</f>
        <v>NO</v>
      </c>
      <c r="K199" s="4" t="str">
        <f>IF(OR($A199="EHT Trace"),IF(AND($U199&lt;&gt;"",$V199&lt;&gt;""),"YES","NO"),"N/A")</f>
        <v>N/A</v>
      </c>
      <c r="L199" s="4" t="str">
        <f>IF(OR($A199="EHT Trace"),IF(AND($X199&lt;&gt;"",$Y199&lt;&gt;""),"YES","NO"),"N/A")</f>
        <v>N/A</v>
      </c>
      <c r="M199" s="4" t="str">
        <f>IF(OR($A199="EHT Trace"),IF(AND($AA199&lt;&gt;"",$AB199&lt;&gt;""),"YES","NO"),"N/A")</f>
        <v>N/A</v>
      </c>
      <c r="N199" s="4" t="str">
        <f>IF(OR($A199="Power Cable"),IF(AND($AD199&lt;&gt;""),"YES","NO"),"N/A")</f>
        <v>N/A</v>
      </c>
      <c r="O199" s="4" t="str">
        <f>IF(OR($A199="Power Cable",$A199="RTD Cable",$A199="Fieldbus Cable"),IF(AND($AE199&lt;&gt;""),"YES","NO"),"N/A")</f>
        <v>N/A</v>
      </c>
      <c r="P199" s="4" t="str">
        <f>IF(OR($A199="RTD"),IF(AND($AH199&lt;&gt;""),"YES","NO"),"N/A")</f>
        <v>NO</v>
      </c>
      <c r="Q199" s="4" t="str">
        <f>IF(OR($A199="RTD"),IF(AND($AI199&lt;&gt;""),"YES","NO"),"N/A")</f>
        <v>NO</v>
      </c>
      <c r="R199" s="4" t="str">
        <f>IF(OR($AM199&lt;&gt;"",$Z199&lt;&gt;"",$AC199&lt;&gt;""),"YES","NO")</f>
        <v>NO</v>
      </c>
      <c r="S199" s="4" t="str">
        <f>IF(COUNTIF(I199:R199,"NO")=0,"YES","NO")</f>
        <v>NO</v>
      </c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inlineStr">
        <is>
          <t>Levy Ostrup</t>
        </is>
      </c>
      <c r="AM199" s="9" t="n"/>
      <c r="AN199" s="9" t="n"/>
    </row>
    <row r="200">
      <c r="A200" s="9" t="inlineStr">
        <is>
          <t>RTD</t>
        </is>
      </c>
      <c r="B200" s="9" t="inlineStr">
        <is>
          <t>29103-ET-PE1601-2-R-2</t>
        </is>
      </c>
      <c r="C200" s="9" t="inlineStr">
        <is>
          <t>29103-ET-PE1601-2</t>
        </is>
      </c>
      <c r="D200" s="9" t="inlineStr">
        <is>
          <t>29103-HTP-003 I/O-2-4</t>
        </is>
      </c>
      <c r="E200" s="9" t="inlineStr">
        <is>
          <t>PRODUCED EMULSION</t>
        </is>
      </c>
      <c r="F200" s="9" t="inlineStr">
        <is>
          <t>29103-65R-ET-PE1601-02-01</t>
        </is>
      </c>
      <c r="G200" s="9" t="inlineStr">
        <is>
          <t>13.2</t>
        </is>
      </c>
      <c r="H200" s="9" t="inlineStr">
        <is>
          <t>29103-ET-PE1601-2-R-2.pdf</t>
        </is>
      </c>
      <c r="I200" s="4" t="str">
        <f>IF($H200&lt;&gt;"","YES","NO")</f>
        <v>YES</v>
      </c>
      <c r="J200" s="4" t="str">
        <f>IF(N($T200)&gt;0,"YES","NO")</f>
        <v>NO</v>
      </c>
      <c r="K200" s="4" t="str">
        <f>IF(OR($A200="EHT Trace"),IF(AND($U200&lt;&gt;"",$V200&lt;&gt;""),"YES","NO"),"N/A")</f>
        <v>N/A</v>
      </c>
      <c r="L200" s="4" t="str">
        <f>IF(OR($A200="EHT Trace"),IF(AND($X200&lt;&gt;"",$Y200&lt;&gt;""),"YES","NO"),"N/A")</f>
        <v>N/A</v>
      </c>
      <c r="M200" s="4" t="str">
        <f>IF(OR($A200="EHT Trace"),IF(AND($AA200&lt;&gt;"",$AB200&lt;&gt;""),"YES","NO"),"N/A")</f>
        <v>N/A</v>
      </c>
      <c r="N200" s="4" t="str">
        <f>IF(OR($A200="Power Cable"),IF(AND($AD200&lt;&gt;""),"YES","NO"),"N/A")</f>
        <v>N/A</v>
      </c>
      <c r="O200" s="4" t="str">
        <f>IF(OR($A200="Power Cable",$A200="RTD Cable",$A200="Fieldbus Cable"),IF(AND($AE200&lt;&gt;""),"YES","NO"),"N/A")</f>
        <v>N/A</v>
      </c>
      <c r="P200" s="4" t="str">
        <f>IF(OR($A200="RTD"),IF(AND($AH200&lt;&gt;""),"YES","NO"),"N/A")</f>
        <v>NO</v>
      </c>
      <c r="Q200" s="4" t="str">
        <f>IF(OR($A200="RTD"),IF(AND($AI200&lt;&gt;""),"YES","NO"),"N/A")</f>
        <v>NO</v>
      </c>
      <c r="R200" s="4" t="str">
        <f>IF(OR($AM200&lt;&gt;"",$Z200&lt;&gt;"",$AC200&lt;&gt;""),"YES","NO")</f>
        <v>NO</v>
      </c>
      <c r="S200" s="4" t="str">
        <f>IF(COUNTIF(I200:R200,"NO")=0,"YES","NO")</f>
        <v>NO</v>
      </c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inlineStr">
        <is>
          <t>Levy Ostrup</t>
        </is>
      </c>
      <c r="AM200" s="9" t="n"/>
      <c r="AN200" s="9" t="n"/>
    </row>
    <row r="201">
      <c r="A201" s="9" t="inlineStr">
        <is>
          <t>RTD</t>
        </is>
      </c>
      <c r="B201" s="9" t="inlineStr">
        <is>
          <t>29103-ET-PE1602-1-R-1</t>
        </is>
      </c>
      <c r="C201" s="9" t="inlineStr">
        <is>
          <t>29103-ET-PE1602-1</t>
        </is>
      </c>
      <c r="D201" s="9" t="inlineStr">
        <is>
          <t>29103-HTP-003 I/O-3-1 / CB-15</t>
        </is>
      </c>
      <c r="E201" s="9" t="inlineStr">
        <is>
          <t>PRODUCED EMULSION</t>
        </is>
      </c>
      <c r="F201" s="9" t="inlineStr">
        <is>
          <t>29103-4"-PE-1602-DAPCO-64H-ET Rev 1A2   Trace: 29103-ET-PE1602-1-1</t>
        </is>
      </c>
      <c r="G201" s="9" t="inlineStr">
        <is>
          <t>13.2</t>
        </is>
      </c>
      <c r="H201" s="9" t="inlineStr">
        <is>
          <t>29103-ET-PE1602-1-R-1.pdf</t>
        </is>
      </c>
      <c r="I201" s="4" t="str">
        <f>IF($H201&lt;&gt;"","YES","NO")</f>
        <v>YES</v>
      </c>
      <c r="J201" s="4" t="str">
        <f>IF(N($T201)&gt;0,"YES","NO")</f>
        <v>YES</v>
      </c>
      <c r="K201" s="4" t="str">
        <f>IF(OR($A201="EHT Trace"),IF(AND($U201&lt;&gt;"",$V201&lt;&gt;""),"YES","NO"),"N/A")</f>
        <v>N/A</v>
      </c>
      <c r="L201" s="4" t="str">
        <f>IF(OR($A201="EHT Trace"),IF(AND($X201&lt;&gt;"",$Y201&lt;&gt;""),"YES","NO"),"N/A")</f>
        <v>N/A</v>
      </c>
      <c r="M201" s="4" t="str">
        <f>IF(OR($A201="EHT Trace"),IF(AND($AA201&lt;&gt;"",$AB201&lt;&gt;""),"YES","NO"),"N/A")</f>
        <v>N/A</v>
      </c>
      <c r="N201" s="4" t="str">
        <f>IF(OR($A201="Power Cable"),IF(AND($AD201&lt;&gt;""),"YES","NO"),"N/A")</f>
        <v>N/A</v>
      </c>
      <c r="O201" s="4" t="str">
        <f>IF(OR($A201="Power Cable",$A201="RTD Cable",$A201="Fieldbus Cable"),IF(AND($AE201&lt;&gt;""),"YES","NO"),"N/A")</f>
        <v>N/A</v>
      </c>
      <c r="P201" s="4" t="str">
        <f>IF(OR($A201="RTD"),IF(AND($AH201&lt;&gt;""),"YES","NO"),"N/A")</f>
        <v>NO</v>
      </c>
      <c r="Q201" s="4" t="str">
        <f>IF(OR($A201="RTD"),IF(AND($AI201&lt;&gt;""),"YES","NO"),"N/A")</f>
        <v>NO</v>
      </c>
      <c r="R201" s="4" t="str">
        <f>IF(OR($AM201&lt;&gt;"",$Z201&lt;&gt;"",$AC201&lt;&gt;""),"YES","NO")</f>
        <v>YES</v>
      </c>
      <c r="S201" s="4" t="str">
        <f>IF(COUNTIF(I201:R201,"NO")=0,"YES","NO")</f>
        <v>NO</v>
      </c>
      <c r="T201" s="9" t="n">
        <v>6</v>
      </c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inlineStr">
        <is>
          <t>Levy Ostrup</t>
        </is>
      </c>
      <c r="AM201" s="9" t="inlineStr">
        <is>
          <t>2026/08/10</t>
        </is>
      </c>
      <c r="AN201" s="9" t="inlineStr">
        <is>
          <t>Has been terminated, SS tag is installed but upside down. | Core markers are 29103HTP003HTC15-P-H and 29103HTP003HTC15-P-N</t>
        </is>
      </c>
    </row>
    <row r="202">
      <c r="A202" s="9" t="inlineStr">
        <is>
          <t>RTD</t>
        </is>
      </c>
      <c r="B202" s="9" t="inlineStr">
        <is>
          <t>29103-ET-PE1602-1-R-2</t>
        </is>
      </c>
      <c r="C202" s="9" t="inlineStr">
        <is>
          <t>29103-ET-PE1602-1</t>
        </is>
      </c>
      <c r="D202" s="9" t="inlineStr">
        <is>
          <t>29103-HTP-003 I/O-3-1 / CB-15</t>
        </is>
      </c>
      <c r="E202" s="9" t="inlineStr">
        <is>
          <t>PRODUCED EMULSION</t>
        </is>
      </c>
      <c r="F202" s="9" t="inlineStr">
        <is>
          <t>29103-4"-PE-1602-DAPCO-64H-ET Rev 1A2   Trace: 29103-ET-PE1602-1-1</t>
        </is>
      </c>
      <c r="G202" s="9" t="inlineStr">
        <is>
          <t>13.2</t>
        </is>
      </c>
      <c r="H202" s="9" t="inlineStr">
        <is>
          <t>29103-ET-PE1602-1-R-1.pdf</t>
        </is>
      </c>
      <c r="I202" s="4" t="str">
        <f>IF($H202&lt;&gt;"","YES","NO")</f>
        <v>YES</v>
      </c>
      <c r="J202" s="4" t="str">
        <f>IF(N($T202)&gt;0,"YES","NO")</f>
        <v>YES</v>
      </c>
      <c r="K202" s="4" t="str">
        <f>IF(OR($A202="EHT Trace"),IF(AND($U202&lt;&gt;"",$V202&lt;&gt;""),"YES","NO"),"N/A")</f>
        <v>N/A</v>
      </c>
      <c r="L202" s="4" t="str">
        <f>IF(OR($A202="EHT Trace"),IF(AND($X202&lt;&gt;"",$Y202&lt;&gt;""),"YES","NO"),"N/A")</f>
        <v>N/A</v>
      </c>
      <c r="M202" s="4" t="str">
        <f>IF(OR($A202="EHT Trace"),IF(AND($AA202&lt;&gt;"",$AB202&lt;&gt;""),"YES","NO"),"N/A")</f>
        <v>N/A</v>
      </c>
      <c r="N202" s="4" t="str">
        <f>IF(OR($A202="Power Cable"),IF(AND($AD202&lt;&gt;""),"YES","NO"),"N/A")</f>
        <v>N/A</v>
      </c>
      <c r="O202" s="4" t="str">
        <f>IF(OR($A202="Power Cable",$A202="RTD Cable",$A202="Fieldbus Cable"),IF(AND($AE202&lt;&gt;""),"YES","NO"),"N/A")</f>
        <v>N/A</v>
      </c>
      <c r="P202" s="4" t="str">
        <f>IF(OR($A202="RTD"),IF(AND($AH202&lt;&gt;""),"YES","NO"),"N/A")</f>
        <v>NO</v>
      </c>
      <c r="Q202" s="4" t="str">
        <f>IF(OR($A202="RTD"),IF(AND($AI202&lt;&gt;""),"YES","NO"),"N/A")</f>
        <v>NO</v>
      </c>
      <c r="R202" s="4" t="str">
        <f>IF(OR($AM202&lt;&gt;"",$Z202&lt;&gt;"",$AC202&lt;&gt;""),"YES","NO")</f>
        <v>YES</v>
      </c>
      <c r="S202" s="4" t="str">
        <f>IF(COUNTIF(I202:R202,"NO")=0,"YES","NO")</f>
        <v>NO</v>
      </c>
      <c r="T202" s="9" t="n">
        <v>6</v>
      </c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inlineStr">
        <is>
          <t>Levy Ostrup</t>
        </is>
      </c>
      <c r="AM202" s="9" t="inlineStr">
        <is>
          <t>2026/08/10</t>
        </is>
      </c>
      <c r="AN202" s="9" t="inlineStr">
        <is>
          <t>Has been terminated, SS tag is installed but upside down. | Core markers are 29103HTP003HTC15-P-H and 29103HTP003HTC15-P-N</t>
        </is>
      </c>
    </row>
    <row r="203">
      <c r="A203" s="9" t="inlineStr">
        <is>
          <t>RTD</t>
        </is>
      </c>
      <c r="B203" s="9" t="inlineStr">
        <is>
          <t>29103-ET-PE1701-1-R-1</t>
        </is>
      </c>
      <c r="C203" s="9" t="inlineStr">
        <is>
          <t>29103-ET-PE1701-1</t>
        </is>
      </c>
      <c r="D203" s="9" t="inlineStr">
        <is>
          <t>29103-HTP-003 HTC-23</t>
        </is>
      </c>
      <c r="E203" s="9" t="inlineStr">
        <is>
          <t>PRODUCED EMULSION</t>
        </is>
      </c>
      <c r="F203" s="9" t="inlineStr">
        <is>
          <t>29103-65R-ET-PE1701-01-01</t>
        </is>
      </c>
      <c r="G203" s="9" t="inlineStr">
        <is>
          <t>13.2</t>
        </is>
      </c>
      <c r="H203" s="9" t="inlineStr">
        <is>
          <t>29103-ET-PE1701-1-R-1.pdf</t>
        </is>
      </c>
      <c r="I203" s="4" t="str">
        <f>IF($H203&lt;&gt;"","YES","NO")</f>
        <v>YES</v>
      </c>
      <c r="J203" s="4" t="str">
        <f>IF(N($T203)&gt;0,"YES","NO")</f>
        <v>NO</v>
      </c>
      <c r="K203" s="4" t="str">
        <f>IF(OR($A203="EHT Trace"),IF(AND($U203&lt;&gt;"",$V203&lt;&gt;""),"YES","NO"),"N/A")</f>
        <v>N/A</v>
      </c>
      <c r="L203" s="4" t="str">
        <f>IF(OR($A203="EHT Trace"),IF(AND($X203&lt;&gt;"",$Y203&lt;&gt;""),"YES","NO"),"N/A")</f>
        <v>N/A</v>
      </c>
      <c r="M203" s="4" t="str">
        <f>IF(OR($A203="EHT Trace"),IF(AND($AA203&lt;&gt;"",$AB203&lt;&gt;""),"YES","NO"),"N/A")</f>
        <v>N/A</v>
      </c>
      <c r="N203" s="4" t="str">
        <f>IF(OR($A203="Power Cable"),IF(AND($AD203&lt;&gt;""),"YES","NO"),"N/A")</f>
        <v>N/A</v>
      </c>
      <c r="O203" s="4" t="str">
        <f>IF(OR($A203="Power Cable",$A203="RTD Cable",$A203="Fieldbus Cable"),IF(AND($AE203&lt;&gt;""),"YES","NO"),"N/A")</f>
        <v>N/A</v>
      </c>
      <c r="P203" s="4" t="str">
        <f>IF(OR($A203="RTD"),IF(AND($AH203&lt;&gt;""),"YES","NO"),"N/A")</f>
        <v>NO</v>
      </c>
      <c r="Q203" s="4" t="str">
        <f>IF(OR($A203="RTD"),IF(AND($AI203&lt;&gt;""),"YES","NO"),"N/A")</f>
        <v>NO</v>
      </c>
      <c r="R203" s="4" t="str">
        <f>IF(OR($AM203&lt;&gt;"",$Z203&lt;&gt;"",$AC203&lt;&gt;""),"YES","NO")</f>
        <v>NO</v>
      </c>
      <c r="S203" s="4" t="str">
        <f>IF(COUNTIF(I203:R203,"NO")=0,"YES","NO")</f>
        <v>NO</v>
      </c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inlineStr">
        <is>
          <t>Levy Ostrup</t>
        </is>
      </c>
      <c r="AM203" s="9" t="n"/>
      <c r="AN203" s="9" t="n"/>
    </row>
    <row r="204">
      <c r="A204" s="9" t="inlineStr">
        <is>
          <t>RTD</t>
        </is>
      </c>
      <c r="B204" s="9" t="inlineStr">
        <is>
          <t>29103-ET-PE1701-2-R-2</t>
        </is>
      </c>
      <c r="C204" s="9" t="inlineStr">
        <is>
          <t>29103-ET-PE1701-2</t>
        </is>
      </c>
      <c r="D204" s="9" t="inlineStr">
        <is>
          <t>29103-HTP-003 I/O-3-2</t>
        </is>
      </c>
      <c r="E204" s="9" t="inlineStr">
        <is>
          <t>PRODUCED EMULSION</t>
        </is>
      </c>
      <c r="F204" s="9" t="inlineStr">
        <is>
          <t>29103-65R-ET-PE1701-02-01</t>
        </is>
      </c>
      <c r="G204" s="9" t="inlineStr">
        <is>
          <t>13.2</t>
        </is>
      </c>
      <c r="H204" s="9" t="inlineStr">
        <is>
          <t>29103-ET-PE1701-2-R-2.pdf</t>
        </is>
      </c>
      <c r="I204" s="4" t="str">
        <f>IF($H204&lt;&gt;"","YES","NO")</f>
        <v>YES</v>
      </c>
      <c r="J204" s="4" t="str">
        <f>IF(N($T204)&gt;0,"YES","NO")</f>
        <v>NO</v>
      </c>
      <c r="K204" s="4" t="str">
        <f>IF(OR($A204="EHT Trace"),IF(AND($U204&lt;&gt;"",$V204&lt;&gt;""),"YES","NO"),"N/A")</f>
        <v>N/A</v>
      </c>
      <c r="L204" s="4" t="str">
        <f>IF(OR($A204="EHT Trace"),IF(AND($X204&lt;&gt;"",$Y204&lt;&gt;""),"YES","NO"),"N/A")</f>
        <v>N/A</v>
      </c>
      <c r="M204" s="4" t="str">
        <f>IF(OR($A204="EHT Trace"),IF(AND($AA204&lt;&gt;"",$AB204&lt;&gt;""),"YES","NO"),"N/A")</f>
        <v>N/A</v>
      </c>
      <c r="N204" s="4" t="str">
        <f>IF(OR($A204="Power Cable"),IF(AND($AD204&lt;&gt;""),"YES","NO"),"N/A")</f>
        <v>N/A</v>
      </c>
      <c r="O204" s="4" t="str">
        <f>IF(OR($A204="Power Cable",$A204="RTD Cable",$A204="Fieldbus Cable"),IF(AND($AE204&lt;&gt;""),"YES","NO"),"N/A")</f>
        <v>N/A</v>
      </c>
      <c r="P204" s="4" t="str">
        <f>IF(OR($A204="RTD"),IF(AND($AH204&lt;&gt;""),"YES","NO"),"N/A")</f>
        <v>NO</v>
      </c>
      <c r="Q204" s="4" t="str">
        <f>IF(OR($A204="RTD"),IF(AND($AI204&lt;&gt;""),"YES","NO"),"N/A")</f>
        <v>NO</v>
      </c>
      <c r="R204" s="4" t="str">
        <f>IF(OR($AM204&lt;&gt;"",$Z204&lt;&gt;"",$AC204&lt;&gt;""),"YES","NO")</f>
        <v>NO</v>
      </c>
      <c r="S204" s="4" t="str">
        <f>IF(COUNTIF(I204:R204,"NO")=0,"YES","NO")</f>
        <v>NO</v>
      </c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inlineStr">
        <is>
          <t>Levy Ostrup</t>
        </is>
      </c>
      <c r="AM204" s="9" t="n"/>
      <c r="AN204" s="9" t="n"/>
    </row>
    <row r="205">
      <c r="A205" s="9" t="inlineStr">
        <is>
          <t>RTD</t>
        </is>
      </c>
      <c r="B205" s="9" t="inlineStr">
        <is>
          <t>29103-ET-PE1702-1-R-1</t>
        </is>
      </c>
      <c r="C205" s="9" t="inlineStr">
        <is>
          <t>29103-ET-PE1702-1</t>
        </is>
      </c>
      <c r="D205" s="9" t="inlineStr">
        <is>
          <t>29103-HTP-003 HTC-20</t>
        </is>
      </c>
      <c r="E205" s="9" t="inlineStr">
        <is>
          <t>PRODUCED EMULSION</t>
        </is>
      </c>
      <c r="F205" s="9" t="inlineStr">
        <is>
          <t>29103-65R-ET-PE1702-01-01</t>
        </is>
      </c>
      <c r="G205" s="9" t="inlineStr">
        <is>
          <t>13.2</t>
        </is>
      </c>
      <c r="H205" s="9" t="inlineStr">
        <is>
          <t>29103-ET-PE1702-1-R-1.pdf</t>
        </is>
      </c>
      <c r="I205" s="4" t="str">
        <f>IF($H205&lt;&gt;"","YES","NO")</f>
        <v>YES</v>
      </c>
      <c r="J205" s="4" t="str">
        <f>IF(N($T205)&gt;0,"YES","NO")</f>
        <v>NO</v>
      </c>
      <c r="K205" s="4" t="str">
        <f>IF(OR($A205="EHT Trace"),IF(AND($U205&lt;&gt;"",$V205&lt;&gt;""),"YES","NO"),"N/A")</f>
        <v>N/A</v>
      </c>
      <c r="L205" s="4" t="str">
        <f>IF(OR($A205="EHT Trace"),IF(AND($X205&lt;&gt;"",$Y205&lt;&gt;""),"YES","NO"),"N/A")</f>
        <v>N/A</v>
      </c>
      <c r="M205" s="4" t="str">
        <f>IF(OR($A205="EHT Trace"),IF(AND($AA205&lt;&gt;"",$AB205&lt;&gt;""),"YES","NO"),"N/A")</f>
        <v>N/A</v>
      </c>
      <c r="N205" s="4" t="str">
        <f>IF(OR($A205="Power Cable"),IF(AND($AD205&lt;&gt;""),"YES","NO"),"N/A")</f>
        <v>N/A</v>
      </c>
      <c r="O205" s="4" t="str">
        <f>IF(OR($A205="Power Cable",$A205="RTD Cable",$A205="Fieldbus Cable"),IF(AND($AE205&lt;&gt;""),"YES","NO"),"N/A")</f>
        <v>N/A</v>
      </c>
      <c r="P205" s="4" t="str">
        <f>IF(OR($A205="RTD"),IF(AND($AH205&lt;&gt;""),"YES","NO"),"N/A")</f>
        <v>NO</v>
      </c>
      <c r="Q205" s="4" t="str">
        <f>IF(OR($A205="RTD"),IF(AND($AI205&lt;&gt;""),"YES","NO"),"N/A")</f>
        <v>NO</v>
      </c>
      <c r="R205" s="4" t="str">
        <f>IF(OR($AM205&lt;&gt;"",$Z205&lt;&gt;"",$AC205&lt;&gt;""),"YES","NO")</f>
        <v>NO</v>
      </c>
      <c r="S205" s="4" t="str">
        <f>IF(COUNTIF(I205:R205,"NO")=0,"YES","NO")</f>
        <v>NO</v>
      </c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inlineStr">
        <is>
          <t>Levy Ostrup</t>
        </is>
      </c>
      <c r="AM205" s="9" t="n"/>
      <c r="AN205" s="9" t="n"/>
    </row>
    <row r="206">
      <c r="A206" s="9" t="inlineStr">
        <is>
          <t>RTD</t>
        </is>
      </c>
      <c r="B206" s="9" t="inlineStr">
        <is>
          <t>29103-ET-PE1702-1-R-2</t>
        </is>
      </c>
      <c r="C206" s="9" t="inlineStr">
        <is>
          <t>29103-ET-PE1702-1</t>
        </is>
      </c>
      <c r="D206" s="9" t="inlineStr">
        <is>
          <t>29103-HTP-003 I/O-3-3</t>
        </is>
      </c>
      <c r="E206" s="9" t="inlineStr">
        <is>
          <t>PRODUCED EMULSION</t>
        </is>
      </c>
      <c r="F206" s="9" t="inlineStr">
        <is>
          <t>29103-65R-ET-PE1702-01-01</t>
        </is>
      </c>
      <c r="G206" s="9" t="inlineStr">
        <is>
          <t>13.2</t>
        </is>
      </c>
      <c r="H206" s="9" t="inlineStr">
        <is>
          <t>29103-ET-PE1702-1-R-2.pdf</t>
        </is>
      </c>
      <c r="I206" s="4" t="str">
        <f>IF($H206&lt;&gt;"","YES","NO")</f>
        <v>YES</v>
      </c>
      <c r="J206" s="4" t="str">
        <f>IF(N($T206)&gt;0,"YES","NO")</f>
        <v>NO</v>
      </c>
      <c r="K206" s="4" t="str">
        <f>IF(OR($A206="EHT Trace"),IF(AND($U206&lt;&gt;"",$V206&lt;&gt;""),"YES","NO"),"N/A")</f>
        <v>N/A</v>
      </c>
      <c r="L206" s="4" t="str">
        <f>IF(OR($A206="EHT Trace"),IF(AND($X206&lt;&gt;"",$Y206&lt;&gt;""),"YES","NO"),"N/A")</f>
        <v>N/A</v>
      </c>
      <c r="M206" s="4" t="str">
        <f>IF(OR($A206="EHT Trace"),IF(AND($AA206&lt;&gt;"",$AB206&lt;&gt;""),"YES","NO"),"N/A")</f>
        <v>N/A</v>
      </c>
      <c r="N206" s="4" t="str">
        <f>IF(OR($A206="Power Cable"),IF(AND($AD206&lt;&gt;""),"YES","NO"),"N/A")</f>
        <v>N/A</v>
      </c>
      <c r="O206" s="4" t="str">
        <f>IF(OR($A206="Power Cable",$A206="RTD Cable",$A206="Fieldbus Cable"),IF(AND($AE206&lt;&gt;""),"YES","NO"),"N/A")</f>
        <v>N/A</v>
      </c>
      <c r="P206" s="4" t="str">
        <f>IF(OR($A206="RTD"),IF(AND($AH206&lt;&gt;""),"YES","NO"),"N/A")</f>
        <v>NO</v>
      </c>
      <c r="Q206" s="4" t="str">
        <f>IF(OR($A206="RTD"),IF(AND($AI206&lt;&gt;""),"YES","NO"),"N/A")</f>
        <v>NO</v>
      </c>
      <c r="R206" s="4" t="str">
        <f>IF(OR($AM206&lt;&gt;"",$Z206&lt;&gt;"",$AC206&lt;&gt;""),"YES","NO")</f>
        <v>NO</v>
      </c>
      <c r="S206" s="4" t="str">
        <f>IF(COUNTIF(I206:R206,"NO")=0,"YES","NO")</f>
        <v>NO</v>
      </c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inlineStr">
        <is>
          <t>Levy Ostrup</t>
        </is>
      </c>
      <c r="AM206" s="9" t="n"/>
      <c r="AN206" s="9" t="n"/>
    </row>
    <row r="207">
      <c r="A207" s="9" t="inlineStr">
        <is>
          <t>RTD</t>
        </is>
      </c>
      <c r="B207" s="9" t="inlineStr">
        <is>
          <t>29103-ET-PE1802-2-R-1</t>
        </is>
      </c>
      <c r="C207" s="9" t="inlineStr">
        <is>
          <t>29103-ET-PE1802-2</t>
        </is>
      </c>
      <c r="D207" s="9" t="inlineStr">
        <is>
          <t>29103-HTP-003 HTC-13</t>
        </is>
      </c>
      <c r="E207" s="9" t="inlineStr">
        <is>
          <t>PRODUCED EMULSION</t>
        </is>
      </c>
      <c r="F207" s="9" t="inlineStr">
        <is>
          <t>29103-65R-ET-PE1802-02-01</t>
        </is>
      </c>
      <c r="G207" s="9" t="inlineStr">
        <is>
          <t>13.2</t>
        </is>
      </c>
      <c r="H207" s="9" t="inlineStr">
        <is>
          <t>29103-ET-PE1802-2-R-1.pdf</t>
        </is>
      </c>
      <c r="I207" s="4" t="str">
        <f>IF($H207&lt;&gt;"","YES","NO")</f>
        <v>YES</v>
      </c>
      <c r="J207" s="4" t="str">
        <f>IF(N($T207)&gt;0,"YES","NO")</f>
        <v>NO</v>
      </c>
      <c r="K207" s="4" t="str">
        <f>IF(OR($A207="EHT Trace"),IF(AND($U207&lt;&gt;"",$V207&lt;&gt;""),"YES","NO"),"N/A")</f>
        <v>N/A</v>
      </c>
      <c r="L207" s="4" t="str">
        <f>IF(OR($A207="EHT Trace"),IF(AND($X207&lt;&gt;"",$Y207&lt;&gt;""),"YES","NO"),"N/A")</f>
        <v>N/A</v>
      </c>
      <c r="M207" s="4" t="str">
        <f>IF(OR($A207="EHT Trace"),IF(AND($AA207&lt;&gt;"",$AB207&lt;&gt;""),"YES","NO"),"N/A")</f>
        <v>N/A</v>
      </c>
      <c r="N207" s="4" t="str">
        <f>IF(OR($A207="Power Cable"),IF(AND($AD207&lt;&gt;""),"YES","NO"),"N/A")</f>
        <v>N/A</v>
      </c>
      <c r="O207" s="4" t="str">
        <f>IF(OR($A207="Power Cable",$A207="RTD Cable",$A207="Fieldbus Cable"),IF(AND($AE207&lt;&gt;""),"YES","NO"),"N/A")</f>
        <v>N/A</v>
      </c>
      <c r="P207" s="4" t="str">
        <f>IF(OR($A207="RTD"),IF(AND($AH207&lt;&gt;""),"YES","NO"),"N/A")</f>
        <v>NO</v>
      </c>
      <c r="Q207" s="4" t="str">
        <f>IF(OR($A207="RTD"),IF(AND($AI207&lt;&gt;""),"YES","NO"),"N/A")</f>
        <v>NO</v>
      </c>
      <c r="R207" s="4" t="str">
        <f>IF(OR($AM207&lt;&gt;"",$Z207&lt;&gt;"",$AC207&lt;&gt;""),"YES","NO")</f>
        <v>NO</v>
      </c>
      <c r="S207" s="4" t="str">
        <f>IF(COUNTIF(I207:R207,"NO")=0,"YES","NO")</f>
        <v>NO</v>
      </c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inlineStr">
        <is>
          <t>Levy Ostrup</t>
        </is>
      </c>
      <c r="AM207" s="9" t="n"/>
      <c r="AN207" s="9" t="n"/>
    </row>
    <row r="208">
      <c r="A208" s="9" t="inlineStr">
        <is>
          <t>RTD</t>
        </is>
      </c>
      <c r="B208" s="9" t="inlineStr">
        <is>
          <t>29103-ET-PE1803-2-R-1</t>
        </is>
      </c>
      <c r="C208" s="9" t="inlineStr">
        <is>
          <t>29103-ET-PE1803-2</t>
        </is>
      </c>
      <c r="D208" s="9" t="inlineStr">
        <is>
          <t>29103-HTP-003 HTC-29</t>
        </is>
      </c>
      <c r="E208" s="9" t="inlineStr">
        <is>
          <t>PRODUCED EMULSION</t>
        </is>
      </c>
      <c r="F208" s="9" t="inlineStr">
        <is>
          <t>29103-65R-ET-PE1803-02-01</t>
        </is>
      </c>
      <c r="G208" s="9" t="inlineStr">
        <is>
          <t>13.2</t>
        </is>
      </c>
      <c r="H208" s="9" t="inlineStr">
        <is>
          <t>29103-ET-PE1803-2-R-1.pdf</t>
        </is>
      </c>
      <c r="I208" s="4" t="str">
        <f>IF($H208&lt;&gt;"","YES","NO")</f>
        <v>YES</v>
      </c>
      <c r="J208" s="4" t="str">
        <f>IF(N($T208)&gt;0,"YES","NO")</f>
        <v>NO</v>
      </c>
      <c r="K208" s="4" t="str">
        <f>IF(OR($A208="EHT Trace"),IF(AND($U208&lt;&gt;"",$V208&lt;&gt;""),"YES","NO"),"N/A")</f>
        <v>N/A</v>
      </c>
      <c r="L208" s="4" t="str">
        <f>IF(OR($A208="EHT Trace"),IF(AND($X208&lt;&gt;"",$Y208&lt;&gt;""),"YES","NO"),"N/A")</f>
        <v>N/A</v>
      </c>
      <c r="M208" s="4" t="str">
        <f>IF(OR($A208="EHT Trace"),IF(AND($AA208&lt;&gt;"",$AB208&lt;&gt;""),"YES","NO"),"N/A")</f>
        <v>N/A</v>
      </c>
      <c r="N208" s="4" t="str">
        <f>IF(OR($A208="Power Cable"),IF(AND($AD208&lt;&gt;""),"YES","NO"),"N/A")</f>
        <v>N/A</v>
      </c>
      <c r="O208" s="4" t="str">
        <f>IF(OR($A208="Power Cable",$A208="RTD Cable",$A208="Fieldbus Cable"),IF(AND($AE208&lt;&gt;""),"YES","NO"),"N/A")</f>
        <v>N/A</v>
      </c>
      <c r="P208" s="4" t="str">
        <f>IF(OR($A208="RTD"),IF(AND($AH208&lt;&gt;""),"YES","NO"),"N/A")</f>
        <v>NO</v>
      </c>
      <c r="Q208" s="4" t="str">
        <f>IF(OR($A208="RTD"),IF(AND($AI208&lt;&gt;""),"YES","NO"),"N/A")</f>
        <v>NO</v>
      </c>
      <c r="R208" s="4" t="str">
        <f>IF(OR($AM208&lt;&gt;"",$Z208&lt;&gt;"",$AC208&lt;&gt;""),"YES","NO")</f>
        <v>NO</v>
      </c>
      <c r="S208" s="4" t="str">
        <f>IF(COUNTIF(I208:R208,"NO")=0,"YES","NO")</f>
        <v>NO</v>
      </c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inlineStr">
        <is>
          <t>Levy Ostrup</t>
        </is>
      </c>
      <c r="AM208" s="9" t="n"/>
      <c r="AN208" s="9" t="n"/>
    </row>
    <row r="209">
      <c r="A209" s="9" t="inlineStr">
        <is>
          <t>RTD</t>
        </is>
      </c>
      <c r="B209" s="9" t="inlineStr">
        <is>
          <t>29103-ET-PG1401-1-R-1</t>
        </is>
      </c>
      <c r="C209" s="9" t="inlineStr">
        <is>
          <t>29103-ET-PG1401-1</t>
        </is>
      </c>
      <c r="D209" s="9" t="inlineStr">
        <is>
          <t>29103-HTP-003 HTC-35</t>
        </is>
      </c>
      <c r="E209" s="9" t="inlineStr">
        <is>
          <t>PRODUCED GAS</t>
        </is>
      </c>
      <c r="F209" s="9" t="inlineStr">
        <is>
          <t>29103-65R-ET-PG1401-01-01</t>
        </is>
      </c>
      <c r="G209" s="9" t="inlineStr">
        <is>
          <t>13.2</t>
        </is>
      </c>
      <c r="H209" s="9" t="inlineStr">
        <is>
          <t>29103-ET-PG1401-1-R-1.pdf</t>
        </is>
      </c>
      <c r="I209" s="4" t="str">
        <f>IF($H209&lt;&gt;"","YES","NO")</f>
        <v>YES</v>
      </c>
      <c r="J209" s="4" t="str">
        <f>IF(N($T209)&gt;0,"YES","NO")</f>
        <v>NO</v>
      </c>
      <c r="K209" s="4" t="str">
        <f>IF(OR($A209="EHT Trace"),IF(AND($U209&lt;&gt;"",$V209&lt;&gt;""),"YES","NO"),"N/A")</f>
        <v>N/A</v>
      </c>
      <c r="L209" s="4" t="str">
        <f>IF(OR($A209="EHT Trace"),IF(AND($X209&lt;&gt;"",$Y209&lt;&gt;""),"YES","NO"),"N/A")</f>
        <v>N/A</v>
      </c>
      <c r="M209" s="4" t="str">
        <f>IF(OR($A209="EHT Trace"),IF(AND($AA209&lt;&gt;"",$AB209&lt;&gt;""),"YES","NO"),"N/A")</f>
        <v>N/A</v>
      </c>
      <c r="N209" s="4" t="str">
        <f>IF(OR($A209="Power Cable"),IF(AND($AD209&lt;&gt;""),"YES","NO"),"N/A")</f>
        <v>N/A</v>
      </c>
      <c r="O209" s="4" t="str">
        <f>IF(OR($A209="Power Cable",$A209="RTD Cable",$A209="Fieldbus Cable"),IF(AND($AE209&lt;&gt;""),"YES","NO"),"N/A")</f>
        <v>N/A</v>
      </c>
      <c r="P209" s="4" t="str">
        <f>IF(OR($A209="RTD"),IF(AND($AH209&lt;&gt;""),"YES","NO"),"N/A")</f>
        <v>NO</v>
      </c>
      <c r="Q209" s="4" t="str">
        <f>IF(OR($A209="RTD"),IF(AND($AI209&lt;&gt;""),"YES","NO"),"N/A")</f>
        <v>NO</v>
      </c>
      <c r="R209" s="4" t="str">
        <f>IF(OR($AM209&lt;&gt;"",$Z209&lt;&gt;"",$AC209&lt;&gt;""),"YES","NO")</f>
        <v>NO</v>
      </c>
      <c r="S209" s="4" t="str">
        <f>IF(COUNTIF(I209:R209,"NO")=0,"YES","NO")</f>
        <v>NO</v>
      </c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inlineStr">
        <is>
          <t>Levy Ostrup</t>
        </is>
      </c>
      <c r="AM209" s="9" t="n"/>
      <c r="AN209" s="9" t="n"/>
    </row>
    <row r="210">
      <c r="A210" s="9" t="inlineStr">
        <is>
          <t>RTD</t>
        </is>
      </c>
      <c r="B210" s="9" t="inlineStr">
        <is>
          <t>29103-ET-PG1401-1-R-2</t>
        </is>
      </c>
      <c r="C210" s="9" t="inlineStr">
        <is>
          <t>29103-ET-PG1401-1</t>
        </is>
      </c>
      <c r="D210" s="9" t="inlineStr">
        <is>
          <t>29103-HTP-003 HTC-37</t>
        </is>
      </c>
      <c r="E210" s="9" t="inlineStr">
        <is>
          <t>PRODUCED GAS</t>
        </is>
      </c>
      <c r="F210" s="9" t="inlineStr">
        <is>
          <t>29103-65R-ET-PG1401-01-01</t>
        </is>
      </c>
      <c r="G210" s="9" t="inlineStr">
        <is>
          <t>13.2</t>
        </is>
      </c>
      <c r="H210" s="9" t="inlineStr">
        <is>
          <t>29103-ET-PG1401-1-R-2.pdf</t>
        </is>
      </c>
      <c r="I210" s="4" t="str">
        <f>IF($H210&lt;&gt;"","YES","NO")</f>
        <v>YES</v>
      </c>
      <c r="J210" s="4" t="str">
        <f>IF(N($T210)&gt;0,"YES","NO")</f>
        <v>NO</v>
      </c>
      <c r="K210" s="4" t="str">
        <f>IF(OR($A210="EHT Trace"),IF(AND($U210&lt;&gt;"",$V210&lt;&gt;""),"YES","NO"),"N/A")</f>
        <v>N/A</v>
      </c>
      <c r="L210" s="4" t="str">
        <f>IF(OR($A210="EHT Trace"),IF(AND($X210&lt;&gt;"",$Y210&lt;&gt;""),"YES","NO"),"N/A")</f>
        <v>N/A</v>
      </c>
      <c r="M210" s="4" t="str">
        <f>IF(OR($A210="EHT Trace"),IF(AND($AA210&lt;&gt;"",$AB210&lt;&gt;""),"YES","NO"),"N/A")</f>
        <v>N/A</v>
      </c>
      <c r="N210" s="4" t="str">
        <f>IF(OR($A210="Power Cable"),IF(AND($AD210&lt;&gt;""),"YES","NO"),"N/A")</f>
        <v>N/A</v>
      </c>
      <c r="O210" s="4" t="str">
        <f>IF(OR($A210="Power Cable",$A210="RTD Cable",$A210="Fieldbus Cable"),IF(AND($AE210&lt;&gt;""),"YES","NO"),"N/A")</f>
        <v>N/A</v>
      </c>
      <c r="P210" s="4" t="str">
        <f>IF(OR($A210="RTD"),IF(AND($AH210&lt;&gt;""),"YES","NO"),"N/A")</f>
        <v>NO</v>
      </c>
      <c r="Q210" s="4" t="str">
        <f>IF(OR($A210="RTD"),IF(AND($AI210&lt;&gt;""),"YES","NO"),"N/A")</f>
        <v>NO</v>
      </c>
      <c r="R210" s="4" t="str">
        <f>IF(OR($AM210&lt;&gt;"",$Z210&lt;&gt;"",$AC210&lt;&gt;""),"YES","NO")</f>
        <v>NO</v>
      </c>
      <c r="S210" s="4" t="str">
        <f>IF(COUNTIF(I210:R210,"NO")=0,"YES","NO")</f>
        <v>NO</v>
      </c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inlineStr">
        <is>
          <t>Levy Ostrup</t>
        </is>
      </c>
      <c r="AM210" s="9" t="n"/>
      <c r="AN210" s="9" t="n"/>
    </row>
    <row r="211">
      <c r="A211" s="9" t="inlineStr">
        <is>
          <t>RTD</t>
        </is>
      </c>
      <c r="B211" s="9" t="inlineStr">
        <is>
          <t>29103-ET-PG1401-2-R-1</t>
        </is>
      </c>
      <c r="C211" s="9" t="inlineStr">
        <is>
          <t>29103-ET-PG1401-2</t>
        </is>
      </c>
      <c r="D211" s="9" t="inlineStr">
        <is>
          <t>29103-HTP-003 HTC-22</t>
        </is>
      </c>
      <c r="E211" s="9" t="inlineStr">
        <is>
          <t>PRODUCED GAS</t>
        </is>
      </c>
      <c r="F211" s="9" t="inlineStr">
        <is>
          <t>29103-65R-ET-PG1401-02-01</t>
        </is>
      </c>
      <c r="G211" s="9" t="inlineStr">
        <is>
          <t>13.2</t>
        </is>
      </c>
      <c r="H211" s="9" t="inlineStr">
        <is>
          <t>29103-ET-PG1401-2-R-1.pdf</t>
        </is>
      </c>
      <c r="I211" s="4" t="str">
        <f>IF($H211&lt;&gt;"","YES","NO")</f>
        <v>YES</v>
      </c>
      <c r="J211" s="4" t="str">
        <f>IF(N($T211)&gt;0,"YES","NO")</f>
        <v>NO</v>
      </c>
      <c r="K211" s="4" t="str">
        <f>IF(OR($A211="EHT Trace"),IF(AND($U211&lt;&gt;"",$V211&lt;&gt;""),"YES","NO"),"N/A")</f>
        <v>N/A</v>
      </c>
      <c r="L211" s="4" t="str">
        <f>IF(OR($A211="EHT Trace"),IF(AND($X211&lt;&gt;"",$Y211&lt;&gt;""),"YES","NO"),"N/A")</f>
        <v>N/A</v>
      </c>
      <c r="M211" s="4" t="str">
        <f>IF(OR($A211="EHT Trace"),IF(AND($AA211&lt;&gt;"",$AB211&lt;&gt;""),"YES","NO"),"N/A")</f>
        <v>N/A</v>
      </c>
      <c r="N211" s="4" t="str">
        <f>IF(OR($A211="Power Cable"),IF(AND($AD211&lt;&gt;""),"YES","NO"),"N/A")</f>
        <v>N/A</v>
      </c>
      <c r="O211" s="4" t="str">
        <f>IF(OR($A211="Power Cable",$A211="RTD Cable",$A211="Fieldbus Cable"),IF(AND($AE211&lt;&gt;""),"YES","NO"),"N/A")</f>
        <v>N/A</v>
      </c>
      <c r="P211" s="4" t="str">
        <f>IF(OR($A211="RTD"),IF(AND($AH211&lt;&gt;""),"YES","NO"),"N/A")</f>
        <v>NO</v>
      </c>
      <c r="Q211" s="4" t="str">
        <f>IF(OR($A211="RTD"),IF(AND($AI211&lt;&gt;""),"YES","NO"),"N/A")</f>
        <v>NO</v>
      </c>
      <c r="R211" s="4" t="str">
        <f>IF(OR($AM211&lt;&gt;"",$Z211&lt;&gt;"",$AC211&lt;&gt;""),"YES","NO")</f>
        <v>NO</v>
      </c>
      <c r="S211" s="4" t="str">
        <f>IF(COUNTIF(I211:R211,"NO")=0,"YES","NO")</f>
        <v>NO</v>
      </c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inlineStr">
        <is>
          <t>Levy Ostrup</t>
        </is>
      </c>
      <c r="AM211" s="9" t="n"/>
      <c r="AN211" s="9" t="n"/>
    </row>
    <row r="212">
      <c r="A212" s="9" t="inlineStr">
        <is>
          <t>RTD</t>
        </is>
      </c>
      <c r="B212" s="9" t="inlineStr">
        <is>
          <t>29103-ET-PG1501-1-R-1</t>
        </is>
      </c>
      <c r="C212" s="9" t="inlineStr">
        <is>
          <t>29103-ET-PG1501-1</t>
        </is>
      </c>
      <c r="D212" s="9" t="inlineStr">
        <is>
          <t>29103-HTP-003 HTC-11</t>
        </is>
      </c>
      <c r="E212" s="9" t="inlineStr">
        <is>
          <t>PRODUCED GAS</t>
        </is>
      </c>
      <c r="F212" s="9" t="inlineStr">
        <is>
          <t>29103-65R-ET-PG1501-01-01</t>
        </is>
      </c>
      <c r="G212" s="9" t="inlineStr">
        <is>
          <t>13.2</t>
        </is>
      </c>
      <c r="H212" s="9" t="inlineStr">
        <is>
          <t>29103-ET-PG1501-1-R-1.pdf</t>
        </is>
      </c>
      <c r="I212" s="4" t="str">
        <f>IF($H212&lt;&gt;"","YES","NO")</f>
        <v>YES</v>
      </c>
      <c r="J212" s="4" t="str">
        <f>IF(N($T212)&gt;0,"YES","NO")</f>
        <v>NO</v>
      </c>
      <c r="K212" s="4" t="str">
        <f>IF(OR($A212="EHT Trace"),IF(AND($U212&lt;&gt;"",$V212&lt;&gt;""),"YES","NO"),"N/A")</f>
        <v>N/A</v>
      </c>
      <c r="L212" s="4" t="str">
        <f>IF(OR($A212="EHT Trace"),IF(AND($X212&lt;&gt;"",$Y212&lt;&gt;""),"YES","NO"),"N/A")</f>
        <v>N/A</v>
      </c>
      <c r="M212" s="4" t="str">
        <f>IF(OR($A212="EHT Trace"),IF(AND($AA212&lt;&gt;"",$AB212&lt;&gt;""),"YES","NO"),"N/A")</f>
        <v>N/A</v>
      </c>
      <c r="N212" s="4" t="str">
        <f>IF(OR($A212="Power Cable"),IF(AND($AD212&lt;&gt;""),"YES","NO"),"N/A")</f>
        <v>N/A</v>
      </c>
      <c r="O212" s="4" t="str">
        <f>IF(OR($A212="Power Cable",$A212="RTD Cable",$A212="Fieldbus Cable"),IF(AND($AE212&lt;&gt;""),"YES","NO"),"N/A")</f>
        <v>N/A</v>
      </c>
      <c r="P212" s="4" t="str">
        <f>IF(OR($A212="RTD"),IF(AND($AH212&lt;&gt;""),"YES","NO"),"N/A")</f>
        <v>NO</v>
      </c>
      <c r="Q212" s="4" t="str">
        <f>IF(OR($A212="RTD"),IF(AND($AI212&lt;&gt;""),"YES","NO"),"N/A")</f>
        <v>NO</v>
      </c>
      <c r="R212" s="4" t="str">
        <f>IF(OR($AM212&lt;&gt;"",$Z212&lt;&gt;"",$AC212&lt;&gt;""),"YES","NO")</f>
        <v>NO</v>
      </c>
      <c r="S212" s="4" t="str">
        <f>IF(COUNTIF(I212:R212,"NO")=0,"YES","NO")</f>
        <v>NO</v>
      </c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inlineStr">
        <is>
          <t>Levy Ostrup</t>
        </is>
      </c>
      <c r="AM212" s="9" t="n"/>
      <c r="AN212" s="9" t="n"/>
    </row>
    <row r="213">
      <c r="A213" s="9" t="inlineStr">
        <is>
          <t>RTD</t>
        </is>
      </c>
      <c r="B213" s="9" t="inlineStr">
        <is>
          <t>29103-ET-PG1501-1-R-2</t>
        </is>
      </c>
      <c r="C213" s="9" t="inlineStr">
        <is>
          <t>29103-ET-PG1501-1</t>
        </is>
      </c>
      <c r="D213" s="9" t="inlineStr">
        <is>
          <t>29103-HTP-003 I/O-3-4</t>
        </is>
      </c>
      <c r="E213" s="9" t="inlineStr">
        <is>
          <t>PRODUCED GAS</t>
        </is>
      </c>
      <c r="F213" s="9" t="inlineStr">
        <is>
          <t>29103-65R-ET-PG1501-01-01</t>
        </is>
      </c>
      <c r="G213" s="9" t="inlineStr">
        <is>
          <t>13.2</t>
        </is>
      </c>
      <c r="H213" s="9" t="inlineStr">
        <is>
          <t>29103-ET-PG1501-1-R-2.pdf</t>
        </is>
      </c>
      <c r="I213" s="4" t="str">
        <f>IF($H213&lt;&gt;"","YES","NO")</f>
        <v>YES</v>
      </c>
      <c r="J213" s="4" t="str">
        <f>IF(N($T213)&gt;0,"YES","NO")</f>
        <v>NO</v>
      </c>
      <c r="K213" s="4" t="str">
        <f>IF(OR($A213="EHT Trace"),IF(AND($U213&lt;&gt;"",$V213&lt;&gt;""),"YES","NO"),"N/A")</f>
        <v>N/A</v>
      </c>
      <c r="L213" s="4" t="str">
        <f>IF(OR($A213="EHT Trace"),IF(AND($X213&lt;&gt;"",$Y213&lt;&gt;""),"YES","NO"),"N/A")</f>
        <v>N/A</v>
      </c>
      <c r="M213" s="4" t="str">
        <f>IF(OR($A213="EHT Trace"),IF(AND($AA213&lt;&gt;"",$AB213&lt;&gt;""),"YES","NO"),"N/A")</f>
        <v>N/A</v>
      </c>
      <c r="N213" s="4" t="str">
        <f>IF(OR($A213="Power Cable"),IF(AND($AD213&lt;&gt;""),"YES","NO"),"N/A")</f>
        <v>N/A</v>
      </c>
      <c r="O213" s="4" t="str">
        <f>IF(OR($A213="Power Cable",$A213="RTD Cable",$A213="Fieldbus Cable"),IF(AND($AE213&lt;&gt;""),"YES","NO"),"N/A")</f>
        <v>N/A</v>
      </c>
      <c r="P213" s="4" t="str">
        <f>IF(OR($A213="RTD"),IF(AND($AH213&lt;&gt;""),"YES","NO"),"N/A")</f>
        <v>NO</v>
      </c>
      <c r="Q213" s="4" t="str">
        <f>IF(OR($A213="RTD"),IF(AND($AI213&lt;&gt;""),"YES","NO"),"N/A")</f>
        <v>NO</v>
      </c>
      <c r="R213" s="4" t="str">
        <f>IF(OR($AM213&lt;&gt;"",$Z213&lt;&gt;"",$AC213&lt;&gt;""),"YES","NO")</f>
        <v>NO</v>
      </c>
      <c r="S213" s="4" t="str">
        <f>IF(COUNTIF(I213:R213,"NO")=0,"YES","NO")</f>
        <v>NO</v>
      </c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inlineStr">
        <is>
          <t>Levy Ostrup</t>
        </is>
      </c>
      <c r="AM213" s="9" t="n"/>
      <c r="AN213" s="9" t="n"/>
    </row>
    <row r="214">
      <c r="A214" s="9" t="inlineStr">
        <is>
          <t>RTD</t>
        </is>
      </c>
      <c r="B214" s="9" t="inlineStr">
        <is>
          <t>29103-ET-PG1501-2-R-1</t>
        </is>
      </c>
      <c r="C214" s="9" t="inlineStr">
        <is>
          <t>29103-ET-PG1501-2</t>
        </is>
      </c>
      <c r="D214" s="9" t="inlineStr">
        <is>
          <t>29103-HTP-003 HTC-28</t>
        </is>
      </c>
      <c r="E214" s="9" t="inlineStr">
        <is>
          <t>PRODUCED GAS</t>
        </is>
      </c>
      <c r="F214" s="9" t="inlineStr">
        <is>
          <t>29103-65R-ET-PG1501-02-01</t>
        </is>
      </c>
      <c r="G214" s="9" t="inlineStr">
        <is>
          <t>13.2</t>
        </is>
      </c>
      <c r="H214" s="9" t="inlineStr">
        <is>
          <t>29103-ET-PG1501-2-R-1.pdf</t>
        </is>
      </c>
      <c r="I214" s="4" t="str">
        <f>IF($H214&lt;&gt;"","YES","NO")</f>
        <v>YES</v>
      </c>
      <c r="J214" s="4" t="str">
        <f>IF(N($T214)&gt;0,"YES","NO")</f>
        <v>NO</v>
      </c>
      <c r="K214" s="4" t="str">
        <f>IF(OR($A214="EHT Trace"),IF(AND($U214&lt;&gt;"",$V214&lt;&gt;""),"YES","NO"),"N/A")</f>
        <v>N/A</v>
      </c>
      <c r="L214" s="4" t="str">
        <f>IF(OR($A214="EHT Trace"),IF(AND($X214&lt;&gt;"",$Y214&lt;&gt;""),"YES","NO"),"N/A")</f>
        <v>N/A</v>
      </c>
      <c r="M214" s="4" t="str">
        <f>IF(OR($A214="EHT Trace"),IF(AND($AA214&lt;&gt;"",$AB214&lt;&gt;""),"YES","NO"),"N/A")</f>
        <v>N/A</v>
      </c>
      <c r="N214" s="4" t="str">
        <f>IF(OR($A214="Power Cable"),IF(AND($AD214&lt;&gt;""),"YES","NO"),"N/A")</f>
        <v>N/A</v>
      </c>
      <c r="O214" s="4" t="str">
        <f>IF(OR($A214="Power Cable",$A214="RTD Cable",$A214="Fieldbus Cable"),IF(AND($AE214&lt;&gt;""),"YES","NO"),"N/A")</f>
        <v>N/A</v>
      </c>
      <c r="P214" s="4" t="str">
        <f>IF(OR($A214="RTD"),IF(AND($AH214&lt;&gt;""),"YES","NO"),"N/A")</f>
        <v>NO</v>
      </c>
      <c r="Q214" s="4" t="str">
        <f>IF(OR($A214="RTD"),IF(AND($AI214&lt;&gt;""),"YES","NO"),"N/A")</f>
        <v>NO</v>
      </c>
      <c r="R214" s="4" t="str">
        <f>IF(OR($AM214&lt;&gt;"",$Z214&lt;&gt;"",$AC214&lt;&gt;""),"YES","NO")</f>
        <v>NO</v>
      </c>
      <c r="S214" s="4" t="str">
        <f>IF(COUNTIF(I214:R214,"NO")=0,"YES","NO")</f>
        <v>NO</v>
      </c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inlineStr">
        <is>
          <t>Levy Ostrup</t>
        </is>
      </c>
      <c r="AM214" s="9" t="n"/>
      <c r="AN214" s="9" t="n"/>
    </row>
    <row r="215">
      <c r="A215" s="9" t="inlineStr">
        <is>
          <t>RTD</t>
        </is>
      </c>
      <c r="B215" s="9" t="inlineStr">
        <is>
          <t>29103-ET-PG1601-1-R-1</t>
        </is>
      </c>
      <c r="C215" s="9" t="inlineStr">
        <is>
          <t>29103-ET-PG1601-1</t>
        </is>
      </c>
      <c r="D215" s="9" t="inlineStr">
        <is>
          <t>29103-HTP-003 HTC-14</t>
        </is>
      </c>
      <c r="E215" s="9" t="inlineStr">
        <is>
          <t>PRODUCED GAS</t>
        </is>
      </c>
      <c r="F215" s="9" t="inlineStr">
        <is>
          <t>29103-65R-ET-PG1601-01-01</t>
        </is>
      </c>
      <c r="G215" s="9" t="inlineStr">
        <is>
          <t>13.2</t>
        </is>
      </c>
      <c r="H215" s="9" t="inlineStr">
        <is>
          <t>29103-ET-PG1601-1-R-1.pdf</t>
        </is>
      </c>
      <c r="I215" s="4" t="str">
        <f>IF($H215&lt;&gt;"","YES","NO")</f>
        <v>YES</v>
      </c>
      <c r="J215" s="4" t="str">
        <f>IF(N($T215)&gt;0,"YES","NO")</f>
        <v>NO</v>
      </c>
      <c r="K215" s="4" t="str">
        <f>IF(OR($A215="EHT Trace"),IF(AND($U215&lt;&gt;"",$V215&lt;&gt;""),"YES","NO"),"N/A")</f>
        <v>N/A</v>
      </c>
      <c r="L215" s="4" t="str">
        <f>IF(OR($A215="EHT Trace"),IF(AND($X215&lt;&gt;"",$Y215&lt;&gt;""),"YES","NO"),"N/A")</f>
        <v>N/A</v>
      </c>
      <c r="M215" s="4" t="str">
        <f>IF(OR($A215="EHT Trace"),IF(AND($AA215&lt;&gt;"",$AB215&lt;&gt;""),"YES","NO"),"N/A")</f>
        <v>N/A</v>
      </c>
      <c r="N215" s="4" t="str">
        <f>IF(OR($A215="Power Cable"),IF(AND($AD215&lt;&gt;""),"YES","NO"),"N/A")</f>
        <v>N/A</v>
      </c>
      <c r="O215" s="4" t="str">
        <f>IF(OR($A215="Power Cable",$A215="RTD Cable",$A215="Fieldbus Cable"),IF(AND($AE215&lt;&gt;""),"YES","NO"),"N/A")</f>
        <v>N/A</v>
      </c>
      <c r="P215" s="4" t="str">
        <f>IF(OR($A215="RTD"),IF(AND($AH215&lt;&gt;""),"YES","NO"),"N/A")</f>
        <v>NO</v>
      </c>
      <c r="Q215" s="4" t="str">
        <f>IF(OR($A215="RTD"),IF(AND($AI215&lt;&gt;""),"YES","NO"),"N/A")</f>
        <v>NO</v>
      </c>
      <c r="R215" s="4" t="str">
        <f>IF(OR($AM215&lt;&gt;"",$Z215&lt;&gt;"",$AC215&lt;&gt;""),"YES","NO")</f>
        <v>NO</v>
      </c>
      <c r="S215" s="4" t="str">
        <f>IF(COUNTIF(I215:R215,"NO")=0,"YES","NO")</f>
        <v>NO</v>
      </c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inlineStr">
        <is>
          <t>Levy Ostrup</t>
        </is>
      </c>
      <c r="AM215" s="9" t="n"/>
      <c r="AN215" s="9" t="n"/>
    </row>
    <row r="216">
      <c r="A216" s="9" t="inlineStr">
        <is>
          <t>RTD</t>
        </is>
      </c>
      <c r="B216" s="9" t="inlineStr">
        <is>
          <t>29103-ET-PG1601-1-R-2</t>
        </is>
      </c>
      <c r="C216" s="9" t="inlineStr">
        <is>
          <t>29103-ET-PG1601-1</t>
        </is>
      </c>
      <c r="D216" s="9" t="inlineStr">
        <is>
          <t>29103-HTP-003 I/O-4-1</t>
        </is>
      </c>
      <c r="E216" s="9" t="inlineStr">
        <is>
          <t>PRODUCED GAS</t>
        </is>
      </c>
      <c r="F216" s="9" t="inlineStr">
        <is>
          <t>29103-65R-ET-PG1601-01-01</t>
        </is>
      </c>
      <c r="G216" s="9" t="inlineStr">
        <is>
          <t>13.2</t>
        </is>
      </c>
      <c r="H216" s="9" t="inlineStr">
        <is>
          <t>29103-ET-PG1601-1-R-2.pdf</t>
        </is>
      </c>
      <c r="I216" s="4" t="str">
        <f>IF($H216&lt;&gt;"","YES","NO")</f>
        <v>YES</v>
      </c>
      <c r="J216" s="4" t="str">
        <f>IF(N($T216)&gt;0,"YES","NO")</f>
        <v>NO</v>
      </c>
      <c r="K216" s="4" t="str">
        <f>IF(OR($A216="EHT Trace"),IF(AND($U216&lt;&gt;"",$V216&lt;&gt;""),"YES","NO"),"N/A")</f>
        <v>N/A</v>
      </c>
      <c r="L216" s="4" t="str">
        <f>IF(OR($A216="EHT Trace"),IF(AND($X216&lt;&gt;"",$Y216&lt;&gt;""),"YES","NO"),"N/A")</f>
        <v>N/A</v>
      </c>
      <c r="M216" s="4" t="str">
        <f>IF(OR($A216="EHT Trace"),IF(AND($AA216&lt;&gt;"",$AB216&lt;&gt;""),"YES","NO"),"N/A")</f>
        <v>N/A</v>
      </c>
      <c r="N216" s="4" t="str">
        <f>IF(OR($A216="Power Cable"),IF(AND($AD216&lt;&gt;""),"YES","NO"),"N/A")</f>
        <v>N/A</v>
      </c>
      <c r="O216" s="4" t="str">
        <f>IF(OR($A216="Power Cable",$A216="RTD Cable",$A216="Fieldbus Cable"),IF(AND($AE216&lt;&gt;""),"YES","NO"),"N/A")</f>
        <v>N/A</v>
      </c>
      <c r="P216" s="4" t="str">
        <f>IF(OR($A216="RTD"),IF(AND($AH216&lt;&gt;""),"YES","NO"),"N/A")</f>
        <v>NO</v>
      </c>
      <c r="Q216" s="4" t="str">
        <f>IF(OR($A216="RTD"),IF(AND($AI216&lt;&gt;""),"YES","NO"),"N/A")</f>
        <v>NO</v>
      </c>
      <c r="R216" s="4" t="str">
        <f>IF(OR($AM216&lt;&gt;"",$Z216&lt;&gt;"",$AC216&lt;&gt;""),"YES","NO")</f>
        <v>NO</v>
      </c>
      <c r="S216" s="4" t="str">
        <f>IF(COUNTIF(I216:R216,"NO")=0,"YES","NO")</f>
        <v>NO</v>
      </c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inlineStr">
        <is>
          <t>Levy Ostrup</t>
        </is>
      </c>
      <c r="AM216" s="9" t="n"/>
      <c r="AN216" s="9" t="n"/>
    </row>
    <row r="217">
      <c r="A217" s="9" t="inlineStr">
        <is>
          <t>RTD</t>
        </is>
      </c>
      <c r="B217" s="9" t="inlineStr">
        <is>
          <t>29103-ET-PG1601-2-R-1</t>
        </is>
      </c>
      <c r="C217" s="9" t="inlineStr">
        <is>
          <t>29103-ET-PG1601-2</t>
        </is>
      </c>
      <c r="D217" s="9" t="inlineStr">
        <is>
          <t>29103-HTP-003 HTC-31</t>
        </is>
      </c>
      <c r="E217" s="9" t="inlineStr">
        <is>
          <t>PRODUCED GAS</t>
        </is>
      </c>
      <c r="F217" s="9" t="inlineStr">
        <is>
          <t>29103-65R-ET-PG1601-02-01</t>
        </is>
      </c>
      <c r="G217" s="9" t="inlineStr">
        <is>
          <t>13.2</t>
        </is>
      </c>
      <c r="H217" s="9" t="inlineStr">
        <is>
          <t>29103-ET-PG1601-2-R-1.pdf</t>
        </is>
      </c>
      <c r="I217" s="4" t="str">
        <f>IF($H217&lt;&gt;"","YES","NO")</f>
        <v>YES</v>
      </c>
      <c r="J217" s="4" t="str">
        <f>IF(N($T217)&gt;0,"YES","NO")</f>
        <v>NO</v>
      </c>
      <c r="K217" s="4" t="str">
        <f>IF(OR($A217="EHT Trace"),IF(AND($U217&lt;&gt;"",$V217&lt;&gt;""),"YES","NO"),"N/A")</f>
        <v>N/A</v>
      </c>
      <c r="L217" s="4" t="str">
        <f>IF(OR($A217="EHT Trace"),IF(AND($X217&lt;&gt;"",$Y217&lt;&gt;""),"YES","NO"),"N/A")</f>
        <v>N/A</v>
      </c>
      <c r="M217" s="4" t="str">
        <f>IF(OR($A217="EHT Trace"),IF(AND($AA217&lt;&gt;"",$AB217&lt;&gt;""),"YES","NO"),"N/A")</f>
        <v>N/A</v>
      </c>
      <c r="N217" s="4" t="str">
        <f>IF(OR($A217="Power Cable"),IF(AND($AD217&lt;&gt;""),"YES","NO"),"N/A")</f>
        <v>N/A</v>
      </c>
      <c r="O217" s="4" t="str">
        <f>IF(OR($A217="Power Cable",$A217="RTD Cable",$A217="Fieldbus Cable"),IF(AND($AE217&lt;&gt;""),"YES","NO"),"N/A")</f>
        <v>N/A</v>
      </c>
      <c r="P217" s="4" t="str">
        <f>IF(OR($A217="RTD"),IF(AND($AH217&lt;&gt;""),"YES","NO"),"N/A")</f>
        <v>NO</v>
      </c>
      <c r="Q217" s="4" t="str">
        <f>IF(OR($A217="RTD"),IF(AND($AI217&lt;&gt;""),"YES","NO"),"N/A")</f>
        <v>NO</v>
      </c>
      <c r="R217" s="4" t="str">
        <f>IF(OR($AM217&lt;&gt;"",$Z217&lt;&gt;"",$AC217&lt;&gt;""),"YES","NO")</f>
        <v>NO</v>
      </c>
      <c r="S217" s="4" t="str">
        <f>IF(COUNTIF(I217:R217,"NO")=0,"YES","NO")</f>
        <v>NO</v>
      </c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9" t="inlineStr">
        <is>
          <t>Levy Ostrup</t>
        </is>
      </c>
      <c r="AM217" s="9" t="n"/>
      <c r="AN217" s="9" t="n"/>
    </row>
    <row r="218">
      <c r="A218" s="9" t="inlineStr">
        <is>
          <t>RTD</t>
        </is>
      </c>
      <c r="B218" s="9" t="inlineStr">
        <is>
          <t>29103-ET-PG1701-1-R-1</t>
        </is>
      </c>
      <c r="C218" s="9" t="inlineStr">
        <is>
          <t>29103-ET-PG1701-1</t>
        </is>
      </c>
      <c r="D218" s="9" t="inlineStr">
        <is>
          <t>29103-HTP-003 HTC-21</t>
        </is>
      </c>
      <c r="E218" s="9" t="inlineStr">
        <is>
          <t>PRODUCED GAS</t>
        </is>
      </c>
      <c r="F218" s="9" t="inlineStr">
        <is>
          <t>29103-65R-ET-PG1701-01-01</t>
        </is>
      </c>
      <c r="G218" s="9" t="inlineStr">
        <is>
          <t>13.2</t>
        </is>
      </c>
      <c r="H218" s="9" t="inlineStr">
        <is>
          <t>29103-ET-PG1701-1-R-1.pdf</t>
        </is>
      </c>
      <c r="I218" s="4" t="str">
        <f>IF($H218&lt;&gt;"","YES","NO")</f>
        <v>YES</v>
      </c>
      <c r="J218" s="4" t="str">
        <f>IF(N($T218)&gt;0,"YES","NO")</f>
        <v>NO</v>
      </c>
      <c r="K218" s="4" t="str">
        <f>IF(OR($A218="EHT Trace"),IF(AND($U218&lt;&gt;"",$V218&lt;&gt;""),"YES","NO"),"N/A")</f>
        <v>N/A</v>
      </c>
      <c r="L218" s="4" t="str">
        <f>IF(OR($A218="EHT Trace"),IF(AND($X218&lt;&gt;"",$Y218&lt;&gt;""),"YES","NO"),"N/A")</f>
        <v>N/A</v>
      </c>
      <c r="M218" s="4" t="str">
        <f>IF(OR($A218="EHT Trace"),IF(AND($AA218&lt;&gt;"",$AB218&lt;&gt;""),"YES","NO"),"N/A")</f>
        <v>N/A</v>
      </c>
      <c r="N218" s="4" t="str">
        <f>IF(OR($A218="Power Cable"),IF(AND($AD218&lt;&gt;""),"YES","NO"),"N/A")</f>
        <v>N/A</v>
      </c>
      <c r="O218" s="4" t="str">
        <f>IF(OR($A218="Power Cable",$A218="RTD Cable",$A218="Fieldbus Cable"),IF(AND($AE218&lt;&gt;""),"YES","NO"),"N/A")</f>
        <v>N/A</v>
      </c>
      <c r="P218" s="4" t="str">
        <f>IF(OR($A218="RTD"),IF(AND($AH218&lt;&gt;""),"YES","NO"),"N/A")</f>
        <v>NO</v>
      </c>
      <c r="Q218" s="4" t="str">
        <f>IF(OR($A218="RTD"),IF(AND($AI218&lt;&gt;""),"YES","NO"),"N/A")</f>
        <v>NO</v>
      </c>
      <c r="R218" s="4" t="str">
        <f>IF(OR($AM218&lt;&gt;"",$Z218&lt;&gt;"",$AC218&lt;&gt;""),"YES","NO")</f>
        <v>NO</v>
      </c>
      <c r="S218" s="4" t="str">
        <f>IF(COUNTIF(I218:R218,"NO")=0,"YES","NO")</f>
        <v>NO</v>
      </c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9" t="inlineStr">
        <is>
          <t>Levy Ostrup</t>
        </is>
      </c>
      <c r="AM218" s="9" t="n"/>
      <c r="AN218" s="9" t="n"/>
    </row>
    <row r="219">
      <c r="A219" s="9" t="inlineStr">
        <is>
          <t>RTD</t>
        </is>
      </c>
      <c r="B219" s="9" t="inlineStr">
        <is>
          <t>29103-ET-PG1701-1-R-2</t>
        </is>
      </c>
      <c r="C219" s="9" t="inlineStr">
        <is>
          <t>29103-ET-PG1701-1</t>
        </is>
      </c>
      <c r="D219" s="9" t="inlineStr">
        <is>
          <t>29103-HTP-003 I/O-4-2</t>
        </is>
      </c>
      <c r="E219" s="9" t="inlineStr">
        <is>
          <t>PRODUCED GAS</t>
        </is>
      </c>
      <c r="F219" s="9" t="inlineStr">
        <is>
          <t>29103-65R-ET-PG1701-01-01</t>
        </is>
      </c>
      <c r="G219" s="9" t="inlineStr">
        <is>
          <t>13.2</t>
        </is>
      </c>
      <c r="H219" s="9" t="inlineStr">
        <is>
          <t>29103-ET-PG1701-1-R-2.pdf</t>
        </is>
      </c>
      <c r="I219" s="4" t="str">
        <f>IF($H219&lt;&gt;"","YES","NO")</f>
        <v>YES</v>
      </c>
      <c r="J219" s="4" t="str">
        <f>IF(N($T219)&gt;0,"YES","NO")</f>
        <v>NO</v>
      </c>
      <c r="K219" s="4" t="str">
        <f>IF(OR($A219="EHT Trace"),IF(AND($U219&lt;&gt;"",$V219&lt;&gt;""),"YES","NO"),"N/A")</f>
        <v>N/A</v>
      </c>
      <c r="L219" s="4" t="str">
        <f>IF(OR($A219="EHT Trace"),IF(AND($X219&lt;&gt;"",$Y219&lt;&gt;""),"YES","NO"),"N/A")</f>
        <v>N/A</v>
      </c>
      <c r="M219" s="4" t="str">
        <f>IF(OR($A219="EHT Trace"),IF(AND($AA219&lt;&gt;"",$AB219&lt;&gt;""),"YES","NO"),"N/A")</f>
        <v>N/A</v>
      </c>
      <c r="N219" s="4" t="str">
        <f>IF(OR($A219="Power Cable"),IF(AND($AD219&lt;&gt;""),"YES","NO"),"N/A")</f>
        <v>N/A</v>
      </c>
      <c r="O219" s="4" t="str">
        <f>IF(OR($A219="Power Cable",$A219="RTD Cable",$A219="Fieldbus Cable"),IF(AND($AE219&lt;&gt;""),"YES","NO"),"N/A")</f>
        <v>N/A</v>
      </c>
      <c r="P219" s="4" t="str">
        <f>IF(OR($A219="RTD"),IF(AND($AH219&lt;&gt;""),"YES","NO"),"N/A")</f>
        <v>NO</v>
      </c>
      <c r="Q219" s="4" t="str">
        <f>IF(OR($A219="RTD"),IF(AND($AI219&lt;&gt;""),"YES","NO"),"N/A")</f>
        <v>NO</v>
      </c>
      <c r="R219" s="4" t="str">
        <f>IF(OR($AM219&lt;&gt;"",$Z219&lt;&gt;"",$AC219&lt;&gt;""),"YES","NO")</f>
        <v>NO</v>
      </c>
      <c r="S219" s="4" t="str">
        <f>IF(COUNTIF(I219:R219,"NO")=0,"YES","NO")</f>
        <v>NO</v>
      </c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9" t="inlineStr">
        <is>
          <t>Levy Ostrup</t>
        </is>
      </c>
      <c r="AM219" s="9" t="n"/>
      <c r="AN219" s="9" t="n"/>
    </row>
    <row r="220">
      <c r="A220" s="9" t="inlineStr">
        <is>
          <t>RTD</t>
        </is>
      </c>
      <c r="B220" s="9" t="inlineStr">
        <is>
          <t>29103-ET-PG1701-2-R-1</t>
        </is>
      </c>
      <c r="C220" s="9" t="inlineStr">
        <is>
          <t>29103-ET-PG1701-2</t>
        </is>
      </c>
      <c r="D220" s="9" t="inlineStr">
        <is>
          <t>29103-HTP-003 HTC-25</t>
        </is>
      </c>
      <c r="E220" s="9" t="inlineStr">
        <is>
          <t>PRODUCED GAS</t>
        </is>
      </c>
      <c r="F220" s="9" t="inlineStr">
        <is>
          <t>29103-65R-ET-PG1701-02-01</t>
        </is>
      </c>
      <c r="G220" s="9" t="inlineStr">
        <is>
          <t>13.2</t>
        </is>
      </c>
      <c r="H220" s="9" t="inlineStr">
        <is>
          <t>29103-ET-PG1701-2-R-1.pdf</t>
        </is>
      </c>
      <c r="I220" s="4" t="str">
        <f>IF($H220&lt;&gt;"","YES","NO")</f>
        <v>YES</v>
      </c>
      <c r="J220" s="4" t="str">
        <f>IF(N($T220)&gt;0,"YES","NO")</f>
        <v>NO</v>
      </c>
      <c r="K220" s="4" t="str">
        <f>IF(OR($A220="EHT Trace"),IF(AND($U220&lt;&gt;"",$V220&lt;&gt;""),"YES","NO"),"N/A")</f>
        <v>N/A</v>
      </c>
      <c r="L220" s="4" t="str">
        <f>IF(OR($A220="EHT Trace"),IF(AND($X220&lt;&gt;"",$Y220&lt;&gt;""),"YES","NO"),"N/A")</f>
        <v>N/A</v>
      </c>
      <c r="M220" s="4" t="str">
        <f>IF(OR($A220="EHT Trace"),IF(AND($AA220&lt;&gt;"",$AB220&lt;&gt;""),"YES","NO"),"N/A")</f>
        <v>N/A</v>
      </c>
      <c r="N220" s="4" t="str">
        <f>IF(OR($A220="Power Cable"),IF(AND($AD220&lt;&gt;""),"YES","NO"),"N/A")</f>
        <v>N/A</v>
      </c>
      <c r="O220" s="4" t="str">
        <f>IF(OR($A220="Power Cable",$A220="RTD Cable",$A220="Fieldbus Cable"),IF(AND($AE220&lt;&gt;""),"YES","NO"),"N/A")</f>
        <v>N/A</v>
      </c>
      <c r="P220" s="4" t="str">
        <f>IF(OR($A220="RTD"),IF(AND($AH220&lt;&gt;""),"YES","NO"),"N/A")</f>
        <v>NO</v>
      </c>
      <c r="Q220" s="4" t="str">
        <f>IF(OR($A220="RTD"),IF(AND($AI220&lt;&gt;""),"YES","NO"),"N/A")</f>
        <v>NO</v>
      </c>
      <c r="R220" s="4" t="str">
        <f>IF(OR($AM220&lt;&gt;"",$Z220&lt;&gt;"",$AC220&lt;&gt;""),"YES","NO")</f>
        <v>NO</v>
      </c>
      <c r="S220" s="4" t="str">
        <f>IF(COUNTIF(I220:R220,"NO")=0,"YES","NO")</f>
        <v>NO</v>
      </c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inlineStr">
        <is>
          <t>Levy Ostrup</t>
        </is>
      </c>
      <c r="AM220" s="9" t="n"/>
      <c r="AN220" s="9" t="n"/>
    </row>
    <row r="221">
      <c r="A221" s="9" t="inlineStr">
        <is>
          <t>RTD Cable</t>
        </is>
      </c>
      <c r="B221" s="9" t="inlineStr">
        <is>
          <t>29103-ET-P1404-1-R-1</t>
        </is>
      </c>
      <c r="C221" s="9" t="inlineStr">
        <is>
          <t>29103-ET-P1404-1</t>
        </is>
      </c>
      <c r="D221" s="9" t="inlineStr">
        <is>
          <t>29103-HTP-003 HTC-34</t>
        </is>
      </c>
      <c r="E221" s="9" t="inlineStr">
        <is>
          <t>29103-HTP-003</t>
        </is>
      </c>
      <c r="F221" s="9" t="inlineStr"/>
      <c r="G221" s="9" t="inlineStr">
        <is>
          <t>113</t>
        </is>
      </c>
      <c r="H221" s="9" t="inlineStr">
        <is>
          <t>29103-ET-P1404-1-R-1.pdf</t>
        </is>
      </c>
      <c r="I221" s="4" t="str">
        <f>IF($H221&lt;&gt;"","YES","NO")</f>
        <v>YES</v>
      </c>
      <c r="J221" s="4" t="str">
        <f>IF(N($T221)&gt;0,"YES","NO")</f>
        <v>NO</v>
      </c>
      <c r="K221" s="4" t="str">
        <f>IF(OR($A221="EHT Trace"),IF(AND($U221&lt;&gt;"",$V221&lt;&gt;""),"YES","NO"),"N/A")</f>
        <v>N/A</v>
      </c>
      <c r="L221" s="4" t="str">
        <f>IF(OR($A221="EHT Trace"),IF(AND($X221&lt;&gt;"",$Y221&lt;&gt;""),"YES","NO"),"N/A")</f>
        <v>N/A</v>
      </c>
      <c r="M221" s="4" t="str">
        <f>IF(OR($A221="EHT Trace"),IF(AND($AA221&lt;&gt;"",$AB221&lt;&gt;""),"YES","NO"),"N/A")</f>
        <v>N/A</v>
      </c>
      <c r="N221" s="4" t="str">
        <f>IF(OR($A221="Power Cable"),IF(AND($AD221&lt;&gt;""),"YES","NO"),"N/A")</f>
        <v>N/A</v>
      </c>
      <c r="O221" s="4" t="str">
        <f>IF(OR($A221="Power Cable",$A221="RTD Cable",$A221="Fieldbus Cable"),IF(AND($AE221&lt;&gt;""),"YES","NO"),"N/A")</f>
        <v>NO</v>
      </c>
      <c r="P221" s="4" t="str">
        <f>IF(OR($A221="RTD"),IF(AND($AH221&lt;&gt;""),"YES","NO"),"N/A")</f>
        <v>N/A</v>
      </c>
      <c r="Q221" s="4" t="str">
        <f>IF(OR($A221="RTD"),IF(AND($AI221&lt;&gt;""),"YES","NO"),"N/A")</f>
        <v>N/A</v>
      </c>
      <c r="R221" s="4" t="str">
        <f>IF(OR($AM221&lt;&gt;"",$Z221&lt;&gt;"",$AC221&lt;&gt;""),"YES","NO")</f>
        <v>NO</v>
      </c>
      <c r="S221" s="4" t="str">
        <f>IF(COUNTIF(I221:R221,"NO")=0,"YES","NO")</f>
        <v>NO</v>
      </c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inlineStr">
        <is>
          <t>ACIC</t>
        </is>
      </c>
      <c r="AK221" s="9" t="inlineStr">
        <is>
          <t>16AWG</t>
        </is>
      </c>
      <c r="AL221" s="9" t="inlineStr">
        <is>
          <t>Levy Ostrup</t>
        </is>
      </c>
      <c r="AM221" s="9" t="n"/>
      <c r="AN221" s="9" t="n"/>
    </row>
    <row r="222">
      <c r="A222" s="9" t="inlineStr">
        <is>
          <t>RTD Cable</t>
        </is>
      </c>
      <c r="B222" s="9" t="inlineStr">
        <is>
          <t>29103-ET-P1404-1-R-2</t>
        </is>
      </c>
      <c r="C222" s="9" t="inlineStr">
        <is>
          <t>29103-ET-P1404-1</t>
        </is>
      </c>
      <c r="D222" s="9" t="inlineStr">
        <is>
          <t>29103-HTP-003 HTC-01</t>
        </is>
      </c>
      <c r="E222" s="9" t="inlineStr">
        <is>
          <t>29103-HTP-003</t>
        </is>
      </c>
      <c r="F222" s="9" t="inlineStr"/>
      <c r="G222" s="9" t="inlineStr">
        <is>
          <t>113</t>
        </is>
      </c>
      <c r="H222" s="9" t="inlineStr">
        <is>
          <t>29103-ET-P1404-1-R-2.pdf</t>
        </is>
      </c>
      <c r="I222" s="4" t="str">
        <f>IF($H222&lt;&gt;"","YES","NO")</f>
        <v>YES</v>
      </c>
      <c r="J222" s="4" t="str">
        <f>IF(N($T222)&gt;0,"YES","NO")</f>
        <v>NO</v>
      </c>
      <c r="K222" s="4" t="str">
        <f>IF(OR($A222="EHT Trace"),IF(AND($U222&lt;&gt;"",$V222&lt;&gt;""),"YES","NO"),"N/A")</f>
        <v>N/A</v>
      </c>
      <c r="L222" s="4" t="str">
        <f>IF(OR($A222="EHT Trace"),IF(AND($X222&lt;&gt;"",$Y222&lt;&gt;""),"YES","NO"),"N/A")</f>
        <v>N/A</v>
      </c>
      <c r="M222" s="4" t="str">
        <f>IF(OR($A222="EHT Trace"),IF(AND($AA222&lt;&gt;"",$AB222&lt;&gt;""),"YES","NO"),"N/A")</f>
        <v>N/A</v>
      </c>
      <c r="N222" s="4" t="str">
        <f>IF(OR($A222="Power Cable"),IF(AND($AD222&lt;&gt;""),"YES","NO"),"N/A")</f>
        <v>N/A</v>
      </c>
      <c r="O222" s="4" t="str">
        <f>IF(OR($A222="Power Cable",$A222="RTD Cable",$A222="Fieldbus Cable"),IF(AND($AE222&lt;&gt;""),"YES","NO"),"N/A")</f>
        <v>NO</v>
      </c>
      <c r="P222" s="4" t="str">
        <f>IF(OR($A222="RTD"),IF(AND($AH222&lt;&gt;""),"YES","NO"),"N/A")</f>
        <v>N/A</v>
      </c>
      <c r="Q222" s="4" t="str">
        <f>IF(OR($A222="RTD"),IF(AND($AI222&lt;&gt;""),"YES","NO"),"N/A")</f>
        <v>N/A</v>
      </c>
      <c r="R222" s="4" t="str">
        <f>IF(OR($AM222&lt;&gt;"",$Z222&lt;&gt;"",$AC222&lt;&gt;""),"YES","NO")</f>
        <v>NO</v>
      </c>
      <c r="S222" s="4" t="str">
        <f>IF(COUNTIF(I222:R222,"NO")=0,"YES","NO")</f>
        <v>NO</v>
      </c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inlineStr">
        <is>
          <t>ACIC</t>
        </is>
      </c>
      <c r="AK222" s="9" t="inlineStr">
        <is>
          <t>16AWG</t>
        </is>
      </c>
      <c r="AL222" s="9" t="inlineStr">
        <is>
          <t>Levy Ostrup</t>
        </is>
      </c>
      <c r="AM222" s="9" t="n"/>
      <c r="AN222" s="9" t="n"/>
    </row>
    <row r="223">
      <c r="A223" s="9" t="inlineStr">
        <is>
          <t>RTD Cable</t>
        </is>
      </c>
      <c r="B223" s="9" t="inlineStr">
        <is>
          <t>29103-ET-P1404-2-R-1</t>
        </is>
      </c>
      <c r="C223" s="9" t="inlineStr">
        <is>
          <t>29103-ET-P1404-2</t>
        </is>
      </c>
      <c r="D223" s="9" t="inlineStr">
        <is>
          <t>29103-HTP-003 HTC-26</t>
        </is>
      </c>
      <c r="E223" s="9" t="inlineStr">
        <is>
          <t>29103-HTP-003</t>
        </is>
      </c>
      <c r="F223" s="9" t="inlineStr"/>
      <c r="G223" s="9" t="inlineStr">
        <is>
          <t>113</t>
        </is>
      </c>
      <c r="H223" s="9" t="inlineStr">
        <is>
          <t>29103-ET-P1404-2-R-1.pdf</t>
        </is>
      </c>
      <c r="I223" s="4" t="str">
        <f>IF($H223&lt;&gt;"","YES","NO")</f>
        <v>YES</v>
      </c>
      <c r="J223" s="4" t="str">
        <f>IF(N($T223)&gt;0,"YES","NO")</f>
        <v>NO</v>
      </c>
      <c r="K223" s="4" t="str">
        <f>IF(OR($A223="EHT Trace"),IF(AND($U223&lt;&gt;"",$V223&lt;&gt;""),"YES","NO"),"N/A")</f>
        <v>N/A</v>
      </c>
      <c r="L223" s="4" t="str">
        <f>IF(OR($A223="EHT Trace"),IF(AND($X223&lt;&gt;"",$Y223&lt;&gt;""),"YES","NO"),"N/A")</f>
        <v>N/A</v>
      </c>
      <c r="M223" s="4" t="str">
        <f>IF(OR($A223="EHT Trace"),IF(AND($AA223&lt;&gt;"",$AB223&lt;&gt;""),"YES","NO"),"N/A")</f>
        <v>N/A</v>
      </c>
      <c r="N223" s="4" t="str">
        <f>IF(OR($A223="Power Cable"),IF(AND($AD223&lt;&gt;""),"YES","NO"),"N/A")</f>
        <v>N/A</v>
      </c>
      <c r="O223" s="4" t="str">
        <f>IF(OR($A223="Power Cable",$A223="RTD Cable",$A223="Fieldbus Cable"),IF(AND($AE223&lt;&gt;""),"YES","NO"),"N/A")</f>
        <v>NO</v>
      </c>
      <c r="P223" s="4" t="str">
        <f>IF(OR($A223="RTD"),IF(AND($AH223&lt;&gt;""),"YES","NO"),"N/A")</f>
        <v>N/A</v>
      </c>
      <c r="Q223" s="4" t="str">
        <f>IF(OR($A223="RTD"),IF(AND($AI223&lt;&gt;""),"YES","NO"),"N/A")</f>
        <v>N/A</v>
      </c>
      <c r="R223" s="4" t="str">
        <f>IF(OR($AM223&lt;&gt;"",$Z223&lt;&gt;"",$AC223&lt;&gt;""),"YES","NO")</f>
        <v>NO</v>
      </c>
      <c r="S223" s="4" t="str">
        <f>IF(COUNTIF(I223:R223,"NO")=0,"YES","NO")</f>
        <v>NO</v>
      </c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inlineStr">
        <is>
          <t>ACIC</t>
        </is>
      </c>
      <c r="AK223" s="9" t="inlineStr">
        <is>
          <t>16AWG</t>
        </is>
      </c>
      <c r="AL223" s="9" t="inlineStr">
        <is>
          <t>Levy Ostrup</t>
        </is>
      </c>
      <c r="AM223" s="9" t="n"/>
      <c r="AN223" s="9" t="n"/>
    </row>
    <row r="224">
      <c r="A224" s="9" t="inlineStr">
        <is>
          <t>RTD Cable</t>
        </is>
      </c>
      <c r="B224" s="9" t="inlineStr">
        <is>
          <t>29103-ET-P1404-2-R-2</t>
        </is>
      </c>
      <c r="C224" s="9" t="inlineStr">
        <is>
          <t>29103-ET-P1404-2</t>
        </is>
      </c>
      <c r="D224" s="9" t="inlineStr">
        <is>
          <t>29103-HTP-003 HTC-03</t>
        </is>
      </c>
      <c r="E224" s="9" t="inlineStr">
        <is>
          <t>29103-HTP-003</t>
        </is>
      </c>
      <c r="F224" s="9" t="inlineStr"/>
      <c r="G224" s="9" t="inlineStr">
        <is>
          <t>113</t>
        </is>
      </c>
      <c r="H224" s="9" t="inlineStr">
        <is>
          <t>29103-ET-P1404-2-R-2.pdf</t>
        </is>
      </c>
      <c r="I224" s="4" t="str">
        <f>IF($H224&lt;&gt;"","YES","NO")</f>
        <v>YES</v>
      </c>
      <c r="J224" s="4" t="str">
        <f>IF(N($T224)&gt;0,"YES","NO")</f>
        <v>NO</v>
      </c>
      <c r="K224" s="4" t="str">
        <f>IF(OR($A224="EHT Trace"),IF(AND($U224&lt;&gt;"",$V224&lt;&gt;""),"YES","NO"),"N/A")</f>
        <v>N/A</v>
      </c>
      <c r="L224" s="4" t="str">
        <f>IF(OR($A224="EHT Trace"),IF(AND($X224&lt;&gt;"",$Y224&lt;&gt;""),"YES","NO"),"N/A")</f>
        <v>N/A</v>
      </c>
      <c r="M224" s="4" t="str">
        <f>IF(OR($A224="EHT Trace"),IF(AND($AA224&lt;&gt;"",$AB224&lt;&gt;""),"YES","NO"),"N/A")</f>
        <v>N/A</v>
      </c>
      <c r="N224" s="4" t="str">
        <f>IF(OR($A224="Power Cable"),IF(AND($AD224&lt;&gt;""),"YES","NO"),"N/A")</f>
        <v>N/A</v>
      </c>
      <c r="O224" s="4" t="str">
        <f>IF(OR($A224="Power Cable",$A224="RTD Cable",$A224="Fieldbus Cable"),IF(AND($AE224&lt;&gt;""),"YES","NO"),"N/A")</f>
        <v>NO</v>
      </c>
      <c r="P224" s="4" t="str">
        <f>IF(OR($A224="RTD"),IF(AND($AH224&lt;&gt;""),"YES","NO"),"N/A")</f>
        <v>N/A</v>
      </c>
      <c r="Q224" s="4" t="str">
        <f>IF(OR($A224="RTD"),IF(AND($AI224&lt;&gt;""),"YES","NO"),"N/A")</f>
        <v>N/A</v>
      </c>
      <c r="R224" s="4" t="str">
        <f>IF(OR($AM224&lt;&gt;"",$Z224&lt;&gt;"",$AC224&lt;&gt;""),"YES","NO")</f>
        <v>NO</v>
      </c>
      <c r="S224" s="4" t="str">
        <f>IF(COUNTIF(I224:R224,"NO")=0,"YES","NO")</f>
        <v>NO</v>
      </c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inlineStr">
        <is>
          <t>ACIC</t>
        </is>
      </c>
      <c r="AK224" s="9" t="inlineStr">
        <is>
          <t>16AWG</t>
        </is>
      </c>
      <c r="AL224" s="9" t="inlineStr">
        <is>
          <t>Levy Ostrup</t>
        </is>
      </c>
      <c r="AM224" s="9" t="n"/>
      <c r="AN224" s="9" t="n"/>
    </row>
    <row r="225">
      <c r="A225" s="9" t="inlineStr">
        <is>
          <t>RTD Cable</t>
        </is>
      </c>
      <c r="B225" s="9" t="inlineStr">
        <is>
          <t>29103-ET-P1501-1-R-1</t>
        </is>
      </c>
      <c r="C225" s="9" t="inlineStr">
        <is>
          <t>29103-ET-P1501-1</t>
        </is>
      </c>
      <c r="D225" s="9" t="inlineStr">
        <is>
          <t>29103-HTP-003 HTC-04</t>
        </is>
      </c>
      <c r="E225" s="9" t="inlineStr">
        <is>
          <t>29103-HTP-003</t>
        </is>
      </c>
      <c r="F225" s="9" t="inlineStr"/>
      <c r="G225" s="9" t="inlineStr">
        <is>
          <t>113</t>
        </is>
      </c>
      <c r="H225" s="9" t="inlineStr">
        <is>
          <t>29103-ET-P1501-1-R-1.pdf</t>
        </is>
      </c>
      <c r="I225" s="4" t="str">
        <f>IF($H225&lt;&gt;"","YES","NO")</f>
        <v>YES</v>
      </c>
      <c r="J225" s="4" t="str">
        <f>IF(N($T225)&gt;0,"YES","NO")</f>
        <v>NO</v>
      </c>
      <c r="K225" s="4" t="str">
        <f>IF(OR($A225="EHT Trace"),IF(AND($U225&lt;&gt;"",$V225&lt;&gt;""),"YES","NO"),"N/A")</f>
        <v>N/A</v>
      </c>
      <c r="L225" s="4" t="str">
        <f>IF(OR($A225="EHT Trace"),IF(AND($X225&lt;&gt;"",$Y225&lt;&gt;""),"YES","NO"),"N/A")</f>
        <v>N/A</v>
      </c>
      <c r="M225" s="4" t="str">
        <f>IF(OR($A225="EHT Trace"),IF(AND($AA225&lt;&gt;"",$AB225&lt;&gt;""),"YES","NO"),"N/A")</f>
        <v>N/A</v>
      </c>
      <c r="N225" s="4" t="str">
        <f>IF(OR($A225="Power Cable"),IF(AND($AD225&lt;&gt;""),"YES","NO"),"N/A")</f>
        <v>N/A</v>
      </c>
      <c r="O225" s="4" t="str">
        <f>IF(OR($A225="Power Cable",$A225="RTD Cable",$A225="Fieldbus Cable"),IF(AND($AE225&lt;&gt;""),"YES","NO"),"N/A")</f>
        <v>NO</v>
      </c>
      <c r="P225" s="4" t="str">
        <f>IF(OR($A225="RTD"),IF(AND($AH225&lt;&gt;""),"YES","NO"),"N/A")</f>
        <v>N/A</v>
      </c>
      <c r="Q225" s="4" t="str">
        <f>IF(OR($A225="RTD"),IF(AND($AI225&lt;&gt;""),"YES","NO"),"N/A")</f>
        <v>N/A</v>
      </c>
      <c r="R225" s="4" t="str">
        <f>IF(OR($AM225&lt;&gt;"",$Z225&lt;&gt;"",$AC225&lt;&gt;""),"YES","NO")</f>
        <v>NO</v>
      </c>
      <c r="S225" s="4" t="str">
        <f>IF(COUNTIF(I225:R225,"NO")=0,"YES","NO")</f>
        <v>NO</v>
      </c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inlineStr">
        <is>
          <t>ACIC</t>
        </is>
      </c>
      <c r="AK225" s="9" t="inlineStr">
        <is>
          <t>16AWG</t>
        </is>
      </c>
      <c r="AL225" s="9" t="inlineStr">
        <is>
          <t>Levy Ostrup</t>
        </is>
      </c>
      <c r="AM225" s="9" t="n"/>
      <c r="AN225" s="9" t="n"/>
    </row>
    <row r="226">
      <c r="A226" s="9" t="inlineStr">
        <is>
          <t>RTD Cable</t>
        </is>
      </c>
      <c r="B226" s="9" t="inlineStr">
        <is>
          <t>29103-ET-P1504-1-R-1</t>
        </is>
      </c>
      <c r="C226" s="9" t="inlineStr">
        <is>
          <t>29103-ET-P1504-1</t>
        </is>
      </c>
      <c r="D226" s="9" t="inlineStr">
        <is>
          <t>29103-HTP-003 HTC-02</t>
        </is>
      </c>
      <c r="E226" s="9" t="inlineStr">
        <is>
          <t>29103-HTP-003</t>
        </is>
      </c>
      <c r="F226" s="9" t="inlineStr"/>
      <c r="G226" s="9" t="inlineStr">
        <is>
          <t>113</t>
        </is>
      </c>
      <c r="H226" s="9" t="inlineStr">
        <is>
          <t>29103-ET-P1504-1-R-1.pdf</t>
        </is>
      </c>
      <c r="I226" s="4" t="str">
        <f>IF($H226&lt;&gt;"","YES","NO")</f>
        <v>YES</v>
      </c>
      <c r="J226" s="4" t="str">
        <f>IF(N($T226)&gt;0,"YES","NO")</f>
        <v>NO</v>
      </c>
      <c r="K226" s="4" t="str">
        <f>IF(OR($A226="EHT Trace"),IF(AND($U226&lt;&gt;"",$V226&lt;&gt;""),"YES","NO"),"N/A")</f>
        <v>N/A</v>
      </c>
      <c r="L226" s="4" t="str">
        <f>IF(OR($A226="EHT Trace"),IF(AND($X226&lt;&gt;"",$Y226&lt;&gt;""),"YES","NO"),"N/A")</f>
        <v>N/A</v>
      </c>
      <c r="M226" s="4" t="str">
        <f>IF(OR($A226="EHT Trace"),IF(AND($AA226&lt;&gt;"",$AB226&lt;&gt;""),"YES","NO"),"N/A")</f>
        <v>N/A</v>
      </c>
      <c r="N226" s="4" t="str">
        <f>IF(OR($A226="Power Cable"),IF(AND($AD226&lt;&gt;""),"YES","NO"),"N/A")</f>
        <v>N/A</v>
      </c>
      <c r="O226" s="4" t="str">
        <f>IF(OR($A226="Power Cable",$A226="RTD Cable",$A226="Fieldbus Cable"),IF(AND($AE226&lt;&gt;""),"YES","NO"),"N/A")</f>
        <v>NO</v>
      </c>
      <c r="P226" s="4" t="str">
        <f>IF(OR($A226="RTD"),IF(AND($AH226&lt;&gt;""),"YES","NO"),"N/A")</f>
        <v>N/A</v>
      </c>
      <c r="Q226" s="4" t="str">
        <f>IF(OR($A226="RTD"),IF(AND($AI226&lt;&gt;""),"YES","NO"),"N/A")</f>
        <v>N/A</v>
      </c>
      <c r="R226" s="4" t="str">
        <f>IF(OR($AM226&lt;&gt;"",$Z226&lt;&gt;"",$AC226&lt;&gt;""),"YES","NO")</f>
        <v>NO</v>
      </c>
      <c r="S226" s="4" t="str">
        <f>IF(COUNTIF(I226:R226,"NO")=0,"YES","NO")</f>
        <v>NO</v>
      </c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inlineStr">
        <is>
          <t>ACIC</t>
        </is>
      </c>
      <c r="AK226" s="9" t="inlineStr">
        <is>
          <t>16AWG</t>
        </is>
      </c>
      <c r="AL226" s="9" t="inlineStr">
        <is>
          <t>Levy Ostrup</t>
        </is>
      </c>
      <c r="AM226" s="9" t="n"/>
      <c r="AN226" s="9" t="n"/>
    </row>
    <row r="227">
      <c r="A227" s="9" t="inlineStr">
        <is>
          <t>RTD Cable</t>
        </is>
      </c>
      <c r="B227" s="9" t="inlineStr">
        <is>
          <t>29103-ET-P1504-1-R-2</t>
        </is>
      </c>
      <c r="C227" s="9" t="inlineStr">
        <is>
          <t>29103-ET-P1504-1</t>
        </is>
      </c>
      <c r="D227" s="9" t="inlineStr">
        <is>
          <t>29103-HTP-003 I/O-1-3</t>
        </is>
      </c>
      <c r="E227" s="9" t="inlineStr">
        <is>
          <t>29103-HTP-003</t>
        </is>
      </c>
      <c r="F227" s="9" t="inlineStr"/>
      <c r="G227" s="9" t="inlineStr">
        <is>
          <t>113</t>
        </is>
      </c>
      <c r="H227" s="9" t="inlineStr">
        <is>
          <t>29103-ET-P1504-1-R-2.pdf</t>
        </is>
      </c>
      <c r="I227" s="4" t="str">
        <f>IF($H227&lt;&gt;"","YES","NO")</f>
        <v>YES</v>
      </c>
      <c r="J227" s="4" t="str">
        <f>IF(N($T227)&gt;0,"YES","NO")</f>
        <v>NO</v>
      </c>
      <c r="K227" s="4" t="str">
        <f>IF(OR($A227="EHT Trace"),IF(AND($U227&lt;&gt;"",$V227&lt;&gt;""),"YES","NO"),"N/A")</f>
        <v>N/A</v>
      </c>
      <c r="L227" s="4" t="str">
        <f>IF(OR($A227="EHT Trace"),IF(AND($X227&lt;&gt;"",$Y227&lt;&gt;""),"YES","NO"),"N/A")</f>
        <v>N/A</v>
      </c>
      <c r="M227" s="4" t="str">
        <f>IF(OR($A227="EHT Trace"),IF(AND($AA227&lt;&gt;"",$AB227&lt;&gt;""),"YES","NO"),"N/A")</f>
        <v>N/A</v>
      </c>
      <c r="N227" s="4" t="str">
        <f>IF(OR($A227="Power Cable"),IF(AND($AD227&lt;&gt;""),"YES","NO"),"N/A")</f>
        <v>N/A</v>
      </c>
      <c r="O227" s="4" t="str">
        <f>IF(OR($A227="Power Cable",$A227="RTD Cable",$A227="Fieldbus Cable"),IF(AND($AE227&lt;&gt;""),"YES","NO"),"N/A")</f>
        <v>NO</v>
      </c>
      <c r="P227" s="4" t="str">
        <f>IF(OR($A227="RTD"),IF(AND($AH227&lt;&gt;""),"YES","NO"),"N/A")</f>
        <v>N/A</v>
      </c>
      <c r="Q227" s="4" t="str">
        <f>IF(OR($A227="RTD"),IF(AND($AI227&lt;&gt;""),"YES","NO"),"N/A")</f>
        <v>N/A</v>
      </c>
      <c r="R227" s="4" t="str">
        <f>IF(OR($AM227&lt;&gt;"",$Z227&lt;&gt;"",$AC227&lt;&gt;""),"YES","NO")</f>
        <v>NO</v>
      </c>
      <c r="S227" s="4" t="str">
        <f>IF(COUNTIF(I227:R227,"NO")=0,"YES","NO")</f>
        <v>NO</v>
      </c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inlineStr">
        <is>
          <t>ACIC</t>
        </is>
      </c>
      <c r="AK227" s="9" t="inlineStr">
        <is>
          <t>16AWG</t>
        </is>
      </c>
      <c r="AL227" s="9" t="inlineStr">
        <is>
          <t>Levy Ostrup</t>
        </is>
      </c>
      <c r="AM227" s="9" t="n"/>
      <c r="AN227" s="9" t="n"/>
    </row>
    <row r="228">
      <c r="A228" s="9" t="inlineStr">
        <is>
          <t>RTD Cable</t>
        </is>
      </c>
      <c r="B228" s="9" t="inlineStr">
        <is>
          <t>29103-ET-P1504-2-R-1</t>
        </is>
      </c>
      <c r="C228" s="9" t="inlineStr">
        <is>
          <t>29103-ET-P1504-2</t>
        </is>
      </c>
      <c r="D228" s="9" t="inlineStr">
        <is>
          <t>29103-HTP-003 HTC-27</t>
        </is>
      </c>
      <c r="E228" s="9" t="inlineStr">
        <is>
          <t>29103-HTP-003</t>
        </is>
      </c>
      <c r="F228" s="9" t="inlineStr"/>
      <c r="G228" s="9" t="inlineStr">
        <is>
          <t>113</t>
        </is>
      </c>
      <c r="H228" s="9" t="inlineStr">
        <is>
          <t>29103-ET-P1504-2-R-1.pdf</t>
        </is>
      </c>
      <c r="I228" s="4" t="str">
        <f>IF($H228&lt;&gt;"","YES","NO")</f>
        <v>YES</v>
      </c>
      <c r="J228" s="4" t="str">
        <f>IF(N($T228)&gt;0,"YES","NO")</f>
        <v>NO</v>
      </c>
      <c r="K228" s="4" t="str">
        <f>IF(OR($A228="EHT Trace"),IF(AND($U228&lt;&gt;"",$V228&lt;&gt;""),"YES","NO"),"N/A")</f>
        <v>N/A</v>
      </c>
      <c r="L228" s="4" t="str">
        <f>IF(OR($A228="EHT Trace"),IF(AND($X228&lt;&gt;"",$Y228&lt;&gt;""),"YES","NO"),"N/A")</f>
        <v>N/A</v>
      </c>
      <c r="M228" s="4" t="str">
        <f>IF(OR($A228="EHT Trace"),IF(AND($AA228&lt;&gt;"",$AB228&lt;&gt;""),"YES","NO"),"N/A")</f>
        <v>N/A</v>
      </c>
      <c r="N228" s="4" t="str">
        <f>IF(OR($A228="Power Cable"),IF(AND($AD228&lt;&gt;""),"YES","NO"),"N/A")</f>
        <v>N/A</v>
      </c>
      <c r="O228" s="4" t="str">
        <f>IF(OR($A228="Power Cable",$A228="RTD Cable",$A228="Fieldbus Cable"),IF(AND($AE228&lt;&gt;""),"YES","NO"),"N/A")</f>
        <v>NO</v>
      </c>
      <c r="P228" s="4" t="str">
        <f>IF(OR($A228="RTD"),IF(AND($AH228&lt;&gt;""),"YES","NO"),"N/A")</f>
        <v>N/A</v>
      </c>
      <c r="Q228" s="4" t="str">
        <f>IF(OR($A228="RTD"),IF(AND($AI228&lt;&gt;""),"YES","NO"),"N/A")</f>
        <v>N/A</v>
      </c>
      <c r="R228" s="4" t="str">
        <f>IF(OR($AM228&lt;&gt;"",$Z228&lt;&gt;"",$AC228&lt;&gt;""),"YES","NO")</f>
        <v>NO</v>
      </c>
      <c r="S228" s="4" t="str">
        <f>IF(COUNTIF(I228:R228,"NO")=0,"YES","NO")</f>
        <v>NO</v>
      </c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inlineStr">
        <is>
          <t>ACIC</t>
        </is>
      </c>
      <c r="AK228" s="9" t="inlineStr">
        <is>
          <t>16AWG</t>
        </is>
      </c>
      <c r="AL228" s="9" t="inlineStr">
        <is>
          <t>Levy Ostrup</t>
        </is>
      </c>
      <c r="AM228" s="9" t="n"/>
      <c r="AN228" s="9" t="n"/>
    </row>
    <row r="229">
      <c r="A229" s="9" t="inlineStr">
        <is>
          <t>RTD Cable</t>
        </is>
      </c>
      <c r="B229" s="9" t="inlineStr">
        <is>
          <t>29103-ET-P1504-2-R-2</t>
        </is>
      </c>
      <c r="C229" s="9" t="inlineStr">
        <is>
          <t>29103-ET-P1504-2</t>
        </is>
      </c>
      <c r="D229" s="9" t="inlineStr">
        <is>
          <t>29103-HTP-003 HTC-58</t>
        </is>
      </c>
      <c r="E229" s="9" t="inlineStr">
        <is>
          <t>29103-HTP-003</t>
        </is>
      </c>
      <c r="F229" s="9" t="inlineStr"/>
      <c r="G229" s="9" t="inlineStr">
        <is>
          <t>113</t>
        </is>
      </c>
      <c r="H229" s="9" t="inlineStr">
        <is>
          <t>29103-ET-P1504-2-R-2.pdf</t>
        </is>
      </c>
      <c r="I229" s="4" t="str">
        <f>IF($H229&lt;&gt;"","YES","NO")</f>
        <v>YES</v>
      </c>
      <c r="J229" s="4" t="str">
        <f>IF(N($T229)&gt;0,"YES","NO")</f>
        <v>NO</v>
      </c>
      <c r="K229" s="4" t="str">
        <f>IF(OR($A229="EHT Trace"),IF(AND($U229&lt;&gt;"",$V229&lt;&gt;""),"YES","NO"),"N/A")</f>
        <v>N/A</v>
      </c>
      <c r="L229" s="4" t="str">
        <f>IF(OR($A229="EHT Trace"),IF(AND($X229&lt;&gt;"",$Y229&lt;&gt;""),"YES","NO"),"N/A")</f>
        <v>N/A</v>
      </c>
      <c r="M229" s="4" t="str">
        <f>IF(OR($A229="EHT Trace"),IF(AND($AA229&lt;&gt;"",$AB229&lt;&gt;""),"YES","NO"),"N/A")</f>
        <v>N/A</v>
      </c>
      <c r="N229" s="4" t="str">
        <f>IF(OR($A229="Power Cable"),IF(AND($AD229&lt;&gt;""),"YES","NO"),"N/A")</f>
        <v>N/A</v>
      </c>
      <c r="O229" s="4" t="str">
        <f>IF(OR($A229="Power Cable",$A229="RTD Cable",$A229="Fieldbus Cable"),IF(AND($AE229&lt;&gt;""),"YES","NO"),"N/A")</f>
        <v>NO</v>
      </c>
      <c r="P229" s="4" t="str">
        <f>IF(OR($A229="RTD"),IF(AND($AH229&lt;&gt;""),"YES","NO"),"N/A")</f>
        <v>N/A</v>
      </c>
      <c r="Q229" s="4" t="str">
        <f>IF(OR($A229="RTD"),IF(AND($AI229&lt;&gt;""),"YES","NO"),"N/A")</f>
        <v>N/A</v>
      </c>
      <c r="R229" s="4" t="str">
        <f>IF(OR($AM229&lt;&gt;"",$Z229&lt;&gt;"",$AC229&lt;&gt;""),"YES","NO")</f>
        <v>NO</v>
      </c>
      <c r="S229" s="4" t="str">
        <f>IF(COUNTIF(I229:R229,"NO")=0,"YES","NO")</f>
        <v>NO</v>
      </c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inlineStr">
        <is>
          <t>ACIC</t>
        </is>
      </c>
      <c r="AK229" s="9" t="inlineStr">
        <is>
          <t>16AWG</t>
        </is>
      </c>
      <c r="AL229" s="9" t="inlineStr">
        <is>
          <t>Levy Ostrup</t>
        </is>
      </c>
      <c r="AM229" s="9" t="n"/>
      <c r="AN229" s="9" t="n"/>
    </row>
    <row r="230">
      <c r="A230" s="9" t="inlineStr">
        <is>
          <t>RTD Cable</t>
        </is>
      </c>
      <c r="B230" s="9" t="inlineStr">
        <is>
          <t>29103-ET-P1601-1-R-1</t>
        </is>
      </c>
      <c r="C230" s="9" t="inlineStr">
        <is>
          <t>29103-ET-P1601-1</t>
        </is>
      </c>
      <c r="D230" s="9" t="inlineStr">
        <is>
          <t>29103-HTP-003 HTC-05</t>
        </is>
      </c>
      <c r="E230" s="9" t="inlineStr">
        <is>
          <t>29103-HTP-003</t>
        </is>
      </c>
      <c r="F230" s="9" t="inlineStr"/>
      <c r="G230" s="9" t="inlineStr">
        <is>
          <t>113</t>
        </is>
      </c>
      <c r="H230" s="9" t="inlineStr">
        <is>
          <t>29103-ET-P1601-1-R-1.pdf</t>
        </is>
      </c>
      <c r="I230" s="4" t="str">
        <f>IF($H230&lt;&gt;"","YES","NO")</f>
        <v>YES</v>
      </c>
      <c r="J230" s="4" t="str">
        <f>IF(N($T230)&gt;0,"YES","NO")</f>
        <v>NO</v>
      </c>
      <c r="K230" s="4" t="str">
        <f>IF(OR($A230="EHT Trace"),IF(AND($U230&lt;&gt;"",$V230&lt;&gt;""),"YES","NO"),"N/A")</f>
        <v>N/A</v>
      </c>
      <c r="L230" s="4" t="str">
        <f>IF(OR($A230="EHT Trace"),IF(AND($X230&lt;&gt;"",$Y230&lt;&gt;""),"YES","NO"),"N/A")</f>
        <v>N/A</v>
      </c>
      <c r="M230" s="4" t="str">
        <f>IF(OR($A230="EHT Trace"),IF(AND($AA230&lt;&gt;"",$AB230&lt;&gt;""),"YES","NO"),"N/A")</f>
        <v>N/A</v>
      </c>
      <c r="N230" s="4" t="str">
        <f>IF(OR($A230="Power Cable"),IF(AND($AD230&lt;&gt;""),"YES","NO"),"N/A")</f>
        <v>N/A</v>
      </c>
      <c r="O230" s="4" t="str">
        <f>IF(OR($A230="Power Cable",$A230="RTD Cable",$A230="Fieldbus Cable"),IF(AND($AE230&lt;&gt;""),"YES","NO"),"N/A")</f>
        <v>NO</v>
      </c>
      <c r="P230" s="4" t="str">
        <f>IF(OR($A230="RTD"),IF(AND($AH230&lt;&gt;""),"YES","NO"),"N/A")</f>
        <v>N/A</v>
      </c>
      <c r="Q230" s="4" t="str">
        <f>IF(OR($A230="RTD"),IF(AND($AI230&lt;&gt;""),"YES","NO"),"N/A")</f>
        <v>N/A</v>
      </c>
      <c r="R230" s="4" t="str">
        <f>IF(OR($AM230&lt;&gt;"",$Z230&lt;&gt;"",$AC230&lt;&gt;""),"YES","NO")</f>
        <v>NO</v>
      </c>
      <c r="S230" s="4" t="str">
        <f>IF(COUNTIF(I230:R230,"NO")=0,"YES","NO")</f>
        <v>NO</v>
      </c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inlineStr">
        <is>
          <t>ACIC</t>
        </is>
      </c>
      <c r="AK230" s="9" t="inlineStr">
        <is>
          <t>16AWG</t>
        </is>
      </c>
      <c r="AL230" s="9" t="inlineStr">
        <is>
          <t>Levy Ostrup</t>
        </is>
      </c>
      <c r="AM230" s="9" t="n"/>
      <c r="AN230" s="9" t="n"/>
    </row>
    <row r="231">
      <c r="A231" s="9" t="inlineStr">
        <is>
          <t>RTD Cable</t>
        </is>
      </c>
      <c r="B231" s="9" t="inlineStr">
        <is>
          <t>29103-ET-P1604-1-R-1</t>
        </is>
      </c>
      <c r="C231" s="9" t="inlineStr">
        <is>
          <t>29103-ET-P1604-1</t>
        </is>
      </c>
      <c r="D231" s="9" t="inlineStr">
        <is>
          <t>29103-HTP-003 HTC-09</t>
        </is>
      </c>
      <c r="E231" s="9" t="inlineStr">
        <is>
          <t>29103-HTP-003</t>
        </is>
      </c>
      <c r="F231" s="9" t="inlineStr"/>
      <c r="G231" s="9" t="inlineStr">
        <is>
          <t>113</t>
        </is>
      </c>
      <c r="H231" s="9" t="inlineStr">
        <is>
          <t>29103-ET-P1604-1-R-1.pdf</t>
        </is>
      </c>
      <c r="I231" s="4" t="str">
        <f>IF($H231&lt;&gt;"","YES","NO")</f>
        <v>YES</v>
      </c>
      <c r="J231" s="4" t="str">
        <f>IF(N($T231)&gt;0,"YES","NO")</f>
        <v>NO</v>
      </c>
      <c r="K231" s="4" t="str">
        <f>IF(OR($A231="EHT Trace"),IF(AND($U231&lt;&gt;"",$V231&lt;&gt;""),"YES","NO"),"N/A")</f>
        <v>N/A</v>
      </c>
      <c r="L231" s="4" t="str">
        <f>IF(OR($A231="EHT Trace"),IF(AND($X231&lt;&gt;"",$Y231&lt;&gt;""),"YES","NO"),"N/A")</f>
        <v>N/A</v>
      </c>
      <c r="M231" s="4" t="str">
        <f>IF(OR($A231="EHT Trace"),IF(AND($AA231&lt;&gt;"",$AB231&lt;&gt;""),"YES","NO"),"N/A")</f>
        <v>N/A</v>
      </c>
      <c r="N231" s="4" t="str">
        <f>IF(OR($A231="Power Cable"),IF(AND($AD231&lt;&gt;""),"YES","NO"),"N/A")</f>
        <v>N/A</v>
      </c>
      <c r="O231" s="4" t="str">
        <f>IF(OR($A231="Power Cable",$A231="RTD Cable",$A231="Fieldbus Cable"),IF(AND($AE231&lt;&gt;""),"YES","NO"),"N/A")</f>
        <v>NO</v>
      </c>
      <c r="P231" s="4" t="str">
        <f>IF(OR($A231="RTD"),IF(AND($AH231&lt;&gt;""),"YES","NO"),"N/A")</f>
        <v>N/A</v>
      </c>
      <c r="Q231" s="4" t="str">
        <f>IF(OR($A231="RTD"),IF(AND($AI231&lt;&gt;""),"YES","NO"),"N/A")</f>
        <v>N/A</v>
      </c>
      <c r="R231" s="4" t="str">
        <f>IF(OR($AM231&lt;&gt;"",$Z231&lt;&gt;"",$AC231&lt;&gt;""),"YES","NO")</f>
        <v>NO</v>
      </c>
      <c r="S231" s="4" t="str">
        <f>IF(COUNTIF(I231:R231,"NO")=0,"YES","NO")</f>
        <v>NO</v>
      </c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inlineStr">
        <is>
          <t>ACIC</t>
        </is>
      </c>
      <c r="AK231" s="9" t="inlineStr">
        <is>
          <t>16AWG</t>
        </is>
      </c>
      <c r="AL231" s="9" t="inlineStr">
        <is>
          <t>Levy Ostrup</t>
        </is>
      </c>
      <c r="AM231" s="9" t="n"/>
      <c r="AN231" s="9" t="n"/>
    </row>
    <row r="232">
      <c r="A232" s="9" t="inlineStr">
        <is>
          <t>RTD Cable</t>
        </is>
      </c>
      <c r="B232" s="9" t="inlineStr">
        <is>
          <t>29103-ET-P1604-1-R-2</t>
        </is>
      </c>
      <c r="C232" s="9" t="inlineStr">
        <is>
          <t>29103-ET-P1604-1</t>
        </is>
      </c>
      <c r="D232" s="9" t="inlineStr">
        <is>
          <t>29103-HTP-003 I/O-1-4</t>
        </is>
      </c>
      <c r="E232" s="9" t="inlineStr">
        <is>
          <t>29103-HTP-003</t>
        </is>
      </c>
      <c r="F232" s="9" t="inlineStr"/>
      <c r="G232" s="9" t="inlineStr">
        <is>
          <t>113</t>
        </is>
      </c>
      <c r="H232" s="9" t="inlineStr">
        <is>
          <t>29103-ET-P1604-1-R-2.pdf</t>
        </is>
      </c>
      <c r="I232" s="4" t="str">
        <f>IF($H232&lt;&gt;"","YES","NO")</f>
        <v>YES</v>
      </c>
      <c r="J232" s="4" t="str">
        <f>IF(N($T232)&gt;0,"YES","NO")</f>
        <v>NO</v>
      </c>
      <c r="K232" s="4" t="str">
        <f>IF(OR($A232="EHT Trace"),IF(AND($U232&lt;&gt;"",$V232&lt;&gt;""),"YES","NO"),"N/A")</f>
        <v>N/A</v>
      </c>
      <c r="L232" s="4" t="str">
        <f>IF(OR($A232="EHT Trace"),IF(AND($X232&lt;&gt;"",$Y232&lt;&gt;""),"YES","NO"),"N/A")</f>
        <v>N/A</v>
      </c>
      <c r="M232" s="4" t="str">
        <f>IF(OR($A232="EHT Trace"),IF(AND($AA232&lt;&gt;"",$AB232&lt;&gt;""),"YES","NO"),"N/A")</f>
        <v>N/A</v>
      </c>
      <c r="N232" s="4" t="str">
        <f>IF(OR($A232="Power Cable"),IF(AND($AD232&lt;&gt;""),"YES","NO"),"N/A")</f>
        <v>N/A</v>
      </c>
      <c r="O232" s="4" t="str">
        <f>IF(OR($A232="Power Cable",$A232="RTD Cable",$A232="Fieldbus Cable"),IF(AND($AE232&lt;&gt;""),"YES","NO"),"N/A")</f>
        <v>NO</v>
      </c>
      <c r="P232" s="4" t="str">
        <f>IF(OR($A232="RTD"),IF(AND($AH232&lt;&gt;""),"YES","NO"),"N/A")</f>
        <v>N/A</v>
      </c>
      <c r="Q232" s="4" t="str">
        <f>IF(OR($A232="RTD"),IF(AND($AI232&lt;&gt;""),"YES","NO"),"N/A")</f>
        <v>N/A</v>
      </c>
      <c r="R232" s="4" t="str">
        <f>IF(OR($AM232&lt;&gt;"",$Z232&lt;&gt;"",$AC232&lt;&gt;""),"YES","NO")</f>
        <v>NO</v>
      </c>
      <c r="S232" s="4" t="str">
        <f>IF(COUNTIF(I232:R232,"NO")=0,"YES","NO")</f>
        <v>NO</v>
      </c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inlineStr">
        <is>
          <t>ACIC</t>
        </is>
      </c>
      <c r="AK232" s="9" t="inlineStr">
        <is>
          <t>16AWG</t>
        </is>
      </c>
      <c r="AL232" s="9" t="inlineStr">
        <is>
          <t>Levy Ostrup</t>
        </is>
      </c>
      <c r="AM232" s="9" t="n"/>
      <c r="AN232" s="9" t="n"/>
    </row>
    <row r="233">
      <c r="A233" s="9" t="inlineStr">
        <is>
          <t>RTD Cable</t>
        </is>
      </c>
      <c r="B233" s="9" t="inlineStr">
        <is>
          <t>29103-ET-P1604-2-R-1</t>
        </is>
      </c>
      <c r="C233" s="9" t="inlineStr">
        <is>
          <t>29103-ET-P1604-2</t>
        </is>
      </c>
      <c r="D233" s="9" t="inlineStr">
        <is>
          <t>29103-HTP-003 HTC-17</t>
        </is>
      </c>
      <c r="E233" s="9" t="inlineStr">
        <is>
          <t>29103-HTP-003</t>
        </is>
      </c>
      <c r="F233" s="9" t="inlineStr"/>
      <c r="G233" s="9" t="inlineStr">
        <is>
          <t>113</t>
        </is>
      </c>
      <c r="H233" s="9" t="inlineStr">
        <is>
          <t>29103-ET-P1604-2-R-1.pdf</t>
        </is>
      </c>
      <c r="I233" s="4" t="str">
        <f>IF($H233&lt;&gt;"","YES","NO")</f>
        <v>YES</v>
      </c>
      <c r="J233" s="4" t="str">
        <f>IF(N($T233)&gt;0,"YES","NO")</f>
        <v>NO</v>
      </c>
      <c r="K233" s="4" t="str">
        <f>IF(OR($A233="EHT Trace"),IF(AND($U233&lt;&gt;"",$V233&lt;&gt;""),"YES","NO"),"N/A")</f>
        <v>N/A</v>
      </c>
      <c r="L233" s="4" t="str">
        <f>IF(OR($A233="EHT Trace"),IF(AND($X233&lt;&gt;"",$Y233&lt;&gt;""),"YES","NO"),"N/A")</f>
        <v>N/A</v>
      </c>
      <c r="M233" s="4" t="str">
        <f>IF(OR($A233="EHT Trace"),IF(AND($AA233&lt;&gt;"",$AB233&lt;&gt;""),"YES","NO"),"N/A")</f>
        <v>N/A</v>
      </c>
      <c r="N233" s="4" t="str">
        <f>IF(OR($A233="Power Cable"),IF(AND($AD233&lt;&gt;""),"YES","NO"),"N/A")</f>
        <v>N/A</v>
      </c>
      <c r="O233" s="4" t="str">
        <f>IF(OR($A233="Power Cable",$A233="RTD Cable",$A233="Fieldbus Cable"),IF(AND($AE233&lt;&gt;""),"YES","NO"),"N/A")</f>
        <v>NO</v>
      </c>
      <c r="P233" s="4" t="str">
        <f>IF(OR($A233="RTD"),IF(AND($AH233&lt;&gt;""),"YES","NO"),"N/A")</f>
        <v>N/A</v>
      </c>
      <c r="Q233" s="4" t="str">
        <f>IF(OR($A233="RTD"),IF(AND($AI233&lt;&gt;""),"YES","NO"),"N/A")</f>
        <v>N/A</v>
      </c>
      <c r="R233" s="4" t="str">
        <f>IF(OR($AM233&lt;&gt;"",$Z233&lt;&gt;"",$AC233&lt;&gt;""),"YES","NO")</f>
        <v>NO</v>
      </c>
      <c r="S233" s="4" t="str">
        <f>IF(COUNTIF(I233:R233,"NO")=0,"YES","NO")</f>
        <v>NO</v>
      </c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inlineStr">
        <is>
          <t>ACIC</t>
        </is>
      </c>
      <c r="AK233" s="9" t="inlineStr">
        <is>
          <t>16AWG</t>
        </is>
      </c>
      <c r="AL233" s="9" t="inlineStr">
        <is>
          <t>Levy Ostrup</t>
        </is>
      </c>
      <c r="AM233" s="9" t="n"/>
      <c r="AN233" s="9" t="n"/>
    </row>
    <row r="234">
      <c r="A234" s="9" t="inlineStr">
        <is>
          <t>RTD Cable</t>
        </is>
      </c>
      <c r="B234" s="9" t="inlineStr">
        <is>
          <t>29103-ET-P1604-2-R-2</t>
        </is>
      </c>
      <c r="C234" s="9" t="inlineStr">
        <is>
          <t>29103-ET-P1604-2</t>
        </is>
      </c>
      <c r="D234" s="9" t="inlineStr">
        <is>
          <t>29103-HTP-003 HTC-59</t>
        </is>
      </c>
      <c r="E234" s="9" t="inlineStr">
        <is>
          <t>29103-HTP-003</t>
        </is>
      </c>
      <c r="F234" s="9" t="inlineStr"/>
      <c r="G234" s="9" t="inlineStr">
        <is>
          <t>113</t>
        </is>
      </c>
      <c r="H234" s="9" t="inlineStr">
        <is>
          <t>29103-ET-P1604-2-R-2.pdf</t>
        </is>
      </c>
      <c r="I234" s="4" t="str">
        <f>IF($H234&lt;&gt;"","YES","NO")</f>
        <v>YES</v>
      </c>
      <c r="J234" s="4" t="str">
        <f>IF(N($T234)&gt;0,"YES","NO")</f>
        <v>NO</v>
      </c>
      <c r="K234" s="4" t="str">
        <f>IF(OR($A234="EHT Trace"),IF(AND($U234&lt;&gt;"",$V234&lt;&gt;""),"YES","NO"),"N/A")</f>
        <v>N/A</v>
      </c>
      <c r="L234" s="4" t="str">
        <f>IF(OR($A234="EHT Trace"),IF(AND($X234&lt;&gt;"",$Y234&lt;&gt;""),"YES","NO"),"N/A")</f>
        <v>N/A</v>
      </c>
      <c r="M234" s="4" t="str">
        <f>IF(OR($A234="EHT Trace"),IF(AND($AA234&lt;&gt;"",$AB234&lt;&gt;""),"YES","NO"),"N/A")</f>
        <v>N/A</v>
      </c>
      <c r="N234" s="4" t="str">
        <f>IF(OR($A234="Power Cable"),IF(AND($AD234&lt;&gt;""),"YES","NO"),"N/A")</f>
        <v>N/A</v>
      </c>
      <c r="O234" s="4" t="str">
        <f>IF(OR($A234="Power Cable",$A234="RTD Cable",$A234="Fieldbus Cable"),IF(AND($AE234&lt;&gt;""),"YES","NO"),"N/A")</f>
        <v>NO</v>
      </c>
      <c r="P234" s="4" t="str">
        <f>IF(OR($A234="RTD"),IF(AND($AH234&lt;&gt;""),"YES","NO"),"N/A")</f>
        <v>N/A</v>
      </c>
      <c r="Q234" s="4" t="str">
        <f>IF(OR($A234="RTD"),IF(AND($AI234&lt;&gt;""),"YES","NO"),"N/A")</f>
        <v>N/A</v>
      </c>
      <c r="R234" s="4" t="str">
        <f>IF(OR($AM234&lt;&gt;"",$Z234&lt;&gt;"",$AC234&lt;&gt;""),"YES","NO")</f>
        <v>NO</v>
      </c>
      <c r="S234" s="4" t="str">
        <f>IF(COUNTIF(I234:R234,"NO")=0,"YES","NO")</f>
        <v>NO</v>
      </c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inlineStr">
        <is>
          <t>ACIC</t>
        </is>
      </c>
      <c r="AK234" s="9" t="inlineStr">
        <is>
          <t>16AWG</t>
        </is>
      </c>
      <c r="AL234" s="9" t="inlineStr">
        <is>
          <t>Levy Ostrup</t>
        </is>
      </c>
      <c r="AM234" s="9" t="n"/>
      <c r="AN234" s="9" t="n"/>
    </row>
    <row r="235">
      <c r="A235" s="9" t="inlineStr">
        <is>
          <t>RTD Cable</t>
        </is>
      </c>
      <c r="B235" s="9" t="inlineStr">
        <is>
          <t>29103-ET-P1701-1-R-1</t>
        </is>
      </c>
      <c r="C235" s="9" t="inlineStr">
        <is>
          <t>29103-ET-P1701-1</t>
        </is>
      </c>
      <c r="D235" s="9" t="inlineStr">
        <is>
          <t>29103-HTP-003 HTC-19</t>
        </is>
      </c>
      <c r="E235" s="9" t="inlineStr">
        <is>
          <t>29103-HTP-003</t>
        </is>
      </c>
      <c r="F235" s="9" t="inlineStr"/>
      <c r="G235" s="9" t="inlineStr">
        <is>
          <t>113</t>
        </is>
      </c>
      <c r="H235" s="9" t="inlineStr">
        <is>
          <t>29103-ET-P1701-1-R-1.pdf</t>
        </is>
      </c>
      <c r="I235" s="4" t="str">
        <f>IF($H235&lt;&gt;"","YES","NO")</f>
        <v>YES</v>
      </c>
      <c r="J235" s="4" t="str">
        <f>IF(N($T235)&gt;0,"YES","NO")</f>
        <v>NO</v>
      </c>
      <c r="K235" s="4" t="str">
        <f>IF(OR($A235="EHT Trace"),IF(AND($U235&lt;&gt;"",$V235&lt;&gt;""),"YES","NO"),"N/A")</f>
        <v>N/A</v>
      </c>
      <c r="L235" s="4" t="str">
        <f>IF(OR($A235="EHT Trace"),IF(AND($X235&lt;&gt;"",$Y235&lt;&gt;""),"YES","NO"),"N/A")</f>
        <v>N/A</v>
      </c>
      <c r="M235" s="4" t="str">
        <f>IF(OR($A235="EHT Trace"),IF(AND($AA235&lt;&gt;"",$AB235&lt;&gt;""),"YES","NO"),"N/A")</f>
        <v>N/A</v>
      </c>
      <c r="N235" s="4" t="str">
        <f>IF(OR($A235="Power Cable"),IF(AND($AD235&lt;&gt;""),"YES","NO"),"N/A")</f>
        <v>N/A</v>
      </c>
      <c r="O235" s="4" t="str">
        <f>IF(OR($A235="Power Cable",$A235="RTD Cable",$A235="Fieldbus Cable"),IF(AND($AE235&lt;&gt;""),"YES","NO"),"N/A")</f>
        <v>NO</v>
      </c>
      <c r="P235" s="4" t="str">
        <f>IF(OR($A235="RTD"),IF(AND($AH235&lt;&gt;""),"YES","NO"),"N/A")</f>
        <v>N/A</v>
      </c>
      <c r="Q235" s="4" t="str">
        <f>IF(OR($A235="RTD"),IF(AND($AI235&lt;&gt;""),"YES","NO"),"N/A")</f>
        <v>N/A</v>
      </c>
      <c r="R235" s="4" t="str">
        <f>IF(OR($AM235&lt;&gt;"",$Z235&lt;&gt;"",$AC235&lt;&gt;""),"YES","NO")</f>
        <v>NO</v>
      </c>
      <c r="S235" s="4" t="str">
        <f>IF(COUNTIF(I235:R235,"NO")=0,"YES","NO")</f>
        <v>NO</v>
      </c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inlineStr">
        <is>
          <t>ACIC</t>
        </is>
      </c>
      <c r="AK235" s="9" t="inlineStr">
        <is>
          <t>16AWG</t>
        </is>
      </c>
      <c r="AL235" s="9" t="inlineStr">
        <is>
          <t>Levy Ostrup</t>
        </is>
      </c>
      <c r="AM235" s="9" t="n"/>
      <c r="AN235" s="9" t="n"/>
    </row>
    <row r="236">
      <c r="A236" s="9" t="inlineStr">
        <is>
          <t>RTD Cable</t>
        </is>
      </c>
      <c r="B236" s="9" t="inlineStr">
        <is>
          <t>29103-ET-P1704-1-R-1</t>
        </is>
      </c>
      <c r="C236" s="9" t="inlineStr">
        <is>
          <t>29103-ET-P1704-1</t>
        </is>
      </c>
      <c r="D236" s="9" t="inlineStr">
        <is>
          <t>29103-HTP-003 HTC-18</t>
        </is>
      </c>
      <c r="E236" s="9" t="inlineStr">
        <is>
          <t>29103-HTP-003</t>
        </is>
      </c>
      <c r="F236" s="9" t="inlineStr"/>
      <c r="G236" s="9" t="inlineStr">
        <is>
          <t>113</t>
        </is>
      </c>
      <c r="H236" s="9" t="inlineStr">
        <is>
          <t>29103-ET-P1704-1-R-1.pdf</t>
        </is>
      </c>
      <c r="I236" s="4" t="str">
        <f>IF($H236&lt;&gt;"","YES","NO")</f>
        <v>YES</v>
      </c>
      <c r="J236" s="4" t="str">
        <f>IF(N($T236)&gt;0,"YES","NO")</f>
        <v>NO</v>
      </c>
      <c r="K236" s="4" t="str">
        <f>IF(OR($A236="EHT Trace"),IF(AND($U236&lt;&gt;"",$V236&lt;&gt;""),"YES","NO"),"N/A")</f>
        <v>N/A</v>
      </c>
      <c r="L236" s="4" t="str">
        <f>IF(OR($A236="EHT Trace"),IF(AND($X236&lt;&gt;"",$Y236&lt;&gt;""),"YES","NO"),"N/A")</f>
        <v>N/A</v>
      </c>
      <c r="M236" s="4" t="str">
        <f>IF(OR($A236="EHT Trace"),IF(AND($AA236&lt;&gt;"",$AB236&lt;&gt;""),"YES","NO"),"N/A")</f>
        <v>N/A</v>
      </c>
      <c r="N236" s="4" t="str">
        <f>IF(OR($A236="Power Cable"),IF(AND($AD236&lt;&gt;""),"YES","NO"),"N/A")</f>
        <v>N/A</v>
      </c>
      <c r="O236" s="4" t="str">
        <f>IF(OR($A236="Power Cable",$A236="RTD Cable",$A236="Fieldbus Cable"),IF(AND($AE236&lt;&gt;""),"YES","NO"),"N/A")</f>
        <v>NO</v>
      </c>
      <c r="P236" s="4" t="str">
        <f>IF(OR($A236="RTD"),IF(AND($AH236&lt;&gt;""),"YES","NO"),"N/A")</f>
        <v>N/A</v>
      </c>
      <c r="Q236" s="4" t="str">
        <f>IF(OR($A236="RTD"),IF(AND($AI236&lt;&gt;""),"YES","NO"),"N/A")</f>
        <v>N/A</v>
      </c>
      <c r="R236" s="4" t="str">
        <f>IF(OR($AM236&lt;&gt;"",$Z236&lt;&gt;"",$AC236&lt;&gt;""),"YES","NO")</f>
        <v>NO</v>
      </c>
      <c r="S236" s="4" t="str">
        <f>IF(COUNTIF(I236:R236,"NO")=0,"YES","NO")</f>
        <v>NO</v>
      </c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inlineStr">
        <is>
          <t>ACIC</t>
        </is>
      </c>
      <c r="AK236" s="9" t="inlineStr">
        <is>
          <t>16AWG</t>
        </is>
      </c>
      <c r="AL236" s="9" t="inlineStr">
        <is>
          <t>Levy Ostrup</t>
        </is>
      </c>
      <c r="AM236" s="9" t="n"/>
      <c r="AN236" s="9" t="n"/>
    </row>
    <row r="237">
      <c r="A237" s="9" t="inlineStr">
        <is>
          <t>RTD Cable</t>
        </is>
      </c>
      <c r="B237" s="9" t="inlineStr">
        <is>
          <t>29103-ET-P1704-1-R-2</t>
        </is>
      </c>
      <c r="C237" s="9" t="inlineStr">
        <is>
          <t>29103-ET-P1704-1</t>
        </is>
      </c>
      <c r="D237" s="9" t="inlineStr">
        <is>
          <t>29103-HTP-003 I/O-2-1</t>
        </is>
      </c>
      <c r="E237" s="9" t="inlineStr">
        <is>
          <t>29103-HTP-003</t>
        </is>
      </c>
      <c r="F237" s="9" t="inlineStr"/>
      <c r="G237" s="9" t="inlineStr">
        <is>
          <t>113</t>
        </is>
      </c>
      <c r="H237" s="9" t="inlineStr">
        <is>
          <t>29103-ET-P1704-1-R-2.pdf</t>
        </is>
      </c>
      <c r="I237" s="4" t="str">
        <f>IF($H237&lt;&gt;"","YES","NO")</f>
        <v>YES</v>
      </c>
      <c r="J237" s="4" t="str">
        <f>IF(N($T237)&gt;0,"YES","NO")</f>
        <v>NO</v>
      </c>
      <c r="K237" s="4" t="str">
        <f>IF(OR($A237="EHT Trace"),IF(AND($U237&lt;&gt;"",$V237&lt;&gt;""),"YES","NO"),"N/A")</f>
        <v>N/A</v>
      </c>
      <c r="L237" s="4" t="str">
        <f>IF(OR($A237="EHT Trace"),IF(AND($X237&lt;&gt;"",$Y237&lt;&gt;""),"YES","NO"),"N/A")</f>
        <v>N/A</v>
      </c>
      <c r="M237" s="4" t="str">
        <f>IF(OR($A237="EHT Trace"),IF(AND($AA237&lt;&gt;"",$AB237&lt;&gt;""),"YES","NO"),"N/A")</f>
        <v>N/A</v>
      </c>
      <c r="N237" s="4" t="str">
        <f>IF(OR($A237="Power Cable"),IF(AND($AD237&lt;&gt;""),"YES","NO"),"N/A")</f>
        <v>N/A</v>
      </c>
      <c r="O237" s="4" t="str">
        <f>IF(OR($A237="Power Cable",$A237="RTD Cable",$A237="Fieldbus Cable"),IF(AND($AE237&lt;&gt;""),"YES","NO"),"N/A")</f>
        <v>NO</v>
      </c>
      <c r="P237" s="4" t="str">
        <f>IF(OR($A237="RTD"),IF(AND($AH237&lt;&gt;""),"YES","NO"),"N/A")</f>
        <v>N/A</v>
      </c>
      <c r="Q237" s="4" t="str">
        <f>IF(OR($A237="RTD"),IF(AND($AI237&lt;&gt;""),"YES","NO"),"N/A")</f>
        <v>N/A</v>
      </c>
      <c r="R237" s="4" t="str">
        <f>IF(OR($AM237&lt;&gt;"",$Z237&lt;&gt;"",$AC237&lt;&gt;""),"YES","NO")</f>
        <v>NO</v>
      </c>
      <c r="S237" s="4" t="str">
        <f>IF(COUNTIF(I237:R237,"NO")=0,"YES","NO")</f>
        <v>NO</v>
      </c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inlineStr">
        <is>
          <t>ACIC</t>
        </is>
      </c>
      <c r="AK237" s="9" t="inlineStr">
        <is>
          <t>16AWG</t>
        </is>
      </c>
      <c r="AL237" s="9" t="inlineStr">
        <is>
          <t>Levy Ostrup</t>
        </is>
      </c>
      <c r="AM237" s="9" t="n"/>
      <c r="AN237" s="9" t="n"/>
    </row>
    <row r="238">
      <c r="A238" s="9" t="inlineStr">
        <is>
          <t>RTD Cable</t>
        </is>
      </c>
      <c r="B238" s="9" t="inlineStr">
        <is>
          <t>29103-ET-P1704-2-R-1</t>
        </is>
      </c>
      <c r="C238" s="9" t="inlineStr">
        <is>
          <t>29103-ET-P1704-2</t>
        </is>
      </c>
      <c r="D238" s="9" t="inlineStr">
        <is>
          <t>29103-HTP-003 HTC-32</t>
        </is>
      </c>
      <c r="E238" s="9" t="inlineStr">
        <is>
          <t>29103-HTP-003</t>
        </is>
      </c>
      <c r="F238" s="9" t="inlineStr"/>
      <c r="G238" s="9" t="inlineStr">
        <is>
          <t>113</t>
        </is>
      </c>
      <c r="H238" s="9" t="inlineStr">
        <is>
          <t>29103-ET-P1704-2-R-1.pdf</t>
        </is>
      </c>
      <c r="I238" s="4" t="str">
        <f>IF($H238&lt;&gt;"","YES","NO")</f>
        <v>YES</v>
      </c>
      <c r="J238" s="4" t="str">
        <f>IF(N($T238)&gt;0,"YES","NO")</f>
        <v>NO</v>
      </c>
      <c r="K238" s="4" t="str">
        <f>IF(OR($A238="EHT Trace"),IF(AND($U238&lt;&gt;"",$V238&lt;&gt;""),"YES","NO"),"N/A")</f>
        <v>N/A</v>
      </c>
      <c r="L238" s="4" t="str">
        <f>IF(OR($A238="EHT Trace"),IF(AND($X238&lt;&gt;"",$Y238&lt;&gt;""),"YES","NO"),"N/A")</f>
        <v>N/A</v>
      </c>
      <c r="M238" s="4" t="str">
        <f>IF(OR($A238="EHT Trace"),IF(AND($AA238&lt;&gt;"",$AB238&lt;&gt;""),"YES","NO"),"N/A")</f>
        <v>N/A</v>
      </c>
      <c r="N238" s="4" t="str">
        <f>IF(OR($A238="Power Cable"),IF(AND($AD238&lt;&gt;""),"YES","NO"),"N/A")</f>
        <v>N/A</v>
      </c>
      <c r="O238" s="4" t="str">
        <f>IF(OR($A238="Power Cable",$A238="RTD Cable",$A238="Fieldbus Cable"),IF(AND($AE238&lt;&gt;""),"YES","NO"),"N/A")</f>
        <v>NO</v>
      </c>
      <c r="P238" s="4" t="str">
        <f>IF(OR($A238="RTD"),IF(AND($AH238&lt;&gt;""),"YES","NO"),"N/A")</f>
        <v>N/A</v>
      </c>
      <c r="Q238" s="4" t="str">
        <f>IF(OR($A238="RTD"),IF(AND($AI238&lt;&gt;""),"YES","NO"),"N/A")</f>
        <v>N/A</v>
      </c>
      <c r="R238" s="4" t="str">
        <f>IF(OR($AM238&lt;&gt;"",$Z238&lt;&gt;"",$AC238&lt;&gt;""),"YES","NO")</f>
        <v>NO</v>
      </c>
      <c r="S238" s="4" t="str">
        <f>IF(COUNTIF(I238:R238,"NO")=0,"YES","NO")</f>
        <v>NO</v>
      </c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inlineStr">
        <is>
          <t>ACIC</t>
        </is>
      </c>
      <c r="AK238" s="9" t="inlineStr">
        <is>
          <t>16AWG</t>
        </is>
      </c>
      <c r="AL238" s="9" t="inlineStr">
        <is>
          <t>Levy Ostrup</t>
        </is>
      </c>
      <c r="AM238" s="9" t="n"/>
      <c r="AN238" s="9" t="n"/>
    </row>
    <row r="239">
      <c r="A239" s="9" t="inlineStr">
        <is>
          <t>RTD Cable</t>
        </is>
      </c>
      <c r="B239" s="9" t="inlineStr">
        <is>
          <t>29103-ET-P1704-2-R-2</t>
        </is>
      </c>
      <c r="C239" s="9" t="inlineStr">
        <is>
          <t>29103-ET-P1704-2</t>
        </is>
      </c>
      <c r="D239" s="9" t="inlineStr">
        <is>
          <t>29103-HTP-003 HTC-60</t>
        </is>
      </c>
      <c r="E239" s="9" t="inlineStr">
        <is>
          <t>29103-HTP-003</t>
        </is>
      </c>
      <c r="F239" s="9" t="inlineStr"/>
      <c r="G239" s="9" t="inlineStr">
        <is>
          <t>113</t>
        </is>
      </c>
      <c r="H239" s="9" t="inlineStr">
        <is>
          <t>29103-ET-P1704-2-R-2.pdf</t>
        </is>
      </c>
      <c r="I239" s="4" t="str">
        <f>IF($H239&lt;&gt;"","YES","NO")</f>
        <v>YES</v>
      </c>
      <c r="J239" s="4" t="str">
        <f>IF(N($T239)&gt;0,"YES","NO")</f>
        <v>NO</v>
      </c>
      <c r="K239" s="4" t="str">
        <f>IF(OR($A239="EHT Trace"),IF(AND($U239&lt;&gt;"",$V239&lt;&gt;""),"YES","NO"),"N/A")</f>
        <v>N/A</v>
      </c>
      <c r="L239" s="4" t="str">
        <f>IF(OR($A239="EHT Trace"),IF(AND($X239&lt;&gt;"",$Y239&lt;&gt;""),"YES","NO"),"N/A")</f>
        <v>N/A</v>
      </c>
      <c r="M239" s="4" t="str">
        <f>IF(OR($A239="EHT Trace"),IF(AND($AA239&lt;&gt;"",$AB239&lt;&gt;""),"YES","NO"),"N/A")</f>
        <v>N/A</v>
      </c>
      <c r="N239" s="4" t="str">
        <f>IF(OR($A239="Power Cable"),IF(AND($AD239&lt;&gt;""),"YES","NO"),"N/A")</f>
        <v>N/A</v>
      </c>
      <c r="O239" s="4" t="str">
        <f>IF(OR($A239="Power Cable",$A239="RTD Cable",$A239="Fieldbus Cable"),IF(AND($AE239&lt;&gt;""),"YES","NO"),"N/A")</f>
        <v>NO</v>
      </c>
      <c r="P239" s="4" t="str">
        <f>IF(OR($A239="RTD"),IF(AND($AH239&lt;&gt;""),"YES","NO"),"N/A")</f>
        <v>N/A</v>
      </c>
      <c r="Q239" s="4" t="str">
        <f>IF(OR($A239="RTD"),IF(AND($AI239&lt;&gt;""),"YES","NO"),"N/A")</f>
        <v>N/A</v>
      </c>
      <c r="R239" s="4" t="str">
        <f>IF(OR($AM239&lt;&gt;"",$Z239&lt;&gt;"",$AC239&lt;&gt;""),"YES","NO")</f>
        <v>NO</v>
      </c>
      <c r="S239" s="4" t="str">
        <f>IF(COUNTIF(I239:R239,"NO")=0,"YES","NO")</f>
        <v>NO</v>
      </c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inlineStr">
        <is>
          <t>ACIC</t>
        </is>
      </c>
      <c r="AK239" s="9" t="inlineStr">
        <is>
          <t>16AWG</t>
        </is>
      </c>
      <c r="AL239" s="9" t="inlineStr">
        <is>
          <t>Levy Ostrup</t>
        </is>
      </c>
      <c r="AM239" s="9" t="n"/>
      <c r="AN239" s="9" t="n"/>
    </row>
    <row r="240">
      <c r="A240" s="9" t="inlineStr">
        <is>
          <t>RTD Cable</t>
        </is>
      </c>
      <c r="B240" s="9" t="inlineStr">
        <is>
          <t>29103-ET-P1800-3-R-1</t>
        </is>
      </c>
      <c r="C240" s="9" t="inlineStr">
        <is>
          <t>29103-ET-P1800-3</t>
        </is>
      </c>
      <c r="D240" s="9" t="inlineStr">
        <is>
          <t>29103-HTP-003 HTC-24</t>
        </is>
      </c>
      <c r="E240" s="9" t="inlineStr">
        <is>
          <t>29103-HTP-003</t>
        </is>
      </c>
      <c r="F240" s="9" t="inlineStr"/>
      <c r="G240" s="9" t="inlineStr">
        <is>
          <t>113</t>
        </is>
      </c>
      <c r="H240" s="9" t="inlineStr">
        <is>
          <t>29103-ET-P1800-3-R-1.pdf</t>
        </is>
      </c>
      <c r="I240" s="4" t="str">
        <f>IF($H240&lt;&gt;"","YES","NO")</f>
        <v>YES</v>
      </c>
      <c r="J240" s="4" t="str">
        <f>IF(N($T240)&gt;0,"YES","NO")</f>
        <v>NO</v>
      </c>
      <c r="K240" s="4" t="str">
        <f>IF(OR($A240="EHT Trace"),IF(AND($U240&lt;&gt;"",$V240&lt;&gt;""),"YES","NO"),"N/A")</f>
        <v>N/A</v>
      </c>
      <c r="L240" s="4" t="str">
        <f>IF(OR($A240="EHT Trace"),IF(AND($X240&lt;&gt;"",$Y240&lt;&gt;""),"YES","NO"),"N/A")</f>
        <v>N/A</v>
      </c>
      <c r="M240" s="4" t="str">
        <f>IF(OR($A240="EHT Trace"),IF(AND($AA240&lt;&gt;"",$AB240&lt;&gt;""),"YES","NO"),"N/A")</f>
        <v>N/A</v>
      </c>
      <c r="N240" s="4" t="str">
        <f>IF(OR($A240="Power Cable"),IF(AND($AD240&lt;&gt;""),"YES","NO"),"N/A")</f>
        <v>N/A</v>
      </c>
      <c r="O240" s="4" t="str">
        <f>IF(OR($A240="Power Cable",$A240="RTD Cable",$A240="Fieldbus Cable"),IF(AND($AE240&lt;&gt;""),"YES","NO"),"N/A")</f>
        <v>NO</v>
      </c>
      <c r="P240" s="4" t="str">
        <f>IF(OR($A240="RTD"),IF(AND($AH240&lt;&gt;""),"YES","NO"),"N/A")</f>
        <v>N/A</v>
      </c>
      <c r="Q240" s="4" t="str">
        <f>IF(OR($A240="RTD"),IF(AND($AI240&lt;&gt;""),"YES","NO"),"N/A")</f>
        <v>N/A</v>
      </c>
      <c r="R240" s="4" t="str">
        <f>IF(OR($AM240&lt;&gt;"",$Z240&lt;&gt;"",$AC240&lt;&gt;""),"YES","NO")</f>
        <v>NO</v>
      </c>
      <c r="S240" s="4" t="str">
        <f>IF(COUNTIF(I240:R240,"NO")=0,"YES","NO")</f>
        <v>NO</v>
      </c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inlineStr">
        <is>
          <t>ACIC</t>
        </is>
      </c>
      <c r="AK240" s="9" t="inlineStr">
        <is>
          <t>16AWG</t>
        </is>
      </c>
      <c r="AL240" s="9" t="inlineStr">
        <is>
          <t>Levy Ostrup</t>
        </is>
      </c>
      <c r="AM240" s="9" t="n"/>
      <c r="AN240" s="9" t="n"/>
    </row>
    <row r="241">
      <c r="A241" s="9" t="inlineStr">
        <is>
          <t>RTD Cable</t>
        </is>
      </c>
      <c r="B241" s="9" t="inlineStr">
        <is>
          <t>29103-ET-PE1401-2-R-2</t>
        </is>
      </c>
      <c r="C241" s="9" t="inlineStr">
        <is>
          <t>29103-ET-PE1401-2</t>
        </is>
      </c>
      <c r="D241" s="9" t="inlineStr">
        <is>
          <t>29103-HTP-003 I/O-4-3</t>
        </is>
      </c>
      <c r="E241" s="9" t="inlineStr">
        <is>
          <t>29103-HTP-003</t>
        </is>
      </c>
      <c r="F241" s="9" t="inlineStr"/>
      <c r="G241" s="9" t="inlineStr">
        <is>
          <t>113</t>
        </is>
      </c>
      <c r="H241" s="9" t="inlineStr">
        <is>
          <t>29103-ET-PE1401-2-R-2.pdf</t>
        </is>
      </c>
      <c r="I241" s="4" t="str">
        <f>IF($H241&lt;&gt;"","YES","NO")</f>
        <v>YES</v>
      </c>
      <c r="J241" s="4" t="str">
        <f>IF(N($T241)&gt;0,"YES","NO")</f>
        <v>NO</v>
      </c>
      <c r="K241" s="4" t="str">
        <f>IF(OR($A241="EHT Trace"),IF(AND($U241&lt;&gt;"",$V241&lt;&gt;""),"YES","NO"),"N/A")</f>
        <v>N/A</v>
      </c>
      <c r="L241" s="4" t="str">
        <f>IF(OR($A241="EHT Trace"),IF(AND($X241&lt;&gt;"",$Y241&lt;&gt;""),"YES","NO"),"N/A")</f>
        <v>N/A</v>
      </c>
      <c r="M241" s="4" t="str">
        <f>IF(OR($A241="EHT Trace"),IF(AND($AA241&lt;&gt;"",$AB241&lt;&gt;""),"YES","NO"),"N/A")</f>
        <v>N/A</v>
      </c>
      <c r="N241" s="4" t="str">
        <f>IF(OR($A241="Power Cable"),IF(AND($AD241&lt;&gt;""),"YES","NO"),"N/A")</f>
        <v>N/A</v>
      </c>
      <c r="O241" s="4" t="str">
        <f>IF(OR($A241="Power Cable",$A241="RTD Cable",$A241="Fieldbus Cable"),IF(AND($AE241&lt;&gt;""),"YES","NO"),"N/A")</f>
        <v>NO</v>
      </c>
      <c r="P241" s="4" t="str">
        <f>IF(OR($A241="RTD"),IF(AND($AH241&lt;&gt;""),"YES","NO"),"N/A")</f>
        <v>N/A</v>
      </c>
      <c r="Q241" s="4" t="str">
        <f>IF(OR($A241="RTD"),IF(AND($AI241&lt;&gt;""),"YES","NO"),"N/A")</f>
        <v>N/A</v>
      </c>
      <c r="R241" s="4" t="str">
        <f>IF(OR($AM241&lt;&gt;"",$Z241&lt;&gt;"",$AC241&lt;&gt;""),"YES","NO")</f>
        <v>NO</v>
      </c>
      <c r="S241" s="4" t="str">
        <f>IF(COUNTIF(I241:R241,"NO")=0,"YES","NO")</f>
        <v>NO</v>
      </c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inlineStr">
        <is>
          <t>ACIC</t>
        </is>
      </c>
      <c r="AK241" s="9" t="inlineStr">
        <is>
          <t>16AWG</t>
        </is>
      </c>
      <c r="AL241" s="9" t="inlineStr">
        <is>
          <t>Levy Ostrup</t>
        </is>
      </c>
      <c r="AM241" s="9" t="n"/>
      <c r="AN241" s="9" t="n"/>
    </row>
    <row r="242">
      <c r="A242" s="9" t="inlineStr">
        <is>
          <t>RTD Cable</t>
        </is>
      </c>
      <c r="B242" s="9" t="inlineStr">
        <is>
          <t>29103-ET-PE1402-1-R-1</t>
        </is>
      </c>
      <c r="C242" s="9" t="inlineStr">
        <is>
          <t>29103-ET-PE1402-1</t>
        </is>
      </c>
      <c r="D242" s="9" t="inlineStr">
        <is>
          <t>29103-HTP-003 HTC-33</t>
        </is>
      </c>
      <c r="E242" s="9" t="inlineStr">
        <is>
          <t>29103-HTP-003</t>
        </is>
      </c>
      <c r="F242" s="9" t="inlineStr"/>
      <c r="G242" s="9" t="inlineStr">
        <is>
          <t>113</t>
        </is>
      </c>
      <c r="H242" s="9" t="inlineStr">
        <is>
          <t>29103-ET-PE1402-1-R-1.pdf</t>
        </is>
      </c>
      <c r="I242" s="4" t="str">
        <f>IF($H242&lt;&gt;"","YES","NO")</f>
        <v>YES</v>
      </c>
      <c r="J242" s="4" t="str">
        <f>IF(N($T242)&gt;0,"YES","NO")</f>
        <v>NO</v>
      </c>
      <c r="K242" s="4" t="str">
        <f>IF(OR($A242="EHT Trace"),IF(AND($U242&lt;&gt;"",$V242&lt;&gt;""),"YES","NO"),"N/A")</f>
        <v>N/A</v>
      </c>
      <c r="L242" s="4" t="str">
        <f>IF(OR($A242="EHT Trace"),IF(AND($X242&lt;&gt;"",$Y242&lt;&gt;""),"YES","NO"),"N/A")</f>
        <v>N/A</v>
      </c>
      <c r="M242" s="4" t="str">
        <f>IF(OR($A242="EHT Trace"),IF(AND($AA242&lt;&gt;"",$AB242&lt;&gt;""),"YES","NO"),"N/A")</f>
        <v>N/A</v>
      </c>
      <c r="N242" s="4" t="str">
        <f>IF(OR($A242="Power Cable"),IF(AND($AD242&lt;&gt;""),"YES","NO"),"N/A")</f>
        <v>N/A</v>
      </c>
      <c r="O242" s="4" t="str">
        <f>IF(OR($A242="Power Cable",$A242="RTD Cable",$A242="Fieldbus Cable"),IF(AND($AE242&lt;&gt;""),"YES","NO"),"N/A")</f>
        <v>NO</v>
      </c>
      <c r="P242" s="4" t="str">
        <f>IF(OR($A242="RTD"),IF(AND($AH242&lt;&gt;""),"YES","NO"),"N/A")</f>
        <v>N/A</v>
      </c>
      <c r="Q242" s="4" t="str">
        <f>IF(OR($A242="RTD"),IF(AND($AI242&lt;&gt;""),"YES","NO"),"N/A")</f>
        <v>N/A</v>
      </c>
      <c r="R242" s="4" t="str">
        <f>IF(OR($AM242&lt;&gt;"",$Z242&lt;&gt;"",$AC242&lt;&gt;""),"YES","NO")</f>
        <v>NO</v>
      </c>
      <c r="S242" s="4" t="str">
        <f>IF(COUNTIF(I242:R242,"NO")=0,"YES","NO")</f>
        <v>NO</v>
      </c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inlineStr">
        <is>
          <t>ACIC</t>
        </is>
      </c>
      <c r="AK242" s="9" t="inlineStr">
        <is>
          <t>16AWG</t>
        </is>
      </c>
      <c r="AL242" s="9" t="inlineStr">
        <is>
          <t>Levy Ostrup</t>
        </is>
      </c>
      <c r="AM242" s="9" t="n"/>
      <c r="AN242" s="9" t="n"/>
    </row>
    <row r="243">
      <c r="A243" s="9" t="inlineStr">
        <is>
          <t>RTD Cable</t>
        </is>
      </c>
      <c r="B243" s="9" t="inlineStr">
        <is>
          <t>29103-ET-PE1402-1-R-2</t>
        </is>
      </c>
      <c r="C243" s="9" t="inlineStr">
        <is>
          <t>29103-ET-PE1402-1</t>
        </is>
      </c>
      <c r="D243" s="9" t="inlineStr">
        <is>
          <t>29103-HTP-003 I/O-4-4</t>
        </is>
      </c>
      <c r="E243" s="9" t="inlineStr">
        <is>
          <t>29103-HTP-003</t>
        </is>
      </c>
      <c r="F243" s="9" t="inlineStr"/>
      <c r="G243" s="9" t="inlineStr">
        <is>
          <t>113</t>
        </is>
      </c>
      <c r="H243" s="9" t="inlineStr">
        <is>
          <t>29103-ET-PE1402-1-R-2.pdf</t>
        </is>
      </c>
      <c r="I243" s="4" t="str">
        <f>IF($H243&lt;&gt;"","YES","NO")</f>
        <v>YES</v>
      </c>
      <c r="J243" s="4" t="str">
        <f>IF(N($T243)&gt;0,"YES","NO")</f>
        <v>NO</v>
      </c>
      <c r="K243" s="4" t="str">
        <f>IF(OR($A243="EHT Trace"),IF(AND($U243&lt;&gt;"",$V243&lt;&gt;""),"YES","NO"),"N/A")</f>
        <v>N/A</v>
      </c>
      <c r="L243" s="4" t="str">
        <f>IF(OR($A243="EHT Trace"),IF(AND($X243&lt;&gt;"",$Y243&lt;&gt;""),"YES","NO"),"N/A")</f>
        <v>N/A</v>
      </c>
      <c r="M243" s="4" t="str">
        <f>IF(OR($A243="EHT Trace"),IF(AND($AA243&lt;&gt;"",$AB243&lt;&gt;""),"YES","NO"),"N/A")</f>
        <v>N/A</v>
      </c>
      <c r="N243" s="4" t="str">
        <f>IF(OR($A243="Power Cable"),IF(AND($AD243&lt;&gt;""),"YES","NO"),"N/A")</f>
        <v>N/A</v>
      </c>
      <c r="O243" s="4" t="str">
        <f>IF(OR($A243="Power Cable",$A243="RTD Cable",$A243="Fieldbus Cable"),IF(AND($AE243&lt;&gt;""),"YES","NO"),"N/A")</f>
        <v>NO</v>
      </c>
      <c r="P243" s="4" t="str">
        <f>IF(OR($A243="RTD"),IF(AND($AH243&lt;&gt;""),"YES","NO"),"N/A")</f>
        <v>N/A</v>
      </c>
      <c r="Q243" s="4" t="str">
        <f>IF(OR($A243="RTD"),IF(AND($AI243&lt;&gt;""),"YES","NO"),"N/A")</f>
        <v>N/A</v>
      </c>
      <c r="R243" s="4" t="str">
        <f>IF(OR($AM243&lt;&gt;"",$Z243&lt;&gt;"",$AC243&lt;&gt;""),"YES","NO")</f>
        <v>NO</v>
      </c>
      <c r="S243" s="4" t="str">
        <f>IF(COUNTIF(I243:R243,"NO")=0,"YES","NO")</f>
        <v>NO</v>
      </c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inlineStr">
        <is>
          <t>ACIC</t>
        </is>
      </c>
      <c r="AK243" s="9" t="inlineStr">
        <is>
          <t>16AWG</t>
        </is>
      </c>
      <c r="AL243" s="9" t="inlineStr">
        <is>
          <t>Levy Ostrup</t>
        </is>
      </c>
      <c r="AM243" s="9" t="n"/>
      <c r="AN243" s="9" t="n"/>
    </row>
    <row r="244">
      <c r="A244" s="9" t="inlineStr">
        <is>
          <t>RTD Cable</t>
        </is>
      </c>
      <c r="B244" s="9" t="inlineStr">
        <is>
          <t>29103-ET-PE1501-1-R-1</t>
        </is>
      </c>
      <c r="C244" s="9" t="inlineStr">
        <is>
          <t>29103-ET-PE1501-1</t>
        </is>
      </c>
      <c r="D244" s="9" t="inlineStr">
        <is>
          <t>29103-HTP-003 HTC-10</t>
        </is>
      </c>
      <c r="E244" s="9" t="inlineStr">
        <is>
          <t>29103-HTP-003</t>
        </is>
      </c>
      <c r="F244" s="9" t="inlineStr"/>
      <c r="G244" s="9" t="inlineStr">
        <is>
          <t>113</t>
        </is>
      </c>
      <c r="H244" s="9" t="inlineStr">
        <is>
          <t>29103-ET-PE1501-1-R-1.pdf</t>
        </is>
      </c>
      <c r="I244" s="4" t="str">
        <f>IF($H244&lt;&gt;"","YES","NO")</f>
        <v>YES</v>
      </c>
      <c r="J244" s="4" t="str">
        <f>IF(N($T244)&gt;0,"YES","NO")</f>
        <v>NO</v>
      </c>
      <c r="K244" s="4" t="str">
        <f>IF(OR($A244="EHT Trace"),IF(AND($U244&lt;&gt;"",$V244&lt;&gt;""),"YES","NO"),"N/A")</f>
        <v>N/A</v>
      </c>
      <c r="L244" s="4" t="str">
        <f>IF(OR($A244="EHT Trace"),IF(AND($X244&lt;&gt;"",$Y244&lt;&gt;""),"YES","NO"),"N/A")</f>
        <v>N/A</v>
      </c>
      <c r="M244" s="4" t="str">
        <f>IF(OR($A244="EHT Trace"),IF(AND($AA244&lt;&gt;"",$AB244&lt;&gt;""),"YES","NO"),"N/A")</f>
        <v>N/A</v>
      </c>
      <c r="N244" s="4" t="str">
        <f>IF(OR($A244="Power Cable"),IF(AND($AD244&lt;&gt;""),"YES","NO"),"N/A")</f>
        <v>N/A</v>
      </c>
      <c r="O244" s="4" t="str">
        <f>IF(OR($A244="Power Cable",$A244="RTD Cable",$A244="Fieldbus Cable"),IF(AND($AE244&lt;&gt;""),"YES","NO"),"N/A")</f>
        <v>NO</v>
      </c>
      <c r="P244" s="4" t="str">
        <f>IF(OR($A244="RTD"),IF(AND($AH244&lt;&gt;""),"YES","NO"),"N/A")</f>
        <v>N/A</v>
      </c>
      <c r="Q244" s="4" t="str">
        <f>IF(OR($A244="RTD"),IF(AND($AI244&lt;&gt;""),"YES","NO"),"N/A")</f>
        <v>N/A</v>
      </c>
      <c r="R244" s="4" t="str">
        <f>IF(OR($AM244&lt;&gt;"",$Z244&lt;&gt;"",$AC244&lt;&gt;""),"YES","NO")</f>
        <v>NO</v>
      </c>
      <c r="S244" s="4" t="str">
        <f>IF(COUNTIF(I244:R244,"NO")=0,"YES","NO")</f>
        <v>NO</v>
      </c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inlineStr">
        <is>
          <t>ACIC</t>
        </is>
      </c>
      <c r="AK244" s="9" t="inlineStr">
        <is>
          <t>16AWG</t>
        </is>
      </c>
      <c r="AL244" s="9" t="inlineStr">
        <is>
          <t>Levy Ostrup</t>
        </is>
      </c>
      <c r="AM244" s="9" t="n"/>
      <c r="AN244" s="9" t="n"/>
    </row>
    <row r="245">
      <c r="A245" s="9" t="inlineStr">
        <is>
          <t>RTD Cable</t>
        </is>
      </c>
      <c r="B245" s="9" t="inlineStr">
        <is>
          <t>29103-ET-PE1501-2-R-2</t>
        </is>
      </c>
      <c r="C245" s="9" t="inlineStr">
        <is>
          <t>29103-ET-PE1501-2</t>
        </is>
      </c>
      <c r="D245" s="9" t="inlineStr">
        <is>
          <t>29103-HTP-003 I/O-2-2</t>
        </is>
      </c>
      <c r="E245" s="9" t="inlineStr">
        <is>
          <t>29103-HTP-003</t>
        </is>
      </c>
      <c r="F245" s="9" t="inlineStr"/>
      <c r="G245" s="9" t="inlineStr">
        <is>
          <t>113</t>
        </is>
      </c>
      <c r="H245" s="9" t="inlineStr">
        <is>
          <t>29103-ET-PE1501-2-R-2.pdf</t>
        </is>
      </c>
      <c r="I245" s="4" t="str">
        <f>IF($H245&lt;&gt;"","YES","NO")</f>
        <v>YES</v>
      </c>
      <c r="J245" s="4" t="str">
        <f>IF(N($T245)&gt;0,"YES","NO")</f>
        <v>NO</v>
      </c>
      <c r="K245" s="4" t="str">
        <f>IF(OR($A245="EHT Trace"),IF(AND($U245&lt;&gt;"",$V245&lt;&gt;""),"YES","NO"),"N/A")</f>
        <v>N/A</v>
      </c>
      <c r="L245" s="4" t="str">
        <f>IF(OR($A245="EHT Trace"),IF(AND($X245&lt;&gt;"",$Y245&lt;&gt;""),"YES","NO"),"N/A")</f>
        <v>N/A</v>
      </c>
      <c r="M245" s="4" t="str">
        <f>IF(OR($A245="EHT Trace"),IF(AND($AA245&lt;&gt;"",$AB245&lt;&gt;""),"YES","NO"),"N/A")</f>
        <v>N/A</v>
      </c>
      <c r="N245" s="4" t="str">
        <f>IF(OR($A245="Power Cable"),IF(AND($AD245&lt;&gt;""),"YES","NO"),"N/A")</f>
        <v>N/A</v>
      </c>
      <c r="O245" s="4" t="str">
        <f>IF(OR($A245="Power Cable",$A245="RTD Cable",$A245="Fieldbus Cable"),IF(AND($AE245&lt;&gt;""),"YES","NO"),"N/A")</f>
        <v>NO</v>
      </c>
      <c r="P245" s="4" t="str">
        <f>IF(OR($A245="RTD"),IF(AND($AH245&lt;&gt;""),"YES","NO"),"N/A")</f>
        <v>N/A</v>
      </c>
      <c r="Q245" s="4" t="str">
        <f>IF(OR($A245="RTD"),IF(AND($AI245&lt;&gt;""),"YES","NO"),"N/A")</f>
        <v>N/A</v>
      </c>
      <c r="R245" s="4" t="str">
        <f>IF(OR($AM245&lt;&gt;"",$Z245&lt;&gt;"",$AC245&lt;&gt;""),"YES","NO")</f>
        <v>NO</v>
      </c>
      <c r="S245" s="4" t="str">
        <f>IF(COUNTIF(I245:R245,"NO")=0,"YES","NO")</f>
        <v>NO</v>
      </c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inlineStr">
        <is>
          <t>ACIC</t>
        </is>
      </c>
      <c r="AK245" s="9" t="inlineStr">
        <is>
          <t>16AWG</t>
        </is>
      </c>
      <c r="AL245" s="9" t="inlineStr">
        <is>
          <t>Levy Ostrup</t>
        </is>
      </c>
      <c r="AM245" s="9" t="n"/>
      <c r="AN245" s="9" t="n"/>
    </row>
    <row r="246">
      <c r="A246" s="9" t="inlineStr">
        <is>
          <t>RTD Cable</t>
        </is>
      </c>
      <c r="B246" s="9" t="inlineStr">
        <is>
          <t>29103-ET-PE1502-1-R-1</t>
        </is>
      </c>
      <c r="C246" s="9" t="inlineStr">
        <is>
          <t>29103-ET-PE1502-1</t>
        </is>
      </c>
      <c r="D246" s="9" t="inlineStr">
        <is>
          <t>29103-HTP-003 HTC-06</t>
        </is>
      </c>
      <c r="E246" s="9" t="inlineStr">
        <is>
          <t>29103-HTP-003</t>
        </is>
      </c>
      <c r="F246" s="9" t="inlineStr"/>
      <c r="G246" s="9" t="inlineStr">
        <is>
          <t>113</t>
        </is>
      </c>
      <c r="H246" s="9" t="inlineStr">
        <is>
          <t>29103-ET-PE1502-1-R-1.pdf</t>
        </is>
      </c>
      <c r="I246" s="4" t="str">
        <f>IF($H246&lt;&gt;"","YES","NO")</f>
        <v>YES</v>
      </c>
      <c r="J246" s="4" t="str">
        <f>IF(N($T246)&gt;0,"YES","NO")</f>
        <v>NO</v>
      </c>
      <c r="K246" s="4" t="str">
        <f>IF(OR($A246="EHT Trace"),IF(AND($U246&lt;&gt;"",$V246&lt;&gt;""),"YES","NO"),"N/A")</f>
        <v>N/A</v>
      </c>
      <c r="L246" s="4" t="str">
        <f>IF(OR($A246="EHT Trace"),IF(AND($X246&lt;&gt;"",$Y246&lt;&gt;""),"YES","NO"),"N/A")</f>
        <v>N/A</v>
      </c>
      <c r="M246" s="4" t="str">
        <f>IF(OR($A246="EHT Trace"),IF(AND($AA246&lt;&gt;"",$AB246&lt;&gt;""),"YES","NO"),"N/A")</f>
        <v>N/A</v>
      </c>
      <c r="N246" s="4" t="str">
        <f>IF(OR($A246="Power Cable"),IF(AND($AD246&lt;&gt;""),"YES","NO"),"N/A")</f>
        <v>N/A</v>
      </c>
      <c r="O246" s="4" t="str">
        <f>IF(OR($A246="Power Cable",$A246="RTD Cable",$A246="Fieldbus Cable"),IF(AND($AE246&lt;&gt;""),"YES","NO"),"N/A")</f>
        <v>NO</v>
      </c>
      <c r="P246" s="4" t="str">
        <f>IF(OR($A246="RTD"),IF(AND($AH246&lt;&gt;""),"YES","NO"),"N/A")</f>
        <v>N/A</v>
      </c>
      <c r="Q246" s="4" t="str">
        <f>IF(OR($A246="RTD"),IF(AND($AI246&lt;&gt;""),"YES","NO"),"N/A")</f>
        <v>N/A</v>
      </c>
      <c r="R246" s="4" t="str">
        <f>IF(OR($AM246&lt;&gt;"",$Z246&lt;&gt;"",$AC246&lt;&gt;""),"YES","NO")</f>
        <v>NO</v>
      </c>
      <c r="S246" s="4" t="str">
        <f>IF(COUNTIF(I246:R246,"NO")=0,"YES","NO")</f>
        <v>NO</v>
      </c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inlineStr">
        <is>
          <t>ACIC</t>
        </is>
      </c>
      <c r="AK246" s="9" t="inlineStr">
        <is>
          <t>16AWG</t>
        </is>
      </c>
      <c r="AL246" s="9" t="inlineStr">
        <is>
          <t>Levy Ostrup</t>
        </is>
      </c>
      <c r="AM246" s="9" t="n"/>
      <c r="AN246" s="9" t="n"/>
    </row>
    <row r="247">
      <c r="A247" s="9" t="inlineStr">
        <is>
          <t>RTD Cable</t>
        </is>
      </c>
      <c r="B247" s="9" t="inlineStr">
        <is>
          <t>29103-ET-PE1502-1-R-2</t>
        </is>
      </c>
      <c r="C247" s="9" t="inlineStr">
        <is>
          <t>29103-ET-PE1502-1</t>
        </is>
      </c>
      <c r="D247" s="9" t="inlineStr">
        <is>
          <t>29103-HTP-003 I/O-2-3</t>
        </is>
      </c>
      <c r="E247" s="9" t="inlineStr">
        <is>
          <t>29103-HTP-003</t>
        </is>
      </c>
      <c r="F247" s="9" t="inlineStr"/>
      <c r="G247" s="9" t="inlineStr">
        <is>
          <t>113</t>
        </is>
      </c>
      <c r="H247" s="9" t="inlineStr">
        <is>
          <t>29103-ET-PE1502-1-R-2.pdf</t>
        </is>
      </c>
      <c r="I247" s="4" t="str">
        <f>IF($H247&lt;&gt;"","YES","NO")</f>
        <v>YES</v>
      </c>
      <c r="J247" s="4" t="str">
        <f>IF(N($T247)&gt;0,"YES","NO")</f>
        <v>NO</v>
      </c>
      <c r="K247" s="4" t="str">
        <f>IF(OR($A247="EHT Trace"),IF(AND($U247&lt;&gt;"",$V247&lt;&gt;""),"YES","NO"),"N/A")</f>
        <v>N/A</v>
      </c>
      <c r="L247" s="4" t="str">
        <f>IF(OR($A247="EHT Trace"),IF(AND($X247&lt;&gt;"",$Y247&lt;&gt;""),"YES","NO"),"N/A")</f>
        <v>N/A</v>
      </c>
      <c r="M247" s="4" t="str">
        <f>IF(OR($A247="EHT Trace"),IF(AND($AA247&lt;&gt;"",$AB247&lt;&gt;""),"YES","NO"),"N/A")</f>
        <v>N/A</v>
      </c>
      <c r="N247" s="4" t="str">
        <f>IF(OR($A247="Power Cable"),IF(AND($AD247&lt;&gt;""),"YES","NO"),"N/A")</f>
        <v>N/A</v>
      </c>
      <c r="O247" s="4" t="str">
        <f>IF(OR($A247="Power Cable",$A247="RTD Cable",$A247="Fieldbus Cable"),IF(AND($AE247&lt;&gt;""),"YES","NO"),"N/A")</f>
        <v>NO</v>
      </c>
      <c r="P247" s="4" t="str">
        <f>IF(OR($A247="RTD"),IF(AND($AH247&lt;&gt;""),"YES","NO"),"N/A")</f>
        <v>N/A</v>
      </c>
      <c r="Q247" s="4" t="str">
        <f>IF(OR($A247="RTD"),IF(AND($AI247&lt;&gt;""),"YES","NO"),"N/A")</f>
        <v>N/A</v>
      </c>
      <c r="R247" s="4" t="str">
        <f>IF(OR($AM247&lt;&gt;"",$Z247&lt;&gt;"",$AC247&lt;&gt;""),"YES","NO")</f>
        <v>NO</v>
      </c>
      <c r="S247" s="4" t="str">
        <f>IF(COUNTIF(I247:R247,"NO")=0,"YES","NO")</f>
        <v>NO</v>
      </c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inlineStr">
        <is>
          <t>ACIC</t>
        </is>
      </c>
      <c r="AK247" s="9" t="inlineStr">
        <is>
          <t>16AWG</t>
        </is>
      </c>
      <c r="AL247" s="9" t="inlineStr">
        <is>
          <t>Levy Ostrup</t>
        </is>
      </c>
      <c r="AM247" s="9" t="n"/>
      <c r="AN247" s="9" t="n"/>
    </row>
    <row r="248">
      <c r="A248" s="9" t="inlineStr">
        <is>
          <t>RTD Cable</t>
        </is>
      </c>
      <c r="B248" s="9" t="inlineStr">
        <is>
          <t>29103-ET-PE1601-1-R-1</t>
        </is>
      </c>
      <c r="C248" s="9" t="inlineStr">
        <is>
          <t>29103-ET-PE1601-1</t>
        </is>
      </c>
      <c r="D248" s="9" t="inlineStr">
        <is>
          <t>29103-HTP-003 HTC-08</t>
        </is>
      </c>
      <c r="E248" s="9" t="inlineStr">
        <is>
          <t>29103-HTP-003</t>
        </is>
      </c>
      <c r="F248" s="9" t="inlineStr"/>
      <c r="G248" s="9" t="inlineStr">
        <is>
          <t>113</t>
        </is>
      </c>
      <c r="H248" s="9" t="inlineStr">
        <is>
          <t>29103-ET-PE1601-1-R-1.pdf</t>
        </is>
      </c>
      <c r="I248" s="4" t="str">
        <f>IF($H248&lt;&gt;"","YES","NO")</f>
        <v>YES</v>
      </c>
      <c r="J248" s="4" t="str">
        <f>IF(N($T248)&gt;0,"YES","NO")</f>
        <v>NO</v>
      </c>
      <c r="K248" s="4" t="str">
        <f>IF(OR($A248="EHT Trace"),IF(AND($U248&lt;&gt;"",$V248&lt;&gt;""),"YES","NO"),"N/A")</f>
        <v>N/A</v>
      </c>
      <c r="L248" s="4" t="str">
        <f>IF(OR($A248="EHT Trace"),IF(AND($X248&lt;&gt;"",$Y248&lt;&gt;""),"YES","NO"),"N/A")</f>
        <v>N/A</v>
      </c>
      <c r="M248" s="4" t="str">
        <f>IF(OR($A248="EHT Trace"),IF(AND($AA248&lt;&gt;"",$AB248&lt;&gt;""),"YES","NO"),"N/A")</f>
        <v>N/A</v>
      </c>
      <c r="N248" s="4" t="str">
        <f>IF(OR($A248="Power Cable"),IF(AND($AD248&lt;&gt;""),"YES","NO"),"N/A")</f>
        <v>N/A</v>
      </c>
      <c r="O248" s="4" t="str">
        <f>IF(OR($A248="Power Cable",$A248="RTD Cable",$A248="Fieldbus Cable"),IF(AND($AE248&lt;&gt;""),"YES","NO"),"N/A")</f>
        <v>NO</v>
      </c>
      <c r="P248" s="4" t="str">
        <f>IF(OR($A248="RTD"),IF(AND($AH248&lt;&gt;""),"YES","NO"),"N/A")</f>
        <v>N/A</v>
      </c>
      <c r="Q248" s="4" t="str">
        <f>IF(OR($A248="RTD"),IF(AND($AI248&lt;&gt;""),"YES","NO"),"N/A")</f>
        <v>N/A</v>
      </c>
      <c r="R248" s="4" t="str">
        <f>IF(OR($AM248&lt;&gt;"",$Z248&lt;&gt;"",$AC248&lt;&gt;""),"YES","NO")</f>
        <v>NO</v>
      </c>
      <c r="S248" s="4" t="str">
        <f>IF(COUNTIF(I248:R248,"NO")=0,"YES","NO")</f>
        <v>NO</v>
      </c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inlineStr">
        <is>
          <t>ACIC</t>
        </is>
      </c>
      <c r="AK248" s="9" t="inlineStr">
        <is>
          <t>16AWG</t>
        </is>
      </c>
      <c r="AL248" s="9" t="inlineStr">
        <is>
          <t>Levy Ostrup</t>
        </is>
      </c>
      <c r="AM248" s="9" t="n"/>
      <c r="AN248" s="9" t="n"/>
    </row>
    <row r="249">
      <c r="A249" s="9" t="inlineStr">
        <is>
          <t>RTD Cable</t>
        </is>
      </c>
      <c r="B249" s="9" t="inlineStr">
        <is>
          <t>29103-ET-PE1601-2-R-2</t>
        </is>
      </c>
      <c r="C249" s="9" t="inlineStr">
        <is>
          <t>29103-ET-PE1601-2</t>
        </is>
      </c>
      <c r="D249" s="9" t="inlineStr">
        <is>
          <t>29103-HTP-003 I/O-2-4</t>
        </is>
      </c>
      <c r="E249" s="9" t="inlineStr">
        <is>
          <t>29103-HTP-003</t>
        </is>
      </c>
      <c r="F249" s="9" t="inlineStr"/>
      <c r="G249" s="9" t="inlineStr">
        <is>
          <t>113</t>
        </is>
      </c>
      <c r="H249" s="9" t="inlineStr">
        <is>
          <t>29103-ET-PE1601-2-R-2.pdf</t>
        </is>
      </c>
      <c r="I249" s="4" t="str">
        <f>IF($H249&lt;&gt;"","YES","NO")</f>
        <v>YES</v>
      </c>
      <c r="J249" s="4" t="str">
        <f>IF(N($T249)&gt;0,"YES","NO")</f>
        <v>NO</v>
      </c>
      <c r="K249" s="4" t="str">
        <f>IF(OR($A249="EHT Trace"),IF(AND($U249&lt;&gt;"",$V249&lt;&gt;""),"YES","NO"),"N/A")</f>
        <v>N/A</v>
      </c>
      <c r="L249" s="4" t="str">
        <f>IF(OR($A249="EHT Trace"),IF(AND($X249&lt;&gt;"",$Y249&lt;&gt;""),"YES","NO"),"N/A")</f>
        <v>N/A</v>
      </c>
      <c r="M249" s="4" t="str">
        <f>IF(OR($A249="EHT Trace"),IF(AND($AA249&lt;&gt;"",$AB249&lt;&gt;""),"YES","NO"),"N/A")</f>
        <v>N/A</v>
      </c>
      <c r="N249" s="4" t="str">
        <f>IF(OR($A249="Power Cable"),IF(AND($AD249&lt;&gt;""),"YES","NO"),"N/A")</f>
        <v>N/A</v>
      </c>
      <c r="O249" s="4" t="str">
        <f>IF(OR($A249="Power Cable",$A249="RTD Cable",$A249="Fieldbus Cable"),IF(AND($AE249&lt;&gt;""),"YES","NO"),"N/A")</f>
        <v>NO</v>
      </c>
      <c r="P249" s="4" t="str">
        <f>IF(OR($A249="RTD"),IF(AND($AH249&lt;&gt;""),"YES","NO"),"N/A")</f>
        <v>N/A</v>
      </c>
      <c r="Q249" s="4" t="str">
        <f>IF(OR($A249="RTD"),IF(AND($AI249&lt;&gt;""),"YES","NO"),"N/A")</f>
        <v>N/A</v>
      </c>
      <c r="R249" s="4" t="str">
        <f>IF(OR($AM249&lt;&gt;"",$Z249&lt;&gt;"",$AC249&lt;&gt;""),"YES","NO")</f>
        <v>NO</v>
      </c>
      <c r="S249" s="4" t="str">
        <f>IF(COUNTIF(I249:R249,"NO")=0,"YES","NO")</f>
        <v>NO</v>
      </c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inlineStr">
        <is>
          <t>ACIC</t>
        </is>
      </c>
      <c r="AK249" s="9" t="inlineStr">
        <is>
          <t>16AWG</t>
        </is>
      </c>
      <c r="AL249" s="9" t="inlineStr">
        <is>
          <t>Levy Ostrup</t>
        </is>
      </c>
      <c r="AM249" s="9" t="n"/>
      <c r="AN249" s="9" t="n"/>
    </row>
    <row r="250">
      <c r="A250" s="9" t="inlineStr">
        <is>
          <t>RTD Cable</t>
        </is>
      </c>
      <c r="B250" s="9" t="inlineStr">
        <is>
          <t>29103-ET-PE1602-1-R-1</t>
        </is>
      </c>
      <c r="C250" s="9" t="inlineStr">
        <is>
          <t>29103-ET-PE1602-1</t>
        </is>
      </c>
      <c r="D250" s="9" t="inlineStr">
        <is>
          <t>29103-HTP-003 HTC-15</t>
        </is>
      </c>
      <c r="E250" s="9" t="inlineStr">
        <is>
          <t>29103-HTP-003</t>
        </is>
      </c>
      <c r="F250" s="9" t="inlineStr"/>
      <c r="G250" s="9" t="inlineStr">
        <is>
          <t>113</t>
        </is>
      </c>
      <c r="H250" s="9" t="inlineStr">
        <is>
          <t>29103-ET-PE1602-1-R-1.pdf</t>
        </is>
      </c>
      <c r="I250" s="4" t="str">
        <f>IF($H250&lt;&gt;"","YES","NO")</f>
        <v>YES</v>
      </c>
      <c r="J250" s="4" t="str">
        <f>IF(N($T250)&gt;0,"YES","NO")</f>
        <v>NO</v>
      </c>
      <c r="K250" s="4" t="str">
        <f>IF(OR($A250="EHT Trace"),IF(AND($U250&lt;&gt;"",$V250&lt;&gt;""),"YES","NO"),"N/A")</f>
        <v>N/A</v>
      </c>
      <c r="L250" s="4" t="str">
        <f>IF(OR($A250="EHT Trace"),IF(AND($X250&lt;&gt;"",$Y250&lt;&gt;""),"YES","NO"),"N/A")</f>
        <v>N/A</v>
      </c>
      <c r="M250" s="4" t="str">
        <f>IF(OR($A250="EHT Trace"),IF(AND($AA250&lt;&gt;"",$AB250&lt;&gt;""),"YES","NO"),"N/A")</f>
        <v>N/A</v>
      </c>
      <c r="N250" s="4" t="str">
        <f>IF(OR($A250="Power Cable"),IF(AND($AD250&lt;&gt;""),"YES","NO"),"N/A")</f>
        <v>N/A</v>
      </c>
      <c r="O250" s="4" t="str">
        <f>IF(OR($A250="Power Cable",$A250="RTD Cable",$A250="Fieldbus Cable"),IF(AND($AE250&lt;&gt;""),"YES","NO"),"N/A")</f>
        <v>NO</v>
      </c>
      <c r="P250" s="4" t="str">
        <f>IF(OR($A250="RTD"),IF(AND($AH250&lt;&gt;""),"YES","NO"),"N/A")</f>
        <v>N/A</v>
      </c>
      <c r="Q250" s="4" t="str">
        <f>IF(OR($A250="RTD"),IF(AND($AI250&lt;&gt;""),"YES","NO"),"N/A")</f>
        <v>N/A</v>
      </c>
      <c r="R250" s="4" t="str">
        <f>IF(OR($AM250&lt;&gt;"",$Z250&lt;&gt;"",$AC250&lt;&gt;""),"YES","NO")</f>
        <v>NO</v>
      </c>
      <c r="S250" s="4" t="str">
        <f>IF(COUNTIF(I250:R250,"NO")=0,"YES","NO")</f>
        <v>NO</v>
      </c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inlineStr">
        <is>
          <t>ACIC</t>
        </is>
      </c>
      <c r="AK250" s="9" t="inlineStr">
        <is>
          <t>16AWG</t>
        </is>
      </c>
      <c r="AL250" s="9" t="inlineStr">
        <is>
          <t>Levy Ostrup</t>
        </is>
      </c>
      <c r="AM250" s="9" t="n"/>
      <c r="AN250" s="9" t="n"/>
    </row>
    <row r="251">
      <c r="A251" s="9" t="inlineStr">
        <is>
          <t>RTD Cable</t>
        </is>
      </c>
      <c r="B251" s="9" t="inlineStr">
        <is>
          <t>29103-ET-PE1602-1-R-2</t>
        </is>
      </c>
      <c r="C251" s="9" t="inlineStr">
        <is>
          <t>29103-ET-PE1602-1</t>
        </is>
      </c>
      <c r="D251" s="9" t="inlineStr">
        <is>
          <t>29103-HTP-003 I/O-3-1</t>
        </is>
      </c>
      <c r="E251" s="9" t="inlineStr">
        <is>
          <t>29103-HTP-003</t>
        </is>
      </c>
      <c r="F251" s="9" t="inlineStr"/>
      <c r="G251" s="9" t="inlineStr">
        <is>
          <t>113</t>
        </is>
      </c>
      <c r="H251" s="9" t="inlineStr">
        <is>
          <t>29103-ET-PE1602-1-R-2.pdf</t>
        </is>
      </c>
      <c r="I251" s="4" t="str">
        <f>IF($H251&lt;&gt;"","YES","NO")</f>
        <v>YES</v>
      </c>
      <c r="J251" s="4" t="str">
        <f>IF(N($T251)&gt;0,"YES","NO")</f>
        <v>NO</v>
      </c>
      <c r="K251" s="4" t="str">
        <f>IF(OR($A251="EHT Trace"),IF(AND($U251&lt;&gt;"",$V251&lt;&gt;""),"YES","NO"),"N/A")</f>
        <v>N/A</v>
      </c>
      <c r="L251" s="4" t="str">
        <f>IF(OR($A251="EHT Trace"),IF(AND($X251&lt;&gt;"",$Y251&lt;&gt;""),"YES","NO"),"N/A")</f>
        <v>N/A</v>
      </c>
      <c r="M251" s="4" t="str">
        <f>IF(OR($A251="EHT Trace"),IF(AND($AA251&lt;&gt;"",$AB251&lt;&gt;""),"YES","NO"),"N/A")</f>
        <v>N/A</v>
      </c>
      <c r="N251" s="4" t="str">
        <f>IF(OR($A251="Power Cable"),IF(AND($AD251&lt;&gt;""),"YES","NO"),"N/A")</f>
        <v>N/A</v>
      </c>
      <c r="O251" s="4" t="str">
        <f>IF(OR($A251="Power Cable",$A251="RTD Cable",$A251="Fieldbus Cable"),IF(AND($AE251&lt;&gt;""),"YES","NO"),"N/A")</f>
        <v>NO</v>
      </c>
      <c r="P251" s="4" t="str">
        <f>IF(OR($A251="RTD"),IF(AND($AH251&lt;&gt;""),"YES","NO"),"N/A")</f>
        <v>N/A</v>
      </c>
      <c r="Q251" s="4" t="str">
        <f>IF(OR($A251="RTD"),IF(AND($AI251&lt;&gt;""),"YES","NO"),"N/A")</f>
        <v>N/A</v>
      </c>
      <c r="R251" s="4" t="str">
        <f>IF(OR($AM251&lt;&gt;"",$Z251&lt;&gt;"",$AC251&lt;&gt;""),"YES","NO")</f>
        <v>NO</v>
      </c>
      <c r="S251" s="4" t="str">
        <f>IF(COUNTIF(I251:R251,"NO")=0,"YES","NO")</f>
        <v>NO</v>
      </c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inlineStr">
        <is>
          <t>ACIC</t>
        </is>
      </c>
      <c r="AK251" s="9" t="inlineStr">
        <is>
          <t>16AWG</t>
        </is>
      </c>
      <c r="AL251" s="9" t="inlineStr">
        <is>
          <t>Levy Ostrup</t>
        </is>
      </c>
      <c r="AM251" s="9" t="n"/>
      <c r="AN251" s="9" t="n"/>
    </row>
    <row r="252">
      <c r="A252" s="9" t="inlineStr">
        <is>
          <t>RTD Cable</t>
        </is>
      </c>
      <c r="B252" s="9" t="inlineStr">
        <is>
          <t>29103-ET-PE1701-1-R-1</t>
        </is>
      </c>
      <c r="C252" s="9" t="inlineStr">
        <is>
          <t>29103-ET-PE1701-1</t>
        </is>
      </c>
      <c r="D252" s="9" t="inlineStr">
        <is>
          <t>29103-HTP-003 HTC-23</t>
        </is>
      </c>
      <c r="E252" s="9" t="inlineStr">
        <is>
          <t>29103-HTP-003</t>
        </is>
      </c>
      <c r="F252" s="9" t="inlineStr"/>
      <c r="G252" s="9" t="inlineStr">
        <is>
          <t>113</t>
        </is>
      </c>
      <c r="H252" s="9" t="inlineStr">
        <is>
          <t>29103-ET-PE1701-1-R-1.pdf</t>
        </is>
      </c>
      <c r="I252" s="4" t="str">
        <f>IF($H252&lt;&gt;"","YES","NO")</f>
        <v>YES</v>
      </c>
      <c r="J252" s="4" t="str">
        <f>IF(N($T252)&gt;0,"YES","NO")</f>
        <v>NO</v>
      </c>
      <c r="K252" s="4" t="str">
        <f>IF(OR($A252="EHT Trace"),IF(AND($U252&lt;&gt;"",$V252&lt;&gt;""),"YES","NO"),"N/A")</f>
        <v>N/A</v>
      </c>
      <c r="L252" s="4" t="str">
        <f>IF(OR($A252="EHT Trace"),IF(AND($X252&lt;&gt;"",$Y252&lt;&gt;""),"YES","NO"),"N/A")</f>
        <v>N/A</v>
      </c>
      <c r="M252" s="4" t="str">
        <f>IF(OR($A252="EHT Trace"),IF(AND($AA252&lt;&gt;"",$AB252&lt;&gt;""),"YES","NO"),"N/A")</f>
        <v>N/A</v>
      </c>
      <c r="N252" s="4" t="str">
        <f>IF(OR($A252="Power Cable"),IF(AND($AD252&lt;&gt;""),"YES","NO"),"N/A")</f>
        <v>N/A</v>
      </c>
      <c r="O252" s="4" t="str">
        <f>IF(OR($A252="Power Cable",$A252="RTD Cable",$A252="Fieldbus Cable"),IF(AND($AE252&lt;&gt;""),"YES","NO"),"N/A")</f>
        <v>NO</v>
      </c>
      <c r="P252" s="4" t="str">
        <f>IF(OR($A252="RTD"),IF(AND($AH252&lt;&gt;""),"YES","NO"),"N/A")</f>
        <v>N/A</v>
      </c>
      <c r="Q252" s="4" t="str">
        <f>IF(OR($A252="RTD"),IF(AND($AI252&lt;&gt;""),"YES","NO"),"N/A")</f>
        <v>N/A</v>
      </c>
      <c r="R252" s="4" t="str">
        <f>IF(OR($AM252&lt;&gt;"",$Z252&lt;&gt;"",$AC252&lt;&gt;""),"YES","NO")</f>
        <v>NO</v>
      </c>
      <c r="S252" s="4" t="str">
        <f>IF(COUNTIF(I252:R252,"NO")=0,"YES","NO")</f>
        <v>NO</v>
      </c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inlineStr">
        <is>
          <t>ACIC</t>
        </is>
      </c>
      <c r="AK252" s="9" t="inlineStr">
        <is>
          <t>16AWG</t>
        </is>
      </c>
      <c r="AL252" s="9" t="inlineStr">
        <is>
          <t>Levy Ostrup</t>
        </is>
      </c>
      <c r="AM252" s="9" t="n"/>
      <c r="AN252" s="9" t="n"/>
    </row>
    <row r="253">
      <c r="A253" s="9" t="inlineStr">
        <is>
          <t>RTD Cable</t>
        </is>
      </c>
      <c r="B253" s="9" t="inlineStr">
        <is>
          <t>29103-ET-PE1701-2-R-2</t>
        </is>
      </c>
      <c r="C253" s="9" t="inlineStr">
        <is>
          <t>29103-ET-PE1701-2</t>
        </is>
      </c>
      <c r="D253" s="9" t="inlineStr">
        <is>
          <t>29103-HTP-003 I/O-3-2</t>
        </is>
      </c>
      <c r="E253" s="9" t="inlineStr">
        <is>
          <t>29103-HTP-003</t>
        </is>
      </c>
      <c r="F253" s="9" t="inlineStr"/>
      <c r="G253" s="9" t="inlineStr">
        <is>
          <t>113</t>
        </is>
      </c>
      <c r="H253" s="9" t="inlineStr">
        <is>
          <t>29103-ET-PE1701-2-R-2.pdf</t>
        </is>
      </c>
      <c r="I253" s="4" t="str">
        <f>IF($H253&lt;&gt;"","YES","NO")</f>
        <v>YES</v>
      </c>
      <c r="J253" s="4" t="str">
        <f>IF(N($T253)&gt;0,"YES","NO")</f>
        <v>NO</v>
      </c>
      <c r="K253" s="4" t="str">
        <f>IF(OR($A253="EHT Trace"),IF(AND($U253&lt;&gt;"",$V253&lt;&gt;""),"YES","NO"),"N/A")</f>
        <v>N/A</v>
      </c>
      <c r="L253" s="4" t="str">
        <f>IF(OR($A253="EHT Trace"),IF(AND($X253&lt;&gt;"",$Y253&lt;&gt;""),"YES","NO"),"N/A")</f>
        <v>N/A</v>
      </c>
      <c r="M253" s="4" t="str">
        <f>IF(OR($A253="EHT Trace"),IF(AND($AA253&lt;&gt;"",$AB253&lt;&gt;""),"YES","NO"),"N/A")</f>
        <v>N/A</v>
      </c>
      <c r="N253" s="4" t="str">
        <f>IF(OR($A253="Power Cable"),IF(AND($AD253&lt;&gt;""),"YES","NO"),"N/A")</f>
        <v>N/A</v>
      </c>
      <c r="O253" s="4" t="str">
        <f>IF(OR($A253="Power Cable",$A253="RTD Cable",$A253="Fieldbus Cable"),IF(AND($AE253&lt;&gt;""),"YES","NO"),"N/A")</f>
        <v>NO</v>
      </c>
      <c r="P253" s="4" t="str">
        <f>IF(OR($A253="RTD"),IF(AND($AH253&lt;&gt;""),"YES","NO"),"N/A")</f>
        <v>N/A</v>
      </c>
      <c r="Q253" s="4" t="str">
        <f>IF(OR($A253="RTD"),IF(AND($AI253&lt;&gt;""),"YES","NO"),"N/A")</f>
        <v>N/A</v>
      </c>
      <c r="R253" s="4" t="str">
        <f>IF(OR($AM253&lt;&gt;"",$Z253&lt;&gt;"",$AC253&lt;&gt;""),"YES","NO")</f>
        <v>NO</v>
      </c>
      <c r="S253" s="4" t="str">
        <f>IF(COUNTIF(I253:R253,"NO")=0,"YES","NO")</f>
        <v>NO</v>
      </c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inlineStr">
        <is>
          <t>ACIC</t>
        </is>
      </c>
      <c r="AK253" s="9" t="inlineStr">
        <is>
          <t>16AWG</t>
        </is>
      </c>
      <c r="AL253" s="9" t="inlineStr">
        <is>
          <t>Levy Ostrup</t>
        </is>
      </c>
      <c r="AM253" s="9" t="n"/>
      <c r="AN253" s="9" t="n"/>
    </row>
    <row r="254">
      <c r="A254" s="9" t="inlineStr">
        <is>
          <t>RTD Cable</t>
        </is>
      </c>
      <c r="B254" s="9" t="inlineStr">
        <is>
          <t>29103-ET-PE1702-1-R-1</t>
        </is>
      </c>
      <c r="C254" s="9" t="inlineStr">
        <is>
          <t>29103-ET-PE1702-1</t>
        </is>
      </c>
      <c r="D254" s="9" t="inlineStr">
        <is>
          <t>29103-HTP-003 HTC-20</t>
        </is>
      </c>
      <c r="E254" s="9" t="inlineStr">
        <is>
          <t>29103-HTP-003</t>
        </is>
      </c>
      <c r="F254" s="9" t="inlineStr"/>
      <c r="G254" s="9" t="inlineStr">
        <is>
          <t>113</t>
        </is>
      </c>
      <c r="H254" s="9" t="inlineStr">
        <is>
          <t>29103-ET-PE1702-1-R-1.pdf</t>
        </is>
      </c>
      <c r="I254" s="4" t="str">
        <f>IF($H254&lt;&gt;"","YES","NO")</f>
        <v>YES</v>
      </c>
      <c r="J254" s="4" t="str">
        <f>IF(N($T254)&gt;0,"YES","NO")</f>
        <v>NO</v>
      </c>
      <c r="K254" s="4" t="str">
        <f>IF(OR($A254="EHT Trace"),IF(AND($U254&lt;&gt;"",$V254&lt;&gt;""),"YES","NO"),"N/A")</f>
        <v>N/A</v>
      </c>
      <c r="L254" s="4" t="str">
        <f>IF(OR($A254="EHT Trace"),IF(AND($X254&lt;&gt;"",$Y254&lt;&gt;""),"YES","NO"),"N/A")</f>
        <v>N/A</v>
      </c>
      <c r="M254" s="4" t="str">
        <f>IF(OR($A254="EHT Trace"),IF(AND($AA254&lt;&gt;"",$AB254&lt;&gt;""),"YES","NO"),"N/A")</f>
        <v>N/A</v>
      </c>
      <c r="N254" s="4" t="str">
        <f>IF(OR($A254="Power Cable"),IF(AND($AD254&lt;&gt;""),"YES","NO"),"N/A")</f>
        <v>N/A</v>
      </c>
      <c r="O254" s="4" t="str">
        <f>IF(OR($A254="Power Cable",$A254="RTD Cable",$A254="Fieldbus Cable"),IF(AND($AE254&lt;&gt;""),"YES","NO"),"N/A")</f>
        <v>NO</v>
      </c>
      <c r="P254" s="4" t="str">
        <f>IF(OR($A254="RTD"),IF(AND($AH254&lt;&gt;""),"YES","NO"),"N/A")</f>
        <v>N/A</v>
      </c>
      <c r="Q254" s="4" t="str">
        <f>IF(OR($A254="RTD"),IF(AND($AI254&lt;&gt;""),"YES","NO"),"N/A")</f>
        <v>N/A</v>
      </c>
      <c r="R254" s="4" t="str">
        <f>IF(OR($AM254&lt;&gt;"",$Z254&lt;&gt;"",$AC254&lt;&gt;""),"YES","NO")</f>
        <v>NO</v>
      </c>
      <c r="S254" s="4" t="str">
        <f>IF(COUNTIF(I254:R254,"NO")=0,"YES","NO")</f>
        <v>NO</v>
      </c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inlineStr">
        <is>
          <t>ACIC</t>
        </is>
      </c>
      <c r="AK254" s="9" t="inlineStr">
        <is>
          <t>16AWG</t>
        </is>
      </c>
      <c r="AL254" s="9" t="inlineStr">
        <is>
          <t>Levy Ostrup</t>
        </is>
      </c>
      <c r="AM254" s="9" t="n"/>
      <c r="AN254" s="9" t="n"/>
    </row>
    <row r="255">
      <c r="A255" s="9" t="inlineStr">
        <is>
          <t>RTD Cable</t>
        </is>
      </c>
      <c r="B255" s="9" t="inlineStr">
        <is>
          <t>29103-ET-PE1702-1-R-2</t>
        </is>
      </c>
      <c r="C255" s="9" t="inlineStr">
        <is>
          <t>29103-ET-PE1702-1</t>
        </is>
      </c>
      <c r="D255" s="9" t="inlineStr">
        <is>
          <t>29103-HTP-003 I/O-3-3</t>
        </is>
      </c>
      <c r="E255" s="9" t="inlineStr">
        <is>
          <t>29103-HTP-003</t>
        </is>
      </c>
      <c r="F255" s="9" t="inlineStr"/>
      <c r="G255" s="9" t="inlineStr">
        <is>
          <t>113</t>
        </is>
      </c>
      <c r="H255" s="9" t="inlineStr">
        <is>
          <t>29103-ET-PE1702-1-R-2.pdf</t>
        </is>
      </c>
      <c r="I255" s="4" t="str">
        <f>IF($H255&lt;&gt;"","YES","NO")</f>
        <v>YES</v>
      </c>
      <c r="J255" s="4" t="str">
        <f>IF(N($T255)&gt;0,"YES","NO")</f>
        <v>NO</v>
      </c>
      <c r="K255" s="4" t="str">
        <f>IF(OR($A255="EHT Trace"),IF(AND($U255&lt;&gt;"",$V255&lt;&gt;""),"YES","NO"),"N/A")</f>
        <v>N/A</v>
      </c>
      <c r="L255" s="4" t="str">
        <f>IF(OR($A255="EHT Trace"),IF(AND($X255&lt;&gt;"",$Y255&lt;&gt;""),"YES","NO"),"N/A")</f>
        <v>N/A</v>
      </c>
      <c r="M255" s="4" t="str">
        <f>IF(OR($A255="EHT Trace"),IF(AND($AA255&lt;&gt;"",$AB255&lt;&gt;""),"YES","NO"),"N/A")</f>
        <v>N/A</v>
      </c>
      <c r="N255" s="4" t="str">
        <f>IF(OR($A255="Power Cable"),IF(AND($AD255&lt;&gt;""),"YES","NO"),"N/A")</f>
        <v>N/A</v>
      </c>
      <c r="O255" s="4" t="str">
        <f>IF(OR($A255="Power Cable",$A255="RTD Cable",$A255="Fieldbus Cable"),IF(AND($AE255&lt;&gt;""),"YES","NO"),"N/A")</f>
        <v>NO</v>
      </c>
      <c r="P255" s="4" t="str">
        <f>IF(OR($A255="RTD"),IF(AND($AH255&lt;&gt;""),"YES","NO"),"N/A")</f>
        <v>N/A</v>
      </c>
      <c r="Q255" s="4" t="str">
        <f>IF(OR($A255="RTD"),IF(AND($AI255&lt;&gt;""),"YES","NO"),"N/A")</f>
        <v>N/A</v>
      </c>
      <c r="R255" s="4" t="str">
        <f>IF(OR($AM255&lt;&gt;"",$Z255&lt;&gt;"",$AC255&lt;&gt;""),"YES","NO")</f>
        <v>NO</v>
      </c>
      <c r="S255" s="4" t="str">
        <f>IF(COUNTIF(I255:R255,"NO")=0,"YES","NO")</f>
        <v>NO</v>
      </c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inlineStr">
        <is>
          <t>ACIC</t>
        </is>
      </c>
      <c r="AK255" s="9" t="inlineStr">
        <is>
          <t>16AWG</t>
        </is>
      </c>
      <c r="AL255" s="9" t="inlineStr">
        <is>
          <t>Levy Ostrup</t>
        </is>
      </c>
      <c r="AM255" s="9" t="n"/>
      <c r="AN255" s="9" t="n"/>
    </row>
    <row r="256">
      <c r="A256" s="9" t="inlineStr">
        <is>
          <t>RTD Cable</t>
        </is>
      </c>
      <c r="B256" s="9" t="inlineStr">
        <is>
          <t>29103-ET-PE1802-2-R-1</t>
        </is>
      </c>
      <c r="C256" s="9" t="inlineStr">
        <is>
          <t>29103-ET-PE1802-2</t>
        </is>
      </c>
      <c r="D256" s="9" t="inlineStr">
        <is>
          <t>29103-HTP-003 HTC-13</t>
        </is>
      </c>
      <c r="E256" s="9" t="inlineStr">
        <is>
          <t>29103-HTP-003</t>
        </is>
      </c>
      <c r="F256" s="9" t="inlineStr"/>
      <c r="G256" s="9" t="inlineStr">
        <is>
          <t>113</t>
        </is>
      </c>
      <c r="H256" s="9" t="inlineStr">
        <is>
          <t>29103-ET-PE1802-2-R-1.pdf</t>
        </is>
      </c>
      <c r="I256" s="4" t="str">
        <f>IF($H256&lt;&gt;"","YES","NO")</f>
        <v>YES</v>
      </c>
      <c r="J256" s="4" t="str">
        <f>IF(N($T256)&gt;0,"YES","NO")</f>
        <v>NO</v>
      </c>
      <c r="K256" s="4" t="str">
        <f>IF(OR($A256="EHT Trace"),IF(AND($U256&lt;&gt;"",$V256&lt;&gt;""),"YES","NO"),"N/A")</f>
        <v>N/A</v>
      </c>
      <c r="L256" s="4" t="str">
        <f>IF(OR($A256="EHT Trace"),IF(AND($X256&lt;&gt;"",$Y256&lt;&gt;""),"YES","NO"),"N/A")</f>
        <v>N/A</v>
      </c>
      <c r="M256" s="4" t="str">
        <f>IF(OR($A256="EHT Trace"),IF(AND($AA256&lt;&gt;"",$AB256&lt;&gt;""),"YES","NO"),"N/A")</f>
        <v>N/A</v>
      </c>
      <c r="N256" s="4" t="str">
        <f>IF(OR($A256="Power Cable"),IF(AND($AD256&lt;&gt;""),"YES","NO"),"N/A")</f>
        <v>N/A</v>
      </c>
      <c r="O256" s="4" t="str">
        <f>IF(OR($A256="Power Cable",$A256="RTD Cable",$A256="Fieldbus Cable"),IF(AND($AE256&lt;&gt;""),"YES","NO"),"N/A")</f>
        <v>NO</v>
      </c>
      <c r="P256" s="4" t="str">
        <f>IF(OR($A256="RTD"),IF(AND($AH256&lt;&gt;""),"YES","NO"),"N/A")</f>
        <v>N/A</v>
      </c>
      <c r="Q256" s="4" t="str">
        <f>IF(OR($A256="RTD"),IF(AND($AI256&lt;&gt;""),"YES","NO"),"N/A")</f>
        <v>N/A</v>
      </c>
      <c r="R256" s="4" t="str">
        <f>IF(OR($AM256&lt;&gt;"",$Z256&lt;&gt;"",$AC256&lt;&gt;""),"YES","NO")</f>
        <v>NO</v>
      </c>
      <c r="S256" s="4" t="str">
        <f>IF(COUNTIF(I256:R256,"NO")=0,"YES","NO")</f>
        <v>NO</v>
      </c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inlineStr">
        <is>
          <t>ACIC</t>
        </is>
      </c>
      <c r="AK256" s="9" t="inlineStr">
        <is>
          <t>16AWG</t>
        </is>
      </c>
      <c r="AL256" s="9" t="inlineStr">
        <is>
          <t>Levy Ostrup</t>
        </is>
      </c>
      <c r="AM256" s="9" t="n"/>
      <c r="AN256" s="9" t="n"/>
    </row>
    <row r="257">
      <c r="A257" s="9" t="inlineStr">
        <is>
          <t>RTD Cable</t>
        </is>
      </c>
      <c r="B257" s="9" t="inlineStr">
        <is>
          <t>29103-ET-PE1803-2-R-1</t>
        </is>
      </c>
      <c r="C257" s="9" t="inlineStr">
        <is>
          <t>29103-ET-PE1803-2</t>
        </is>
      </c>
      <c r="D257" s="9" t="inlineStr">
        <is>
          <t>29103-HTP-003 HTC-29</t>
        </is>
      </c>
      <c r="E257" s="9" t="inlineStr">
        <is>
          <t>29103-HTP-003</t>
        </is>
      </c>
      <c r="F257" s="9" t="inlineStr"/>
      <c r="G257" s="9" t="inlineStr">
        <is>
          <t>113</t>
        </is>
      </c>
      <c r="H257" s="9" t="inlineStr">
        <is>
          <t>29103-ET-PE1803-2-R-1.pdf</t>
        </is>
      </c>
      <c r="I257" s="4" t="str">
        <f>IF($H257&lt;&gt;"","YES","NO")</f>
        <v>YES</v>
      </c>
      <c r="J257" s="4" t="str">
        <f>IF(N($T257)&gt;0,"YES","NO")</f>
        <v>NO</v>
      </c>
      <c r="K257" s="4" t="str">
        <f>IF(OR($A257="EHT Trace"),IF(AND($U257&lt;&gt;"",$V257&lt;&gt;""),"YES","NO"),"N/A")</f>
        <v>N/A</v>
      </c>
      <c r="L257" s="4" t="str">
        <f>IF(OR($A257="EHT Trace"),IF(AND($X257&lt;&gt;"",$Y257&lt;&gt;""),"YES","NO"),"N/A")</f>
        <v>N/A</v>
      </c>
      <c r="M257" s="4" t="str">
        <f>IF(OR($A257="EHT Trace"),IF(AND($AA257&lt;&gt;"",$AB257&lt;&gt;""),"YES","NO"),"N/A")</f>
        <v>N/A</v>
      </c>
      <c r="N257" s="4" t="str">
        <f>IF(OR($A257="Power Cable"),IF(AND($AD257&lt;&gt;""),"YES","NO"),"N/A")</f>
        <v>N/A</v>
      </c>
      <c r="O257" s="4" t="str">
        <f>IF(OR($A257="Power Cable",$A257="RTD Cable",$A257="Fieldbus Cable"),IF(AND($AE257&lt;&gt;""),"YES","NO"),"N/A")</f>
        <v>NO</v>
      </c>
      <c r="P257" s="4" t="str">
        <f>IF(OR($A257="RTD"),IF(AND($AH257&lt;&gt;""),"YES","NO"),"N/A")</f>
        <v>N/A</v>
      </c>
      <c r="Q257" s="4" t="str">
        <f>IF(OR($A257="RTD"),IF(AND($AI257&lt;&gt;""),"YES","NO"),"N/A")</f>
        <v>N/A</v>
      </c>
      <c r="R257" s="4" t="str">
        <f>IF(OR($AM257&lt;&gt;"",$Z257&lt;&gt;"",$AC257&lt;&gt;""),"YES","NO")</f>
        <v>NO</v>
      </c>
      <c r="S257" s="4" t="str">
        <f>IF(COUNTIF(I257:R257,"NO")=0,"YES","NO")</f>
        <v>NO</v>
      </c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inlineStr">
        <is>
          <t>ACIC</t>
        </is>
      </c>
      <c r="AK257" s="9" t="inlineStr">
        <is>
          <t>16AWG</t>
        </is>
      </c>
      <c r="AL257" s="9" t="inlineStr">
        <is>
          <t>Levy Ostrup</t>
        </is>
      </c>
      <c r="AM257" s="9" t="n"/>
      <c r="AN257" s="9" t="n"/>
    </row>
    <row r="258">
      <c r="A258" s="9" t="inlineStr">
        <is>
          <t>RTD Cable</t>
        </is>
      </c>
      <c r="B258" s="9" t="inlineStr">
        <is>
          <t>29103-ET-PG1401-1-R-1</t>
        </is>
      </c>
      <c r="C258" s="9" t="inlineStr">
        <is>
          <t>29103-ET-PG1401-1</t>
        </is>
      </c>
      <c r="D258" s="9" t="inlineStr">
        <is>
          <t>29103-HTP-003 HTC-35</t>
        </is>
      </c>
      <c r="E258" s="9" t="inlineStr">
        <is>
          <t>29103-HTP-003</t>
        </is>
      </c>
      <c r="F258" s="9" t="inlineStr"/>
      <c r="G258" s="9" t="inlineStr">
        <is>
          <t>113</t>
        </is>
      </c>
      <c r="H258" s="9" t="inlineStr">
        <is>
          <t>29103-ET-PG1401-1-R-1.pdf</t>
        </is>
      </c>
      <c r="I258" s="4" t="str">
        <f>IF($H258&lt;&gt;"","YES","NO")</f>
        <v>YES</v>
      </c>
      <c r="J258" s="4" t="str">
        <f>IF(N($T258)&gt;0,"YES","NO")</f>
        <v>NO</v>
      </c>
      <c r="K258" s="4" t="str">
        <f>IF(OR($A258="EHT Trace"),IF(AND($U258&lt;&gt;"",$V258&lt;&gt;""),"YES","NO"),"N/A")</f>
        <v>N/A</v>
      </c>
      <c r="L258" s="4" t="str">
        <f>IF(OR($A258="EHT Trace"),IF(AND($X258&lt;&gt;"",$Y258&lt;&gt;""),"YES","NO"),"N/A")</f>
        <v>N/A</v>
      </c>
      <c r="M258" s="4" t="str">
        <f>IF(OR($A258="EHT Trace"),IF(AND($AA258&lt;&gt;"",$AB258&lt;&gt;""),"YES","NO"),"N/A")</f>
        <v>N/A</v>
      </c>
      <c r="N258" s="4" t="str">
        <f>IF(OR($A258="Power Cable"),IF(AND($AD258&lt;&gt;""),"YES","NO"),"N/A")</f>
        <v>N/A</v>
      </c>
      <c r="O258" s="4" t="str">
        <f>IF(OR($A258="Power Cable",$A258="RTD Cable",$A258="Fieldbus Cable"),IF(AND($AE258&lt;&gt;""),"YES","NO"),"N/A")</f>
        <v>NO</v>
      </c>
      <c r="P258" s="4" t="str">
        <f>IF(OR($A258="RTD"),IF(AND($AH258&lt;&gt;""),"YES","NO"),"N/A")</f>
        <v>N/A</v>
      </c>
      <c r="Q258" s="4" t="str">
        <f>IF(OR($A258="RTD"),IF(AND($AI258&lt;&gt;""),"YES","NO"),"N/A")</f>
        <v>N/A</v>
      </c>
      <c r="R258" s="4" t="str">
        <f>IF(OR($AM258&lt;&gt;"",$Z258&lt;&gt;"",$AC258&lt;&gt;""),"YES","NO")</f>
        <v>NO</v>
      </c>
      <c r="S258" s="4" t="str">
        <f>IF(COUNTIF(I258:R258,"NO")=0,"YES","NO")</f>
        <v>NO</v>
      </c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inlineStr">
        <is>
          <t>ACIC</t>
        </is>
      </c>
      <c r="AK258" s="9" t="inlineStr">
        <is>
          <t>16AWG</t>
        </is>
      </c>
      <c r="AL258" s="9" t="inlineStr">
        <is>
          <t>Levy Ostrup</t>
        </is>
      </c>
      <c r="AM258" s="9" t="n"/>
      <c r="AN258" s="9" t="n"/>
    </row>
    <row r="259">
      <c r="A259" s="9" t="inlineStr">
        <is>
          <t>RTD Cable</t>
        </is>
      </c>
      <c r="B259" s="9" t="inlineStr">
        <is>
          <t>29103-ET-PG1401-1-R-2</t>
        </is>
      </c>
      <c r="C259" s="9" t="inlineStr">
        <is>
          <t>29103-ET-PG1401-1</t>
        </is>
      </c>
      <c r="D259" s="9" t="inlineStr">
        <is>
          <t>29103-HTP-003 HTC-37</t>
        </is>
      </c>
      <c r="E259" s="9" t="inlineStr">
        <is>
          <t>29103-HTP-003</t>
        </is>
      </c>
      <c r="F259" s="9" t="inlineStr"/>
      <c r="G259" s="9" t="inlineStr">
        <is>
          <t>113</t>
        </is>
      </c>
      <c r="H259" s="9" t="inlineStr">
        <is>
          <t>29103-ET-PG1401-1-R-2.pdf</t>
        </is>
      </c>
      <c r="I259" s="4" t="str">
        <f>IF($H259&lt;&gt;"","YES","NO")</f>
        <v>YES</v>
      </c>
      <c r="J259" s="4" t="str">
        <f>IF(N($T259)&gt;0,"YES","NO")</f>
        <v>NO</v>
      </c>
      <c r="K259" s="4" t="str">
        <f>IF(OR($A259="EHT Trace"),IF(AND($U259&lt;&gt;"",$V259&lt;&gt;""),"YES","NO"),"N/A")</f>
        <v>N/A</v>
      </c>
      <c r="L259" s="4" t="str">
        <f>IF(OR($A259="EHT Trace"),IF(AND($X259&lt;&gt;"",$Y259&lt;&gt;""),"YES","NO"),"N/A")</f>
        <v>N/A</v>
      </c>
      <c r="M259" s="4" t="str">
        <f>IF(OR($A259="EHT Trace"),IF(AND($AA259&lt;&gt;"",$AB259&lt;&gt;""),"YES","NO"),"N/A")</f>
        <v>N/A</v>
      </c>
      <c r="N259" s="4" t="str">
        <f>IF(OR($A259="Power Cable"),IF(AND($AD259&lt;&gt;""),"YES","NO"),"N/A")</f>
        <v>N/A</v>
      </c>
      <c r="O259" s="4" t="str">
        <f>IF(OR($A259="Power Cable",$A259="RTD Cable",$A259="Fieldbus Cable"),IF(AND($AE259&lt;&gt;""),"YES","NO"),"N/A")</f>
        <v>NO</v>
      </c>
      <c r="P259" s="4" t="str">
        <f>IF(OR($A259="RTD"),IF(AND($AH259&lt;&gt;""),"YES","NO"),"N/A")</f>
        <v>N/A</v>
      </c>
      <c r="Q259" s="4" t="str">
        <f>IF(OR($A259="RTD"),IF(AND($AI259&lt;&gt;""),"YES","NO"),"N/A")</f>
        <v>N/A</v>
      </c>
      <c r="R259" s="4" t="str">
        <f>IF(OR($AM259&lt;&gt;"",$Z259&lt;&gt;"",$AC259&lt;&gt;""),"YES","NO")</f>
        <v>NO</v>
      </c>
      <c r="S259" s="4" t="str">
        <f>IF(COUNTIF(I259:R259,"NO")=0,"YES","NO")</f>
        <v>NO</v>
      </c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inlineStr">
        <is>
          <t>ACIC</t>
        </is>
      </c>
      <c r="AK259" s="9" t="inlineStr">
        <is>
          <t>16AWG</t>
        </is>
      </c>
      <c r="AL259" s="9" t="inlineStr">
        <is>
          <t>Levy Ostrup</t>
        </is>
      </c>
      <c r="AM259" s="9" t="n"/>
      <c r="AN259" s="9" t="n"/>
    </row>
    <row r="260">
      <c r="A260" s="9" t="inlineStr">
        <is>
          <t>RTD Cable</t>
        </is>
      </c>
      <c r="B260" s="9" t="inlineStr">
        <is>
          <t>29103-ET-PG1401-2-R-1</t>
        </is>
      </c>
      <c r="C260" s="9" t="inlineStr">
        <is>
          <t>29103-ET-PG1401-2</t>
        </is>
      </c>
      <c r="D260" s="9" t="inlineStr">
        <is>
          <t>29103-HTP-003 HTC-22</t>
        </is>
      </c>
      <c r="E260" s="9" t="inlineStr">
        <is>
          <t>29103-HTP-003</t>
        </is>
      </c>
      <c r="F260" s="9" t="inlineStr"/>
      <c r="G260" s="9" t="inlineStr">
        <is>
          <t>113</t>
        </is>
      </c>
      <c r="H260" s="9" t="inlineStr">
        <is>
          <t>29103-ET-PG1401-2-R-1.pdf</t>
        </is>
      </c>
      <c r="I260" s="4" t="str">
        <f>IF($H260&lt;&gt;"","YES","NO")</f>
        <v>YES</v>
      </c>
      <c r="J260" s="4" t="str">
        <f>IF(N($T260)&gt;0,"YES","NO")</f>
        <v>NO</v>
      </c>
      <c r="K260" s="4" t="str">
        <f>IF(OR($A260="EHT Trace"),IF(AND($U260&lt;&gt;"",$V260&lt;&gt;""),"YES","NO"),"N/A")</f>
        <v>N/A</v>
      </c>
      <c r="L260" s="4" t="str">
        <f>IF(OR($A260="EHT Trace"),IF(AND($X260&lt;&gt;"",$Y260&lt;&gt;""),"YES","NO"),"N/A")</f>
        <v>N/A</v>
      </c>
      <c r="M260" s="4" t="str">
        <f>IF(OR($A260="EHT Trace"),IF(AND($AA260&lt;&gt;"",$AB260&lt;&gt;""),"YES","NO"),"N/A")</f>
        <v>N/A</v>
      </c>
      <c r="N260" s="4" t="str">
        <f>IF(OR($A260="Power Cable"),IF(AND($AD260&lt;&gt;""),"YES","NO"),"N/A")</f>
        <v>N/A</v>
      </c>
      <c r="O260" s="4" t="str">
        <f>IF(OR($A260="Power Cable",$A260="RTD Cable",$A260="Fieldbus Cable"),IF(AND($AE260&lt;&gt;""),"YES","NO"),"N/A")</f>
        <v>NO</v>
      </c>
      <c r="P260" s="4" t="str">
        <f>IF(OR($A260="RTD"),IF(AND($AH260&lt;&gt;""),"YES","NO"),"N/A")</f>
        <v>N/A</v>
      </c>
      <c r="Q260" s="4" t="str">
        <f>IF(OR($A260="RTD"),IF(AND($AI260&lt;&gt;""),"YES","NO"),"N/A")</f>
        <v>N/A</v>
      </c>
      <c r="R260" s="4" t="str">
        <f>IF(OR($AM260&lt;&gt;"",$Z260&lt;&gt;"",$AC260&lt;&gt;""),"YES","NO")</f>
        <v>NO</v>
      </c>
      <c r="S260" s="4" t="str">
        <f>IF(COUNTIF(I260:R260,"NO")=0,"YES","NO")</f>
        <v>NO</v>
      </c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inlineStr">
        <is>
          <t>ACIC</t>
        </is>
      </c>
      <c r="AK260" s="9" t="inlineStr">
        <is>
          <t>16AWG</t>
        </is>
      </c>
      <c r="AL260" s="9" t="inlineStr">
        <is>
          <t>Levy Ostrup</t>
        </is>
      </c>
      <c r="AM260" s="9" t="n"/>
      <c r="AN260" s="9" t="n"/>
    </row>
    <row r="261">
      <c r="A261" s="9" t="inlineStr">
        <is>
          <t>RTD Cable</t>
        </is>
      </c>
      <c r="B261" s="9" t="inlineStr">
        <is>
          <t>29103-ET-PG1501-1-R-1</t>
        </is>
      </c>
      <c r="C261" s="9" t="inlineStr">
        <is>
          <t>29103-ET-PG1501-1</t>
        </is>
      </c>
      <c r="D261" s="9" t="inlineStr">
        <is>
          <t>29103-HTP-003 HTC-11</t>
        </is>
      </c>
      <c r="E261" s="9" t="inlineStr">
        <is>
          <t>29103-HTP-003</t>
        </is>
      </c>
      <c r="F261" s="9" t="inlineStr"/>
      <c r="G261" s="9" t="inlineStr">
        <is>
          <t>113</t>
        </is>
      </c>
      <c r="H261" s="9" t="inlineStr">
        <is>
          <t>29103-ET-PG1501-1-R-1.pdf</t>
        </is>
      </c>
      <c r="I261" s="4" t="str">
        <f>IF($H261&lt;&gt;"","YES","NO")</f>
        <v>YES</v>
      </c>
      <c r="J261" s="4" t="str">
        <f>IF(N($T261)&gt;0,"YES","NO")</f>
        <v>NO</v>
      </c>
      <c r="K261" s="4" t="str">
        <f>IF(OR($A261="EHT Trace"),IF(AND($U261&lt;&gt;"",$V261&lt;&gt;""),"YES","NO"),"N/A")</f>
        <v>N/A</v>
      </c>
      <c r="L261" s="4" t="str">
        <f>IF(OR($A261="EHT Trace"),IF(AND($X261&lt;&gt;"",$Y261&lt;&gt;""),"YES","NO"),"N/A")</f>
        <v>N/A</v>
      </c>
      <c r="M261" s="4" t="str">
        <f>IF(OR($A261="EHT Trace"),IF(AND($AA261&lt;&gt;"",$AB261&lt;&gt;""),"YES","NO"),"N/A")</f>
        <v>N/A</v>
      </c>
      <c r="N261" s="4" t="str">
        <f>IF(OR($A261="Power Cable"),IF(AND($AD261&lt;&gt;""),"YES","NO"),"N/A")</f>
        <v>N/A</v>
      </c>
      <c r="O261" s="4" t="str">
        <f>IF(OR($A261="Power Cable",$A261="RTD Cable",$A261="Fieldbus Cable"),IF(AND($AE261&lt;&gt;""),"YES","NO"),"N/A")</f>
        <v>NO</v>
      </c>
      <c r="P261" s="4" t="str">
        <f>IF(OR($A261="RTD"),IF(AND($AH261&lt;&gt;""),"YES","NO"),"N/A")</f>
        <v>N/A</v>
      </c>
      <c r="Q261" s="4" t="str">
        <f>IF(OR($A261="RTD"),IF(AND($AI261&lt;&gt;""),"YES","NO"),"N/A")</f>
        <v>N/A</v>
      </c>
      <c r="R261" s="4" t="str">
        <f>IF(OR($AM261&lt;&gt;"",$Z261&lt;&gt;"",$AC261&lt;&gt;""),"YES","NO")</f>
        <v>NO</v>
      </c>
      <c r="S261" s="4" t="str">
        <f>IF(COUNTIF(I261:R261,"NO")=0,"YES","NO")</f>
        <v>NO</v>
      </c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inlineStr">
        <is>
          <t>ACIC</t>
        </is>
      </c>
      <c r="AK261" s="9" t="inlineStr">
        <is>
          <t>16AWG</t>
        </is>
      </c>
      <c r="AL261" s="9" t="inlineStr">
        <is>
          <t>Levy Ostrup</t>
        </is>
      </c>
      <c r="AM261" s="9" t="n"/>
      <c r="AN261" s="9" t="n"/>
    </row>
    <row r="262">
      <c r="A262" s="9" t="inlineStr">
        <is>
          <t>RTD Cable</t>
        </is>
      </c>
      <c r="B262" s="9" t="inlineStr">
        <is>
          <t>29103-ET-PG1501-1-R-2</t>
        </is>
      </c>
      <c r="C262" s="9" t="inlineStr">
        <is>
          <t>29103-ET-PG1501-1</t>
        </is>
      </c>
      <c r="D262" s="9" t="inlineStr">
        <is>
          <t>29103-HTP-003 I/O-3-4</t>
        </is>
      </c>
      <c r="E262" s="9" t="inlineStr">
        <is>
          <t>29103-HTP-003</t>
        </is>
      </c>
      <c r="F262" s="9" t="inlineStr"/>
      <c r="G262" s="9" t="inlineStr">
        <is>
          <t>113</t>
        </is>
      </c>
      <c r="H262" s="9" t="inlineStr">
        <is>
          <t>29103-ET-PG1501-1-R-2.pdf</t>
        </is>
      </c>
      <c r="I262" s="4" t="str">
        <f>IF($H262&lt;&gt;"","YES","NO")</f>
        <v>YES</v>
      </c>
      <c r="J262" s="4" t="str">
        <f>IF(N($T262)&gt;0,"YES","NO")</f>
        <v>NO</v>
      </c>
      <c r="K262" s="4" t="str">
        <f>IF(OR($A262="EHT Trace"),IF(AND($U262&lt;&gt;"",$V262&lt;&gt;""),"YES","NO"),"N/A")</f>
        <v>N/A</v>
      </c>
      <c r="L262" s="4" t="str">
        <f>IF(OR($A262="EHT Trace"),IF(AND($X262&lt;&gt;"",$Y262&lt;&gt;""),"YES","NO"),"N/A")</f>
        <v>N/A</v>
      </c>
      <c r="M262" s="4" t="str">
        <f>IF(OR($A262="EHT Trace"),IF(AND($AA262&lt;&gt;"",$AB262&lt;&gt;""),"YES","NO"),"N/A")</f>
        <v>N/A</v>
      </c>
      <c r="N262" s="4" t="str">
        <f>IF(OR($A262="Power Cable"),IF(AND($AD262&lt;&gt;""),"YES","NO"),"N/A")</f>
        <v>N/A</v>
      </c>
      <c r="O262" s="4" t="str">
        <f>IF(OR($A262="Power Cable",$A262="RTD Cable",$A262="Fieldbus Cable"),IF(AND($AE262&lt;&gt;""),"YES","NO"),"N/A")</f>
        <v>NO</v>
      </c>
      <c r="P262" s="4" t="str">
        <f>IF(OR($A262="RTD"),IF(AND($AH262&lt;&gt;""),"YES","NO"),"N/A")</f>
        <v>N/A</v>
      </c>
      <c r="Q262" s="4" t="str">
        <f>IF(OR($A262="RTD"),IF(AND($AI262&lt;&gt;""),"YES","NO"),"N/A")</f>
        <v>N/A</v>
      </c>
      <c r="R262" s="4" t="str">
        <f>IF(OR($AM262&lt;&gt;"",$Z262&lt;&gt;"",$AC262&lt;&gt;""),"YES","NO")</f>
        <v>NO</v>
      </c>
      <c r="S262" s="4" t="str">
        <f>IF(COUNTIF(I262:R262,"NO")=0,"YES","NO")</f>
        <v>NO</v>
      </c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inlineStr">
        <is>
          <t>ACIC</t>
        </is>
      </c>
      <c r="AK262" s="9" t="inlineStr">
        <is>
          <t>16AWG</t>
        </is>
      </c>
      <c r="AL262" s="9" t="inlineStr">
        <is>
          <t>Levy Ostrup</t>
        </is>
      </c>
      <c r="AM262" s="9" t="n"/>
      <c r="AN262" s="9" t="n"/>
    </row>
    <row r="263">
      <c r="A263" s="9" t="inlineStr">
        <is>
          <t>RTD Cable</t>
        </is>
      </c>
      <c r="B263" s="9" t="inlineStr">
        <is>
          <t>29103-ET-PG1501-2-R-1</t>
        </is>
      </c>
      <c r="C263" s="9" t="inlineStr">
        <is>
          <t>29103-ET-PG1501-2</t>
        </is>
      </c>
      <c r="D263" s="9" t="inlineStr">
        <is>
          <t>29103-HTP-003 HTC-28</t>
        </is>
      </c>
      <c r="E263" s="9" t="inlineStr">
        <is>
          <t>29103-HTP-003</t>
        </is>
      </c>
      <c r="F263" s="9" t="inlineStr"/>
      <c r="G263" s="9" t="inlineStr">
        <is>
          <t>113</t>
        </is>
      </c>
      <c r="H263" s="9" t="inlineStr">
        <is>
          <t>29103-ET-PG1501-2-R-1.pdf</t>
        </is>
      </c>
      <c r="I263" s="4" t="str">
        <f>IF($H263&lt;&gt;"","YES","NO")</f>
        <v>YES</v>
      </c>
      <c r="J263" s="4" t="str">
        <f>IF(N($T263)&gt;0,"YES","NO")</f>
        <v>NO</v>
      </c>
      <c r="K263" s="4" t="str">
        <f>IF(OR($A263="EHT Trace"),IF(AND($U263&lt;&gt;"",$V263&lt;&gt;""),"YES","NO"),"N/A")</f>
        <v>N/A</v>
      </c>
      <c r="L263" s="4" t="str">
        <f>IF(OR($A263="EHT Trace"),IF(AND($X263&lt;&gt;"",$Y263&lt;&gt;""),"YES","NO"),"N/A")</f>
        <v>N/A</v>
      </c>
      <c r="M263" s="4" t="str">
        <f>IF(OR($A263="EHT Trace"),IF(AND($AA263&lt;&gt;"",$AB263&lt;&gt;""),"YES","NO"),"N/A")</f>
        <v>N/A</v>
      </c>
      <c r="N263" s="4" t="str">
        <f>IF(OR($A263="Power Cable"),IF(AND($AD263&lt;&gt;""),"YES","NO"),"N/A")</f>
        <v>N/A</v>
      </c>
      <c r="O263" s="4" t="str">
        <f>IF(OR($A263="Power Cable",$A263="RTD Cable",$A263="Fieldbus Cable"),IF(AND($AE263&lt;&gt;""),"YES","NO"),"N/A")</f>
        <v>NO</v>
      </c>
      <c r="P263" s="4" t="str">
        <f>IF(OR($A263="RTD"),IF(AND($AH263&lt;&gt;""),"YES","NO"),"N/A")</f>
        <v>N/A</v>
      </c>
      <c r="Q263" s="4" t="str">
        <f>IF(OR($A263="RTD"),IF(AND($AI263&lt;&gt;""),"YES","NO"),"N/A")</f>
        <v>N/A</v>
      </c>
      <c r="R263" s="4" t="str">
        <f>IF(OR($AM263&lt;&gt;"",$Z263&lt;&gt;"",$AC263&lt;&gt;""),"YES","NO")</f>
        <v>NO</v>
      </c>
      <c r="S263" s="4" t="str">
        <f>IF(COUNTIF(I263:R263,"NO")=0,"YES","NO")</f>
        <v>NO</v>
      </c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inlineStr">
        <is>
          <t>ACIC</t>
        </is>
      </c>
      <c r="AK263" s="9" t="inlineStr">
        <is>
          <t>16AWG</t>
        </is>
      </c>
      <c r="AL263" s="9" t="inlineStr">
        <is>
          <t>Levy Ostrup</t>
        </is>
      </c>
      <c r="AM263" s="9" t="n"/>
      <c r="AN263" s="9" t="n"/>
    </row>
    <row r="264">
      <c r="A264" s="9" t="inlineStr">
        <is>
          <t>RTD Cable</t>
        </is>
      </c>
      <c r="B264" s="9" t="inlineStr">
        <is>
          <t>29103-ET-PG1601-1-R-1</t>
        </is>
      </c>
      <c r="C264" s="9" t="inlineStr">
        <is>
          <t>29103-ET-PG1601-1</t>
        </is>
      </c>
      <c r="D264" s="9" t="inlineStr">
        <is>
          <t>29103-HTP-003 HTC-14</t>
        </is>
      </c>
      <c r="E264" s="9" t="inlineStr">
        <is>
          <t>29103-HTP-003</t>
        </is>
      </c>
      <c r="F264" s="9" t="inlineStr"/>
      <c r="G264" s="9" t="inlineStr">
        <is>
          <t>113</t>
        </is>
      </c>
      <c r="H264" s="9" t="inlineStr">
        <is>
          <t>29103-ET-PG1601-1-R-1.pdf</t>
        </is>
      </c>
      <c r="I264" s="4" t="str">
        <f>IF($H264&lt;&gt;"","YES","NO")</f>
        <v>YES</v>
      </c>
      <c r="J264" s="4" t="str">
        <f>IF(N($T264)&gt;0,"YES","NO")</f>
        <v>NO</v>
      </c>
      <c r="K264" s="4" t="str">
        <f>IF(OR($A264="EHT Trace"),IF(AND($U264&lt;&gt;"",$V264&lt;&gt;""),"YES","NO"),"N/A")</f>
        <v>N/A</v>
      </c>
      <c r="L264" s="4" t="str">
        <f>IF(OR($A264="EHT Trace"),IF(AND($X264&lt;&gt;"",$Y264&lt;&gt;""),"YES","NO"),"N/A")</f>
        <v>N/A</v>
      </c>
      <c r="M264" s="4" t="str">
        <f>IF(OR($A264="EHT Trace"),IF(AND($AA264&lt;&gt;"",$AB264&lt;&gt;""),"YES","NO"),"N/A")</f>
        <v>N/A</v>
      </c>
      <c r="N264" s="4" t="str">
        <f>IF(OR($A264="Power Cable"),IF(AND($AD264&lt;&gt;""),"YES","NO"),"N/A")</f>
        <v>N/A</v>
      </c>
      <c r="O264" s="4" t="str">
        <f>IF(OR($A264="Power Cable",$A264="RTD Cable",$A264="Fieldbus Cable"),IF(AND($AE264&lt;&gt;""),"YES","NO"),"N/A")</f>
        <v>NO</v>
      </c>
      <c r="P264" s="4" t="str">
        <f>IF(OR($A264="RTD"),IF(AND($AH264&lt;&gt;""),"YES","NO"),"N/A")</f>
        <v>N/A</v>
      </c>
      <c r="Q264" s="4" t="str">
        <f>IF(OR($A264="RTD"),IF(AND($AI264&lt;&gt;""),"YES","NO"),"N/A")</f>
        <v>N/A</v>
      </c>
      <c r="R264" s="4" t="str">
        <f>IF(OR($AM264&lt;&gt;"",$Z264&lt;&gt;"",$AC264&lt;&gt;""),"YES","NO")</f>
        <v>NO</v>
      </c>
      <c r="S264" s="4" t="str">
        <f>IF(COUNTIF(I264:R264,"NO")=0,"YES","NO")</f>
        <v>NO</v>
      </c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inlineStr">
        <is>
          <t>ACIC</t>
        </is>
      </c>
      <c r="AK264" s="9" t="inlineStr">
        <is>
          <t>16AWG</t>
        </is>
      </c>
      <c r="AL264" s="9" t="inlineStr">
        <is>
          <t>Levy Ostrup</t>
        </is>
      </c>
      <c r="AM264" s="9" t="n"/>
      <c r="AN264" s="9" t="n"/>
    </row>
    <row r="265">
      <c r="A265" s="9" t="inlineStr">
        <is>
          <t>RTD Cable</t>
        </is>
      </c>
      <c r="B265" s="9" t="inlineStr">
        <is>
          <t>29103-ET-PG1601-1-R-2</t>
        </is>
      </c>
      <c r="C265" s="9" t="inlineStr">
        <is>
          <t>29103-ET-PG1601-1</t>
        </is>
      </c>
      <c r="D265" s="9" t="inlineStr">
        <is>
          <t>29103-HTP-003 I/O-4-1</t>
        </is>
      </c>
      <c r="E265" s="9" t="inlineStr">
        <is>
          <t>29103-HTP-003</t>
        </is>
      </c>
      <c r="F265" s="9" t="inlineStr"/>
      <c r="G265" s="9" t="inlineStr">
        <is>
          <t>113</t>
        </is>
      </c>
      <c r="H265" s="9" t="inlineStr">
        <is>
          <t>29103-ET-PG1601-1-R-2.pdf</t>
        </is>
      </c>
      <c r="I265" s="4" t="str">
        <f>IF($H265&lt;&gt;"","YES","NO")</f>
        <v>YES</v>
      </c>
      <c r="J265" s="4" t="str">
        <f>IF(N($T265)&gt;0,"YES","NO")</f>
        <v>NO</v>
      </c>
      <c r="K265" s="4" t="str">
        <f>IF(OR($A265="EHT Trace"),IF(AND($U265&lt;&gt;"",$V265&lt;&gt;""),"YES","NO"),"N/A")</f>
        <v>N/A</v>
      </c>
      <c r="L265" s="4" t="str">
        <f>IF(OR($A265="EHT Trace"),IF(AND($X265&lt;&gt;"",$Y265&lt;&gt;""),"YES","NO"),"N/A")</f>
        <v>N/A</v>
      </c>
      <c r="M265" s="4" t="str">
        <f>IF(OR($A265="EHT Trace"),IF(AND($AA265&lt;&gt;"",$AB265&lt;&gt;""),"YES","NO"),"N/A")</f>
        <v>N/A</v>
      </c>
      <c r="N265" s="4" t="str">
        <f>IF(OR($A265="Power Cable"),IF(AND($AD265&lt;&gt;""),"YES","NO"),"N/A")</f>
        <v>N/A</v>
      </c>
      <c r="O265" s="4" t="str">
        <f>IF(OR($A265="Power Cable",$A265="RTD Cable",$A265="Fieldbus Cable"),IF(AND($AE265&lt;&gt;""),"YES","NO"),"N/A")</f>
        <v>NO</v>
      </c>
      <c r="P265" s="4" t="str">
        <f>IF(OR($A265="RTD"),IF(AND($AH265&lt;&gt;""),"YES","NO"),"N/A")</f>
        <v>N/A</v>
      </c>
      <c r="Q265" s="4" t="str">
        <f>IF(OR($A265="RTD"),IF(AND($AI265&lt;&gt;""),"YES","NO"),"N/A")</f>
        <v>N/A</v>
      </c>
      <c r="R265" s="4" t="str">
        <f>IF(OR($AM265&lt;&gt;"",$Z265&lt;&gt;"",$AC265&lt;&gt;""),"YES","NO")</f>
        <v>NO</v>
      </c>
      <c r="S265" s="4" t="str">
        <f>IF(COUNTIF(I265:R265,"NO")=0,"YES","NO")</f>
        <v>NO</v>
      </c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inlineStr">
        <is>
          <t>ACIC</t>
        </is>
      </c>
      <c r="AK265" s="9" t="inlineStr">
        <is>
          <t>16AWG</t>
        </is>
      </c>
      <c r="AL265" s="9" t="inlineStr">
        <is>
          <t>Levy Ostrup</t>
        </is>
      </c>
      <c r="AM265" s="9" t="n"/>
      <c r="AN265" s="9" t="n"/>
    </row>
    <row r="266">
      <c r="A266" s="9" t="inlineStr">
        <is>
          <t>RTD Cable</t>
        </is>
      </c>
      <c r="B266" s="9" t="inlineStr">
        <is>
          <t>29103-ET-PG1601-2-R-1</t>
        </is>
      </c>
      <c r="C266" s="9" t="inlineStr">
        <is>
          <t>29103-ET-PG1601-2</t>
        </is>
      </c>
      <c r="D266" s="9" t="inlineStr">
        <is>
          <t>29103-HTP-003 HTC-31</t>
        </is>
      </c>
      <c r="E266" s="9" t="inlineStr">
        <is>
          <t>29103-HTP-003</t>
        </is>
      </c>
      <c r="F266" s="9" t="inlineStr"/>
      <c r="G266" s="9" t="inlineStr">
        <is>
          <t>113</t>
        </is>
      </c>
      <c r="H266" s="9" t="inlineStr">
        <is>
          <t>29103-ET-PG1601-2-R-1.pdf</t>
        </is>
      </c>
      <c r="I266" s="4" t="str">
        <f>IF($H266&lt;&gt;"","YES","NO")</f>
        <v>YES</v>
      </c>
      <c r="J266" s="4" t="str">
        <f>IF(N($T266)&gt;0,"YES","NO")</f>
        <v>NO</v>
      </c>
      <c r="K266" s="4" t="str">
        <f>IF(OR($A266="EHT Trace"),IF(AND($U266&lt;&gt;"",$V266&lt;&gt;""),"YES","NO"),"N/A")</f>
        <v>N/A</v>
      </c>
      <c r="L266" s="4" t="str">
        <f>IF(OR($A266="EHT Trace"),IF(AND($X266&lt;&gt;"",$Y266&lt;&gt;""),"YES","NO"),"N/A")</f>
        <v>N/A</v>
      </c>
      <c r="M266" s="4" t="str">
        <f>IF(OR($A266="EHT Trace"),IF(AND($AA266&lt;&gt;"",$AB266&lt;&gt;""),"YES","NO"),"N/A")</f>
        <v>N/A</v>
      </c>
      <c r="N266" s="4" t="str">
        <f>IF(OR($A266="Power Cable"),IF(AND($AD266&lt;&gt;""),"YES","NO"),"N/A")</f>
        <v>N/A</v>
      </c>
      <c r="O266" s="4" t="str">
        <f>IF(OR($A266="Power Cable",$A266="RTD Cable",$A266="Fieldbus Cable"),IF(AND($AE266&lt;&gt;""),"YES","NO"),"N/A")</f>
        <v>NO</v>
      </c>
      <c r="P266" s="4" t="str">
        <f>IF(OR($A266="RTD"),IF(AND($AH266&lt;&gt;""),"YES","NO"),"N/A")</f>
        <v>N/A</v>
      </c>
      <c r="Q266" s="4" t="str">
        <f>IF(OR($A266="RTD"),IF(AND($AI266&lt;&gt;""),"YES","NO"),"N/A")</f>
        <v>N/A</v>
      </c>
      <c r="R266" s="4" t="str">
        <f>IF(OR($AM266&lt;&gt;"",$Z266&lt;&gt;"",$AC266&lt;&gt;""),"YES","NO")</f>
        <v>NO</v>
      </c>
      <c r="S266" s="4" t="str">
        <f>IF(COUNTIF(I266:R266,"NO")=0,"YES","NO")</f>
        <v>NO</v>
      </c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inlineStr">
        <is>
          <t>ACIC</t>
        </is>
      </c>
      <c r="AK266" s="9" t="inlineStr">
        <is>
          <t>16AWG</t>
        </is>
      </c>
      <c r="AL266" s="9" t="inlineStr">
        <is>
          <t>Levy Ostrup</t>
        </is>
      </c>
      <c r="AM266" s="9" t="n"/>
      <c r="AN266" s="9" t="n"/>
    </row>
    <row r="267">
      <c r="A267" s="9" t="inlineStr">
        <is>
          <t>RTD Cable</t>
        </is>
      </c>
      <c r="B267" s="9" t="inlineStr">
        <is>
          <t>29103-ET-PG1701-1-R-1</t>
        </is>
      </c>
      <c r="C267" s="9" t="inlineStr">
        <is>
          <t>29103-ET-PG1701-1</t>
        </is>
      </c>
      <c r="D267" s="9" t="inlineStr">
        <is>
          <t>29103-HTP-003 HTC-21</t>
        </is>
      </c>
      <c r="E267" s="9" t="inlineStr">
        <is>
          <t>29103-HTP-003</t>
        </is>
      </c>
      <c r="F267" s="9" t="inlineStr"/>
      <c r="G267" s="9" t="inlineStr">
        <is>
          <t>113</t>
        </is>
      </c>
      <c r="H267" s="9" t="inlineStr">
        <is>
          <t>29103-ET-PG1701-1-R-1.pdf</t>
        </is>
      </c>
      <c r="I267" s="4" t="str">
        <f>IF($H267&lt;&gt;"","YES","NO")</f>
        <v>YES</v>
      </c>
      <c r="J267" s="4" t="str">
        <f>IF(N($T267)&gt;0,"YES","NO")</f>
        <v>NO</v>
      </c>
      <c r="K267" s="4" t="str">
        <f>IF(OR($A267="EHT Trace"),IF(AND($U267&lt;&gt;"",$V267&lt;&gt;""),"YES","NO"),"N/A")</f>
        <v>N/A</v>
      </c>
      <c r="L267" s="4" t="str">
        <f>IF(OR($A267="EHT Trace"),IF(AND($X267&lt;&gt;"",$Y267&lt;&gt;""),"YES","NO"),"N/A")</f>
        <v>N/A</v>
      </c>
      <c r="M267" s="4" t="str">
        <f>IF(OR($A267="EHT Trace"),IF(AND($AA267&lt;&gt;"",$AB267&lt;&gt;""),"YES","NO"),"N/A")</f>
        <v>N/A</v>
      </c>
      <c r="N267" s="4" t="str">
        <f>IF(OR($A267="Power Cable"),IF(AND($AD267&lt;&gt;""),"YES","NO"),"N/A")</f>
        <v>N/A</v>
      </c>
      <c r="O267" s="4" t="str">
        <f>IF(OR($A267="Power Cable",$A267="RTD Cable",$A267="Fieldbus Cable"),IF(AND($AE267&lt;&gt;""),"YES","NO"),"N/A")</f>
        <v>NO</v>
      </c>
      <c r="P267" s="4" t="str">
        <f>IF(OR($A267="RTD"),IF(AND($AH267&lt;&gt;""),"YES","NO"),"N/A")</f>
        <v>N/A</v>
      </c>
      <c r="Q267" s="4" t="str">
        <f>IF(OR($A267="RTD"),IF(AND($AI267&lt;&gt;""),"YES","NO"),"N/A")</f>
        <v>N/A</v>
      </c>
      <c r="R267" s="4" t="str">
        <f>IF(OR($AM267&lt;&gt;"",$Z267&lt;&gt;"",$AC267&lt;&gt;""),"YES","NO")</f>
        <v>NO</v>
      </c>
      <c r="S267" s="4" t="str">
        <f>IF(COUNTIF(I267:R267,"NO")=0,"YES","NO")</f>
        <v>NO</v>
      </c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inlineStr">
        <is>
          <t>ACIC</t>
        </is>
      </c>
      <c r="AK267" s="9" t="inlineStr">
        <is>
          <t>16AWG</t>
        </is>
      </c>
      <c r="AL267" s="9" t="inlineStr">
        <is>
          <t>Levy Ostrup</t>
        </is>
      </c>
      <c r="AM267" s="9" t="n"/>
      <c r="AN267" s="9" t="n"/>
    </row>
    <row r="268">
      <c r="A268" s="9" t="inlineStr">
        <is>
          <t>RTD Cable</t>
        </is>
      </c>
      <c r="B268" s="9" t="inlineStr">
        <is>
          <t>29103-ET-PG1701-1-R-2</t>
        </is>
      </c>
      <c r="C268" s="9" t="inlineStr">
        <is>
          <t>29103-ET-PG1701-1</t>
        </is>
      </c>
      <c r="D268" s="9" t="inlineStr">
        <is>
          <t>29103-HTP-003 I/O-4-2</t>
        </is>
      </c>
      <c r="E268" s="9" t="inlineStr">
        <is>
          <t>29103-HTP-003</t>
        </is>
      </c>
      <c r="F268" s="9" t="inlineStr"/>
      <c r="G268" s="9" t="inlineStr">
        <is>
          <t>113</t>
        </is>
      </c>
      <c r="H268" s="9" t="inlineStr">
        <is>
          <t>29103-ET-PG1701-1-R-2.pdf</t>
        </is>
      </c>
      <c r="I268" s="4" t="str">
        <f>IF($H268&lt;&gt;"","YES","NO")</f>
        <v>YES</v>
      </c>
      <c r="J268" s="4" t="str">
        <f>IF(N($T268)&gt;0,"YES","NO")</f>
        <v>NO</v>
      </c>
      <c r="K268" s="4" t="str">
        <f>IF(OR($A268="EHT Trace"),IF(AND($U268&lt;&gt;"",$V268&lt;&gt;""),"YES","NO"),"N/A")</f>
        <v>N/A</v>
      </c>
      <c r="L268" s="4" t="str">
        <f>IF(OR($A268="EHT Trace"),IF(AND($X268&lt;&gt;"",$Y268&lt;&gt;""),"YES","NO"),"N/A")</f>
        <v>N/A</v>
      </c>
      <c r="M268" s="4" t="str">
        <f>IF(OR($A268="EHT Trace"),IF(AND($AA268&lt;&gt;"",$AB268&lt;&gt;""),"YES","NO"),"N/A")</f>
        <v>N/A</v>
      </c>
      <c r="N268" s="4" t="str">
        <f>IF(OR($A268="Power Cable"),IF(AND($AD268&lt;&gt;""),"YES","NO"),"N/A")</f>
        <v>N/A</v>
      </c>
      <c r="O268" s="4" t="str">
        <f>IF(OR($A268="Power Cable",$A268="RTD Cable",$A268="Fieldbus Cable"),IF(AND($AE268&lt;&gt;""),"YES","NO"),"N/A")</f>
        <v>NO</v>
      </c>
      <c r="P268" s="4" t="str">
        <f>IF(OR($A268="RTD"),IF(AND($AH268&lt;&gt;""),"YES","NO"),"N/A")</f>
        <v>N/A</v>
      </c>
      <c r="Q268" s="4" t="str">
        <f>IF(OR($A268="RTD"),IF(AND($AI268&lt;&gt;""),"YES","NO"),"N/A")</f>
        <v>N/A</v>
      </c>
      <c r="R268" s="4" t="str">
        <f>IF(OR($AM268&lt;&gt;"",$Z268&lt;&gt;"",$AC268&lt;&gt;""),"YES","NO")</f>
        <v>NO</v>
      </c>
      <c r="S268" s="4" t="str">
        <f>IF(COUNTIF(I268:R268,"NO")=0,"YES","NO")</f>
        <v>NO</v>
      </c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inlineStr">
        <is>
          <t>ACIC</t>
        </is>
      </c>
      <c r="AK268" s="9" t="inlineStr">
        <is>
          <t>16AWG</t>
        </is>
      </c>
      <c r="AL268" s="9" t="inlineStr">
        <is>
          <t>Levy Ostrup</t>
        </is>
      </c>
      <c r="AM268" s="9" t="n"/>
      <c r="AN268" s="9" t="n"/>
    </row>
    <row r="269">
      <c r="A269" s="9" t="inlineStr">
        <is>
          <t>RTD Cable</t>
        </is>
      </c>
      <c r="B269" s="9" t="inlineStr">
        <is>
          <t>29103-ET-PG1701-2-R-1</t>
        </is>
      </c>
      <c r="C269" s="9" t="inlineStr">
        <is>
          <t>29103-ET-PG1701-2</t>
        </is>
      </c>
      <c r="D269" s="9" t="inlineStr">
        <is>
          <t>29103-HTP-003 HTC-25</t>
        </is>
      </c>
      <c r="E269" s="9" t="inlineStr">
        <is>
          <t>29103-HTP-003</t>
        </is>
      </c>
      <c r="F269" s="9" t="inlineStr"/>
      <c r="G269" s="9" t="inlineStr">
        <is>
          <t>113</t>
        </is>
      </c>
      <c r="H269" s="9" t="inlineStr">
        <is>
          <t>29103-ET-PG1701-2-R-1.pdf</t>
        </is>
      </c>
      <c r="I269" s="4" t="str">
        <f>IF($H269&lt;&gt;"","YES","NO")</f>
        <v>YES</v>
      </c>
      <c r="J269" s="4" t="str">
        <f>IF(N($T269)&gt;0,"YES","NO")</f>
        <v>NO</v>
      </c>
      <c r="K269" s="4" t="str">
        <f>IF(OR($A269="EHT Trace"),IF(AND($U269&lt;&gt;"",$V269&lt;&gt;""),"YES","NO"),"N/A")</f>
        <v>N/A</v>
      </c>
      <c r="L269" s="4" t="str">
        <f>IF(OR($A269="EHT Trace"),IF(AND($X269&lt;&gt;"",$Y269&lt;&gt;""),"YES","NO"),"N/A")</f>
        <v>N/A</v>
      </c>
      <c r="M269" s="4" t="str">
        <f>IF(OR($A269="EHT Trace"),IF(AND($AA269&lt;&gt;"",$AB269&lt;&gt;""),"YES","NO"),"N/A")</f>
        <v>N/A</v>
      </c>
      <c r="N269" s="4" t="str">
        <f>IF(OR($A269="Power Cable"),IF(AND($AD269&lt;&gt;""),"YES","NO"),"N/A")</f>
        <v>N/A</v>
      </c>
      <c r="O269" s="4" t="str">
        <f>IF(OR($A269="Power Cable",$A269="RTD Cable",$A269="Fieldbus Cable"),IF(AND($AE269&lt;&gt;""),"YES","NO"),"N/A")</f>
        <v>NO</v>
      </c>
      <c r="P269" s="4" t="str">
        <f>IF(OR($A269="RTD"),IF(AND($AH269&lt;&gt;""),"YES","NO"),"N/A")</f>
        <v>N/A</v>
      </c>
      <c r="Q269" s="4" t="str">
        <f>IF(OR($A269="RTD"),IF(AND($AI269&lt;&gt;""),"YES","NO"),"N/A")</f>
        <v>N/A</v>
      </c>
      <c r="R269" s="4" t="str">
        <f>IF(OR($AM269&lt;&gt;"",$Z269&lt;&gt;"",$AC269&lt;&gt;""),"YES","NO")</f>
        <v>NO</v>
      </c>
      <c r="S269" s="4" t="str">
        <f>IF(COUNTIF(I269:R269,"NO")=0,"YES","NO")</f>
        <v>NO</v>
      </c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inlineStr">
        <is>
          <t>ACIC</t>
        </is>
      </c>
      <c r="AK269" s="9" t="inlineStr">
        <is>
          <t>16AWG</t>
        </is>
      </c>
      <c r="AL269" s="9" t="inlineStr">
        <is>
          <t>Levy Ostrup</t>
        </is>
      </c>
      <c r="AM269" s="9" t="n"/>
      <c r="AN269" s="9" t="n"/>
    </row>
    <row r="270">
      <c r="A270" s="9" t="inlineStr">
        <is>
          <t>RTD Cable</t>
        </is>
      </c>
      <c r="B270" s="9" t="inlineStr">
        <is>
          <t>29103-RJB-004</t>
        </is>
      </c>
      <c r="C270" s="9" t="inlineStr"/>
      <c r="D270" s="9" t="inlineStr">
        <is>
          <t>29103-HTP-003 HTC-30</t>
        </is>
      </c>
      <c r="E270" s="9" t="inlineStr">
        <is>
          <t>29103-HTP-003</t>
        </is>
      </c>
      <c r="F270" s="9" t="inlineStr"/>
      <c r="G270" s="9" t="inlineStr">
        <is>
          <t>113</t>
        </is>
      </c>
      <c r="H270" s="9" t="inlineStr">
        <is>
          <t>29103-RJB-004.pdf</t>
        </is>
      </c>
      <c r="I270" s="4" t="str">
        <f>IF($H270&lt;&gt;"","YES","NO")</f>
        <v>YES</v>
      </c>
      <c r="J270" s="4" t="str">
        <f>IF(N($T270)&gt;0,"YES","NO")</f>
        <v>NO</v>
      </c>
      <c r="K270" s="4" t="str">
        <f>IF(OR($A270="EHT Trace"),IF(AND($U270&lt;&gt;"",$V270&lt;&gt;""),"YES","NO"),"N/A")</f>
        <v>N/A</v>
      </c>
      <c r="L270" s="4" t="str">
        <f>IF(OR($A270="EHT Trace"),IF(AND($X270&lt;&gt;"",$Y270&lt;&gt;""),"YES","NO"),"N/A")</f>
        <v>N/A</v>
      </c>
      <c r="M270" s="4" t="str">
        <f>IF(OR($A270="EHT Trace"),IF(AND($AA270&lt;&gt;"",$AB270&lt;&gt;""),"YES","NO"),"N/A")</f>
        <v>N/A</v>
      </c>
      <c r="N270" s="4" t="str">
        <f>IF(OR($A270="Power Cable"),IF(AND($AD270&lt;&gt;""),"YES","NO"),"N/A")</f>
        <v>N/A</v>
      </c>
      <c r="O270" s="4" t="str">
        <f>IF(OR($A270="Power Cable",$A270="RTD Cable",$A270="Fieldbus Cable"),IF(AND($AE270&lt;&gt;""),"YES","NO"),"N/A")</f>
        <v>NO</v>
      </c>
      <c r="P270" s="4" t="str">
        <f>IF(OR($A270="RTD"),IF(AND($AH270&lt;&gt;""),"YES","NO"),"N/A")</f>
        <v>N/A</v>
      </c>
      <c r="Q270" s="4" t="str">
        <f>IF(OR($A270="RTD"),IF(AND($AI270&lt;&gt;""),"YES","NO"),"N/A")</f>
        <v>N/A</v>
      </c>
      <c r="R270" s="4" t="str">
        <f>IF(OR($AM270&lt;&gt;"",$Z270&lt;&gt;"",$AC270&lt;&gt;""),"YES","NO")</f>
        <v>NO</v>
      </c>
      <c r="S270" s="4" t="str">
        <f>IF(COUNTIF(I270:R270,"NO")=0,"YES","NO")</f>
        <v>NO</v>
      </c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inlineStr">
        <is>
          <t>ACIC</t>
        </is>
      </c>
      <c r="AK270" s="9" t="inlineStr">
        <is>
          <t>16AWG</t>
        </is>
      </c>
      <c r="AL270" s="9" t="inlineStr">
        <is>
          <t>Levy Ostrup</t>
        </is>
      </c>
      <c r="AM270" s="9" t="n"/>
      <c r="AN270" s="9" t="n"/>
    </row>
    <row r="271">
      <c r="A271" s="9" t="inlineStr">
        <is>
          <t>RTD Cable</t>
        </is>
      </c>
      <c r="B271" s="9" t="inlineStr">
        <is>
          <t>29103-RJB-005</t>
        </is>
      </c>
      <c r="C271" s="9" t="inlineStr"/>
      <c r="D271" s="9" t="inlineStr">
        <is>
          <t>29103-HTP-003 HTC-07</t>
        </is>
      </c>
      <c r="E271" s="9" t="inlineStr">
        <is>
          <t>29103-HTP-003</t>
        </is>
      </c>
      <c r="F271" s="9" t="inlineStr"/>
      <c r="G271" s="9" t="inlineStr">
        <is>
          <t>113</t>
        </is>
      </c>
      <c r="H271" s="9" t="inlineStr">
        <is>
          <t>29103-RJB-005.pdf</t>
        </is>
      </c>
      <c r="I271" s="4" t="str">
        <f>IF($H271&lt;&gt;"","YES","NO")</f>
        <v>YES</v>
      </c>
      <c r="J271" s="4" t="str">
        <f>IF(N($T271)&gt;0,"YES","NO")</f>
        <v>NO</v>
      </c>
      <c r="K271" s="4" t="str">
        <f>IF(OR($A271="EHT Trace"),IF(AND($U271&lt;&gt;"",$V271&lt;&gt;""),"YES","NO"),"N/A")</f>
        <v>N/A</v>
      </c>
      <c r="L271" s="4" t="str">
        <f>IF(OR($A271="EHT Trace"),IF(AND($X271&lt;&gt;"",$Y271&lt;&gt;""),"YES","NO"),"N/A")</f>
        <v>N/A</v>
      </c>
      <c r="M271" s="4" t="str">
        <f>IF(OR($A271="EHT Trace"),IF(AND($AA271&lt;&gt;"",$AB271&lt;&gt;""),"YES","NO"),"N/A")</f>
        <v>N/A</v>
      </c>
      <c r="N271" s="4" t="str">
        <f>IF(OR($A271="Power Cable"),IF(AND($AD271&lt;&gt;""),"YES","NO"),"N/A")</f>
        <v>N/A</v>
      </c>
      <c r="O271" s="4" t="str">
        <f>IF(OR($A271="Power Cable",$A271="RTD Cable",$A271="Fieldbus Cable"),IF(AND($AE271&lt;&gt;""),"YES","NO"),"N/A")</f>
        <v>NO</v>
      </c>
      <c r="P271" s="4" t="str">
        <f>IF(OR($A271="RTD"),IF(AND($AH271&lt;&gt;""),"YES","NO"),"N/A")</f>
        <v>N/A</v>
      </c>
      <c r="Q271" s="4" t="str">
        <f>IF(OR($A271="RTD"),IF(AND($AI271&lt;&gt;""),"YES","NO"),"N/A")</f>
        <v>N/A</v>
      </c>
      <c r="R271" s="4" t="str">
        <f>IF(OR($AM271&lt;&gt;"",$Z271&lt;&gt;"",$AC271&lt;&gt;""),"YES","NO")</f>
        <v>NO</v>
      </c>
      <c r="S271" s="4" t="str">
        <f>IF(COUNTIF(I271:R271,"NO")=0,"YES","NO")</f>
        <v>NO</v>
      </c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inlineStr">
        <is>
          <t>ACIC</t>
        </is>
      </c>
      <c r="AK271" s="9" t="inlineStr">
        <is>
          <t>16AWG</t>
        </is>
      </c>
      <c r="AL271" s="9" t="inlineStr">
        <is>
          <t>Levy Ostrup</t>
        </is>
      </c>
      <c r="AM271" s="9" t="n"/>
      <c r="AN271" s="9" t="n"/>
    </row>
    <row r="272">
      <c r="A272" s="9" t="inlineStr">
        <is>
          <t>RTD Cable</t>
        </is>
      </c>
      <c r="B272" s="9" t="inlineStr">
        <is>
          <t>29103-RJB-006</t>
        </is>
      </c>
      <c r="C272" s="9" t="inlineStr"/>
      <c r="D272" s="9" t="inlineStr">
        <is>
          <t>29103-HTP-003 HTC-12</t>
        </is>
      </c>
      <c r="E272" s="9" t="inlineStr">
        <is>
          <t>29103-HTP-003</t>
        </is>
      </c>
      <c r="F272" s="9" t="inlineStr"/>
      <c r="G272" s="9" t="inlineStr">
        <is>
          <t>113</t>
        </is>
      </c>
      <c r="H272" s="9" t="inlineStr">
        <is>
          <t>29103-RJB-006.pdf</t>
        </is>
      </c>
      <c r="I272" s="4" t="str">
        <f>IF($H272&lt;&gt;"","YES","NO")</f>
        <v>YES</v>
      </c>
      <c r="J272" s="4" t="str">
        <f>IF(N($T272)&gt;0,"YES","NO")</f>
        <v>NO</v>
      </c>
      <c r="K272" s="4" t="str">
        <f>IF(OR($A272="EHT Trace"),IF(AND($U272&lt;&gt;"",$V272&lt;&gt;""),"YES","NO"),"N/A")</f>
        <v>N/A</v>
      </c>
      <c r="L272" s="4" t="str">
        <f>IF(OR($A272="EHT Trace"),IF(AND($X272&lt;&gt;"",$Y272&lt;&gt;""),"YES","NO"),"N/A")</f>
        <v>N/A</v>
      </c>
      <c r="M272" s="4" t="str">
        <f>IF(OR($A272="EHT Trace"),IF(AND($AA272&lt;&gt;"",$AB272&lt;&gt;""),"YES","NO"),"N/A")</f>
        <v>N/A</v>
      </c>
      <c r="N272" s="4" t="str">
        <f>IF(OR($A272="Power Cable"),IF(AND($AD272&lt;&gt;""),"YES","NO"),"N/A")</f>
        <v>N/A</v>
      </c>
      <c r="O272" s="4" t="str">
        <f>IF(OR($A272="Power Cable",$A272="RTD Cable",$A272="Fieldbus Cable"),IF(AND($AE272&lt;&gt;""),"YES","NO"),"N/A")</f>
        <v>NO</v>
      </c>
      <c r="P272" s="4" t="str">
        <f>IF(OR($A272="RTD"),IF(AND($AH272&lt;&gt;""),"YES","NO"),"N/A")</f>
        <v>N/A</v>
      </c>
      <c r="Q272" s="4" t="str">
        <f>IF(OR($A272="RTD"),IF(AND($AI272&lt;&gt;""),"YES","NO"),"N/A")</f>
        <v>N/A</v>
      </c>
      <c r="R272" s="4" t="str">
        <f>IF(OR($AM272&lt;&gt;"",$Z272&lt;&gt;"",$AC272&lt;&gt;""),"YES","NO")</f>
        <v>NO</v>
      </c>
      <c r="S272" s="4" t="str">
        <f>IF(COUNTIF(I272:R272,"NO")=0,"YES","NO")</f>
        <v>NO</v>
      </c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inlineStr">
        <is>
          <t>ACIC</t>
        </is>
      </c>
      <c r="AK272" s="9" t="inlineStr">
        <is>
          <t>16AWG</t>
        </is>
      </c>
      <c r="AL272" s="9" t="inlineStr">
        <is>
          <t>Levy Ostrup</t>
        </is>
      </c>
      <c r="AM272" s="9" t="n"/>
      <c r="AN272" s="9" t="n"/>
    </row>
    <row r="273">
      <c r="A273" s="9" t="inlineStr">
        <is>
          <t>RTD Cable</t>
        </is>
      </c>
      <c r="B273" s="9" t="inlineStr">
        <is>
          <t>29103-RJB-007</t>
        </is>
      </c>
      <c r="C273" s="9" t="inlineStr"/>
      <c r="D273" s="9" t="inlineStr">
        <is>
          <t>29103-HTP-003 HTC-16</t>
        </is>
      </c>
      <c r="E273" s="9" t="inlineStr">
        <is>
          <t>29103-HTP-003</t>
        </is>
      </c>
      <c r="F273" s="9" t="inlineStr"/>
      <c r="G273" s="9" t="inlineStr">
        <is>
          <t>113</t>
        </is>
      </c>
      <c r="H273" s="9" t="inlineStr">
        <is>
          <t>29103-RJB-007.pdf</t>
        </is>
      </c>
      <c r="I273" s="4" t="str">
        <f>IF($H273&lt;&gt;"","YES","NO")</f>
        <v>YES</v>
      </c>
      <c r="J273" s="4" t="str">
        <f>IF(N($T273)&gt;0,"YES","NO")</f>
        <v>NO</v>
      </c>
      <c r="K273" s="4" t="str">
        <f>IF(OR($A273="EHT Trace"),IF(AND($U273&lt;&gt;"",$V273&lt;&gt;""),"YES","NO"),"N/A")</f>
        <v>N/A</v>
      </c>
      <c r="L273" s="4" t="str">
        <f>IF(OR($A273="EHT Trace"),IF(AND($X273&lt;&gt;"",$Y273&lt;&gt;""),"YES","NO"),"N/A")</f>
        <v>N/A</v>
      </c>
      <c r="M273" s="4" t="str">
        <f>IF(OR($A273="EHT Trace"),IF(AND($AA273&lt;&gt;"",$AB273&lt;&gt;""),"YES","NO"),"N/A")</f>
        <v>N/A</v>
      </c>
      <c r="N273" s="4" t="str">
        <f>IF(OR($A273="Power Cable"),IF(AND($AD273&lt;&gt;""),"YES","NO"),"N/A")</f>
        <v>N/A</v>
      </c>
      <c r="O273" s="4" t="str">
        <f>IF(OR($A273="Power Cable",$A273="RTD Cable",$A273="Fieldbus Cable"),IF(AND($AE273&lt;&gt;""),"YES","NO"),"N/A")</f>
        <v>NO</v>
      </c>
      <c r="P273" s="4" t="str">
        <f>IF(OR($A273="RTD"),IF(AND($AH273&lt;&gt;""),"YES","NO"),"N/A")</f>
        <v>N/A</v>
      </c>
      <c r="Q273" s="4" t="str">
        <f>IF(OR($A273="RTD"),IF(AND($AI273&lt;&gt;""),"YES","NO"),"N/A")</f>
        <v>N/A</v>
      </c>
      <c r="R273" s="4" t="str">
        <f>IF(OR($AM273&lt;&gt;"",$Z273&lt;&gt;"",$AC273&lt;&gt;""),"YES","NO")</f>
        <v>NO</v>
      </c>
      <c r="S273" s="4" t="str">
        <f>IF(COUNTIF(I273:R273,"NO")=0,"YES","NO")</f>
        <v>NO</v>
      </c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inlineStr">
        <is>
          <t>ACIC</t>
        </is>
      </c>
      <c r="AK273" s="9" t="inlineStr">
        <is>
          <t>16AWG</t>
        </is>
      </c>
      <c r="AL273" s="9" t="inlineStr">
        <is>
          <t>Levy Ostrup</t>
        </is>
      </c>
      <c r="AM273" s="9" t="n"/>
      <c r="AN273" s="9" t="n"/>
    </row>
  </sheetData>
  <autoFilter ref="A4:AN273"/>
  <mergeCells count="3">
    <mergeCell ref="A3:H3"/>
    <mergeCell ref="I3:S3"/>
    <mergeCell ref="T3:AN3"/>
  </mergeCells>
  <conditionalFormatting sqref="I5:S273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"N/A"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2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2" customWidth="1" min="4" max="4"/>
    <col width="20" customWidth="1" min="5" max="5"/>
    <col width="27" customWidth="1" min="6" max="6"/>
    <col width="6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24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60" customWidth="1" min="40" max="40"/>
  </cols>
  <sheetData>
    <row r="1">
      <c r="A1" s="1" t="inlineStr">
        <is>
          <t>29103-HTP-002</t>
        </is>
      </c>
    </row>
    <row r="3">
      <c r="A3" s="6" t="n"/>
      <c r="I3" s="7" t="inlineStr">
        <is>
          <t>CHECKSHEETS</t>
        </is>
      </c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7" t="inlineStr">
        <is>
          <t>TEST RESULTS</t>
        </is>
      </c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</row>
    <row r="4" ht="30" customHeight="1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9" t="inlineStr">
        <is>
          <t>EHT Trace</t>
        </is>
      </c>
      <c r="B5" s="9" t="inlineStr">
        <is>
          <t>29103-ET-FG1101-1-1</t>
        </is>
      </c>
      <c r="C5" s="9" t="inlineStr">
        <is>
          <t>29103-ET-FG1101-1</t>
        </is>
      </c>
      <c r="D5" s="9" t="inlineStr">
        <is>
          <t>29103-AMB-001</t>
        </is>
      </c>
      <c r="E5" s="9" t="inlineStr">
        <is>
          <t>29103-FG-1101</t>
        </is>
      </c>
      <c r="F5" s="9" t="inlineStr">
        <is>
          <t>29103-65R-ET-FG1101-01-01</t>
        </is>
      </c>
      <c r="G5" s="9" t="inlineStr">
        <is>
          <t>13.1</t>
        </is>
      </c>
      <c r="H5" s="9" t="inlineStr">
        <is>
          <t>29103-ET-FG1101-1-1.pdf</t>
        </is>
      </c>
      <c r="I5" s="4" t="str">
        <f>IF($H5&lt;&gt;"","YES","NO")</f>
        <v>YES</v>
      </c>
      <c r="J5" s="4" t="str">
        <f>IF(N($T5)&gt;0,"YES","NO")</f>
        <v>NO</v>
      </c>
      <c r="K5" s="4" t="str">
        <f>IF(OR($A5="EHT Trace"),IF(AND($U5&lt;&gt;"",$V5&lt;&gt;""),"YES","NO"),"N/A")</f>
        <v>NO</v>
      </c>
      <c r="L5" s="4" t="str">
        <f>IF(OR($A5="EHT Trace"),IF(AND($X5&lt;&gt;"",$Y5&lt;&gt;""),"YES","NO"),"N/A")</f>
        <v>NO</v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NO</v>
      </c>
      <c r="S5" s="4" t="str">
        <f>IF(COUNTIF(I5:R5,"NO")=0,"YES","NO")</f>
        <v>NO</v>
      </c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inlineStr">
        <is>
          <t>5XTVR2-CT</t>
        </is>
      </c>
      <c r="AK5" s="9" t="inlineStr">
        <is>
          <t>24.9 m m</t>
        </is>
      </c>
      <c r="AL5" s="9" t="inlineStr">
        <is>
          <t>Levy Ostrup</t>
        </is>
      </c>
      <c r="AM5" s="9" t="n"/>
      <c r="AN5" s="9" t="n"/>
    </row>
    <row r="6">
      <c r="A6" s="9" t="inlineStr">
        <is>
          <t>EHT Trace</t>
        </is>
      </c>
      <c r="B6" s="9" t="inlineStr">
        <is>
          <t>29103-ET-FG1101-1-2</t>
        </is>
      </c>
      <c r="C6" s="9" t="inlineStr">
        <is>
          <t>29103-ET-FG1101-1</t>
        </is>
      </c>
      <c r="D6" s="9" t="inlineStr">
        <is>
          <t>29103-AMB-001</t>
        </is>
      </c>
      <c r="E6" s="9" t="inlineStr"/>
      <c r="F6" s="9" t="inlineStr">
        <is>
          <t>29103-65R-ET-FG1101-01-01</t>
        </is>
      </c>
      <c r="G6" s="9" t="inlineStr">
        <is>
          <t>13.1</t>
        </is>
      </c>
      <c r="H6" s="9" t="inlineStr">
        <is>
          <t>29103-ET-FG1101-1-2.pdf</t>
        </is>
      </c>
      <c r="I6" s="4" t="str">
        <f>IF($H6&lt;&gt;"","YES","NO")</f>
        <v>YES</v>
      </c>
      <c r="J6" s="4" t="str">
        <f>IF(N($T6)&gt;0,"YES","NO")</f>
        <v>NO</v>
      </c>
      <c r="K6" s="4" t="str">
        <f>IF(OR($A6="EHT Trace"),IF(AND($U6&lt;&gt;"",$V6&lt;&gt;""),"YES","NO"),"N/A")</f>
        <v>NO</v>
      </c>
      <c r="L6" s="4" t="str">
        <f>IF(OR($A6="EHT Trace"),IF(AND($X6&lt;&gt;"",$Y6&lt;&gt;""),"YES","NO"),"N/A")</f>
        <v>NO</v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inlineStr">
        <is>
          <t>5XTVR2-CT</t>
        </is>
      </c>
      <c r="AK6" s="9" t="inlineStr">
        <is>
          <t>1.2 m m</t>
        </is>
      </c>
      <c r="AL6" s="9" t="inlineStr">
        <is>
          <t>Levy Ostrup</t>
        </is>
      </c>
      <c r="AM6" s="9" t="n"/>
      <c r="AN6" s="9" t="n"/>
    </row>
    <row r="7">
      <c r="A7" s="9" t="inlineStr">
        <is>
          <t>EHT Trace</t>
        </is>
      </c>
      <c r="B7" s="9" t="inlineStr">
        <is>
          <t>29103-ET-FG1103-1-1</t>
        </is>
      </c>
      <c r="C7" s="9" t="inlineStr">
        <is>
          <t>29103-ET-FG1103-1</t>
        </is>
      </c>
      <c r="D7" s="9" t="inlineStr">
        <is>
          <t>29103-AMB-001</t>
        </is>
      </c>
      <c r="E7" s="9" t="inlineStr">
        <is>
          <t>29103-FG-1103</t>
        </is>
      </c>
      <c r="F7" s="9" t="inlineStr">
        <is>
          <t>29103-65R-ET-FG1103-01-01</t>
        </is>
      </c>
      <c r="G7" s="9" t="inlineStr">
        <is>
          <t>13.1</t>
        </is>
      </c>
      <c r="H7" s="9" t="inlineStr">
        <is>
          <t>29103-ET-FG1103-1-1.pdf</t>
        </is>
      </c>
      <c r="I7" s="4" t="str">
        <f>IF($H7&lt;&gt;"","YES","NO")</f>
        <v>YES</v>
      </c>
      <c r="J7" s="4" t="str">
        <f>IF(N($T7)&gt;0,"YES","NO")</f>
        <v>NO</v>
      </c>
      <c r="K7" s="4" t="str">
        <f>IF(OR($A7="EHT Trace"),IF(AND($U7&lt;&gt;"",$V7&lt;&gt;""),"YES","NO"),"N/A")</f>
        <v>NO</v>
      </c>
      <c r="L7" s="4" t="str">
        <f>IF(OR($A7="EHT Trace"),IF(AND($X7&lt;&gt;"",$Y7&lt;&gt;""),"YES","NO"),"N/A")</f>
        <v>NO</v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inlineStr">
        <is>
          <t>5XTVR2-CT</t>
        </is>
      </c>
      <c r="AK7" s="9" t="inlineStr">
        <is>
          <t>12.8 m m</t>
        </is>
      </c>
      <c r="AL7" s="9" t="inlineStr">
        <is>
          <t>Levy Ostrup</t>
        </is>
      </c>
      <c r="AM7" s="9" t="n"/>
      <c r="AN7" s="9" t="n"/>
    </row>
    <row r="8">
      <c r="A8" s="9" t="inlineStr">
        <is>
          <t>EHT Trace</t>
        </is>
      </c>
      <c r="B8" s="9" t="inlineStr">
        <is>
          <t>29103-ET-FG1103-1-2</t>
        </is>
      </c>
      <c r="C8" s="9" t="inlineStr">
        <is>
          <t>29103-ET-FG1103-1</t>
        </is>
      </c>
      <c r="D8" s="9" t="inlineStr">
        <is>
          <t>29103-AMB-001</t>
        </is>
      </c>
      <c r="E8" s="9" t="inlineStr">
        <is>
          <t>29103-FG-1103</t>
        </is>
      </c>
      <c r="F8" s="9" t="inlineStr">
        <is>
          <t>29103-65R-ET-FG1103-01-01</t>
        </is>
      </c>
      <c r="G8" s="9" t="inlineStr">
        <is>
          <t>13.1</t>
        </is>
      </c>
      <c r="H8" s="9" t="inlineStr">
        <is>
          <t>29103-ET-FG1103-1-2.pdf</t>
        </is>
      </c>
      <c r="I8" s="4" t="str">
        <f>IF($H8&lt;&gt;"","YES","NO")</f>
        <v>YES</v>
      </c>
      <c r="J8" s="4" t="str">
        <f>IF(N($T8)&gt;0,"YES","NO")</f>
        <v>NO</v>
      </c>
      <c r="K8" s="4" t="str">
        <f>IF(OR($A8="EHT Trace"),IF(AND($U8&lt;&gt;"",$V8&lt;&gt;""),"YES","NO"),"N/A")</f>
        <v>NO</v>
      </c>
      <c r="L8" s="4" t="str">
        <f>IF(OR($A8="EHT Trace"),IF(AND($X8&lt;&gt;"",$Y8&lt;&gt;""),"YES","NO"),"N/A")</f>
        <v>NO</v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NO</v>
      </c>
      <c r="S8" s="4" t="str">
        <f>IF(COUNTIF(I8:R8,"NO")=0,"YES","NO")</f>
        <v>NO</v>
      </c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inlineStr">
        <is>
          <t>5XTVR2-CT</t>
        </is>
      </c>
      <c r="AK8" s="9" t="inlineStr">
        <is>
          <t>14.5 m m</t>
        </is>
      </c>
      <c r="AL8" s="9" t="inlineStr">
        <is>
          <t>Levy Ostrup</t>
        </is>
      </c>
      <c r="AM8" s="9" t="n"/>
      <c r="AN8" s="9" t="n"/>
    </row>
    <row r="9">
      <c r="A9" s="9" t="inlineStr">
        <is>
          <t>EHT Trace</t>
        </is>
      </c>
      <c r="B9" s="9" t="inlineStr">
        <is>
          <t>29103-ET-FG1103-1-3</t>
        </is>
      </c>
      <c r="C9" s="9" t="inlineStr">
        <is>
          <t>29103-ET-FG1103-1</t>
        </is>
      </c>
      <c r="D9" s="9" t="inlineStr">
        <is>
          <t>29103-AMB-001</t>
        </is>
      </c>
      <c r="E9" s="9" t="inlineStr"/>
      <c r="F9" s="9" t="inlineStr">
        <is>
          <t>29103-65R-ET-FG1103-01-01</t>
        </is>
      </c>
      <c r="G9" s="9" t="inlineStr">
        <is>
          <t>13.1</t>
        </is>
      </c>
      <c r="H9" s="9" t="inlineStr">
        <is>
          <t>29103-ET-FG1103-1-3.pdf</t>
        </is>
      </c>
      <c r="I9" s="4" t="str">
        <f>IF($H9&lt;&gt;"","YES","NO")</f>
        <v>YES</v>
      </c>
      <c r="J9" s="4" t="str">
        <f>IF(N($T9)&gt;0,"YES","NO")</f>
        <v>NO</v>
      </c>
      <c r="K9" s="4" t="str">
        <f>IF(OR($A9="EHT Trace"),IF(AND($U9&lt;&gt;"",$V9&lt;&gt;""),"YES","NO"),"N/A")</f>
        <v>NO</v>
      </c>
      <c r="L9" s="4" t="str">
        <f>IF(OR($A9="EHT Trace"),IF(AND($X9&lt;&gt;"",$Y9&lt;&gt;""),"YES","NO"),"N/A")</f>
        <v>NO</v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NO</v>
      </c>
      <c r="S9" s="4" t="str">
        <f>IF(COUNTIF(I9:R9,"NO")=0,"YES","NO")</f>
        <v>NO</v>
      </c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inlineStr">
        <is>
          <t>5XTVR2-CT</t>
        </is>
      </c>
      <c r="AK9" s="9" t="inlineStr">
        <is>
          <t>6.5 m m</t>
        </is>
      </c>
      <c r="AL9" s="9" t="inlineStr">
        <is>
          <t>Levy Ostrup</t>
        </is>
      </c>
      <c r="AM9" s="9" t="n"/>
      <c r="AN9" s="9" t="n"/>
    </row>
    <row r="10">
      <c r="A10" s="9" t="inlineStr">
        <is>
          <t>EHT Trace</t>
        </is>
      </c>
      <c r="B10" s="9" t="inlineStr">
        <is>
          <t>29103-ET-FG1103-1-4</t>
        </is>
      </c>
      <c r="C10" s="9" t="inlineStr">
        <is>
          <t>29103-ET-FG1103-1</t>
        </is>
      </c>
      <c r="D10" s="9" t="inlineStr">
        <is>
          <t>29103-AMB-001</t>
        </is>
      </c>
      <c r="E10" s="9" t="inlineStr"/>
      <c r="F10" s="9" t="inlineStr">
        <is>
          <t>29103-65R-ET-FG1103-01-01</t>
        </is>
      </c>
      <c r="G10" s="9" t="inlineStr">
        <is>
          <t>13.1</t>
        </is>
      </c>
      <c r="H10" s="9" t="inlineStr">
        <is>
          <t>29103-ET-FG1103-1-4.pdf</t>
        </is>
      </c>
      <c r="I10" s="4" t="str">
        <f>IF($H10&lt;&gt;"","YES","NO")</f>
        <v>YES</v>
      </c>
      <c r="J10" s="4" t="str">
        <f>IF(N($T10)&gt;0,"YES","NO")</f>
        <v>NO</v>
      </c>
      <c r="K10" s="4" t="str">
        <f>IF(OR($A10="EHT Trace"),IF(AND($U10&lt;&gt;"",$V10&lt;&gt;""),"YES","NO"),"N/A")</f>
        <v>NO</v>
      </c>
      <c r="L10" s="4" t="str">
        <f>IF(OR($A10="EHT Trace"),IF(AND($X10&lt;&gt;"",$Y10&lt;&gt;""),"YES","NO"),"N/A")</f>
        <v>NO</v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inlineStr">
        <is>
          <t>5XTVR2-CT</t>
        </is>
      </c>
      <c r="AK10" s="9" t="inlineStr">
        <is>
          <t>13.1 m m</t>
        </is>
      </c>
      <c r="AL10" s="9" t="inlineStr">
        <is>
          <t>Levy Ostrup</t>
        </is>
      </c>
      <c r="AM10" s="9" t="n"/>
      <c r="AN10" s="9" t="n"/>
    </row>
    <row r="11">
      <c r="A11" s="9" t="inlineStr">
        <is>
          <t>EHT Trace</t>
        </is>
      </c>
      <c r="B11" s="9" t="inlineStr">
        <is>
          <t>29103-ET-FG1105-1-1</t>
        </is>
      </c>
      <c r="C11" s="9" t="inlineStr">
        <is>
          <t>29103-ET-FG1105-1</t>
        </is>
      </c>
      <c r="D11" s="9" t="inlineStr">
        <is>
          <t>29103-AMB-002</t>
        </is>
      </c>
      <c r="E11" s="9" t="inlineStr">
        <is>
          <t>29103-FG-1106, 29103-FG-1105</t>
        </is>
      </c>
      <c r="F11" s="9" t="inlineStr">
        <is>
          <t>29103-65R-ET-FG1105-01-01</t>
        </is>
      </c>
      <c r="G11" s="9" t="inlineStr">
        <is>
          <t>13.1</t>
        </is>
      </c>
      <c r="H11" s="9" t="inlineStr">
        <is>
          <t>29103-ET-FG1105-1-1.pdf</t>
        </is>
      </c>
      <c r="I11" s="4" t="str">
        <f>IF($H11&lt;&gt;"","YES","NO")</f>
        <v>YES</v>
      </c>
      <c r="J11" s="4" t="str">
        <f>IF(N($T11)&gt;0,"YES","NO")</f>
        <v>NO</v>
      </c>
      <c r="K11" s="4" t="str">
        <f>IF(OR($A11="EHT Trace"),IF(AND($U11&lt;&gt;"",$V11&lt;&gt;""),"YES","NO"),"N/A")</f>
        <v>YES</v>
      </c>
      <c r="L11" s="4" t="str">
        <f>IF(OR($A11="EHT Trace"),IF(AND($X11&lt;&gt;"",$Y11&lt;&gt;""),"YES","NO"),"N/A")</f>
        <v>NO</v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9" t="n"/>
      <c r="U11" s="9" t="inlineStr">
        <is>
          <t>&gt;2.2 GΩ</t>
        </is>
      </c>
      <c r="V11" s="9" t="inlineStr">
        <is>
          <t>344 Ω</t>
        </is>
      </c>
      <c r="W11" s="9" t="inlineStr">
        <is>
          <t>2026-05-17</t>
        </is>
      </c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inlineStr">
        <is>
          <t>D/32SA2600/16.9M/230/277/1.2M/LS23A/X/N12</t>
        </is>
      </c>
      <c r="AK11" s="9" t="inlineStr">
        <is>
          <t>16.9 m m</t>
        </is>
      </c>
      <c r="AL11" s="9" t="inlineStr">
        <is>
          <t>Levy Ostrup</t>
        </is>
      </c>
      <c r="AM11" s="9" t="n"/>
      <c r="AN11" s="9" t="n"/>
    </row>
    <row r="12">
      <c r="A12" s="9" t="inlineStr">
        <is>
          <t>EHT Trace</t>
        </is>
      </c>
      <c r="B12" s="9" t="inlineStr">
        <is>
          <t>29103-ET-FG1201-1-1</t>
        </is>
      </c>
      <c r="C12" s="9" t="inlineStr">
        <is>
          <t>29103-ET-FG1201-1</t>
        </is>
      </c>
      <c r="D12" s="9" t="inlineStr">
        <is>
          <t>29103-AMB-001</t>
        </is>
      </c>
      <c r="E12" s="9" t="inlineStr">
        <is>
          <t>29103-FG-1201</t>
        </is>
      </c>
      <c r="F12" s="9" t="inlineStr">
        <is>
          <t>29103-65R-ET-FG1201-01-01</t>
        </is>
      </c>
      <c r="G12" s="9" t="inlineStr">
        <is>
          <t>13.1</t>
        </is>
      </c>
      <c r="H12" s="9" t="inlineStr">
        <is>
          <t>29103-ET-FG1201-1-1.pdf</t>
        </is>
      </c>
      <c r="I12" s="4" t="str">
        <f>IF($H12&lt;&gt;"","YES","NO")</f>
        <v>YES</v>
      </c>
      <c r="J12" s="4" t="str">
        <f>IF(N($T12)&gt;0,"YES","NO")</f>
        <v>NO</v>
      </c>
      <c r="K12" s="4" t="str">
        <f>IF(OR($A12="EHT Trace"),IF(AND($U12&lt;&gt;"",$V12&lt;&gt;""),"YES","NO"),"N/A")</f>
        <v>NO</v>
      </c>
      <c r="L12" s="4" t="str">
        <f>IF(OR($A12="EHT Trace"),IF(AND($X12&lt;&gt;"",$Y12&lt;&gt;""),"YES","NO"),"N/A")</f>
        <v>NO</v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NO</v>
      </c>
      <c r="S12" s="4" t="str">
        <f>IF(COUNTIF(I12:R12,"NO")=0,"YES","NO")</f>
        <v>NO</v>
      </c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inlineStr">
        <is>
          <t>5XTVR2-CT</t>
        </is>
      </c>
      <c r="AK12" s="9" t="inlineStr">
        <is>
          <t>24.3 m m</t>
        </is>
      </c>
      <c r="AL12" s="9" t="inlineStr">
        <is>
          <t>Levy Ostrup</t>
        </is>
      </c>
      <c r="AM12" s="9" t="n"/>
      <c r="AN12" s="9" t="n"/>
    </row>
    <row r="13">
      <c r="A13" s="9" t="inlineStr">
        <is>
          <t>EHT Trace</t>
        </is>
      </c>
      <c r="B13" s="9" t="inlineStr">
        <is>
          <t>29103-ET-FG1203-1-1</t>
        </is>
      </c>
      <c r="C13" s="9" t="inlineStr">
        <is>
          <t>29103-ET-FG1203-1</t>
        </is>
      </c>
      <c r="D13" s="9" t="inlineStr">
        <is>
          <t>29103-AMB-001</t>
        </is>
      </c>
      <c r="E13" s="9" t="inlineStr">
        <is>
          <t>29103-FG-1203</t>
        </is>
      </c>
      <c r="F13" s="9" t="inlineStr">
        <is>
          <t>29103-65R-ET-FG1203-01-01</t>
        </is>
      </c>
      <c r="G13" s="9" t="inlineStr">
        <is>
          <t>13.1</t>
        </is>
      </c>
      <c r="H13" s="9" t="inlineStr">
        <is>
          <t>29103-ET-FG1203-1-1.pdf</t>
        </is>
      </c>
      <c r="I13" s="4" t="str">
        <f>IF($H13&lt;&gt;"","YES","NO")</f>
        <v>YES</v>
      </c>
      <c r="J13" s="4" t="str">
        <f>IF(N($T13)&gt;0,"YES","NO")</f>
        <v>NO</v>
      </c>
      <c r="K13" s="4" t="str">
        <f>IF(OR($A13="EHT Trace"),IF(AND($U13&lt;&gt;"",$V13&lt;&gt;""),"YES","NO"),"N/A")</f>
        <v>NO</v>
      </c>
      <c r="L13" s="4" t="str">
        <f>IF(OR($A13="EHT Trace"),IF(AND($X13&lt;&gt;"",$Y13&lt;&gt;""),"YES","NO"),"N/A")</f>
        <v>NO</v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NO</v>
      </c>
      <c r="S13" s="4" t="str">
        <f>IF(COUNTIF(I13:R13,"NO")=0,"YES","NO")</f>
        <v>NO</v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inlineStr">
        <is>
          <t>5XTVR2-CT</t>
        </is>
      </c>
      <c r="AK13" s="9" t="inlineStr">
        <is>
          <t>11.6 m m</t>
        </is>
      </c>
      <c r="AL13" s="9" t="inlineStr">
        <is>
          <t>Levy Ostrup</t>
        </is>
      </c>
      <c r="AM13" s="9" t="n"/>
      <c r="AN13" s="9" t="n"/>
    </row>
    <row r="14">
      <c r="A14" s="9" t="inlineStr">
        <is>
          <t>EHT Trace</t>
        </is>
      </c>
      <c r="B14" s="9" t="inlineStr">
        <is>
          <t>29103-ET-FG1203-1-2</t>
        </is>
      </c>
      <c r="C14" s="9" t="inlineStr">
        <is>
          <t>29103-ET-FG1203-1</t>
        </is>
      </c>
      <c r="D14" s="9" t="inlineStr">
        <is>
          <t>29103-AMB-001</t>
        </is>
      </c>
      <c r="E14" s="9" t="inlineStr">
        <is>
          <t>29103-FG-1203</t>
        </is>
      </c>
      <c r="F14" s="9" t="inlineStr">
        <is>
          <t>29103-65R-ET-FG1203-01-01</t>
        </is>
      </c>
      <c r="G14" s="9" t="inlineStr">
        <is>
          <t>13.1</t>
        </is>
      </c>
      <c r="H14" s="9" t="inlineStr">
        <is>
          <t>29103-ET-FG1203-1-2.pdf</t>
        </is>
      </c>
      <c r="I14" s="4" t="str">
        <f>IF($H14&lt;&gt;"","YES","NO")</f>
        <v>YES</v>
      </c>
      <c r="J14" s="4" t="str">
        <f>IF(N($T14)&gt;0,"YES","NO")</f>
        <v>NO</v>
      </c>
      <c r="K14" s="4" t="str">
        <f>IF(OR($A14="EHT Trace"),IF(AND($U14&lt;&gt;"",$V14&lt;&gt;""),"YES","NO"),"N/A")</f>
        <v>NO</v>
      </c>
      <c r="L14" s="4" t="str">
        <f>IF(OR($A14="EHT Trace"),IF(AND($X14&lt;&gt;"",$Y14&lt;&gt;""),"YES","NO"),"N/A")</f>
        <v>NO</v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inlineStr">
        <is>
          <t>5XTVR2-CT</t>
        </is>
      </c>
      <c r="AK14" s="9" t="inlineStr">
        <is>
          <t>13.3 m m</t>
        </is>
      </c>
      <c r="AL14" s="9" t="inlineStr">
        <is>
          <t>Levy Ostrup</t>
        </is>
      </c>
      <c r="AM14" s="9" t="n"/>
      <c r="AN14" s="9" t="n"/>
    </row>
    <row r="15">
      <c r="A15" s="9" t="inlineStr">
        <is>
          <t>EHT Trace</t>
        </is>
      </c>
      <c r="B15" s="9" t="inlineStr">
        <is>
          <t>29103-ET-FG1203-1-3</t>
        </is>
      </c>
      <c r="C15" s="9" t="inlineStr">
        <is>
          <t>29103-ET-FG1203-1</t>
        </is>
      </c>
      <c r="D15" s="9" t="inlineStr">
        <is>
          <t>29103-AMB-001</t>
        </is>
      </c>
      <c r="E15" s="9" t="inlineStr"/>
      <c r="F15" s="9" t="inlineStr">
        <is>
          <t>29103-65R-ET-FG1203-01-01</t>
        </is>
      </c>
      <c r="G15" s="9" t="inlineStr">
        <is>
          <t>13.1</t>
        </is>
      </c>
      <c r="H15" s="9" t="inlineStr">
        <is>
          <t>29103-ET-FG1203-1-3.pdf</t>
        </is>
      </c>
      <c r="I15" s="4" t="str">
        <f>IF($H15&lt;&gt;"","YES","NO")</f>
        <v>YES</v>
      </c>
      <c r="J15" s="4" t="str">
        <f>IF(N($T15)&gt;0,"YES","NO")</f>
        <v>NO</v>
      </c>
      <c r="K15" s="4" t="str">
        <f>IF(OR($A15="EHT Trace"),IF(AND($U15&lt;&gt;"",$V15&lt;&gt;""),"YES","NO"),"N/A")</f>
        <v>NO</v>
      </c>
      <c r="L15" s="4" t="str">
        <f>IF(OR($A15="EHT Trace"),IF(AND($X15&lt;&gt;"",$Y15&lt;&gt;""),"YES","NO"),"N/A")</f>
        <v>NO</v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inlineStr">
        <is>
          <t>5XTVR2-CT</t>
        </is>
      </c>
      <c r="AK15" s="9" t="inlineStr">
        <is>
          <t>6.1 m m</t>
        </is>
      </c>
      <c r="AL15" s="9" t="inlineStr">
        <is>
          <t>Levy Ostrup</t>
        </is>
      </c>
      <c r="AM15" s="9" t="n"/>
      <c r="AN15" s="9" t="n"/>
    </row>
    <row r="16">
      <c r="A16" s="9" t="inlineStr">
        <is>
          <t>EHT Trace</t>
        </is>
      </c>
      <c r="B16" s="9" t="inlineStr">
        <is>
          <t>29103-ET-FG1203-1-4</t>
        </is>
      </c>
      <c r="C16" s="9" t="inlineStr">
        <is>
          <t>29103-ET-FG1203-1</t>
        </is>
      </c>
      <c r="D16" s="9" t="inlineStr">
        <is>
          <t>29103-AMB-001</t>
        </is>
      </c>
      <c r="E16" s="9" t="inlineStr"/>
      <c r="F16" s="9" t="inlineStr">
        <is>
          <t>29103-65R-ET-FG1203-01-01</t>
        </is>
      </c>
      <c r="G16" s="9" t="inlineStr">
        <is>
          <t>13.1</t>
        </is>
      </c>
      <c r="H16" s="9" t="inlineStr">
        <is>
          <t>29103-ET-FG1203-1-4.pdf</t>
        </is>
      </c>
      <c r="I16" s="4" t="str">
        <f>IF($H16&lt;&gt;"","YES","NO")</f>
        <v>YES</v>
      </c>
      <c r="J16" s="4" t="str">
        <f>IF(N($T16)&gt;0,"YES","NO")</f>
        <v>NO</v>
      </c>
      <c r="K16" s="4" t="str">
        <f>IF(OR($A16="EHT Trace"),IF(AND($U16&lt;&gt;"",$V16&lt;&gt;""),"YES","NO"),"N/A")</f>
        <v>NO</v>
      </c>
      <c r="L16" s="4" t="str">
        <f>IF(OR($A16="EHT Trace"),IF(AND($X16&lt;&gt;"",$Y16&lt;&gt;""),"YES","NO"),"N/A")</f>
        <v>NO</v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inlineStr">
        <is>
          <t>5XTVR2-CT</t>
        </is>
      </c>
      <c r="AK16" s="9" t="inlineStr">
        <is>
          <t>13.1 m m</t>
        </is>
      </c>
      <c r="AL16" s="9" t="inlineStr">
        <is>
          <t>Levy Ostrup</t>
        </is>
      </c>
      <c r="AM16" s="9" t="n"/>
      <c r="AN16" s="9" t="n"/>
    </row>
    <row r="17">
      <c r="A17" s="9" t="inlineStr">
        <is>
          <t>EHT Trace</t>
        </is>
      </c>
      <c r="B17" s="9" t="inlineStr">
        <is>
          <t>29103-ET-FG1301-1-1</t>
        </is>
      </c>
      <c r="C17" s="9" t="inlineStr">
        <is>
          <t>29103-ET-FG1301-1</t>
        </is>
      </c>
      <c r="D17" s="9" t="inlineStr">
        <is>
          <t>29103-AMB-003</t>
        </is>
      </c>
      <c r="E17" s="9" t="inlineStr">
        <is>
          <t>29103-FG-1301</t>
        </is>
      </c>
      <c r="F17" s="9" t="inlineStr">
        <is>
          <t>29103-65R-ET-FG1301-01-01</t>
        </is>
      </c>
      <c r="G17" s="9" t="inlineStr">
        <is>
          <t>13.1</t>
        </is>
      </c>
      <c r="H17" s="9" t="inlineStr">
        <is>
          <t>29103-ET-FG1301-1-1.pdf</t>
        </is>
      </c>
      <c r="I17" s="4" t="str">
        <f>IF($H17&lt;&gt;"","YES","NO")</f>
        <v>YES</v>
      </c>
      <c r="J17" s="4" t="str">
        <f>IF(N($T17)&gt;0,"YES","NO")</f>
        <v>NO</v>
      </c>
      <c r="K17" s="4" t="str">
        <f>IF(OR($A17="EHT Trace"),IF(AND($U17&lt;&gt;"",$V17&lt;&gt;""),"YES","NO"),"N/A")</f>
        <v>NO</v>
      </c>
      <c r="L17" s="4" t="str">
        <f>IF(OR($A17="EHT Trace"),IF(AND($X17&lt;&gt;"",$Y17&lt;&gt;""),"YES","NO"),"N/A")</f>
        <v>NO</v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inlineStr">
        <is>
          <t>5XTVR2-CT</t>
        </is>
      </c>
      <c r="AK17" s="9" t="inlineStr">
        <is>
          <t>23.3 m m</t>
        </is>
      </c>
      <c r="AL17" s="9" t="inlineStr">
        <is>
          <t>Levy Ostrup</t>
        </is>
      </c>
      <c r="AM17" s="9" t="n"/>
      <c r="AN17" s="9" t="n"/>
    </row>
    <row r="18">
      <c r="A18" s="9" t="inlineStr">
        <is>
          <t>EHT Trace</t>
        </is>
      </c>
      <c r="B18" s="9" t="inlineStr">
        <is>
          <t>29103-ET-FG1303-1-1</t>
        </is>
      </c>
      <c r="C18" s="9" t="inlineStr">
        <is>
          <t>29103-ET-FG1303-1</t>
        </is>
      </c>
      <c r="D18" s="9" t="inlineStr">
        <is>
          <t>29103-AMB-003</t>
        </is>
      </c>
      <c r="E18" s="9" t="inlineStr">
        <is>
          <t>29103-FG-1303</t>
        </is>
      </c>
      <c r="F18" s="9" t="inlineStr">
        <is>
          <t>29103-65R-ET-FG1303-01-01</t>
        </is>
      </c>
      <c r="G18" s="9" t="inlineStr">
        <is>
          <t>13.1</t>
        </is>
      </c>
      <c r="H18" s="9" t="inlineStr">
        <is>
          <t>29103-ET-FG1303-1-1.pdf</t>
        </is>
      </c>
      <c r="I18" s="4" t="str">
        <f>IF($H18&lt;&gt;"","YES","NO")</f>
        <v>YES</v>
      </c>
      <c r="J18" s="4" t="str">
        <f>IF(N($T18)&gt;0,"YES","NO")</f>
        <v>NO</v>
      </c>
      <c r="K18" s="4" t="str">
        <f>IF(OR($A18="EHT Trace"),IF(AND($U18&lt;&gt;"",$V18&lt;&gt;""),"YES","NO"),"N/A")</f>
        <v>NO</v>
      </c>
      <c r="L18" s="4" t="str">
        <f>IF(OR($A18="EHT Trace"),IF(AND($X18&lt;&gt;"",$Y18&lt;&gt;""),"YES","NO"),"N/A")</f>
        <v>NO</v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inlineStr">
        <is>
          <t>5XTVR2-CT</t>
        </is>
      </c>
      <c r="AK18" s="9" t="inlineStr">
        <is>
          <t>13 m m</t>
        </is>
      </c>
      <c r="AL18" s="9" t="inlineStr">
        <is>
          <t>Levy Ostrup</t>
        </is>
      </c>
      <c r="AM18" s="9" t="n"/>
      <c r="AN18" s="9" t="n"/>
    </row>
    <row r="19">
      <c r="A19" s="9" t="inlineStr">
        <is>
          <t>EHT Trace</t>
        </is>
      </c>
      <c r="B19" s="9" t="inlineStr">
        <is>
          <t>29103-ET-FG1303-1-2</t>
        </is>
      </c>
      <c r="C19" s="9" t="inlineStr">
        <is>
          <t>29103-ET-FG1303-1</t>
        </is>
      </c>
      <c r="D19" s="9" t="inlineStr">
        <is>
          <t>29103-AMB-003</t>
        </is>
      </c>
      <c r="E19" s="9" t="inlineStr">
        <is>
          <t>29103-FG-1303</t>
        </is>
      </c>
      <c r="F19" s="9" t="inlineStr">
        <is>
          <t>29103-65R-ET-FG1303-01-01</t>
        </is>
      </c>
      <c r="G19" s="9" t="inlineStr">
        <is>
          <t>13.1</t>
        </is>
      </c>
      <c r="H19" s="9" t="inlineStr">
        <is>
          <t>29103-ET-FG1303-1-2.pdf</t>
        </is>
      </c>
      <c r="I19" s="4" t="str">
        <f>IF($H19&lt;&gt;"","YES","NO")</f>
        <v>YES</v>
      </c>
      <c r="J19" s="4" t="str">
        <f>IF(N($T19)&gt;0,"YES","NO")</f>
        <v>NO</v>
      </c>
      <c r="K19" s="4" t="str">
        <f>IF(OR($A19="EHT Trace"),IF(AND($U19&lt;&gt;"",$V19&lt;&gt;""),"YES","NO"),"N/A")</f>
        <v>NO</v>
      </c>
      <c r="L19" s="4" t="str">
        <f>IF(OR($A19="EHT Trace"),IF(AND($X19&lt;&gt;"",$Y19&lt;&gt;""),"YES","NO"),"N/A")</f>
        <v>NO</v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inlineStr">
        <is>
          <t>5XTVR2-CT</t>
        </is>
      </c>
      <c r="AK19" s="9" t="inlineStr">
        <is>
          <t>14.5 m m</t>
        </is>
      </c>
      <c r="AL19" s="9" t="inlineStr">
        <is>
          <t>Levy Ostrup</t>
        </is>
      </c>
      <c r="AM19" s="9" t="n"/>
      <c r="AN19" s="9" t="n"/>
    </row>
    <row r="20">
      <c r="A20" s="9" t="inlineStr">
        <is>
          <t>EHT Trace</t>
        </is>
      </c>
      <c r="B20" s="9" t="inlineStr">
        <is>
          <t>29103-ET-FG1303-1-3</t>
        </is>
      </c>
      <c r="C20" s="9" t="inlineStr">
        <is>
          <t>29103-ET-FG1303-1</t>
        </is>
      </c>
      <c r="D20" s="9" t="inlineStr">
        <is>
          <t>29103-AMB-003</t>
        </is>
      </c>
      <c r="E20" s="9" t="inlineStr"/>
      <c r="F20" s="9" t="inlineStr">
        <is>
          <t>29103-65R-ET-FG1303-01-01</t>
        </is>
      </c>
      <c r="G20" s="9" t="inlineStr">
        <is>
          <t>13.1</t>
        </is>
      </c>
      <c r="H20" s="9" t="inlineStr">
        <is>
          <t>29103-ET-FG1303-1-3.pdf</t>
        </is>
      </c>
      <c r="I20" s="4" t="str">
        <f>IF($H20&lt;&gt;"","YES","NO")</f>
        <v>YES</v>
      </c>
      <c r="J20" s="4" t="str">
        <f>IF(N($T20)&gt;0,"YES","NO")</f>
        <v>NO</v>
      </c>
      <c r="K20" s="4" t="str">
        <f>IF(OR($A20="EHT Trace"),IF(AND($U20&lt;&gt;"",$V20&lt;&gt;""),"YES","NO"),"N/A")</f>
        <v>NO</v>
      </c>
      <c r="L20" s="4" t="str">
        <f>IF(OR($A20="EHT Trace"),IF(AND($X20&lt;&gt;"",$Y20&lt;&gt;""),"YES","NO"),"N/A")</f>
        <v>NO</v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inlineStr">
        <is>
          <t>5XTVR2-CT</t>
        </is>
      </c>
      <c r="AK20" s="9" t="inlineStr">
        <is>
          <t>6.5 m m</t>
        </is>
      </c>
      <c r="AL20" s="9" t="inlineStr">
        <is>
          <t>Levy Ostrup</t>
        </is>
      </c>
      <c r="AM20" s="9" t="n"/>
      <c r="AN20" s="9" t="n"/>
    </row>
    <row r="21">
      <c r="A21" s="9" t="inlineStr">
        <is>
          <t>EHT Trace</t>
        </is>
      </c>
      <c r="B21" s="9" t="inlineStr">
        <is>
          <t>29103-ET-FG1303-1-4</t>
        </is>
      </c>
      <c r="C21" s="9" t="inlineStr">
        <is>
          <t>29103-ET-FG1303-1</t>
        </is>
      </c>
      <c r="D21" s="9" t="inlineStr">
        <is>
          <t>29103-AMB-003</t>
        </is>
      </c>
      <c r="E21" s="9" t="inlineStr"/>
      <c r="F21" s="9" t="inlineStr">
        <is>
          <t>29103-65R-ET-FG1303-01-01</t>
        </is>
      </c>
      <c r="G21" s="9" t="inlineStr">
        <is>
          <t>13.1</t>
        </is>
      </c>
      <c r="H21" s="9" t="inlineStr">
        <is>
          <t>29103-ET-FG1303-1-4.pdf</t>
        </is>
      </c>
      <c r="I21" s="4" t="str">
        <f>IF($H21&lt;&gt;"","YES","NO")</f>
        <v>YES</v>
      </c>
      <c r="J21" s="4" t="str">
        <f>IF(N($T21)&gt;0,"YES","NO")</f>
        <v>NO</v>
      </c>
      <c r="K21" s="4" t="str">
        <f>IF(OR($A21="EHT Trace"),IF(AND($U21&lt;&gt;"",$V21&lt;&gt;""),"YES","NO"),"N/A")</f>
        <v>NO</v>
      </c>
      <c r="L21" s="4" t="str">
        <f>IF(OR($A21="EHT Trace"),IF(AND($X21&lt;&gt;"",$Y21&lt;&gt;""),"YES","NO"),"N/A")</f>
        <v>NO</v>
      </c>
      <c r="M21" s="4" t="str">
        <f>IF(OR($A21="EHT Trace"),IF(AND($AA21&lt;&gt;"",$AB21&lt;&gt;""),"YES","NO"),"N/A")</f>
        <v>NO</v>
      </c>
      <c r="N21" s="4" t="str">
        <f>IF(OR($A21="Power Cable"),IF(AND($AD21&lt;&gt;""),"YES","NO"),"N/A")</f>
        <v>N/A</v>
      </c>
      <c r="O21" s="4" t="str">
        <f>IF(OR($A21="Power Cable",$A21="RTD Cable",$A21="Fieldbus Cable"),IF(AND($AE21&lt;&gt;""),"YES","NO"),"N/A")</f>
        <v>N/A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str">
        <f>IF(OR($AM21&lt;&gt;"",$Z21&lt;&gt;"",$AC21&lt;&gt;""),"YES","NO")</f>
        <v>NO</v>
      </c>
      <c r="S21" s="4" t="str">
        <f>IF(COUNTIF(I21:R21,"NO")=0,"YES","NO")</f>
        <v>NO</v>
      </c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inlineStr">
        <is>
          <t>5XTVR2-CT</t>
        </is>
      </c>
      <c r="AK21" s="9" t="inlineStr">
        <is>
          <t>13.1 m m</t>
        </is>
      </c>
      <c r="AL21" s="9" t="inlineStr">
        <is>
          <t>Levy Ostrup</t>
        </is>
      </c>
      <c r="AM21" s="9" t="n"/>
      <c r="AN21" s="9" t="n"/>
    </row>
    <row r="22">
      <c r="A22" s="9" t="inlineStr">
        <is>
          <t>EHT Trace</t>
        </is>
      </c>
      <c r="B22" s="9" t="inlineStr">
        <is>
          <t>29103-ET-FG1401-1-1</t>
        </is>
      </c>
      <c r="C22" s="9" t="inlineStr">
        <is>
          <t>29103-ET-FG1401-1</t>
        </is>
      </c>
      <c r="D22" s="9" t="inlineStr">
        <is>
          <t>29103-AMB-003</t>
        </is>
      </c>
      <c r="E22" s="9" t="inlineStr">
        <is>
          <t>29103-FG-1401</t>
        </is>
      </c>
      <c r="F22" s="9" t="inlineStr">
        <is>
          <t>29103-65R-ET-FG1401-01-01</t>
        </is>
      </c>
      <c r="G22" s="9" t="inlineStr">
        <is>
          <t>13.1</t>
        </is>
      </c>
      <c r="H22" s="9" t="inlineStr">
        <is>
          <t>29103-ET-FG1401-1-1.pdf</t>
        </is>
      </c>
      <c r="I22" s="4" t="str">
        <f>IF($H22&lt;&gt;"","YES","NO")</f>
        <v>YES</v>
      </c>
      <c r="J22" s="4" t="str">
        <f>IF(N($T22)&gt;0,"YES","NO")</f>
        <v>NO</v>
      </c>
      <c r="K22" s="4" t="str">
        <f>IF(OR($A22="EHT Trace"),IF(AND($U22&lt;&gt;"",$V22&lt;&gt;""),"YES","NO"),"N/A")</f>
        <v>NO</v>
      </c>
      <c r="L22" s="4" t="str">
        <f>IF(OR($A22="EHT Trace"),IF(AND($X22&lt;&gt;"",$Y22&lt;&gt;""),"YES","NO"),"N/A")</f>
        <v>NO</v>
      </c>
      <c r="M22" s="4" t="str">
        <f>IF(OR($A22="EHT Trace"),IF(AND($AA22&lt;&gt;"",$AB22&lt;&gt;""),"YES","NO"),"N/A")</f>
        <v>NO</v>
      </c>
      <c r="N22" s="4" t="str">
        <f>IF(OR($A22="Power Cable"),IF(AND($AD22&lt;&gt;""),"YES","NO"),"N/A")</f>
        <v>N/A</v>
      </c>
      <c r="O22" s="4" t="str">
        <f>IF(OR($A22="Power Cable",$A22="RTD Cable",$A22="Fieldbus Cable"),IF(AND($AE22&lt;&gt;""),"YES","NO"),"N/A")</f>
        <v>N/A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str">
        <f>IF(OR($AM22&lt;&gt;"",$Z22&lt;&gt;"",$AC22&lt;&gt;""),"YES","NO")</f>
        <v>NO</v>
      </c>
      <c r="S22" s="4" t="str">
        <f>IF(COUNTIF(I22:R22,"NO")=0,"YES","NO")</f>
        <v>NO</v>
      </c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inlineStr">
        <is>
          <t>5XTVR2-CT</t>
        </is>
      </c>
      <c r="AK22" s="9" t="inlineStr">
        <is>
          <t>24.4 m m</t>
        </is>
      </c>
      <c r="AL22" s="9" t="inlineStr">
        <is>
          <t>Levy Ostrup</t>
        </is>
      </c>
      <c r="AM22" s="9" t="n"/>
      <c r="AN22" s="9" t="n"/>
    </row>
    <row r="23">
      <c r="A23" s="9" t="inlineStr">
        <is>
          <t>EHT Trace</t>
        </is>
      </c>
      <c r="B23" s="9" t="inlineStr">
        <is>
          <t>29103-ET-FG1403-1-1</t>
        </is>
      </c>
      <c r="C23" s="9" t="inlineStr">
        <is>
          <t>29103-ET-FG1403-1</t>
        </is>
      </c>
      <c r="D23" s="9" t="inlineStr">
        <is>
          <t>29103-AMB-003</t>
        </is>
      </c>
      <c r="E23" s="9" t="inlineStr">
        <is>
          <t>29103-FG-1403</t>
        </is>
      </c>
      <c r="F23" s="9" t="inlineStr">
        <is>
          <t>29103-65R-ET-FG1403-01-01</t>
        </is>
      </c>
      <c r="G23" s="9" t="inlineStr">
        <is>
          <t>13.1</t>
        </is>
      </c>
      <c r="H23" s="9" t="inlineStr">
        <is>
          <t>29103-ET-FG1403-1-1.pdf</t>
        </is>
      </c>
      <c r="I23" s="4" t="str">
        <f>IF($H23&lt;&gt;"","YES","NO")</f>
        <v>YES</v>
      </c>
      <c r="J23" s="4" t="str">
        <f>IF(N($T23)&gt;0,"YES","NO")</f>
        <v>NO</v>
      </c>
      <c r="K23" s="4" t="str">
        <f>IF(OR($A23="EHT Trace"),IF(AND($U23&lt;&gt;"",$V23&lt;&gt;""),"YES","NO"),"N/A")</f>
        <v>NO</v>
      </c>
      <c r="L23" s="4" t="str">
        <f>IF(OR($A23="EHT Trace"),IF(AND($X23&lt;&gt;"",$Y23&lt;&gt;""),"YES","NO"),"N/A")</f>
        <v>NO</v>
      </c>
      <c r="M23" s="4" t="str">
        <f>IF(OR($A23="EHT Trace"),IF(AND($AA23&lt;&gt;"",$AB23&lt;&gt;""),"YES","NO"),"N/A")</f>
        <v>NO</v>
      </c>
      <c r="N23" s="4" t="str">
        <f>IF(OR($A23="Power Cable"),IF(AND($AD23&lt;&gt;""),"YES","NO"),"N/A")</f>
        <v>N/A</v>
      </c>
      <c r="O23" s="4" t="str">
        <f>IF(OR($A23="Power Cable",$A23="RTD Cable",$A23="Fieldbus Cable"),IF(AND($AE23&lt;&gt;""),"YES","NO"),"N/A")</f>
        <v>N/A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str">
        <f>IF(OR($AM23&lt;&gt;"",$Z23&lt;&gt;"",$AC23&lt;&gt;""),"YES","NO")</f>
        <v>NO</v>
      </c>
      <c r="S23" s="4" t="str">
        <f>IF(COUNTIF(I23:R23,"NO")=0,"YES","NO")</f>
        <v>NO</v>
      </c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inlineStr">
        <is>
          <t>5XTVR2-CT</t>
        </is>
      </c>
      <c r="AK23" s="9" t="inlineStr">
        <is>
          <t>13.1 m m</t>
        </is>
      </c>
      <c r="AL23" s="9" t="inlineStr">
        <is>
          <t>Levy Ostrup</t>
        </is>
      </c>
      <c r="AM23" s="9" t="n"/>
      <c r="AN23" s="9" t="n"/>
    </row>
    <row r="24">
      <c r="A24" s="9" t="inlineStr">
        <is>
          <t>EHT Trace</t>
        </is>
      </c>
      <c r="B24" s="9" t="inlineStr">
        <is>
          <t>29103-ET-FG1403-1-2</t>
        </is>
      </c>
      <c r="C24" s="9" t="inlineStr">
        <is>
          <t>29103-ET-FG1403-1</t>
        </is>
      </c>
      <c r="D24" s="9" t="inlineStr">
        <is>
          <t>29103-AMB-003</t>
        </is>
      </c>
      <c r="E24" s="9" t="inlineStr">
        <is>
          <t>29103-FG-1403</t>
        </is>
      </c>
      <c r="F24" s="9" t="inlineStr">
        <is>
          <t>29103-65R-ET-FG1403-01-01</t>
        </is>
      </c>
      <c r="G24" s="9" t="inlineStr">
        <is>
          <t>13.1</t>
        </is>
      </c>
      <c r="H24" s="9" t="inlineStr">
        <is>
          <t>29103-ET-FG1403-1-2.pdf</t>
        </is>
      </c>
      <c r="I24" s="4" t="str">
        <f>IF($H24&lt;&gt;"","YES","NO")</f>
        <v>YES</v>
      </c>
      <c r="J24" s="4" t="str">
        <f>IF(N($T24)&gt;0,"YES","NO")</f>
        <v>NO</v>
      </c>
      <c r="K24" s="4" t="str">
        <f>IF(OR($A24="EHT Trace"),IF(AND($U24&lt;&gt;"",$V24&lt;&gt;""),"YES","NO"),"N/A")</f>
        <v>NO</v>
      </c>
      <c r="L24" s="4" t="str">
        <f>IF(OR($A24="EHT Trace"),IF(AND($X24&lt;&gt;"",$Y24&lt;&gt;""),"YES","NO"),"N/A")</f>
        <v>NO</v>
      </c>
      <c r="M24" s="4" t="str">
        <f>IF(OR($A24="EHT Trace"),IF(AND($AA24&lt;&gt;"",$AB24&lt;&gt;""),"YES","NO"),"N/A")</f>
        <v>NO</v>
      </c>
      <c r="N24" s="4" t="str">
        <f>IF(OR($A24="Power Cable"),IF(AND($AD24&lt;&gt;""),"YES","NO"),"N/A")</f>
        <v>N/A</v>
      </c>
      <c r="O24" s="4" t="str">
        <f>IF(OR($A24="Power Cable",$A24="RTD Cable",$A24="Fieldbus Cable"),IF(AND($AE24&lt;&gt;""),"YES","NO"),"N/A")</f>
        <v>N/A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str">
        <f>IF(OR($AM24&lt;&gt;"",$Z24&lt;&gt;"",$AC24&lt;&gt;""),"YES","NO")</f>
        <v>NO</v>
      </c>
      <c r="S24" s="4" t="str">
        <f>IF(COUNTIF(I24:R24,"NO")=0,"YES","NO")</f>
        <v>NO</v>
      </c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inlineStr">
        <is>
          <t>5XTVR2-CT</t>
        </is>
      </c>
      <c r="AK24" s="9" t="inlineStr">
        <is>
          <t>13.5 m m</t>
        </is>
      </c>
      <c r="AL24" s="9" t="inlineStr">
        <is>
          <t>Levy Ostrup</t>
        </is>
      </c>
      <c r="AM24" s="9" t="n"/>
      <c r="AN24" s="9" t="n"/>
    </row>
    <row r="25">
      <c r="A25" s="9" t="inlineStr">
        <is>
          <t>EHT Trace</t>
        </is>
      </c>
      <c r="B25" s="9" t="inlineStr">
        <is>
          <t>29103-ET-FG1403-1-3</t>
        </is>
      </c>
      <c r="C25" s="9" t="inlineStr">
        <is>
          <t>29103-ET-FG1403-1</t>
        </is>
      </c>
      <c r="D25" s="9" t="inlineStr">
        <is>
          <t>29103-AMB-003</t>
        </is>
      </c>
      <c r="E25" s="9" t="inlineStr"/>
      <c r="F25" s="9" t="inlineStr">
        <is>
          <t>29103-65R-ET-FG1403-01-01</t>
        </is>
      </c>
      <c r="G25" s="9" t="inlineStr">
        <is>
          <t>13.1</t>
        </is>
      </c>
      <c r="H25" s="9" t="inlineStr">
        <is>
          <t>29103-ET-FG1403-1-3.pdf</t>
        </is>
      </c>
      <c r="I25" s="4" t="str">
        <f>IF($H25&lt;&gt;"","YES","NO")</f>
        <v>YES</v>
      </c>
      <c r="J25" s="4" t="str">
        <f>IF(N($T25)&gt;0,"YES","NO")</f>
        <v>NO</v>
      </c>
      <c r="K25" s="4" t="str">
        <f>IF(OR($A25="EHT Trace"),IF(AND($U25&lt;&gt;"",$V25&lt;&gt;""),"YES","NO"),"N/A")</f>
        <v>NO</v>
      </c>
      <c r="L25" s="4" t="str">
        <f>IF(OR($A25="EHT Trace"),IF(AND($X25&lt;&gt;"",$Y25&lt;&gt;""),"YES","NO"),"N/A")</f>
        <v>NO</v>
      </c>
      <c r="M25" s="4" t="str">
        <f>IF(OR($A25="EHT Trace"),IF(AND($AA25&lt;&gt;"",$AB25&lt;&gt;""),"YES","NO"),"N/A")</f>
        <v>NO</v>
      </c>
      <c r="N25" s="4" t="str">
        <f>IF(OR($A25="Power Cable"),IF(AND($AD25&lt;&gt;""),"YES","NO"),"N/A")</f>
        <v>N/A</v>
      </c>
      <c r="O25" s="4" t="str">
        <f>IF(OR($A25="Power Cable",$A25="RTD Cable",$A25="Fieldbus Cable"),IF(AND($AE25&lt;&gt;""),"YES","NO"),"N/A")</f>
        <v>N/A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str">
        <f>IF(OR($AM25&lt;&gt;"",$Z25&lt;&gt;"",$AC25&lt;&gt;""),"YES","NO")</f>
        <v>NO</v>
      </c>
      <c r="S25" s="4" t="str">
        <f>IF(COUNTIF(I25:R25,"NO")=0,"YES","NO")</f>
        <v>NO</v>
      </c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inlineStr">
        <is>
          <t>5XTVR2-CT</t>
        </is>
      </c>
      <c r="AK25" s="9" t="inlineStr">
        <is>
          <t>6.1 m m</t>
        </is>
      </c>
      <c r="AL25" s="9" t="inlineStr">
        <is>
          <t>Levy Ostrup</t>
        </is>
      </c>
      <c r="AM25" s="9" t="n"/>
      <c r="AN25" s="9" t="n"/>
    </row>
    <row r="26">
      <c r="A26" s="9" t="inlineStr">
        <is>
          <t>EHT Trace</t>
        </is>
      </c>
      <c r="B26" s="9" t="inlineStr">
        <is>
          <t>29103-ET-FG1403-1-4</t>
        </is>
      </c>
      <c r="C26" s="9" t="inlineStr">
        <is>
          <t>29103-ET-FG1403-1</t>
        </is>
      </c>
      <c r="D26" s="9" t="inlineStr">
        <is>
          <t>29103-AMB-003</t>
        </is>
      </c>
      <c r="E26" s="9" t="inlineStr"/>
      <c r="F26" s="9" t="inlineStr">
        <is>
          <t>29103-65R-ET-FG1403-01-01</t>
        </is>
      </c>
      <c r="G26" s="9" t="inlineStr">
        <is>
          <t>13.1</t>
        </is>
      </c>
      <c r="H26" s="9" t="inlineStr">
        <is>
          <t>29103-ET-FG1403-1-4.pdf</t>
        </is>
      </c>
      <c r="I26" s="4" t="str">
        <f>IF($H26&lt;&gt;"","YES","NO")</f>
        <v>YES</v>
      </c>
      <c r="J26" s="4" t="str">
        <f>IF(N($T26)&gt;0,"YES","NO")</f>
        <v>NO</v>
      </c>
      <c r="K26" s="4" t="str">
        <f>IF(OR($A26="EHT Trace"),IF(AND($U26&lt;&gt;"",$V26&lt;&gt;""),"YES","NO"),"N/A")</f>
        <v>NO</v>
      </c>
      <c r="L26" s="4" t="str">
        <f>IF(OR($A26="EHT Trace"),IF(AND($X26&lt;&gt;"",$Y26&lt;&gt;""),"YES","NO"),"N/A")</f>
        <v>NO</v>
      </c>
      <c r="M26" s="4" t="str">
        <f>IF(OR($A26="EHT Trace"),IF(AND($AA26&lt;&gt;"",$AB26&lt;&gt;""),"YES","NO"),"N/A")</f>
        <v>NO</v>
      </c>
      <c r="N26" s="4" t="str">
        <f>IF(OR($A26="Power Cable"),IF(AND($AD26&lt;&gt;""),"YES","NO"),"N/A")</f>
        <v>N/A</v>
      </c>
      <c r="O26" s="4" t="str">
        <f>IF(OR($A26="Power Cable",$A26="RTD Cable",$A26="Fieldbus Cable"),IF(AND($AE26&lt;&gt;""),"YES","NO"),"N/A")</f>
        <v>N/A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str">
        <f>IF(OR($AM26&lt;&gt;"",$Z26&lt;&gt;"",$AC26&lt;&gt;""),"YES","NO")</f>
        <v>NO</v>
      </c>
      <c r="S26" s="4" t="str">
        <f>IF(COUNTIF(I26:R26,"NO")=0,"YES","NO")</f>
        <v>NO</v>
      </c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inlineStr">
        <is>
          <t>5XTVR2-CT</t>
        </is>
      </c>
      <c r="AK26" s="9" t="inlineStr">
        <is>
          <t>13.1 m m</t>
        </is>
      </c>
      <c r="AL26" s="9" t="inlineStr">
        <is>
          <t>Levy Ostrup</t>
        </is>
      </c>
      <c r="AM26" s="9" t="n"/>
      <c r="AN26" s="9" t="n"/>
    </row>
    <row r="27">
      <c r="A27" s="9" t="inlineStr">
        <is>
          <t>EHT Trace</t>
        </is>
      </c>
      <c r="B27" s="9" t="inlineStr">
        <is>
          <t>29103-ET-P1101-1-1</t>
        </is>
      </c>
      <c r="C27" s="9" t="inlineStr">
        <is>
          <t>29103-ET-P1101-1</t>
        </is>
      </c>
      <c r="D27" s="9" t="inlineStr">
        <is>
          <t>HTC-37 / CB-37</t>
        </is>
      </c>
      <c r="E27" s="9" t="inlineStr">
        <is>
          <t>29103-P-1101</t>
        </is>
      </c>
      <c r="F27" s="9" t="inlineStr">
        <is>
          <t>29103-65R-ET-P1101-01-01</t>
        </is>
      </c>
      <c r="G27" s="9" t="inlineStr">
        <is>
          <t>13.1</t>
        </is>
      </c>
      <c r="H27" s="9" t="inlineStr">
        <is>
          <t>29103-ET-P1101-1-1.pdf</t>
        </is>
      </c>
      <c r="I27" s="4" t="str">
        <f>IF($H27&lt;&gt;"","YES","NO")</f>
        <v>YES</v>
      </c>
      <c r="J27" s="4" t="str">
        <f>IF(N($T27)&gt;0,"YES","NO")</f>
        <v>NO</v>
      </c>
      <c r="K27" s="4" t="str">
        <f>IF(OR($A27="EHT Trace"),IF(AND($U27&lt;&gt;"",$V27&lt;&gt;""),"YES","NO"),"N/A")</f>
        <v>NO</v>
      </c>
      <c r="L27" s="4" t="str">
        <f>IF(OR($A27="EHT Trace"),IF(AND($X27&lt;&gt;"",$Y27&lt;&gt;""),"YES","NO"),"N/A")</f>
        <v>NO</v>
      </c>
      <c r="M27" s="4" t="str">
        <f>IF(OR($A27="EHT Trace"),IF(AND($AA27&lt;&gt;"",$AB27&lt;&gt;""),"YES","NO"),"N/A")</f>
        <v>NO</v>
      </c>
      <c r="N27" s="4" t="str">
        <f>IF(OR($A27="Power Cable"),IF(AND($AD27&lt;&gt;""),"YES","NO"),"N/A")</f>
        <v>N/A</v>
      </c>
      <c r="O27" s="4" t="str">
        <f>IF(OR($A27="Power Cable",$A27="RTD Cable",$A27="Fieldbus Cable"),IF(AND($AE27&lt;&gt;""),"YES","NO"),"N/A")</f>
        <v>N/A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str">
        <f>IF(OR($AM27&lt;&gt;"",$Z27&lt;&gt;"",$AC27&lt;&gt;""),"YES","NO")</f>
        <v>NO</v>
      </c>
      <c r="S27" s="4" t="str">
        <f>IF(COUNTIF(I27:R27,"NO")=0,"YES","NO")</f>
        <v>NO</v>
      </c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inlineStr">
        <is>
          <t>E/32SQ3374/20.5M/1007/166/1.2M/LS23A/X/N12/XNF</t>
        </is>
      </c>
      <c r="AK27" s="9" t="inlineStr">
        <is>
          <t>20.5 m m</t>
        </is>
      </c>
      <c r="AL27" s="9" t="inlineStr">
        <is>
          <t>Levy Ostrup</t>
        </is>
      </c>
      <c r="AM27" s="9" t="n"/>
      <c r="AN27" s="9" t="n"/>
    </row>
    <row r="28">
      <c r="A28" s="9" t="inlineStr">
        <is>
          <t>EHT Trace</t>
        </is>
      </c>
      <c r="B28" s="9" t="inlineStr">
        <is>
          <t>29103-ET-P1101-1-2</t>
        </is>
      </c>
      <c r="C28" s="9" t="inlineStr">
        <is>
          <t>29103-ET-P1101-1</t>
        </is>
      </c>
      <c r="D28" s="9" t="inlineStr">
        <is>
          <t>HTC-37 / CB-37</t>
        </is>
      </c>
      <c r="E28" s="9" t="inlineStr">
        <is>
          <t>29103-P-1101</t>
        </is>
      </c>
      <c r="F28" s="9" t="inlineStr">
        <is>
          <t>29103-65R-ET-P1101-01-01</t>
        </is>
      </c>
      <c r="G28" s="9" t="inlineStr">
        <is>
          <t>13.1</t>
        </is>
      </c>
      <c r="H28" s="9" t="inlineStr">
        <is>
          <t>29103-ET-P1101-1-2.pdf</t>
        </is>
      </c>
      <c r="I28" s="4" t="str">
        <f>IF($H28&lt;&gt;"","YES","NO")</f>
        <v>YES</v>
      </c>
      <c r="J28" s="4" t="str">
        <f>IF(N($T28)&gt;0,"YES","NO")</f>
        <v>NO</v>
      </c>
      <c r="K28" s="4" t="str">
        <f>IF(OR($A28="EHT Trace"),IF(AND($U28&lt;&gt;"",$V28&lt;&gt;""),"YES","NO"),"N/A")</f>
        <v>NO</v>
      </c>
      <c r="L28" s="4" t="str">
        <f>IF(OR($A28="EHT Trace"),IF(AND($X28&lt;&gt;"",$Y28&lt;&gt;""),"YES","NO"),"N/A")</f>
        <v>NO</v>
      </c>
      <c r="M28" s="4" t="str">
        <f>IF(OR($A28="EHT Trace"),IF(AND($AA28&lt;&gt;"",$AB28&lt;&gt;""),"YES","NO"),"N/A")</f>
        <v>NO</v>
      </c>
      <c r="N28" s="4" t="str">
        <f>IF(OR($A28="Power Cable"),IF(AND($AD28&lt;&gt;""),"YES","NO"),"N/A")</f>
        <v>N/A</v>
      </c>
      <c r="O28" s="4" t="str">
        <f>IF(OR($A28="Power Cable",$A28="RTD Cable",$A28="Fieldbus Cable"),IF(AND($AE28&lt;&gt;""),"YES","NO"),"N/A")</f>
        <v>N/A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str">
        <f>IF(OR($AM28&lt;&gt;"",$Z28&lt;&gt;"",$AC28&lt;&gt;""),"YES","NO")</f>
        <v>NO</v>
      </c>
      <c r="S28" s="4" t="str">
        <f>IF(COUNTIF(I28:R28,"NO")=0,"YES","NO")</f>
        <v>NO</v>
      </c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inlineStr">
        <is>
          <t>D/32SQ3374/13.8M/678/111/1.2M/LS23A/X/N12/XMN</t>
        </is>
      </c>
      <c r="AK28" s="9" t="inlineStr">
        <is>
          <t>13.8 m m</t>
        </is>
      </c>
      <c r="AL28" s="9" t="inlineStr">
        <is>
          <t>Levy Ostrup</t>
        </is>
      </c>
      <c r="AM28" s="9" t="n"/>
      <c r="AN28" s="9" t="n"/>
    </row>
    <row r="29">
      <c r="A29" s="9" t="inlineStr">
        <is>
          <t>EHT Trace</t>
        </is>
      </c>
      <c r="B29" s="9" t="inlineStr">
        <is>
          <t>29103-ET-P1104-1-1</t>
        </is>
      </c>
      <c r="C29" s="9" t="inlineStr">
        <is>
          <t>29103-ET-P1104-1</t>
        </is>
      </c>
      <c r="D29" s="9" t="inlineStr">
        <is>
          <t>HTC-35 / CB-35</t>
        </is>
      </c>
      <c r="E29" s="9" t="inlineStr">
        <is>
          <t>29103-PE-1101, 29103-P-1104</t>
        </is>
      </c>
      <c r="F29" s="9" t="inlineStr">
        <is>
          <t>29103-65R-ET-P1104-01-01</t>
        </is>
      </c>
      <c r="G29" s="9" t="inlineStr">
        <is>
          <t>13.1</t>
        </is>
      </c>
      <c r="H29" s="9" t="inlineStr">
        <is>
          <t>29103-ET-P1104-1-1.pdf</t>
        </is>
      </c>
      <c r="I29" s="4" t="str">
        <f>IF($H29&lt;&gt;"","YES","NO")</f>
        <v>YES</v>
      </c>
      <c r="J29" s="4" t="str">
        <f>IF(N($T29)&gt;0,"YES","NO")</f>
        <v>NO</v>
      </c>
      <c r="K29" s="4" t="str">
        <f>IF(OR($A29="EHT Trace"),IF(AND($U29&lt;&gt;"",$V29&lt;&gt;""),"YES","NO"),"N/A")</f>
        <v>NO</v>
      </c>
      <c r="L29" s="4" t="str">
        <f>IF(OR($A29="EHT Trace"),IF(AND($X29&lt;&gt;"",$Y29&lt;&gt;""),"YES","NO"),"N/A")</f>
        <v>NO</v>
      </c>
      <c r="M29" s="4" t="str">
        <f>IF(OR($A29="EHT Trace"),IF(AND($AA29&lt;&gt;"",$AB29&lt;&gt;""),"YES","NO"),"N/A")</f>
        <v>NO</v>
      </c>
      <c r="N29" s="4" t="str">
        <f>IF(OR($A29="Power Cable"),IF(AND($AD29&lt;&gt;""),"YES","NO"),"N/A")</f>
        <v>N/A</v>
      </c>
      <c r="O29" s="4" t="str">
        <f>IF(OR($A29="Power Cable",$A29="RTD Cable",$A29="Fieldbus Cable"),IF(AND($AE29&lt;&gt;""),"YES","NO"),"N/A")</f>
        <v>N/A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str">
        <f>IF(OR($AM29&lt;&gt;"",$Z29&lt;&gt;"",$AC29&lt;&gt;""),"YES","NO")</f>
        <v>NO</v>
      </c>
      <c r="S29" s="4" t="str">
        <f>IF(COUNTIF(I29:R29,"NO")=0,"YES","NO")</f>
        <v>NO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inlineStr">
        <is>
          <t>D/32SA2200/20.9M/554/277/1.2M/LS23A/X/N12</t>
        </is>
      </c>
      <c r="AK29" s="9" t="inlineStr">
        <is>
          <t>20.9 m m</t>
        </is>
      </c>
      <c r="AL29" s="9" t="inlineStr">
        <is>
          <t>Levy Ostrup</t>
        </is>
      </c>
      <c r="AM29" s="9" t="n"/>
      <c r="AN29" s="9" t="n"/>
    </row>
    <row r="30">
      <c r="A30" s="9" t="inlineStr">
        <is>
          <t>EHT Trace</t>
        </is>
      </c>
      <c r="B30" s="9" t="inlineStr">
        <is>
          <t>29103-ET-P1104-1-2</t>
        </is>
      </c>
      <c r="C30" s="9" t="inlineStr">
        <is>
          <t>29103-ET-P1104-1</t>
        </is>
      </c>
      <c r="D30" s="9" t="inlineStr">
        <is>
          <t>HTC-35 / CB-35</t>
        </is>
      </c>
      <c r="E30" s="9" t="inlineStr">
        <is>
          <t>29103-P-1104</t>
        </is>
      </c>
      <c r="F30" s="9" t="inlineStr">
        <is>
          <t>29103-65R-ET-P1104-01-01</t>
        </is>
      </c>
      <c r="G30" s="9" t="inlineStr">
        <is>
          <t>13.1</t>
        </is>
      </c>
      <c r="H30" s="9" t="inlineStr">
        <is>
          <t>29103-ET-P1104-1-2.pdf</t>
        </is>
      </c>
      <c r="I30" s="4" t="str">
        <f>IF($H30&lt;&gt;"","YES","NO")</f>
        <v>YES</v>
      </c>
      <c r="J30" s="4" t="str">
        <f>IF(N($T30)&gt;0,"YES","NO")</f>
        <v>NO</v>
      </c>
      <c r="K30" s="4" t="str">
        <f>IF(OR($A30="EHT Trace"),IF(AND($U30&lt;&gt;"",$V30&lt;&gt;""),"YES","NO"),"N/A")</f>
        <v>YES</v>
      </c>
      <c r="L30" s="4" t="str">
        <f>IF(OR($A30="EHT Trace"),IF(AND($X30&lt;&gt;"",$Y30&lt;&gt;""),"YES","NO"),"N/A")</f>
        <v>NO</v>
      </c>
      <c r="M30" s="4" t="str">
        <f>IF(OR($A30="EHT Trace"),IF(AND($AA30&lt;&gt;"",$AB30&lt;&gt;""),"YES","NO"),"N/A")</f>
        <v>NO</v>
      </c>
      <c r="N30" s="4" t="str">
        <f>IF(OR($A30="Power Cable"),IF(AND($AD30&lt;&gt;""),"YES","NO"),"N/A")</f>
        <v>N/A</v>
      </c>
      <c r="O30" s="4" t="str">
        <f>IF(OR($A30="Power Cable",$A30="RTD Cable",$A30="Fieldbus Cable"),IF(AND($AE30&lt;&gt;""),"YES","NO"),"N/A")</f>
        <v>N/A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str">
        <f>IF(OR($AM30&lt;&gt;"",$Z30&lt;&gt;"",$AC30&lt;&gt;""),"YES","NO")</f>
        <v>NO</v>
      </c>
      <c r="S30" s="4" t="str">
        <f>IF(COUNTIF(I30:R30,"NO")=0,"YES","NO")</f>
        <v>NO</v>
      </c>
      <c r="T30" s="9" t="n"/>
      <c r="U30" s="9" t="inlineStr">
        <is>
          <t>&gt;2.2 GΩ</t>
        </is>
      </c>
      <c r="V30" s="9" t="inlineStr">
        <is>
          <t>12.7 Ω</t>
        </is>
      </c>
      <c r="W30" s="9" t="inlineStr">
        <is>
          <t>2026-05-17</t>
        </is>
      </c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inlineStr">
        <is>
          <t>E/32SQ3472/8M/461/78.9/1.2M/LS23A/X/N12/XNF</t>
        </is>
      </c>
      <c r="AK30" s="9" t="inlineStr">
        <is>
          <t>8 m m</t>
        </is>
      </c>
      <c r="AL30" s="9" t="inlineStr">
        <is>
          <t>Levy Ostrup</t>
        </is>
      </c>
      <c r="AM30" s="9" t="n"/>
      <c r="AN30" s="9" t="n"/>
    </row>
    <row r="31">
      <c r="A31" s="9" t="inlineStr">
        <is>
          <t>EHT Trace</t>
        </is>
      </c>
      <c r="B31" s="9" t="inlineStr">
        <is>
          <t>29103-ET-P1104-1-3</t>
        </is>
      </c>
      <c r="C31" s="9" t="inlineStr">
        <is>
          <t>29103-ET-P1104-1</t>
        </is>
      </c>
      <c r="D31" s="9" t="inlineStr">
        <is>
          <t>HTC-35 / CB-35</t>
        </is>
      </c>
      <c r="E31" s="9" t="inlineStr">
        <is>
          <t>29103-P-1104</t>
        </is>
      </c>
      <c r="F31" s="9" t="inlineStr">
        <is>
          <t>29103-65R-ET-P1104-01-01</t>
        </is>
      </c>
      <c r="G31" s="9" t="inlineStr">
        <is>
          <t>13.1</t>
        </is>
      </c>
      <c r="H31" s="9" t="inlineStr">
        <is>
          <t>29103-ET-P1104-1-3.pdf</t>
        </is>
      </c>
      <c r="I31" s="4" t="str">
        <f>IF($H31&lt;&gt;"","YES","NO")</f>
        <v>YES</v>
      </c>
      <c r="J31" s="4" t="str">
        <f>IF(N($T31)&gt;0,"YES","NO")</f>
        <v>NO</v>
      </c>
      <c r="K31" s="4" t="str">
        <f>IF(OR($A31="EHT Trace"),IF(AND($U31&lt;&gt;"",$V31&lt;&gt;""),"YES","NO"),"N/A")</f>
        <v>YES</v>
      </c>
      <c r="L31" s="4" t="str">
        <f>IF(OR($A31="EHT Trace"),IF(AND($X31&lt;&gt;"",$Y31&lt;&gt;""),"YES","NO"),"N/A")</f>
        <v>NO</v>
      </c>
      <c r="M31" s="4" t="str">
        <f>IF(OR($A31="EHT Trace"),IF(AND($AA31&lt;&gt;"",$AB31&lt;&gt;""),"YES","NO"),"N/A")</f>
        <v>NO</v>
      </c>
      <c r="N31" s="4" t="str">
        <f>IF(OR($A31="Power Cable"),IF(AND($AD31&lt;&gt;""),"YES","NO"),"N/A")</f>
        <v>N/A</v>
      </c>
      <c r="O31" s="4" t="str">
        <f>IF(OR($A31="Power Cable",$A31="RTD Cable",$A31="Fieldbus Cable"),IF(AND($AE31&lt;&gt;""),"YES","NO"),"N/A")</f>
        <v>N/A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str">
        <f>IF(OR($AM31&lt;&gt;"",$Z31&lt;&gt;"",$AC31&lt;&gt;""),"YES","NO")</f>
        <v>NO</v>
      </c>
      <c r="S31" s="4" t="str">
        <f>IF(COUNTIF(I31:R31,"NO")=0,"YES","NO")</f>
        <v>NO</v>
      </c>
      <c r="T31" s="9" t="n"/>
      <c r="U31" s="9" t="inlineStr">
        <is>
          <t>&gt;2.2 GΩ</t>
        </is>
      </c>
      <c r="V31" s="9" t="inlineStr">
        <is>
          <t>11.3 Ω</t>
        </is>
      </c>
      <c r="W31" s="9" t="inlineStr">
        <is>
          <t>2026-05-17</t>
        </is>
      </c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inlineStr">
        <is>
          <t>E/32SQ3472/7M/403/69/1.2M/LS23A/X/N12/XMF</t>
        </is>
      </c>
      <c r="AK31" s="9" t="inlineStr">
        <is>
          <t>7 m m</t>
        </is>
      </c>
      <c r="AL31" s="9" t="inlineStr">
        <is>
          <t>Levy Ostrup</t>
        </is>
      </c>
      <c r="AM31" s="9" t="n"/>
      <c r="AN31" s="9" t="n"/>
    </row>
    <row r="32">
      <c r="A32" s="9" t="inlineStr">
        <is>
          <t>EHT Trace</t>
        </is>
      </c>
      <c r="B32" s="9" t="inlineStr">
        <is>
          <t>29103-ET-P1104-1-4</t>
        </is>
      </c>
      <c r="C32" s="9" t="inlineStr">
        <is>
          <t>29103-ET-P1104-1</t>
        </is>
      </c>
      <c r="D32" s="9" t="inlineStr">
        <is>
          <t>HTC-35 / CB-35</t>
        </is>
      </c>
      <c r="E32" s="9" t="inlineStr">
        <is>
          <t>29103-P-1104</t>
        </is>
      </c>
      <c r="F32" s="9" t="inlineStr">
        <is>
          <t>29103-65R-ET-P1104-01-01</t>
        </is>
      </c>
      <c r="G32" s="9" t="inlineStr">
        <is>
          <t>13.1</t>
        </is>
      </c>
      <c r="H32" s="9" t="inlineStr">
        <is>
          <t>29103-ET-P1104-1-4.pdf</t>
        </is>
      </c>
      <c r="I32" s="4" t="str">
        <f>IF($H32&lt;&gt;"","YES","NO")</f>
        <v>YES</v>
      </c>
      <c r="J32" s="4" t="str">
        <f>IF(N($T32)&gt;0,"YES","NO")</f>
        <v>NO</v>
      </c>
      <c r="K32" s="4" t="str">
        <f>IF(OR($A32="EHT Trace"),IF(AND($U32&lt;&gt;"",$V32&lt;&gt;""),"YES","NO"),"N/A")</f>
        <v>YES</v>
      </c>
      <c r="L32" s="4" t="str">
        <f>IF(OR($A32="EHT Trace"),IF(AND($X32&lt;&gt;"",$Y32&lt;&gt;""),"YES","NO"),"N/A")</f>
        <v>NO</v>
      </c>
      <c r="M32" s="4" t="str">
        <f>IF(OR($A32="EHT Trace"),IF(AND($AA32&lt;&gt;"",$AB32&lt;&gt;""),"YES","NO"),"N/A")</f>
        <v>NO</v>
      </c>
      <c r="N32" s="4" t="str">
        <f>IF(OR($A32="Power Cable"),IF(AND($AD32&lt;&gt;""),"YES","NO"),"N/A")</f>
        <v>N/A</v>
      </c>
      <c r="O32" s="4" t="str">
        <f>IF(OR($A32="Power Cable",$A32="RTD Cable",$A32="Fieldbus Cable"),IF(AND($AE32&lt;&gt;""),"YES","NO"),"N/A")</f>
        <v>N/A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str">
        <f>IF(OR($AM32&lt;&gt;"",$Z32&lt;&gt;"",$AC32&lt;&gt;""),"YES","NO")</f>
        <v>NO</v>
      </c>
      <c r="S32" s="4" t="str">
        <f>IF(COUNTIF(I32:R32,"NO")=0,"YES","NO")</f>
        <v>NO</v>
      </c>
      <c r="T32" s="9" t="n"/>
      <c r="U32" s="9" t="inlineStr">
        <is>
          <t>&gt;2.2 GΩ</t>
        </is>
      </c>
      <c r="V32" s="9" t="inlineStr">
        <is>
          <t>21.1 Ω</t>
        </is>
      </c>
      <c r="W32" s="9" t="inlineStr">
        <is>
          <t>2026-05-17</t>
        </is>
      </c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inlineStr">
        <is>
          <t>D/32SQ3472/13.1M/755/129/1.2M/LS23A/X/N12/XMN</t>
        </is>
      </c>
      <c r="AK32" s="9" t="inlineStr">
        <is>
          <t>13.1 m m</t>
        </is>
      </c>
      <c r="AL32" s="9" t="inlineStr">
        <is>
          <t>Levy Ostrup</t>
        </is>
      </c>
      <c r="AM32" s="9" t="n"/>
      <c r="AN32" s="9" t="n"/>
    </row>
    <row r="33">
      <c r="A33" s="9" t="inlineStr">
        <is>
          <t>EHT Trace</t>
        </is>
      </c>
      <c r="B33" s="9" t="inlineStr">
        <is>
          <t>29103-ET-P1104-2-1</t>
        </is>
      </c>
      <c r="C33" s="9" t="inlineStr">
        <is>
          <t>29103-ET-P1104-2</t>
        </is>
      </c>
      <c r="D33" s="9" t="inlineStr">
        <is>
          <t>HTC-40 / CB-40</t>
        </is>
      </c>
      <c r="E33" s="9" t="inlineStr">
        <is>
          <t>29103-P-1104, 29103-FG-1102</t>
        </is>
      </c>
      <c r="F33" s="9" t="inlineStr">
        <is>
          <t>29103-65R-ET-P1104-02-01</t>
        </is>
      </c>
      <c r="G33" s="9" t="inlineStr">
        <is>
          <t>13.1</t>
        </is>
      </c>
      <c r="H33" s="9" t="inlineStr">
        <is>
          <t>29103-ET-P1104-2-1.pdf</t>
        </is>
      </c>
      <c r="I33" s="4" t="str">
        <f>IF($H33&lt;&gt;"","YES","NO")</f>
        <v>YES</v>
      </c>
      <c r="J33" s="4" t="str">
        <f>IF(N($T33)&gt;0,"YES","NO")</f>
        <v>NO</v>
      </c>
      <c r="K33" s="4" t="str">
        <f>IF(OR($A33="EHT Trace"),IF(AND($U33&lt;&gt;"",$V33&lt;&gt;""),"YES","NO"),"N/A")</f>
        <v>YES</v>
      </c>
      <c r="L33" s="4" t="str">
        <f>IF(OR($A33="EHT Trace"),IF(AND($X33&lt;&gt;"",$Y33&lt;&gt;""),"YES","NO"),"N/A")</f>
        <v>NO</v>
      </c>
      <c r="M33" s="4" t="str">
        <f>IF(OR($A33="EHT Trace"),IF(AND($AA33&lt;&gt;"",$AB33&lt;&gt;""),"YES","NO"),"N/A")</f>
        <v>NO</v>
      </c>
      <c r="N33" s="4" t="str">
        <f>IF(OR($A33="Power Cable"),IF(AND($AD33&lt;&gt;""),"YES","NO"),"N/A")</f>
        <v>N/A</v>
      </c>
      <c r="O33" s="4" t="str">
        <f>IF(OR($A33="Power Cable",$A33="RTD Cable",$A33="Fieldbus Cable"),IF(AND($AE33&lt;&gt;""),"YES","NO"),"N/A")</f>
        <v>N/A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str">
        <f>IF(OR($AM33&lt;&gt;"",$Z33&lt;&gt;"",$AC33&lt;&gt;""),"YES","NO")</f>
        <v>NO</v>
      </c>
      <c r="S33" s="4" t="str">
        <f>IF(COUNTIF(I33:R33,"NO")=0,"YES","NO")</f>
        <v>NO</v>
      </c>
      <c r="T33" s="9" t="n"/>
      <c r="U33" s="9" t="inlineStr">
        <is>
          <t>&gt;2.2 GΩ</t>
        </is>
      </c>
      <c r="V33" s="9" t="inlineStr">
        <is>
          <t>373.2 Ω</t>
        </is>
      </c>
      <c r="W33" s="9" t="inlineStr">
        <is>
          <t>2026-05-17</t>
        </is>
      </c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inlineStr">
        <is>
          <t>D/32SF1180/6.2M/207/277/1.2M/LS23A/X/N12</t>
        </is>
      </c>
      <c r="AK33" s="9" t="inlineStr">
        <is>
          <t>6.2 m m</t>
        </is>
      </c>
      <c r="AL33" s="9" t="inlineStr">
        <is>
          <t>Levy Ostrup</t>
        </is>
      </c>
      <c r="AM33" s="9" t="n"/>
      <c r="AN33" s="9" t="n"/>
    </row>
    <row r="34">
      <c r="A34" s="9" t="inlineStr">
        <is>
          <t>EHT Trace</t>
        </is>
      </c>
      <c r="B34" s="9" t="inlineStr">
        <is>
          <t>29103-ET-P1201-1-1</t>
        </is>
      </c>
      <c r="C34" s="9" t="inlineStr">
        <is>
          <t>29103-ET-P1201-1</t>
        </is>
      </c>
      <c r="D34" s="9" t="inlineStr">
        <is>
          <t>HTC-39 / CB-39</t>
        </is>
      </c>
      <c r="E34" s="9" t="inlineStr">
        <is>
          <t>29103-P-1201</t>
        </is>
      </c>
      <c r="F34" s="9" t="inlineStr">
        <is>
          <t>29103-65R-ET-P1201-01-01</t>
        </is>
      </c>
      <c r="G34" s="9" t="inlineStr">
        <is>
          <t>13.1</t>
        </is>
      </c>
      <c r="H34" s="9" t="inlineStr">
        <is>
          <t>29103-ET-P1201-1-1.pdf</t>
        </is>
      </c>
      <c r="I34" s="4" t="str">
        <f>IF($H34&lt;&gt;"","YES","NO")</f>
        <v>YES</v>
      </c>
      <c r="J34" s="4" t="str">
        <f>IF(N($T34)&gt;0,"YES","NO")</f>
        <v>NO</v>
      </c>
      <c r="K34" s="4" t="str">
        <f>IF(OR($A34="EHT Trace"),IF(AND($U34&lt;&gt;"",$V34&lt;&gt;""),"YES","NO"),"N/A")</f>
        <v>NO</v>
      </c>
      <c r="L34" s="4" t="str">
        <f>IF(OR($A34="EHT Trace"),IF(AND($X34&lt;&gt;"",$Y34&lt;&gt;""),"YES","NO"),"N/A")</f>
        <v>NO</v>
      </c>
      <c r="M34" s="4" t="str">
        <f>IF(OR($A34="EHT Trace"),IF(AND($AA34&lt;&gt;"",$AB34&lt;&gt;""),"YES","NO"),"N/A")</f>
        <v>NO</v>
      </c>
      <c r="N34" s="4" t="str">
        <f>IF(OR($A34="Power Cable"),IF(AND($AD34&lt;&gt;""),"YES","NO"),"N/A")</f>
        <v>N/A</v>
      </c>
      <c r="O34" s="4" t="str">
        <f>IF(OR($A34="Power Cable",$A34="RTD Cable",$A34="Fieldbus Cable"),IF(AND($AE34&lt;&gt;""),"YES","NO"),"N/A")</f>
        <v>N/A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str">
        <f>IF(OR($AM34&lt;&gt;"",$Z34&lt;&gt;"",$AC34&lt;&gt;""),"YES","NO")</f>
        <v>NO</v>
      </c>
      <c r="S34" s="4" t="str">
        <f>IF(COUNTIF(I34:R34,"NO")=0,"YES","NO")</f>
        <v>NO</v>
      </c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inlineStr">
        <is>
          <t>E/32SQ3374/20.6M/1001/165/1.2M/LS23A/X/N12/XNF</t>
        </is>
      </c>
      <c r="AK34" s="9" t="inlineStr">
        <is>
          <t>20.6 m m</t>
        </is>
      </c>
      <c r="AL34" s="9" t="inlineStr">
        <is>
          <t>Levy Ostrup</t>
        </is>
      </c>
      <c r="AM34" s="9" t="n"/>
      <c r="AN34" s="9" t="n"/>
    </row>
    <row r="35">
      <c r="A35" s="9" t="inlineStr">
        <is>
          <t>EHT Trace</t>
        </is>
      </c>
      <c r="B35" s="9" t="inlineStr">
        <is>
          <t>29103-ET-P1201-1-2</t>
        </is>
      </c>
      <c r="C35" s="9" t="inlineStr">
        <is>
          <t>29103-ET-P1201-1</t>
        </is>
      </c>
      <c r="D35" s="9" t="inlineStr">
        <is>
          <t>HTC-39 / CB-39</t>
        </is>
      </c>
      <c r="E35" s="9" t="inlineStr">
        <is>
          <t>29103-P-1201</t>
        </is>
      </c>
      <c r="F35" s="9" t="inlineStr">
        <is>
          <t>29103-65R-ET-P1201-01-01</t>
        </is>
      </c>
      <c r="G35" s="9" t="inlineStr">
        <is>
          <t>13.1</t>
        </is>
      </c>
      <c r="H35" s="9" t="inlineStr">
        <is>
          <t>29103-ET-P1201-1-2.pdf</t>
        </is>
      </c>
      <c r="I35" s="4" t="str">
        <f>IF($H35&lt;&gt;"","YES","NO")</f>
        <v>YES</v>
      </c>
      <c r="J35" s="4" t="str">
        <f>IF(N($T35)&gt;0,"YES","NO")</f>
        <v>NO</v>
      </c>
      <c r="K35" s="4" t="str">
        <f>IF(OR($A35="EHT Trace"),IF(AND($U35&lt;&gt;"",$V35&lt;&gt;""),"YES","NO"),"N/A")</f>
        <v>NO</v>
      </c>
      <c r="L35" s="4" t="str">
        <f>IF(OR($A35="EHT Trace"),IF(AND($X35&lt;&gt;"",$Y35&lt;&gt;""),"YES","NO"),"N/A")</f>
        <v>NO</v>
      </c>
      <c r="M35" s="4" t="str">
        <f>IF(OR($A35="EHT Trace"),IF(AND($AA35&lt;&gt;"",$AB35&lt;&gt;""),"YES","NO"),"N/A")</f>
        <v>NO</v>
      </c>
      <c r="N35" s="4" t="str">
        <f>IF(OR($A35="Power Cable"),IF(AND($AD35&lt;&gt;""),"YES","NO"),"N/A")</f>
        <v>N/A</v>
      </c>
      <c r="O35" s="4" t="str">
        <f>IF(OR($A35="Power Cable",$A35="RTD Cable",$A35="Fieldbus Cable"),IF(AND($AE35&lt;&gt;""),"YES","NO"),"N/A")</f>
        <v>N/A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str">
        <f>IF(OR($AM35&lt;&gt;"",$Z35&lt;&gt;"",$AC35&lt;&gt;""),"YES","NO")</f>
        <v>NO</v>
      </c>
      <c r="S35" s="4" t="str">
        <f>IF(COUNTIF(I35:R35,"NO")=0,"YES","NO")</f>
        <v>NO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inlineStr">
        <is>
          <t>D/32SQ3374/13.9M/676/112/1.2M/LS23A/X/N12/XMN</t>
        </is>
      </c>
      <c r="AK35" s="9" t="inlineStr">
        <is>
          <t>13.9 m m</t>
        </is>
      </c>
      <c r="AL35" s="9" t="inlineStr">
        <is>
          <t>Levy Ostrup</t>
        </is>
      </c>
      <c r="AM35" s="9" t="n"/>
      <c r="AN35" s="9" t="n"/>
    </row>
    <row r="36">
      <c r="A36" s="9" t="inlineStr">
        <is>
          <t>EHT Trace</t>
        </is>
      </c>
      <c r="B36" s="9" t="inlineStr">
        <is>
          <t>29103-ET-P1204-1-1</t>
        </is>
      </c>
      <c r="C36" s="9" t="inlineStr">
        <is>
          <t>29103-ET-P1204-1</t>
        </is>
      </c>
      <c r="D36" s="9" t="inlineStr">
        <is>
          <t>HTC-27 / CB-27</t>
        </is>
      </c>
      <c r="E36" s="9" t="inlineStr">
        <is>
          <t>29103-PE-1201, 29103-P-1204</t>
        </is>
      </c>
      <c r="F36" s="9" t="inlineStr">
        <is>
          <t>29103-65R-ET-P1204-01-01</t>
        </is>
      </c>
      <c r="G36" s="9" t="inlineStr">
        <is>
          <t>13.1</t>
        </is>
      </c>
      <c r="H36" s="9" t="inlineStr">
        <is>
          <t>29103-ET-P1204-1-1.pdf</t>
        </is>
      </c>
      <c r="I36" s="4" t="str">
        <f>IF($H36&lt;&gt;"","YES","NO")</f>
        <v>YES</v>
      </c>
      <c r="J36" s="4" t="str">
        <f>IF(N($T36)&gt;0,"YES","NO")</f>
        <v>NO</v>
      </c>
      <c r="K36" s="4" t="str">
        <f>IF(OR($A36="EHT Trace"),IF(AND($U36&lt;&gt;"",$V36&lt;&gt;""),"YES","NO"),"N/A")</f>
        <v>NO</v>
      </c>
      <c r="L36" s="4" t="str">
        <f>IF(OR($A36="EHT Trace"),IF(AND($X36&lt;&gt;"",$Y36&lt;&gt;""),"YES","NO"),"N/A")</f>
        <v>NO</v>
      </c>
      <c r="M36" s="4" t="str">
        <f>IF(OR($A36="EHT Trace"),IF(AND($AA36&lt;&gt;"",$AB36&lt;&gt;""),"YES","NO"),"N/A")</f>
        <v>NO</v>
      </c>
      <c r="N36" s="4" t="str">
        <f>IF(OR($A36="Power Cable"),IF(AND($AD36&lt;&gt;""),"YES","NO"),"N/A")</f>
        <v>N/A</v>
      </c>
      <c r="O36" s="4" t="str">
        <f>IF(OR($A36="Power Cable",$A36="RTD Cable",$A36="Fieldbus Cable"),IF(AND($AE36&lt;&gt;""),"YES","NO"),"N/A")</f>
        <v>N/A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str">
        <f>IF(OR($AM36&lt;&gt;"",$Z36&lt;&gt;"",$AC36&lt;&gt;""),"YES","NO")</f>
        <v>NO</v>
      </c>
      <c r="S36" s="4" t="str">
        <f>IF(COUNTIF(I36:R36,"NO")=0,"YES","NO")</f>
        <v>NO</v>
      </c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inlineStr">
        <is>
          <t>D/32SA2200/20.9M/554/277/1.2M/LS23A/X/N12</t>
        </is>
      </c>
      <c r="AK36" s="9" t="inlineStr">
        <is>
          <t>20.9 m m</t>
        </is>
      </c>
      <c r="AL36" s="9" t="inlineStr">
        <is>
          <t>Levy Ostrup</t>
        </is>
      </c>
      <c r="AM36" s="9" t="n"/>
      <c r="AN36" s="9" t="n"/>
    </row>
    <row r="37">
      <c r="A37" s="9" t="inlineStr">
        <is>
          <t>EHT Trace</t>
        </is>
      </c>
      <c r="B37" s="9" t="inlineStr">
        <is>
          <t>29103-ET-P1204-1-2</t>
        </is>
      </c>
      <c r="C37" s="9" t="inlineStr">
        <is>
          <t>29103-ET-P1204-1</t>
        </is>
      </c>
      <c r="D37" s="9" t="inlineStr">
        <is>
          <t>HTC-27 / CB-27</t>
        </is>
      </c>
      <c r="E37" s="9" t="inlineStr">
        <is>
          <t>29103-P-1204</t>
        </is>
      </c>
      <c r="F37" s="9" t="inlineStr">
        <is>
          <t>29103-65R-ET-P1204-01-01</t>
        </is>
      </c>
      <c r="G37" s="9" t="inlineStr">
        <is>
          <t>13.1</t>
        </is>
      </c>
      <c r="H37" s="9" t="inlineStr">
        <is>
          <t>29103-ET-P1204-1-2.pdf</t>
        </is>
      </c>
      <c r="I37" s="4" t="str">
        <f>IF($H37&lt;&gt;"","YES","NO")</f>
        <v>YES</v>
      </c>
      <c r="J37" s="4" t="str">
        <f>IF(N($T37)&gt;0,"YES","NO")</f>
        <v>NO</v>
      </c>
      <c r="K37" s="4" t="str">
        <f>IF(OR($A37="EHT Trace"),IF(AND($U37&lt;&gt;"",$V37&lt;&gt;""),"YES","NO"),"N/A")</f>
        <v>YES</v>
      </c>
      <c r="L37" s="4" t="str">
        <f>IF(OR($A37="EHT Trace"),IF(AND($X37&lt;&gt;"",$Y37&lt;&gt;""),"YES","NO"),"N/A")</f>
        <v>NO</v>
      </c>
      <c r="M37" s="4" t="str">
        <f>IF(OR($A37="EHT Trace"),IF(AND($AA37&lt;&gt;"",$AB37&lt;&gt;""),"YES","NO"),"N/A")</f>
        <v>NO</v>
      </c>
      <c r="N37" s="4" t="str">
        <f>IF(OR($A37="Power Cable"),IF(AND($AD37&lt;&gt;""),"YES","NO"),"N/A")</f>
        <v>N/A</v>
      </c>
      <c r="O37" s="4" t="str">
        <f>IF(OR($A37="Power Cable",$A37="RTD Cable",$A37="Fieldbus Cable"),IF(AND($AE37&lt;&gt;""),"YES","NO"),"N/A")</f>
        <v>N/A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str">
        <f>IF(OR($AM37&lt;&gt;"",$Z37&lt;&gt;"",$AC37&lt;&gt;""),"YES","NO")</f>
        <v>NO</v>
      </c>
      <c r="S37" s="4" t="str">
        <f>IF(COUNTIF(I37:R37,"NO")=0,"YES","NO")</f>
        <v>NO</v>
      </c>
      <c r="T37" s="9" t="n"/>
      <c r="U37" s="9" t="inlineStr">
        <is>
          <t>&gt;2.2 GΩ</t>
        </is>
      </c>
      <c r="V37" s="9" t="inlineStr">
        <is>
          <t>10.5 Ω</t>
        </is>
      </c>
      <c r="W37" s="9" t="inlineStr">
        <is>
          <t>2026-05-17</t>
        </is>
      </c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inlineStr">
        <is>
          <t>E/32SQ3472/6.5M/416/67.7/1.2M/LS23A/X/N12/XNF</t>
        </is>
      </c>
      <c r="AK37" s="9" t="inlineStr">
        <is>
          <t>6.5 m m</t>
        </is>
      </c>
      <c r="AL37" s="9" t="inlineStr">
        <is>
          <t>Levy Ostrup</t>
        </is>
      </c>
      <c r="AM37" s="9" t="n"/>
      <c r="AN37" s="9" t="n"/>
    </row>
    <row r="38">
      <c r="A38" s="9" t="inlineStr">
        <is>
          <t>EHT Trace</t>
        </is>
      </c>
      <c r="B38" s="9" t="inlineStr">
        <is>
          <t>29103-ET-P1204-1-3</t>
        </is>
      </c>
      <c r="C38" s="9" t="inlineStr">
        <is>
          <t>29103-ET-P1204-1</t>
        </is>
      </c>
      <c r="D38" s="9" t="inlineStr">
        <is>
          <t>HTC-27 / CB-27</t>
        </is>
      </c>
      <c r="E38" s="9" t="inlineStr">
        <is>
          <t>29103-P-1204</t>
        </is>
      </c>
      <c r="F38" s="9" t="inlineStr">
        <is>
          <t>29103-65R-ET-P1204-01-01</t>
        </is>
      </c>
      <c r="G38" s="9" t="inlineStr">
        <is>
          <t>13.1</t>
        </is>
      </c>
      <c r="H38" s="9" t="inlineStr">
        <is>
          <t>29103-ET-P1204-1-3.pdf</t>
        </is>
      </c>
      <c r="I38" s="4" t="str">
        <f>IF($H38&lt;&gt;"","YES","NO")</f>
        <v>YES</v>
      </c>
      <c r="J38" s="4" t="str">
        <f>IF(N($T38)&gt;0,"YES","NO")</f>
        <v>NO</v>
      </c>
      <c r="K38" s="4" t="str">
        <f>IF(OR($A38="EHT Trace"),IF(AND($U38&lt;&gt;"",$V38&lt;&gt;""),"YES","NO"),"N/A")</f>
        <v>YES</v>
      </c>
      <c r="L38" s="4" t="str">
        <f>IF(OR($A38="EHT Trace"),IF(AND($X38&lt;&gt;"",$Y38&lt;&gt;""),"YES","NO"),"N/A")</f>
        <v>NO</v>
      </c>
      <c r="M38" s="4" t="str">
        <f>IF(OR($A38="EHT Trace"),IF(AND($AA38&lt;&gt;"",$AB38&lt;&gt;""),"YES","NO"),"N/A")</f>
        <v>NO</v>
      </c>
      <c r="N38" s="4" t="str">
        <f>IF(OR($A38="Power Cable"),IF(AND($AD38&lt;&gt;""),"YES","NO"),"N/A")</f>
        <v>N/A</v>
      </c>
      <c r="O38" s="4" t="str">
        <f>IF(OR($A38="Power Cable",$A38="RTD Cable",$A38="Fieldbus Cable"),IF(AND($AE38&lt;&gt;""),"YES","NO"),"N/A")</f>
        <v>N/A</v>
      </c>
      <c r="P38" s="4" t="str">
        <f>IF(OR($A38="RTD"),IF(AND($AH38&lt;&gt;""),"YES","NO"),"N/A")</f>
        <v>N/A</v>
      </c>
      <c r="Q38" s="4" t="str">
        <f>IF(OR($A38="RTD"),IF(AND($AI38&lt;&gt;""),"YES","NO"),"N/A")</f>
        <v>N/A</v>
      </c>
      <c r="R38" s="4" t="str">
        <f>IF(OR($AM38&lt;&gt;"",$Z38&lt;&gt;"",$AC38&lt;&gt;""),"YES","NO")</f>
        <v>NO</v>
      </c>
      <c r="S38" s="4" t="str">
        <f>IF(COUNTIF(I38:R38,"NO")=0,"YES","NO")</f>
        <v>NO</v>
      </c>
      <c r="T38" s="9" t="n"/>
      <c r="U38" s="9" t="inlineStr">
        <is>
          <t>&gt;2.2 GΩ</t>
        </is>
      </c>
      <c r="V38" s="9" t="inlineStr">
        <is>
          <t>11.6 Ω</t>
        </is>
      </c>
      <c r="W38" s="9" t="inlineStr">
        <is>
          <t>2026-05-17</t>
        </is>
      </c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inlineStr">
        <is>
          <t>E/32SQ3472/7M/448/72.9/1.2M/LS23A/X/N12/XMF</t>
        </is>
      </c>
      <c r="AK38" s="9" t="inlineStr">
        <is>
          <t>7 m m</t>
        </is>
      </c>
      <c r="AL38" s="9" t="inlineStr">
        <is>
          <t>Levy Ostrup</t>
        </is>
      </c>
      <c r="AM38" s="9" t="n"/>
      <c r="AN38" s="9" t="n"/>
    </row>
    <row r="39">
      <c r="A39" s="9" t="inlineStr">
        <is>
          <t>EHT Trace</t>
        </is>
      </c>
      <c r="B39" s="9" t="inlineStr">
        <is>
          <t>29103-ET-P1204-1-4</t>
        </is>
      </c>
      <c r="C39" s="9" t="inlineStr">
        <is>
          <t>29103-ET-P1204-1</t>
        </is>
      </c>
      <c r="D39" s="9" t="inlineStr">
        <is>
          <t>HTC-27 / CB-27</t>
        </is>
      </c>
      <c r="E39" s="9" t="inlineStr">
        <is>
          <t>29103-P-1204</t>
        </is>
      </c>
      <c r="F39" s="9" t="inlineStr">
        <is>
          <t>29103-65R-ET-P1204-01-01</t>
        </is>
      </c>
      <c r="G39" s="9" t="inlineStr">
        <is>
          <t>13.1</t>
        </is>
      </c>
      <c r="H39" s="9" t="inlineStr">
        <is>
          <t>29103-ET-P1204-1-4.pdf</t>
        </is>
      </c>
      <c r="I39" s="4" t="str">
        <f>IF($H39&lt;&gt;"","YES","NO")</f>
        <v>YES</v>
      </c>
      <c r="J39" s="4" t="str">
        <f>IF(N($T39)&gt;0,"YES","NO")</f>
        <v>NO</v>
      </c>
      <c r="K39" s="4" t="str">
        <f>IF(OR($A39="EHT Trace"),IF(AND($U39&lt;&gt;"",$V39&lt;&gt;""),"YES","NO"),"N/A")</f>
        <v>YES</v>
      </c>
      <c r="L39" s="4" t="str">
        <f>IF(OR($A39="EHT Trace"),IF(AND($X39&lt;&gt;"",$Y39&lt;&gt;""),"YES","NO"),"N/A")</f>
        <v>NO</v>
      </c>
      <c r="M39" s="4" t="str">
        <f>IF(OR($A39="EHT Trace"),IF(AND($AA39&lt;&gt;"",$AB39&lt;&gt;""),"YES","NO"),"N/A")</f>
        <v>NO</v>
      </c>
      <c r="N39" s="4" t="str">
        <f>IF(OR($A39="Power Cable"),IF(AND($AD39&lt;&gt;""),"YES","NO"),"N/A")</f>
        <v>N/A</v>
      </c>
      <c r="O39" s="4" t="str">
        <f>IF(OR($A39="Power Cable",$A39="RTD Cable",$A39="Fieldbus Cable"),IF(AND($AE39&lt;&gt;""),"YES","NO"),"N/A")</f>
        <v>N/A</v>
      </c>
      <c r="P39" s="4" t="str">
        <f>IF(OR($A39="RTD"),IF(AND($AH39&lt;&gt;""),"YES","NO"),"N/A")</f>
        <v>N/A</v>
      </c>
      <c r="Q39" s="4" t="str">
        <f>IF(OR($A39="RTD"),IF(AND($AI39&lt;&gt;""),"YES","NO"),"N/A")</f>
        <v>N/A</v>
      </c>
      <c r="R39" s="4" t="str">
        <f>IF(OR($AM39&lt;&gt;"",$Z39&lt;&gt;"",$AC39&lt;&gt;""),"YES","NO")</f>
        <v>NO</v>
      </c>
      <c r="S39" s="4" t="str">
        <f>IF(COUNTIF(I39:R39,"NO")=0,"YES","NO")</f>
        <v>NO</v>
      </c>
      <c r="T39" s="9" t="n"/>
      <c r="U39" s="9" t="inlineStr">
        <is>
          <t>&gt;2.2 GΩ</t>
        </is>
      </c>
      <c r="V39" s="9" t="inlineStr">
        <is>
          <t>20.9 Ω</t>
        </is>
      </c>
      <c r="W39" s="9" t="inlineStr">
        <is>
          <t>2026-05-17</t>
        </is>
      </c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inlineStr">
        <is>
          <t>D/32SQ3472/13.1M/838/136/1.2M/LS23A/X/N12/XMN</t>
        </is>
      </c>
      <c r="AK39" s="9" t="inlineStr">
        <is>
          <t>13.1 m m</t>
        </is>
      </c>
      <c r="AL39" s="9" t="inlineStr">
        <is>
          <t>Levy Ostrup</t>
        </is>
      </c>
      <c r="AM39" s="9" t="n"/>
      <c r="AN39" s="9" t="n"/>
    </row>
    <row r="40">
      <c r="A40" s="9" t="inlineStr">
        <is>
          <t>EHT Trace</t>
        </is>
      </c>
      <c r="B40" s="9" t="inlineStr">
        <is>
          <t>29103-ET-P1204-2-1</t>
        </is>
      </c>
      <c r="C40" s="9" t="inlineStr">
        <is>
          <t>29103-ET-P1204-2</t>
        </is>
      </c>
      <c r="D40" s="9" t="inlineStr">
        <is>
          <t>HTC-29 / CB-29</t>
        </is>
      </c>
      <c r="E40" s="9" t="inlineStr">
        <is>
          <t>29103-P-1204, 29103-FG-1202</t>
        </is>
      </c>
      <c r="F40" s="9" t="inlineStr">
        <is>
          <t>29103-65R-ET-P1204-02-01</t>
        </is>
      </c>
      <c r="G40" s="9" t="inlineStr">
        <is>
          <t>13.1</t>
        </is>
      </c>
      <c r="H40" s="9" t="inlineStr">
        <is>
          <t>29103-ET-P1204-2-1.pdf</t>
        </is>
      </c>
      <c r="I40" s="4" t="str">
        <f>IF($H40&lt;&gt;"","YES","NO")</f>
        <v>YES</v>
      </c>
      <c r="J40" s="4" t="str">
        <f>IF(N($T40)&gt;0,"YES","NO")</f>
        <v>NO</v>
      </c>
      <c r="K40" s="4" t="str">
        <f>IF(OR($A40="EHT Trace"),IF(AND($U40&lt;&gt;"",$V40&lt;&gt;""),"YES","NO"),"N/A")</f>
        <v>YES</v>
      </c>
      <c r="L40" s="4" t="str">
        <f>IF(OR($A40="EHT Trace"),IF(AND($X40&lt;&gt;"",$Y40&lt;&gt;""),"YES","NO"),"N/A")</f>
        <v>NO</v>
      </c>
      <c r="M40" s="4" t="str">
        <f>IF(OR($A40="EHT Trace"),IF(AND($AA40&lt;&gt;"",$AB40&lt;&gt;""),"YES","NO"),"N/A")</f>
        <v>NO</v>
      </c>
      <c r="N40" s="4" t="str">
        <f>IF(OR($A40="Power Cable"),IF(AND($AD40&lt;&gt;""),"YES","NO"),"N/A")</f>
        <v>N/A</v>
      </c>
      <c r="O40" s="4" t="str">
        <f>IF(OR($A40="Power Cable",$A40="RTD Cable",$A40="Fieldbus Cable"),IF(AND($AE40&lt;&gt;""),"YES","NO"),"N/A")</f>
        <v>N/A</v>
      </c>
      <c r="P40" s="4" t="str">
        <f>IF(OR($A40="RTD"),IF(AND($AH40&lt;&gt;""),"YES","NO"),"N/A")</f>
        <v>N/A</v>
      </c>
      <c r="Q40" s="4" t="str">
        <f>IF(OR($A40="RTD"),IF(AND($AI40&lt;&gt;""),"YES","NO"),"N/A")</f>
        <v>N/A</v>
      </c>
      <c r="R40" s="4" t="str">
        <f>IF(OR($AM40&lt;&gt;"",$Z40&lt;&gt;"",$AC40&lt;&gt;""),"YES","NO")</f>
        <v>NO</v>
      </c>
      <c r="S40" s="4" t="str">
        <f>IF(COUNTIF(I40:R40,"NO")=0,"YES","NO")</f>
        <v>NO</v>
      </c>
      <c r="T40" s="9" t="n"/>
      <c r="U40" s="9" t="inlineStr">
        <is>
          <t>&gt;2.2 GΩ</t>
        </is>
      </c>
      <c r="V40" s="9" t="inlineStr">
        <is>
          <t>262.1 Ω</t>
        </is>
      </c>
      <c r="W40" s="9" t="inlineStr">
        <is>
          <t>2026-05-17</t>
        </is>
      </c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inlineStr">
        <is>
          <t>D/32SF1110/7M/299/277/1.2M/LS23A/X/N12</t>
        </is>
      </c>
      <c r="AK40" s="9" t="inlineStr">
        <is>
          <t>7 m m</t>
        </is>
      </c>
      <c r="AL40" s="9" t="inlineStr">
        <is>
          <t>Levy Ostrup</t>
        </is>
      </c>
      <c r="AM40" s="9" t="n"/>
      <c r="AN40" s="9" t="n"/>
    </row>
    <row r="41">
      <c r="A41" s="9" t="inlineStr">
        <is>
          <t>EHT Trace</t>
        </is>
      </c>
      <c r="B41" s="9" t="inlineStr">
        <is>
          <t>29103-ET-P1301-1-1</t>
        </is>
      </c>
      <c r="C41" s="9" t="inlineStr">
        <is>
          <t>29103-ET-P1301-1</t>
        </is>
      </c>
      <c r="D41" s="9" t="inlineStr">
        <is>
          <t>HTC-38 / CB-38</t>
        </is>
      </c>
      <c r="E41" s="9" t="inlineStr">
        <is>
          <t>29103-P-1301</t>
        </is>
      </c>
      <c r="F41" s="9" t="inlineStr">
        <is>
          <t>29103-65R-ET-P1301-01-01</t>
        </is>
      </c>
      <c r="G41" s="9" t="inlineStr">
        <is>
          <t>13.1</t>
        </is>
      </c>
      <c r="H41" s="9" t="inlineStr">
        <is>
          <t>29103-ET-P1301-1-1.pdf</t>
        </is>
      </c>
      <c r="I41" s="4" t="str">
        <f>IF($H41&lt;&gt;"","YES","NO")</f>
        <v>YES</v>
      </c>
      <c r="J41" s="4" t="str">
        <f>IF(N($T41)&gt;0,"YES","NO")</f>
        <v>NO</v>
      </c>
      <c r="K41" s="4" t="str">
        <f>IF(OR($A41="EHT Trace"),IF(AND($U41&lt;&gt;"",$V41&lt;&gt;""),"YES","NO"),"N/A")</f>
        <v>NO</v>
      </c>
      <c r="L41" s="4" t="str">
        <f>IF(OR($A41="EHT Trace"),IF(AND($X41&lt;&gt;"",$Y41&lt;&gt;""),"YES","NO"),"N/A")</f>
        <v>NO</v>
      </c>
      <c r="M41" s="4" t="str">
        <f>IF(OR($A41="EHT Trace"),IF(AND($AA41&lt;&gt;"",$AB41&lt;&gt;""),"YES","NO"),"N/A")</f>
        <v>NO</v>
      </c>
      <c r="N41" s="4" t="str">
        <f>IF(OR($A41="Power Cable"),IF(AND($AD41&lt;&gt;""),"YES","NO"),"N/A")</f>
        <v>N/A</v>
      </c>
      <c r="O41" s="4" t="str">
        <f>IF(OR($A41="Power Cable",$A41="RTD Cable",$A41="Fieldbus Cable"),IF(AND($AE41&lt;&gt;""),"YES","NO"),"N/A")</f>
        <v>N/A</v>
      </c>
      <c r="P41" s="4" t="str">
        <f>IF(OR($A41="RTD"),IF(AND($AH41&lt;&gt;""),"YES","NO"),"N/A")</f>
        <v>N/A</v>
      </c>
      <c r="Q41" s="4" t="str">
        <f>IF(OR($A41="RTD"),IF(AND($AI41&lt;&gt;""),"YES","NO"),"N/A")</f>
        <v>N/A</v>
      </c>
      <c r="R41" s="4" t="str">
        <f>IF(OR($AM41&lt;&gt;"",$Z41&lt;&gt;"",$AC41&lt;&gt;""),"YES","NO")</f>
        <v>NO</v>
      </c>
      <c r="S41" s="4" t="str">
        <f>IF(COUNTIF(I41:R41,"NO")=0,"YES","NO")</f>
        <v>NO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inlineStr">
        <is>
          <t>E/32SQ3374/20.5M/1007/166/1.2M/LS23A/X/N12/XNF</t>
        </is>
      </c>
      <c r="AK41" s="9" t="inlineStr">
        <is>
          <t>20.5 m m</t>
        </is>
      </c>
      <c r="AL41" s="9" t="inlineStr">
        <is>
          <t>Levy Ostrup</t>
        </is>
      </c>
      <c r="AM41" s="9" t="n"/>
      <c r="AN41" s="9" t="n"/>
    </row>
    <row r="42">
      <c r="A42" s="9" t="inlineStr">
        <is>
          <t>EHT Trace</t>
        </is>
      </c>
      <c r="B42" s="9" t="inlineStr">
        <is>
          <t>29103-ET-P1301-1-2</t>
        </is>
      </c>
      <c r="C42" s="9" t="inlineStr">
        <is>
          <t>29103-ET-P1301-1</t>
        </is>
      </c>
      <c r="D42" s="9" t="inlineStr">
        <is>
          <t>HTC-38 / CB-38</t>
        </is>
      </c>
      <c r="E42" s="9" t="inlineStr">
        <is>
          <t>29103-P-1301</t>
        </is>
      </c>
      <c r="F42" s="9" t="inlineStr">
        <is>
          <t>29103-65R-ET-P1301-01-01</t>
        </is>
      </c>
      <c r="G42" s="9" t="inlineStr">
        <is>
          <t>13.1</t>
        </is>
      </c>
      <c r="H42" s="9" t="inlineStr">
        <is>
          <t>29103-ET-P1301-1-2.pdf</t>
        </is>
      </c>
      <c r="I42" s="4" t="str">
        <f>IF($H42&lt;&gt;"","YES","NO")</f>
        <v>YES</v>
      </c>
      <c r="J42" s="4" t="str">
        <f>IF(N($T42)&gt;0,"YES","NO")</f>
        <v>NO</v>
      </c>
      <c r="K42" s="4" t="str">
        <f>IF(OR($A42="EHT Trace"),IF(AND($U42&lt;&gt;"",$V42&lt;&gt;""),"YES","NO"),"N/A")</f>
        <v>NO</v>
      </c>
      <c r="L42" s="4" t="str">
        <f>IF(OR($A42="EHT Trace"),IF(AND($X42&lt;&gt;"",$Y42&lt;&gt;""),"YES","NO"),"N/A")</f>
        <v>NO</v>
      </c>
      <c r="M42" s="4" t="str">
        <f>IF(OR($A42="EHT Trace"),IF(AND($AA42&lt;&gt;"",$AB42&lt;&gt;""),"YES","NO"),"N/A")</f>
        <v>NO</v>
      </c>
      <c r="N42" s="4" t="str">
        <f>IF(OR($A42="Power Cable"),IF(AND($AD42&lt;&gt;""),"YES","NO"),"N/A")</f>
        <v>N/A</v>
      </c>
      <c r="O42" s="4" t="str">
        <f>IF(OR($A42="Power Cable",$A42="RTD Cable",$A42="Fieldbus Cable"),IF(AND($AE42&lt;&gt;""),"YES","NO"),"N/A")</f>
        <v>N/A</v>
      </c>
      <c r="P42" s="4" t="str">
        <f>IF(OR($A42="RTD"),IF(AND($AH42&lt;&gt;""),"YES","NO"),"N/A")</f>
        <v>N/A</v>
      </c>
      <c r="Q42" s="4" t="str">
        <f>IF(OR($A42="RTD"),IF(AND($AI42&lt;&gt;""),"YES","NO"),"N/A")</f>
        <v>N/A</v>
      </c>
      <c r="R42" s="4" t="str">
        <f>IF(OR($AM42&lt;&gt;"",$Z42&lt;&gt;"",$AC42&lt;&gt;""),"YES","NO")</f>
        <v>NO</v>
      </c>
      <c r="S42" s="4" t="str">
        <f>IF(COUNTIF(I42:R42,"NO")=0,"YES","NO")</f>
        <v>NO</v>
      </c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inlineStr">
        <is>
          <t>D/32SQ3374/13.8M/678/111/1.2M/LS23A/X/N12/XMN</t>
        </is>
      </c>
      <c r="AK42" s="9" t="inlineStr">
        <is>
          <t>13.8 m m</t>
        </is>
      </c>
      <c r="AL42" s="9" t="inlineStr">
        <is>
          <t>Levy Ostrup</t>
        </is>
      </c>
      <c r="AM42" s="9" t="n"/>
      <c r="AN42" s="9" t="n"/>
    </row>
    <row r="43">
      <c r="A43" s="9" t="inlineStr">
        <is>
          <t>EHT Trace</t>
        </is>
      </c>
      <c r="B43" s="9" t="inlineStr">
        <is>
          <t>29103-ET-P1304-1-1</t>
        </is>
      </c>
      <c r="C43" s="9" t="inlineStr">
        <is>
          <t>29103-ET-P1304-1</t>
        </is>
      </c>
      <c r="D43" s="9" t="inlineStr">
        <is>
          <t>HTC-09 / CB-09</t>
        </is>
      </c>
      <c r="E43" s="9" t="inlineStr">
        <is>
          <t>29103-PE-1301, 29103-P-1304</t>
        </is>
      </c>
      <c r="F43" s="9" t="inlineStr">
        <is>
          <t>29103-65R-ET-P1304-01-01</t>
        </is>
      </c>
      <c r="G43" s="9" t="inlineStr">
        <is>
          <t>13.1</t>
        </is>
      </c>
      <c r="H43" s="9" t="inlineStr">
        <is>
          <t>29103-ET-P1304-1-1.pdf</t>
        </is>
      </c>
      <c r="I43" s="4" t="str">
        <f>IF($H43&lt;&gt;"","YES","NO")</f>
        <v>YES</v>
      </c>
      <c r="J43" s="4" t="str">
        <f>IF(N($T43)&gt;0,"YES","NO")</f>
        <v>NO</v>
      </c>
      <c r="K43" s="4" t="str">
        <f>IF(OR($A43="EHT Trace"),IF(AND($U43&lt;&gt;"",$V43&lt;&gt;""),"YES","NO"),"N/A")</f>
        <v>NO</v>
      </c>
      <c r="L43" s="4" t="str">
        <f>IF(OR($A43="EHT Trace"),IF(AND($X43&lt;&gt;"",$Y43&lt;&gt;""),"YES","NO"),"N/A")</f>
        <v>NO</v>
      </c>
      <c r="M43" s="4" t="str">
        <f>IF(OR($A43="EHT Trace"),IF(AND($AA43&lt;&gt;"",$AB43&lt;&gt;""),"YES","NO"),"N/A")</f>
        <v>NO</v>
      </c>
      <c r="N43" s="4" t="str">
        <f>IF(OR($A43="Power Cable"),IF(AND($AD43&lt;&gt;""),"YES","NO"),"N/A")</f>
        <v>N/A</v>
      </c>
      <c r="O43" s="4" t="str">
        <f>IF(OR($A43="Power Cable",$A43="RTD Cable",$A43="Fieldbus Cable"),IF(AND($AE43&lt;&gt;""),"YES","NO"),"N/A")</f>
        <v>N/A</v>
      </c>
      <c r="P43" s="4" t="str">
        <f>IF(OR($A43="RTD"),IF(AND($AH43&lt;&gt;""),"YES","NO"),"N/A")</f>
        <v>N/A</v>
      </c>
      <c r="Q43" s="4" t="str">
        <f>IF(OR($A43="RTD"),IF(AND($AI43&lt;&gt;""),"YES","NO"),"N/A")</f>
        <v>N/A</v>
      </c>
      <c r="R43" s="4" t="str">
        <f>IF(OR($AM43&lt;&gt;"",$Z43&lt;&gt;"",$AC43&lt;&gt;""),"YES","NO")</f>
        <v>NO</v>
      </c>
      <c r="S43" s="4" t="str">
        <f>IF(COUNTIF(I43:R43,"NO")=0,"YES","NO")</f>
        <v>NO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inlineStr">
        <is>
          <t>D/32SA2200/20.9M/554/277/1.2M/LS23A/X/N12</t>
        </is>
      </c>
      <c r="AK43" s="9" t="inlineStr">
        <is>
          <t>20.9 m m</t>
        </is>
      </c>
      <c r="AL43" s="9" t="inlineStr">
        <is>
          <t>Levy Ostrup</t>
        </is>
      </c>
      <c r="AM43" s="9" t="n"/>
      <c r="AN43" s="9" t="n"/>
    </row>
    <row r="44">
      <c r="A44" s="9" t="inlineStr">
        <is>
          <t>EHT Trace</t>
        </is>
      </c>
      <c r="B44" s="9" t="inlineStr">
        <is>
          <t>29103-ET-P1304-1-2</t>
        </is>
      </c>
      <c r="C44" s="9" t="inlineStr">
        <is>
          <t>29103-ET-P1304-1</t>
        </is>
      </c>
      <c r="D44" s="9" t="inlineStr">
        <is>
          <t>HTC-09 / CB-09</t>
        </is>
      </c>
      <c r="E44" s="9" t="inlineStr">
        <is>
          <t>29103-P-1304</t>
        </is>
      </c>
      <c r="F44" s="9" t="inlineStr">
        <is>
          <t>29103-65R-ET-P1304-01-01</t>
        </is>
      </c>
      <c r="G44" s="9" t="inlineStr">
        <is>
          <t>13.1</t>
        </is>
      </c>
      <c r="H44" s="9" t="inlineStr">
        <is>
          <t>29103-ET-P1304-1-2.pdf</t>
        </is>
      </c>
      <c r="I44" s="4" t="str">
        <f>IF($H44&lt;&gt;"","YES","NO")</f>
        <v>YES</v>
      </c>
      <c r="J44" s="4" t="str">
        <f>IF(N($T44)&gt;0,"YES","NO")</f>
        <v>NO</v>
      </c>
      <c r="K44" s="4" t="str">
        <f>IF(OR($A44="EHT Trace"),IF(AND($U44&lt;&gt;"",$V44&lt;&gt;""),"YES","NO"),"N/A")</f>
        <v>YES</v>
      </c>
      <c r="L44" s="4" t="str">
        <f>IF(OR($A44="EHT Trace"),IF(AND($X44&lt;&gt;"",$Y44&lt;&gt;""),"YES","NO"),"N/A")</f>
        <v>NO</v>
      </c>
      <c r="M44" s="4" t="str">
        <f>IF(OR($A44="EHT Trace"),IF(AND($AA44&lt;&gt;"",$AB44&lt;&gt;""),"YES","NO"),"N/A")</f>
        <v>NO</v>
      </c>
      <c r="N44" s="4" t="str">
        <f>IF(OR($A44="Power Cable"),IF(AND($AD44&lt;&gt;""),"YES","NO"),"N/A")</f>
        <v>N/A</v>
      </c>
      <c r="O44" s="4" t="str">
        <f>IF(OR($A44="Power Cable",$A44="RTD Cable",$A44="Fieldbus Cable"),IF(AND($AE44&lt;&gt;""),"YES","NO"),"N/A")</f>
        <v>N/A</v>
      </c>
      <c r="P44" s="4" t="str">
        <f>IF(OR($A44="RTD"),IF(AND($AH44&lt;&gt;""),"YES","NO"),"N/A")</f>
        <v>N/A</v>
      </c>
      <c r="Q44" s="4" t="str">
        <f>IF(OR($A44="RTD"),IF(AND($AI44&lt;&gt;""),"YES","NO"),"N/A")</f>
        <v>N/A</v>
      </c>
      <c r="R44" s="4" t="str">
        <f>IF(OR($AM44&lt;&gt;"",$Z44&lt;&gt;"",$AC44&lt;&gt;""),"YES","NO")</f>
        <v>NO</v>
      </c>
      <c r="S44" s="4" t="str">
        <f>IF(COUNTIF(I44:R44,"NO")=0,"YES","NO")</f>
        <v>NO</v>
      </c>
      <c r="T44" s="9" t="n"/>
      <c r="U44" s="9" t="inlineStr">
        <is>
          <t>&gt;2.2 GΩ</t>
        </is>
      </c>
      <c r="V44" s="9" t="inlineStr">
        <is>
          <t>12.8 Ω</t>
        </is>
      </c>
      <c r="W44" s="9" t="inlineStr">
        <is>
          <t>2026-05-17</t>
        </is>
      </c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inlineStr">
        <is>
          <t>E/32SQ3472/8M/461/78.9/1.2M/LS23A/X/N12/XNF</t>
        </is>
      </c>
      <c r="AK44" s="9" t="inlineStr">
        <is>
          <t>8 m m</t>
        </is>
      </c>
      <c r="AL44" s="9" t="inlineStr">
        <is>
          <t>Levy Ostrup</t>
        </is>
      </c>
      <c r="AM44" s="9" t="n"/>
      <c r="AN44" s="9" t="n"/>
    </row>
    <row r="45">
      <c r="A45" s="9" t="inlineStr">
        <is>
          <t>EHT Trace</t>
        </is>
      </c>
      <c r="B45" s="9" t="inlineStr">
        <is>
          <t>29103-ET-P1304-1-3</t>
        </is>
      </c>
      <c r="C45" s="9" t="inlineStr">
        <is>
          <t>29103-ET-P1304-1</t>
        </is>
      </c>
      <c r="D45" s="9" t="inlineStr">
        <is>
          <t>HTC-09 / CB-09</t>
        </is>
      </c>
      <c r="E45" s="9" t="inlineStr">
        <is>
          <t>29103-P-1304</t>
        </is>
      </c>
      <c r="F45" s="9" t="inlineStr">
        <is>
          <t>29103-65R-ET-P1304-01-01</t>
        </is>
      </c>
      <c r="G45" s="9" t="inlineStr">
        <is>
          <t>13.1</t>
        </is>
      </c>
      <c r="H45" s="9" t="inlineStr">
        <is>
          <t>29103-ET-P1304-1-3.pdf</t>
        </is>
      </c>
      <c r="I45" s="4" t="str">
        <f>IF($H45&lt;&gt;"","YES","NO")</f>
        <v>YES</v>
      </c>
      <c r="J45" s="4" t="str">
        <f>IF(N($T45)&gt;0,"YES","NO")</f>
        <v>NO</v>
      </c>
      <c r="K45" s="4" t="str">
        <f>IF(OR($A45="EHT Trace"),IF(AND($U45&lt;&gt;"",$V45&lt;&gt;""),"YES","NO"),"N/A")</f>
        <v>YES</v>
      </c>
      <c r="L45" s="4" t="str">
        <f>IF(OR($A45="EHT Trace"),IF(AND($X45&lt;&gt;"",$Y45&lt;&gt;""),"YES","NO"),"N/A")</f>
        <v>NO</v>
      </c>
      <c r="M45" s="4" t="str">
        <f>IF(OR($A45="EHT Trace"),IF(AND($AA45&lt;&gt;"",$AB45&lt;&gt;""),"YES","NO"),"N/A")</f>
        <v>NO</v>
      </c>
      <c r="N45" s="4" t="str">
        <f>IF(OR($A45="Power Cable"),IF(AND($AD45&lt;&gt;""),"YES","NO"),"N/A")</f>
        <v>N/A</v>
      </c>
      <c r="O45" s="4" t="str">
        <f>IF(OR($A45="Power Cable",$A45="RTD Cable",$A45="Fieldbus Cable"),IF(AND($AE45&lt;&gt;""),"YES","NO"),"N/A")</f>
        <v>N/A</v>
      </c>
      <c r="P45" s="4" t="str">
        <f>IF(OR($A45="RTD"),IF(AND($AH45&lt;&gt;""),"YES","NO"),"N/A")</f>
        <v>N/A</v>
      </c>
      <c r="Q45" s="4" t="str">
        <f>IF(OR($A45="RTD"),IF(AND($AI45&lt;&gt;""),"YES","NO"),"N/A")</f>
        <v>N/A</v>
      </c>
      <c r="R45" s="4" t="str">
        <f>IF(OR($AM45&lt;&gt;"",$Z45&lt;&gt;"",$AC45&lt;&gt;""),"YES","NO")</f>
        <v>NO</v>
      </c>
      <c r="S45" s="4" t="str">
        <f>IF(COUNTIF(I45:R45,"NO")=0,"YES","NO")</f>
        <v>NO</v>
      </c>
      <c r="T45" s="9" t="n"/>
      <c r="U45" s="9" t="inlineStr">
        <is>
          <t>&gt;2.2 GΩ</t>
        </is>
      </c>
      <c r="V45" s="9" t="inlineStr">
        <is>
          <t>11.4 Ω</t>
        </is>
      </c>
      <c r="W45" s="9" t="inlineStr">
        <is>
          <t>2026-05-17</t>
        </is>
      </c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inlineStr">
        <is>
          <t>E/32SQ3472/7M/403/69/1.2M/LS23A/X/N12/XMF</t>
        </is>
      </c>
      <c r="AK45" s="9" t="inlineStr">
        <is>
          <t>7 m m</t>
        </is>
      </c>
      <c r="AL45" s="9" t="inlineStr">
        <is>
          <t>Levy Ostrup</t>
        </is>
      </c>
      <c r="AM45" s="9" t="n"/>
      <c r="AN45" s="9" t="n"/>
    </row>
    <row r="46">
      <c r="A46" s="9" t="inlineStr">
        <is>
          <t>EHT Trace</t>
        </is>
      </c>
      <c r="B46" s="9" t="inlineStr">
        <is>
          <t>29103-ET-P1304-1-4</t>
        </is>
      </c>
      <c r="C46" s="9" t="inlineStr">
        <is>
          <t>29103-ET-P1304-1</t>
        </is>
      </c>
      <c r="D46" s="9" t="inlineStr">
        <is>
          <t>HTC-09 / CB-09</t>
        </is>
      </c>
      <c r="E46" s="9" t="inlineStr">
        <is>
          <t>29103-P-1304</t>
        </is>
      </c>
      <c r="F46" s="9" t="inlineStr">
        <is>
          <t>29103-65R-ET-P1304-01-01</t>
        </is>
      </c>
      <c r="G46" s="9" t="inlineStr">
        <is>
          <t>13.1</t>
        </is>
      </c>
      <c r="H46" s="9" t="inlineStr">
        <is>
          <t>29103-ET-P1304-1-4.pdf</t>
        </is>
      </c>
      <c r="I46" s="4" t="str">
        <f>IF($H46&lt;&gt;"","YES","NO")</f>
        <v>YES</v>
      </c>
      <c r="J46" s="4" t="str">
        <f>IF(N($T46)&gt;0,"YES","NO")</f>
        <v>NO</v>
      </c>
      <c r="K46" s="4" t="str">
        <f>IF(OR($A46="EHT Trace"),IF(AND($U46&lt;&gt;"",$V46&lt;&gt;""),"YES","NO"),"N/A")</f>
        <v>YES</v>
      </c>
      <c r="L46" s="4" t="str">
        <f>IF(OR($A46="EHT Trace"),IF(AND($X46&lt;&gt;"",$Y46&lt;&gt;""),"YES","NO"),"N/A")</f>
        <v>NO</v>
      </c>
      <c r="M46" s="4" t="str">
        <f>IF(OR($A46="EHT Trace"),IF(AND($AA46&lt;&gt;"",$AB46&lt;&gt;""),"YES","NO"),"N/A")</f>
        <v>NO</v>
      </c>
      <c r="N46" s="4" t="str">
        <f>IF(OR($A46="Power Cable"),IF(AND($AD46&lt;&gt;""),"YES","NO"),"N/A")</f>
        <v>N/A</v>
      </c>
      <c r="O46" s="4" t="str">
        <f>IF(OR($A46="Power Cable",$A46="RTD Cable",$A46="Fieldbus Cable"),IF(AND($AE46&lt;&gt;""),"YES","NO"),"N/A")</f>
        <v>N/A</v>
      </c>
      <c r="P46" s="4" t="str">
        <f>IF(OR($A46="RTD"),IF(AND($AH46&lt;&gt;""),"YES","NO"),"N/A")</f>
        <v>N/A</v>
      </c>
      <c r="Q46" s="4" t="str">
        <f>IF(OR($A46="RTD"),IF(AND($AI46&lt;&gt;""),"YES","NO"),"N/A")</f>
        <v>N/A</v>
      </c>
      <c r="R46" s="4" t="str">
        <f>IF(OR($AM46&lt;&gt;"",$Z46&lt;&gt;"",$AC46&lt;&gt;""),"YES","NO")</f>
        <v>NO</v>
      </c>
      <c r="S46" s="4" t="str">
        <f>IF(COUNTIF(I46:R46,"NO")=0,"YES","NO")</f>
        <v>NO</v>
      </c>
      <c r="T46" s="9" t="n"/>
      <c r="U46" s="9" t="inlineStr">
        <is>
          <t>&gt;2.2 GΩ</t>
        </is>
      </c>
      <c r="V46" s="9" t="inlineStr">
        <is>
          <t>21 Ω</t>
        </is>
      </c>
      <c r="W46" s="9" t="inlineStr">
        <is>
          <t>2026-05-17</t>
        </is>
      </c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inlineStr">
        <is>
          <t>D/32SQ3472/13.1M/755/129/1.2M/LS23A/X/N12/XMN</t>
        </is>
      </c>
      <c r="AK46" s="9" t="inlineStr">
        <is>
          <t>13.1 m m</t>
        </is>
      </c>
      <c r="AL46" s="9" t="inlineStr">
        <is>
          <t>Levy Ostrup</t>
        </is>
      </c>
      <c r="AM46" s="9" t="n"/>
      <c r="AN46" s="9" t="n"/>
    </row>
    <row r="47">
      <c r="A47" s="9" t="inlineStr">
        <is>
          <t>EHT Trace</t>
        </is>
      </c>
      <c r="B47" s="9" t="inlineStr">
        <is>
          <t>29103-ET-P1304-2-1</t>
        </is>
      </c>
      <c r="C47" s="9" t="inlineStr">
        <is>
          <t>29103-ET-P1304-2</t>
        </is>
      </c>
      <c r="D47" s="9" t="inlineStr">
        <is>
          <t>HTC-19 / CB-19</t>
        </is>
      </c>
      <c r="E47" s="9" t="inlineStr">
        <is>
          <t>29103-P-1304, 29103-FG-1302</t>
        </is>
      </c>
      <c r="F47" s="9" t="inlineStr">
        <is>
          <t>29103-65R-ET-P1304-02-01</t>
        </is>
      </c>
      <c r="G47" s="9" t="inlineStr">
        <is>
          <t>13.1</t>
        </is>
      </c>
      <c r="H47" s="9" t="inlineStr">
        <is>
          <t>29103-ET-P1304-2-1.pdf</t>
        </is>
      </c>
      <c r="I47" s="4" t="str">
        <f>IF($H47&lt;&gt;"","YES","NO")</f>
        <v>YES</v>
      </c>
      <c r="J47" s="4" t="str">
        <f>IF(N($T47)&gt;0,"YES","NO")</f>
        <v>NO</v>
      </c>
      <c r="K47" s="4" t="str">
        <f>IF(OR($A47="EHT Trace"),IF(AND($U47&lt;&gt;"",$V47&lt;&gt;""),"YES","NO"),"N/A")</f>
        <v>YES</v>
      </c>
      <c r="L47" s="4" t="str">
        <f>IF(OR($A47="EHT Trace"),IF(AND($X47&lt;&gt;"",$Y47&lt;&gt;""),"YES","NO"),"N/A")</f>
        <v>NO</v>
      </c>
      <c r="M47" s="4" t="str">
        <f>IF(OR($A47="EHT Trace"),IF(AND($AA47&lt;&gt;"",$AB47&lt;&gt;""),"YES","NO"),"N/A")</f>
        <v>NO</v>
      </c>
      <c r="N47" s="4" t="str">
        <f>IF(OR($A47="Power Cable"),IF(AND($AD47&lt;&gt;""),"YES","NO"),"N/A")</f>
        <v>N/A</v>
      </c>
      <c r="O47" s="4" t="str">
        <f>IF(OR($A47="Power Cable",$A47="RTD Cable",$A47="Fieldbus Cable"),IF(AND($AE47&lt;&gt;""),"YES","NO"),"N/A")</f>
        <v>N/A</v>
      </c>
      <c r="P47" s="4" t="str">
        <f>IF(OR($A47="RTD"),IF(AND($AH47&lt;&gt;""),"YES","NO"),"N/A")</f>
        <v>N/A</v>
      </c>
      <c r="Q47" s="4" t="str">
        <f>IF(OR($A47="RTD"),IF(AND($AI47&lt;&gt;""),"YES","NO"),"N/A")</f>
        <v>N/A</v>
      </c>
      <c r="R47" s="4" t="str">
        <f>IF(OR($AM47&lt;&gt;"",$Z47&lt;&gt;"",$AC47&lt;&gt;""),"YES","NO")</f>
        <v>NO</v>
      </c>
      <c r="S47" s="4" t="str">
        <f>IF(COUNTIF(I47:R47,"NO")=0,"YES","NO")</f>
        <v>NO</v>
      </c>
      <c r="T47" s="9" t="n"/>
      <c r="U47" s="9" t="inlineStr">
        <is>
          <t>&gt;2.2 GΩ</t>
        </is>
      </c>
      <c r="V47" s="9" t="inlineStr">
        <is>
          <t>374.3 Ω</t>
        </is>
      </c>
      <c r="W47" s="9" t="inlineStr">
        <is>
          <t>2026-05-17</t>
        </is>
      </c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inlineStr">
        <is>
          <t>D/32SF1180/6.2M/207/277/1.2M/LS23A/X/N12</t>
        </is>
      </c>
      <c r="AK47" s="9" t="inlineStr">
        <is>
          <t>6.2 m m</t>
        </is>
      </c>
      <c r="AL47" s="9" t="inlineStr">
        <is>
          <t>Levy Ostrup</t>
        </is>
      </c>
      <c r="AM47" s="9" t="n"/>
      <c r="AN47" s="9" t="n"/>
    </row>
    <row r="48">
      <c r="A48" s="9" t="inlineStr">
        <is>
          <t>EHT Trace</t>
        </is>
      </c>
      <c r="B48" s="9" t="inlineStr">
        <is>
          <t>29103-ET-P1401-1-1</t>
        </is>
      </c>
      <c r="C48" s="9" t="inlineStr">
        <is>
          <t>29103-ET-P1401-1</t>
        </is>
      </c>
      <c r="D48" s="9" t="inlineStr">
        <is>
          <t>HTC-05 / CB-05</t>
        </is>
      </c>
      <c r="E48" s="9" t="inlineStr">
        <is>
          <t>29103-P-1401</t>
        </is>
      </c>
      <c r="F48" s="9" t="inlineStr">
        <is>
          <t>29103-65R-ET-P1401-01-01</t>
        </is>
      </c>
      <c r="G48" s="9" t="inlineStr">
        <is>
          <t>13.1</t>
        </is>
      </c>
      <c r="H48" s="9" t="inlineStr">
        <is>
          <t>29103-ET-P1401-1-1.pdf</t>
        </is>
      </c>
      <c r="I48" s="4" t="str">
        <f>IF($H48&lt;&gt;"","YES","NO")</f>
        <v>YES</v>
      </c>
      <c r="J48" s="4" t="str">
        <f>IF(N($T48)&gt;0,"YES","NO")</f>
        <v>NO</v>
      </c>
      <c r="K48" s="4" t="str">
        <f>IF(OR($A48="EHT Trace"),IF(AND($U48&lt;&gt;"",$V48&lt;&gt;""),"YES","NO"),"N/A")</f>
        <v>NO</v>
      </c>
      <c r="L48" s="4" t="str">
        <f>IF(OR($A48="EHT Trace"),IF(AND($X48&lt;&gt;"",$Y48&lt;&gt;""),"YES","NO"),"N/A")</f>
        <v>NO</v>
      </c>
      <c r="M48" s="4" t="str">
        <f>IF(OR($A48="EHT Trace"),IF(AND($AA48&lt;&gt;"",$AB48&lt;&gt;""),"YES","NO"),"N/A")</f>
        <v>NO</v>
      </c>
      <c r="N48" s="4" t="str">
        <f>IF(OR($A48="Power Cable"),IF(AND($AD48&lt;&gt;""),"YES","NO"),"N/A")</f>
        <v>N/A</v>
      </c>
      <c r="O48" s="4" t="str">
        <f>IF(OR($A48="Power Cable",$A48="RTD Cable",$A48="Fieldbus Cable"),IF(AND($AE48&lt;&gt;""),"YES","NO"),"N/A")</f>
        <v>N/A</v>
      </c>
      <c r="P48" s="4" t="str">
        <f>IF(OR($A48="RTD"),IF(AND($AH48&lt;&gt;""),"YES","NO"),"N/A")</f>
        <v>N/A</v>
      </c>
      <c r="Q48" s="4" t="str">
        <f>IF(OR($A48="RTD"),IF(AND($AI48&lt;&gt;""),"YES","NO"),"N/A")</f>
        <v>N/A</v>
      </c>
      <c r="R48" s="4" t="str">
        <f>IF(OR($AM48&lt;&gt;"",$Z48&lt;&gt;"",$AC48&lt;&gt;""),"YES","NO")</f>
        <v>NO</v>
      </c>
      <c r="S48" s="4" t="str">
        <f>IF(COUNTIF(I48:R48,"NO")=0,"YES","NO")</f>
        <v>NO</v>
      </c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inlineStr">
        <is>
          <t>E/32SQ3374/20.6M/1001/165/1.2M/LS23A/X/N12/XNF</t>
        </is>
      </c>
      <c r="AK48" s="9" t="inlineStr">
        <is>
          <t>20.6 m m</t>
        </is>
      </c>
      <c r="AL48" s="9" t="inlineStr">
        <is>
          <t>Levy Ostrup</t>
        </is>
      </c>
      <c r="AM48" s="9" t="n"/>
      <c r="AN48" s="9" t="n"/>
    </row>
    <row r="49">
      <c r="A49" s="9" t="inlineStr">
        <is>
          <t>EHT Trace</t>
        </is>
      </c>
      <c r="B49" s="9" t="inlineStr">
        <is>
          <t>29103-ET-P1401-1-2</t>
        </is>
      </c>
      <c r="C49" s="9" t="inlineStr">
        <is>
          <t>29103-ET-P1401-1</t>
        </is>
      </c>
      <c r="D49" s="9" t="inlineStr">
        <is>
          <t>HTC-05 / CB-05</t>
        </is>
      </c>
      <c r="E49" s="9" t="inlineStr">
        <is>
          <t>29103-P-1401</t>
        </is>
      </c>
      <c r="F49" s="9" t="inlineStr">
        <is>
          <t>29103-65R-ET-P1401-01-01</t>
        </is>
      </c>
      <c r="G49" s="9" t="inlineStr">
        <is>
          <t>13.1</t>
        </is>
      </c>
      <c r="H49" s="9" t="inlineStr">
        <is>
          <t>29103-ET-P1401-1-2.pdf</t>
        </is>
      </c>
      <c r="I49" s="4" t="str">
        <f>IF($H49&lt;&gt;"","YES","NO")</f>
        <v>YES</v>
      </c>
      <c r="J49" s="4" t="str">
        <f>IF(N($T49)&gt;0,"YES","NO")</f>
        <v>NO</v>
      </c>
      <c r="K49" s="4" t="str">
        <f>IF(OR($A49="EHT Trace"),IF(AND($U49&lt;&gt;"",$V49&lt;&gt;""),"YES","NO"),"N/A")</f>
        <v>NO</v>
      </c>
      <c r="L49" s="4" t="str">
        <f>IF(OR($A49="EHT Trace"),IF(AND($X49&lt;&gt;"",$Y49&lt;&gt;""),"YES","NO"),"N/A")</f>
        <v>NO</v>
      </c>
      <c r="M49" s="4" t="str">
        <f>IF(OR($A49="EHT Trace"),IF(AND($AA49&lt;&gt;"",$AB49&lt;&gt;""),"YES","NO"),"N/A")</f>
        <v>NO</v>
      </c>
      <c r="N49" s="4" t="str">
        <f>IF(OR($A49="Power Cable"),IF(AND($AD49&lt;&gt;""),"YES","NO"),"N/A")</f>
        <v>N/A</v>
      </c>
      <c r="O49" s="4" t="str">
        <f>IF(OR($A49="Power Cable",$A49="RTD Cable",$A49="Fieldbus Cable"),IF(AND($AE49&lt;&gt;""),"YES","NO"),"N/A")</f>
        <v>N/A</v>
      </c>
      <c r="P49" s="4" t="str">
        <f>IF(OR($A49="RTD"),IF(AND($AH49&lt;&gt;""),"YES","NO"),"N/A")</f>
        <v>N/A</v>
      </c>
      <c r="Q49" s="4" t="str">
        <f>IF(OR($A49="RTD"),IF(AND($AI49&lt;&gt;""),"YES","NO"),"N/A")</f>
        <v>N/A</v>
      </c>
      <c r="R49" s="4" t="str">
        <f>IF(OR($AM49&lt;&gt;"",$Z49&lt;&gt;"",$AC49&lt;&gt;""),"YES","NO")</f>
        <v>NO</v>
      </c>
      <c r="S49" s="4" t="str">
        <f>IF(COUNTIF(I49:R49,"NO")=0,"YES","NO")</f>
        <v>NO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inlineStr">
        <is>
          <t>D/32SQ3374/13.9M/676/112/1.2M/LS23A/X/N12/XMN</t>
        </is>
      </c>
      <c r="AK49" s="9" t="inlineStr">
        <is>
          <t>13.9 m m</t>
        </is>
      </c>
      <c r="AL49" s="9" t="inlineStr">
        <is>
          <t>Levy Ostrup</t>
        </is>
      </c>
      <c r="AM49" s="9" t="n"/>
      <c r="AN49" s="9" t="n"/>
    </row>
    <row r="50">
      <c r="A50" s="9" t="inlineStr">
        <is>
          <t>EHT Trace</t>
        </is>
      </c>
      <c r="B50" s="9" t="inlineStr">
        <is>
          <t>29103-ET-P1800-1-1</t>
        </is>
      </c>
      <c r="C50" s="9" t="inlineStr">
        <is>
          <t>29103-ET-P1800-1</t>
        </is>
      </c>
      <c r="D50" s="9" t="inlineStr">
        <is>
          <t>HTC-26 / CB-26</t>
        </is>
      </c>
      <c r="E50" s="9" t="inlineStr">
        <is>
          <t>29103-P-1800</t>
        </is>
      </c>
      <c r="F50" s="9" t="inlineStr">
        <is>
          <t>29103-65R-ET-P1800-01-01</t>
        </is>
      </c>
      <c r="G50" s="9" t="inlineStr">
        <is>
          <t>13.1</t>
        </is>
      </c>
      <c r="H50" s="9" t="inlineStr">
        <is>
          <t>29103-ET-P1800-1-1.pdf</t>
        </is>
      </c>
      <c r="I50" s="4" t="str">
        <f>IF($H50&lt;&gt;"","YES","NO")</f>
        <v>YES</v>
      </c>
      <c r="J50" s="4" t="str">
        <f>IF(N($T50)&gt;0,"YES","NO")</f>
        <v>NO</v>
      </c>
      <c r="K50" s="4" t="str">
        <f>IF(OR($A50="EHT Trace"),IF(AND($U50&lt;&gt;"",$V50&lt;&gt;""),"YES","NO"),"N/A")</f>
        <v>NO</v>
      </c>
      <c r="L50" s="4" t="str">
        <f>IF(OR($A50="EHT Trace"),IF(AND($X50&lt;&gt;"",$Y50&lt;&gt;""),"YES","NO"),"N/A")</f>
        <v>NO</v>
      </c>
      <c r="M50" s="4" t="str">
        <f>IF(OR($A50="EHT Trace"),IF(AND($AA50&lt;&gt;"",$AB50&lt;&gt;""),"YES","NO"),"N/A")</f>
        <v>NO</v>
      </c>
      <c r="N50" s="4" t="str">
        <f>IF(OR($A50="Power Cable"),IF(AND($AD50&lt;&gt;""),"YES","NO"),"N/A")</f>
        <v>N/A</v>
      </c>
      <c r="O50" s="4" t="str">
        <f>IF(OR($A50="Power Cable",$A50="RTD Cable",$A50="Fieldbus Cable"),IF(AND($AE50&lt;&gt;""),"YES","NO"),"N/A")</f>
        <v>N/A</v>
      </c>
      <c r="P50" s="4" t="str">
        <f>IF(OR($A50="RTD"),IF(AND($AH50&lt;&gt;""),"YES","NO"),"N/A")</f>
        <v>N/A</v>
      </c>
      <c r="Q50" s="4" t="str">
        <f>IF(OR($A50="RTD"),IF(AND($AI50&lt;&gt;""),"YES","NO"),"N/A")</f>
        <v>N/A</v>
      </c>
      <c r="R50" s="4" t="str">
        <f>IF(OR($AM50&lt;&gt;"",$Z50&lt;&gt;"",$AC50&lt;&gt;""),"YES","NO")</f>
        <v>NO</v>
      </c>
      <c r="S50" s="4" t="str">
        <f>IF(COUNTIF(I50:R50,"NO")=0,"YES","NO")</f>
        <v>NO</v>
      </c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inlineStr">
        <is>
          <t>D/32SP4734/58.6M/2332/198/2.1M/LS23A/X/N12</t>
        </is>
      </c>
      <c r="AK50" s="9" t="inlineStr">
        <is>
          <t>58.6 m m</t>
        </is>
      </c>
      <c r="AL50" s="9" t="inlineStr">
        <is>
          <t>Levy Ostrup</t>
        </is>
      </c>
      <c r="AM50" s="9" t="n"/>
      <c r="AN50" s="9" t="n"/>
    </row>
    <row r="51">
      <c r="A51" s="9" t="inlineStr">
        <is>
          <t>EHT Trace</t>
        </is>
      </c>
      <c r="B51" s="9" t="inlineStr">
        <is>
          <t>29103-ET-P1800-1-2</t>
        </is>
      </c>
      <c r="C51" s="9" t="inlineStr">
        <is>
          <t>29103-ET-P1800-1</t>
        </is>
      </c>
      <c r="D51" s="9" t="inlineStr">
        <is>
          <t>HTC-26 / CB-26</t>
        </is>
      </c>
      <c r="E51" s="9" t="inlineStr">
        <is>
          <t>29103-P-1800</t>
        </is>
      </c>
      <c r="F51" s="9" t="inlineStr">
        <is>
          <t>29103-65R-ET-P1800-01-01</t>
        </is>
      </c>
      <c r="G51" s="9" t="inlineStr">
        <is>
          <t>13.1</t>
        </is>
      </c>
      <c r="H51" s="9" t="inlineStr">
        <is>
          <t>29103-ET-P1800-1-2.pdf</t>
        </is>
      </c>
      <c r="I51" s="4" t="str">
        <f>IF($H51&lt;&gt;"","YES","NO")</f>
        <v>YES</v>
      </c>
      <c r="J51" s="4" t="str">
        <f>IF(N($T51)&gt;0,"YES","NO")</f>
        <v>NO</v>
      </c>
      <c r="K51" s="4" t="str">
        <f>IF(OR($A51="EHT Trace"),IF(AND($U51&lt;&gt;"",$V51&lt;&gt;""),"YES","NO"),"N/A")</f>
        <v>NO</v>
      </c>
      <c r="L51" s="4" t="str">
        <f>IF(OR($A51="EHT Trace"),IF(AND($X51&lt;&gt;"",$Y51&lt;&gt;""),"YES","NO"),"N/A")</f>
        <v>NO</v>
      </c>
      <c r="M51" s="4" t="str">
        <f>IF(OR($A51="EHT Trace"),IF(AND($AA51&lt;&gt;"",$AB51&lt;&gt;""),"YES","NO"),"N/A")</f>
        <v>NO</v>
      </c>
      <c r="N51" s="4" t="str">
        <f>IF(OR($A51="Power Cable"),IF(AND($AD51&lt;&gt;""),"YES","NO"),"N/A")</f>
        <v>N/A</v>
      </c>
      <c r="O51" s="4" t="str">
        <f>IF(OR($A51="Power Cable",$A51="RTD Cable",$A51="Fieldbus Cable"),IF(AND($AE51&lt;&gt;""),"YES","NO"),"N/A")</f>
        <v>N/A</v>
      </c>
      <c r="P51" s="4" t="str">
        <f>IF(OR($A51="RTD"),IF(AND($AH51&lt;&gt;""),"YES","NO"),"N/A")</f>
        <v>N/A</v>
      </c>
      <c r="Q51" s="4" t="str">
        <f>IF(OR($A51="RTD"),IF(AND($AI51&lt;&gt;""),"YES","NO"),"N/A")</f>
        <v>N/A</v>
      </c>
      <c r="R51" s="4" t="str">
        <f>IF(OR($AM51&lt;&gt;"",$Z51&lt;&gt;"",$AC51&lt;&gt;""),"YES","NO")</f>
        <v>NO</v>
      </c>
      <c r="S51" s="4" t="str">
        <f>IF(COUNTIF(I51:R51,"NO")=0,"YES","NO")</f>
        <v>NO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inlineStr">
        <is>
          <t>D/32SP4734/23.3M/927/78.8/2.1M/LS23A/X/N12</t>
        </is>
      </c>
      <c r="AK51" s="9" t="inlineStr">
        <is>
          <t>23.3 m m</t>
        </is>
      </c>
      <c r="AL51" s="9" t="inlineStr">
        <is>
          <t>Levy Ostrup</t>
        </is>
      </c>
      <c r="AM51" s="9" t="n"/>
      <c r="AN51" s="9" t="n"/>
    </row>
    <row r="52">
      <c r="A52" s="9" t="inlineStr">
        <is>
          <t>EHT Trace</t>
        </is>
      </c>
      <c r="B52" s="9" t="inlineStr">
        <is>
          <t>29103-ET-P1800-2-1</t>
        </is>
      </c>
      <c r="C52" s="9" t="inlineStr">
        <is>
          <t>29103-ET-P1800-2</t>
        </is>
      </c>
      <c r="D52" s="9" t="inlineStr">
        <is>
          <t>HTC-16 / CB-16</t>
        </is>
      </c>
      <c r="E52" s="9" t="inlineStr">
        <is>
          <t>29103-P-1800</t>
        </is>
      </c>
      <c r="F52" s="9" t="inlineStr">
        <is>
          <t>29103-65R-ET-P1800-02-01</t>
        </is>
      </c>
      <c r="G52" s="9" t="inlineStr">
        <is>
          <t>13.1</t>
        </is>
      </c>
      <c r="H52" s="9" t="inlineStr">
        <is>
          <t>29103-ET-P1800-2-1.pdf</t>
        </is>
      </c>
      <c r="I52" s="4" t="str">
        <f>IF($H52&lt;&gt;"","YES","NO")</f>
        <v>YES</v>
      </c>
      <c r="J52" s="4" t="str">
        <f>IF(N($T52)&gt;0,"YES","NO")</f>
        <v>NO</v>
      </c>
      <c r="K52" s="4" t="str">
        <f>IF(OR($A52="EHT Trace"),IF(AND($U52&lt;&gt;"",$V52&lt;&gt;""),"YES","NO"),"N/A")</f>
        <v>NO</v>
      </c>
      <c r="L52" s="4" t="str">
        <f>IF(OR($A52="EHT Trace"),IF(AND($X52&lt;&gt;"",$Y52&lt;&gt;""),"YES","NO"),"N/A")</f>
        <v>NO</v>
      </c>
      <c r="M52" s="4" t="str">
        <f>IF(OR($A52="EHT Trace"),IF(AND($AA52&lt;&gt;"",$AB52&lt;&gt;""),"YES","NO"),"N/A")</f>
        <v>NO</v>
      </c>
      <c r="N52" s="4" t="str">
        <f>IF(OR($A52="Power Cable"),IF(AND($AD52&lt;&gt;""),"YES","NO"),"N/A")</f>
        <v>N/A</v>
      </c>
      <c r="O52" s="4" t="str">
        <f>IF(OR($A52="Power Cable",$A52="RTD Cable",$A52="Fieldbus Cable"),IF(AND($AE52&lt;&gt;""),"YES","NO"),"N/A")</f>
        <v>N/A</v>
      </c>
      <c r="P52" s="4" t="str">
        <f>IF(OR($A52="RTD"),IF(AND($AH52&lt;&gt;""),"YES","NO"),"N/A")</f>
        <v>N/A</v>
      </c>
      <c r="Q52" s="4" t="str">
        <f>IF(OR($A52="RTD"),IF(AND($AI52&lt;&gt;""),"YES","NO"),"N/A")</f>
        <v>N/A</v>
      </c>
      <c r="R52" s="4" t="str">
        <f>IF(OR($AM52&lt;&gt;"",$Z52&lt;&gt;"",$AC52&lt;&gt;""),"YES","NO")</f>
        <v>NO</v>
      </c>
      <c r="S52" s="4" t="str">
        <f>IF(COUNTIF(I52:R52,"NO")=0,"YES","NO")</f>
        <v>NO</v>
      </c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inlineStr">
        <is>
          <t>D/32SQ3100/47.1M/2553/207/2.1M/LS23A/X/N12</t>
        </is>
      </c>
      <c r="AK52" s="9" t="inlineStr">
        <is>
          <t>47.1 m m</t>
        </is>
      </c>
      <c r="AL52" s="9" t="inlineStr">
        <is>
          <t>Levy Ostrup</t>
        </is>
      </c>
      <c r="AM52" s="9" t="n"/>
      <c r="AN52" s="9" t="n"/>
    </row>
    <row r="53">
      <c r="A53" s="9" t="inlineStr">
        <is>
          <t>EHT Trace</t>
        </is>
      </c>
      <c r="B53" s="9" t="inlineStr">
        <is>
          <t>29103-ET-P1800-2-2</t>
        </is>
      </c>
      <c r="C53" s="9" t="inlineStr">
        <is>
          <t>29103-ET-P1800-2</t>
        </is>
      </c>
      <c r="D53" s="9" t="inlineStr">
        <is>
          <t>HTC-16 / CB-16</t>
        </is>
      </c>
      <c r="E53" s="9" t="inlineStr">
        <is>
          <t>29103-P-1800</t>
        </is>
      </c>
      <c r="F53" s="9" t="inlineStr">
        <is>
          <t>29103-65R-ET-P1800-02-01</t>
        </is>
      </c>
      <c r="G53" s="9" t="inlineStr">
        <is>
          <t>13.1</t>
        </is>
      </c>
      <c r="H53" s="9" t="inlineStr">
        <is>
          <t>29103-ET-P1800-2-2.pdf</t>
        </is>
      </c>
      <c r="I53" s="4" t="str">
        <f>IF($H53&lt;&gt;"","YES","NO")</f>
        <v>YES</v>
      </c>
      <c r="J53" s="4" t="str">
        <f>IF(N($T53)&gt;0,"YES","NO")</f>
        <v>NO</v>
      </c>
      <c r="K53" s="4" t="str">
        <f>IF(OR($A53="EHT Trace"),IF(AND($U53&lt;&gt;"",$V53&lt;&gt;""),"YES","NO"),"N/A")</f>
        <v>NO</v>
      </c>
      <c r="L53" s="4" t="str">
        <f>IF(OR($A53="EHT Trace"),IF(AND($X53&lt;&gt;"",$Y53&lt;&gt;""),"YES","NO"),"N/A")</f>
        <v>NO</v>
      </c>
      <c r="M53" s="4" t="str">
        <f>IF(OR($A53="EHT Trace"),IF(AND($AA53&lt;&gt;"",$AB53&lt;&gt;""),"YES","NO"),"N/A")</f>
        <v>NO</v>
      </c>
      <c r="N53" s="4" t="str">
        <f>IF(OR($A53="Power Cable"),IF(AND($AD53&lt;&gt;""),"YES","NO"),"N/A")</f>
        <v>N/A</v>
      </c>
      <c r="O53" s="4" t="str">
        <f>IF(OR($A53="Power Cable",$A53="RTD Cable",$A53="Fieldbus Cable"),IF(AND($AE53&lt;&gt;""),"YES","NO"),"N/A")</f>
        <v>N/A</v>
      </c>
      <c r="P53" s="4" t="str">
        <f>IF(OR($A53="RTD"),IF(AND($AH53&lt;&gt;""),"YES","NO"),"N/A")</f>
        <v>N/A</v>
      </c>
      <c r="Q53" s="4" t="str">
        <f>IF(OR($A53="RTD"),IF(AND($AI53&lt;&gt;""),"YES","NO"),"N/A")</f>
        <v>N/A</v>
      </c>
      <c r="R53" s="4" t="str">
        <f>IF(OR($AM53&lt;&gt;"",$Z53&lt;&gt;"",$AC53&lt;&gt;""),"YES","NO")</f>
        <v>NO</v>
      </c>
      <c r="S53" s="4" t="str">
        <f>IF(COUNTIF(I53:R53,"NO")=0,"YES","NO")</f>
        <v>NO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inlineStr">
        <is>
          <t>D/32SQ3100/15.9M/862/69.9/2.1M/LS23A/X/N12</t>
        </is>
      </c>
      <c r="AK53" s="9" t="inlineStr">
        <is>
          <t>15.9 m m</t>
        </is>
      </c>
      <c r="AL53" s="9" t="inlineStr">
        <is>
          <t>Levy Ostrup</t>
        </is>
      </c>
      <c r="AM53" s="9" t="n"/>
      <c r="AN53" s="9" t="n"/>
    </row>
    <row r="54">
      <c r="A54" s="9" t="inlineStr">
        <is>
          <t>EHT Trace</t>
        </is>
      </c>
      <c r="B54" s="9" t="inlineStr">
        <is>
          <t>29103-ET-PE1101-1-1</t>
        </is>
      </c>
      <c r="C54" s="9" t="inlineStr">
        <is>
          <t>29103-ET-PE1101-1</t>
        </is>
      </c>
      <c r="D54" s="9" t="inlineStr">
        <is>
          <t>HTC-25 / CB-25</t>
        </is>
      </c>
      <c r="E54" s="9" t="inlineStr">
        <is>
          <t>29103-PE-1101</t>
        </is>
      </c>
      <c r="F54" s="9" t="inlineStr">
        <is>
          <t>29103-65R-ET-PE1101-01-01</t>
        </is>
      </c>
      <c r="G54" s="9" t="inlineStr">
        <is>
          <t>13.1</t>
        </is>
      </c>
      <c r="H54" s="9" t="inlineStr">
        <is>
          <t>29103-ET-PE1101-1-1.pdf</t>
        </is>
      </c>
      <c r="I54" s="4" t="str">
        <f>IF($H54&lt;&gt;"","YES","NO")</f>
        <v>YES</v>
      </c>
      <c r="J54" s="4" t="str">
        <f>IF(N($T54)&gt;0,"YES","NO")</f>
        <v>NO</v>
      </c>
      <c r="K54" s="4" t="str">
        <f>IF(OR($A54="EHT Trace"),IF(AND($U54&lt;&gt;"",$V54&lt;&gt;""),"YES","NO"),"N/A")</f>
        <v>NO</v>
      </c>
      <c r="L54" s="4" t="str">
        <f>IF(OR($A54="EHT Trace"),IF(AND($X54&lt;&gt;"",$Y54&lt;&gt;""),"YES","NO"),"N/A")</f>
        <v>NO</v>
      </c>
      <c r="M54" s="4" t="str">
        <f>IF(OR($A54="EHT Trace"),IF(AND($AA54&lt;&gt;"",$AB54&lt;&gt;""),"YES","NO"),"N/A")</f>
        <v>NO</v>
      </c>
      <c r="N54" s="4" t="str">
        <f>IF(OR($A54="Power Cable"),IF(AND($AD54&lt;&gt;""),"YES","NO"),"N/A")</f>
        <v>N/A</v>
      </c>
      <c r="O54" s="4" t="str">
        <f>IF(OR($A54="Power Cable",$A54="RTD Cable",$A54="Fieldbus Cable"),IF(AND($AE54&lt;&gt;""),"YES","NO"),"N/A")</f>
        <v>N/A</v>
      </c>
      <c r="P54" s="4" t="str">
        <f>IF(OR($A54="RTD"),IF(AND($AH54&lt;&gt;""),"YES","NO"),"N/A")</f>
        <v>N/A</v>
      </c>
      <c r="Q54" s="4" t="str">
        <f>IF(OR($A54="RTD"),IF(AND($AI54&lt;&gt;""),"YES","NO"),"N/A")</f>
        <v>N/A</v>
      </c>
      <c r="R54" s="4" t="str">
        <f>IF(OR($AM54&lt;&gt;"",$Z54&lt;&gt;"",$AC54&lt;&gt;""),"YES","NO")</f>
        <v>NO</v>
      </c>
      <c r="S54" s="4" t="str">
        <f>IF(COUNTIF(I54:R54,"NO")=0,"YES","NO")</f>
        <v>NO</v>
      </c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inlineStr">
        <is>
          <t>D/32SF1110/7.8M/269/277/1.2M/LS23A/X/N12</t>
        </is>
      </c>
      <c r="AK54" s="9" t="inlineStr">
        <is>
          <t>7.8 m m</t>
        </is>
      </c>
      <c r="AL54" s="9" t="inlineStr">
        <is>
          <t>Levy Ostrup</t>
        </is>
      </c>
      <c r="AM54" s="9" t="n"/>
      <c r="AN54" s="9" t="n"/>
    </row>
    <row r="55">
      <c r="A55" s="9" t="inlineStr">
        <is>
          <t>EHT Trace</t>
        </is>
      </c>
      <c r="B55" s="9" t="inlineStr">
        <is>
          <t>29103-ET-PE1101-1-2</t>
        </is>
      </c>
      <c r="C55" s="9" t="inlineStr">
        <is>
          <t>29103-ET-PE1101-1</t>
        </is>
      </c>
      <c r="D55" s="9" t="inlineStr">
        <is>
          <t>HTC-25 / CB-25</t>
        </is>
      </c>
      <c r="E55" s="9" t="inlineStr">
        <is>
          <t>29103-PE-1101</t>
        </is>
      </c>
      <c r="F55" s="9" t="inlineStr">
        <is>
          <t>29103-65R-ET-PE1101-01-01</t>
        </is>
      </c>
      <c r="G55" s="9" t="inlineStr">
        <is>
          <t>13.1</t>
        </is>
      </c>
      <c r="H55" s="9" t="inlineStr">
        <is>
          <t>29103-ET-PE1101-1-2.pdf</t>
        </is>
      </c>
      <c r="I55" s="4" t="str">
        <f>IF($H55&lt;&gt;"","YES","NO")</f>
        <v>YES</v>
      </c>
      <c r="J55" s="4" t="str">
        <f>IF(N($T55)&gt;0,"YES","NO")</f>
        <v>NO</v>
      </c>
      <c r="K55" s="4" t="str">
        <f>IF(OR($A55="EHT Trace"),IF(AND($U55&lt;&gt;"",$V55&lt;&gt;""),"YES","NO"),"N/A")</f>
        <v>NO</v>
      </c>
      <c r="L55" s="4" t="str">
        <f>IF(OR($A55="EHT Trace"),IF(AND($X55&lt;&gt;"",$Y55&lt;&gt;""),"YES","NO"),"N/A")</f>
        <v>NO</v>
      </c>
      <c r="M55" s="4" t="str">
        <f>IF(OR($A55="EHT Trace"),IF(AND($AA55&lt;&gt;"",$AB55&lt;&gt;""),"YES","NO"),"N/A")</f>
        <v>NO</v>
      </c>
      <c r="N55" s="4" t="str">
        <f>IF(OR($A55="Power Cable"),IF(AND($AD55&lt;&gt;""),"YES","NO"),"N/A")</f>
        <v>N/A</v>
      </c>
      <c r="O55" s="4" t="str">
        <f>IF(OR($A55="Power Cable",$A55="RTD Cable",$A55="Fieldbus Cable"),IF(AND($AE55&lt;&gt;""),"YES","NO"),"N/A")</f>
        <v>N/A</v>
      </c>
      <c r="P55" s="4" t="str">
        <f>IF(OR($A55="RTD"),IF(AND($AH55&lt;&gt;""),"YES","NO"),"N/A")</f>
        <v>N/A</v>
      </c>
      <c r="Q55" s="4" t="str">
        <f>IF(OR($A55="RTD"),IF(AND($AI55&lt;&gt;""),"YES","NO"),"N/A")</f>
        <v>N/A</v>
      </c>
      <c r="R55" s="4" t="str">
        <f>IF(OR($AM55&lt;&gt;"",$Z55&lt;&gt;"",$AC55&lt;&gt;""),"YES","NO")</f>
        <v>NO</v>
      </c>
      <c r="S55" s="4" t="str">
        <f>IF(COUNTIF(I55:R55,"NO")=0,"YES","NO")</f>
        <v>NO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inlineStr">
        <is>
          <t>E/32SQ3472/9.5M/505/89.8/1.2M/LS23A/X/N12/XNF</t>
        </is>
      </c>
      <c r="AK55" s="9" t="inlineStr">
        <is>
          <t>9.5 m m</t>
        </is>
      </c>
      <c r="AL55" s="9" t="inlineStr">
        <is>
          <t>Levy Ostrup</t>
        </is>
      </c>
      <c r="AM55" s="9" t="n"/>
      <c r="AN55" s="9" t="n"/>
    </row>
    <row r="56">
      <c r="A56" s="9" t="inlineStr">
        <is>
          <t>EHT Trace</t>
        </is>
      </c>
      <c r="B56" s="9" t="inlineStr">
        <is>
          <t>29103-ET-PE1101-1-3</t>
        </is>
      </c>
      <c r="C56" s="9" t="inlineStr">
        <is>
          <t>29103-ET-PE1101-1</t>
        </is>
      </c>
      <c r="D56" s="9" t="inlineStr">
        <is>
          <t>HTC-25 / CB-25</t>
        </is>
      </c>
      <c r="E56" s="9" t="inlineStr">
        <is>
          <t>29103-PE-1101</t>
        </is>
      </c>
      <c r="F56" s="9" t="inlineStr">
        <is>
          <t>29103-65R-ET-PE1101-01-01</t>
        </is>
      </c>
      <c r="G56" s="9" t="inlineStr">
        <is>
          <t>13.1</t>
        </is>
      </c>
      <c r="H56" s="9" t="inlineStr">
        <is>
          <t>29103-ET-PE1101-1-3.pdf</t>
        </is>
      </c>
      <c r="I56" s="4" t="str">
        <f>IF($H56&lt;&gt;"","YES","NO")</f>
        <v>YES</v>
      </c>
      <c r="J56" s="4" t="str">
        <f>IF(N($T56)&gt;0,"YES","NO")</f>
        <v>NO</v>
      </c>
      <c r="K56" s="4" t="str">
        <f>IF(OR($A56="EHT Trace"),IF(AND($U56&lt;&gt;"",$V56&lt;&gt;""),"YES","NO"),"N/A")</f>
        <v>NO</v>
      </c>
      <c r="L56" s="4" t="str">
        <f>IF(OR($A56="EHT Trace"),IF(AND($X56&lt;&gt;"",$Y56&lt;&gt;""),"YES","NO"),"N/A")</f>
        <v>NO</v>
      </c>
      <c r="M56" s="4" t="str">
        <f>IF(OR($A56="EHT Trace"),IF(AND($AA56&lt;&gt;"",$AB56&lt;&gt;""),"YES","NO"),"N/A")</f>
        <v>NO</v>
      </c>
      <c r="N56" s="4" t="str">
        <f>IF(OR($A56="Power Cable"),IF(AND($AD56&lt;&gt;""),"YES","NO"),"N/A")</f>
        <v>N/A</v>
      </c>
      <c r="O56" s="4" t="str">
        <f>IF(OR($A56="Power Cable",$A56="RTD Cable",$A56="Fieldbus Cable"),IF(AND($AE56&lt;&gt;""),"YES","NO"),"N/A")</f>
        <v>N/A</v>
      </c>
      <c r="P56" s="4" t="str">
        <f>IF(OR($A56="RTD"),IF(AND($AH56&lt;&gt;""),"YES","NO"),"N/A")</f>
        <v>N/A</v>
      </c>
      <c r="Q56" s="4" t="str">
        <f>IF(OR($A56="RTD"),IF(AND($AI56&lt;&gt;""),"YES","NO"),"N/A")</f>
        <v>N/A</v>
      </c>
      <c r="R56" s="4" t="str">
        <f>IF(OR($AM56&lt;&gt;"",$Z56&lt;&gt;"",$AC56&lt;&gt;""),"YES","NO")</f>
        <v>NO</v>
      </c>
      <c r="S56" s="4" t="str">
        <f>IF(COUNTIF(I56:R56,"NO")=0,"YES","NO")</f>
        <v>NO</v>
      </c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inlineStr">
        <is>
          <t>E/32SQ3472/6.6M/351/62.4/1.2M/LS23A/X/N12/XMF</t>
        </is>
      </c>
      <c r="AK56" s="9" t="inlineStr">
        <is>
          <t>6.6 m m</t>
        </is>
      </c>
      <c r="AL56" s="9" t="inlineStr">
        <is>
          <t>Levy Ostrup</t>
        </is>
      </c>
      <c r="AM56" s="9" t="n"/>
      <c r="AN56" s="9" t="n"/>
    </row>
    <row r="57">
      <c r="A57" s="9" t="inlineStr">
        <is>
          <t>EHT Trace</t>
        </is>
      </c>
      <c r="B57" s="9" t="inlineStr">
        <is>
          <t>29103-ET-PE1101-1-4</t>
        </is>
      </c>
      <c r="C57" s="9" t="inlineStr">
        <is>
          <t>29103-ET-PE1101-1</t>
        </is>
      </c>
      <c r="D57" s="9" t="inlineStr">
        <is>
          <t>HTC-25 / CB-25</t>
        </is>
      </c>
      <c r="E57" s="9" t="inlineStr">
        <is>
          <t>29103-PE-1101</t>
        </is>
      </c>
      <c r="F57" s="9" t="inlineStr">
        <is>
          <t>29103-65R-ET-PE1101-01-01</t>
        </is>
      </c>
      <c r="G57" s="9" t="inlineStr">
        <is>
          <t>13.1</t>
        </is>
      </c>
      <c r="H57" s="9" t="inlineStr">
        <is>
          <t>29103-ET-PE1101-1-4.pdf</t>
        </is>
      </c>
      <c r="I57" s="4" t="str">
        <f>IF($H57&lt;&gt;"","YES","NO")</f>
        <v>YES</v>
      </c>
      <c r="J57" s="4" t="str">
        <f>IF(N($T57)&gt;0,"YES","NO")</f>
        <v>NO</v>
      </c>
      <c r="K57" s="4" t="str">
        <f>IF(OR($A57="EHT Trace"),IF(AND($U57&lt;&gt;"",$V57&lt;&gt;""),"YES","NO"),"N/A")</f>
        <v>NO</v>
      </c>
      <c r="L57" s="4" t="str">
        <f>IF(OR($A57="EHT Trace"),IF(AND($X57&lt;&gt;"",$Y57&lt;&gt;""),"YES","NO"),"N/A")</f>
        <v>NO</v>
      </c>
      <c r="M57" s="4" t="str">
        <f>IF(OR($A57="EHT Trace"),IF(AND($AA57&lt;&gt;"",$AB57&lt;&gt;""),"YES","NO"),"N/A")</f>
        <v>NO</v>
      </c>
      <c r="N57" s="4" t="str">
        <f>IF(OR($A57="Power Cable"),IF(AND($AD57&lt;&gt;""),"YES","NO"),"N/A")</f>
        <v>N/A</v>
      </c>
      <c r="O57" s="4" t="str">
        <f>IF(OR($A57="Power Cable",$A57="RTD Cable",$A57="Fieldbus Cable"),IF(AND($AE57&lt;&gt;""),"YES","NO"),"N/A")</f>
        <v>N/A</v>
      </c>
      <c r="P57" s="4" t="str">
        <f>IF(OR($A57="RTD"),IF(AND($AH57&lt;&gt;""),"YES","NO"),"N/A")</f>
        <v>N/A</v>
      </c>
      <c r="Q57" s="4" t="str">
        <f>IF(OR($A57="RTD"),IF(AND($AI57&lt;&gt;""),"YES","NO"),"N/A")</f>
        <v>N/A</v>
      </c>
      <c r="R57" s="4" t="str">
        <f>IF(OR($AM57&lt;&gt;"",$Z57&lt;&gt;"",$AC57&lt;&gt;""),"YES","NO")</f>
        <v>NO</v>
      </c>
      <c r="S57" s="4" t="str">
        <f>IF(COUNTIF(I57:R57,"NO")=0,"YES","NO")</f>
        <v>NO</v>
      </c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inlineStr">
        <is>
          <t>D/32SQ3472/13.2M/702/125/1.2M/LS23A/X/N12/XMN</t>
        </is>
      </c>
      <c r="AK57" s="9" t="inlineStr">
        <is>
          <t>13.2 m m</t>
        </is>
      </c>
      <c r="AL57" s="9" t="inlineStr">
        <is>
          <t>Levy Ostrup</t>
        </is>
      </c>
      <c r="AM57" s="9" t="n"/>
      <c r="AN57" s="9" t="n"/>
    </row>
    <row r="58">
      <c r="A58" s="9" t="inlineStr">
        <is>
          <t>EHT Trace</t>
        </is>
      </c>
      <c r="B58" s="9" t="inlineStr">
        <is>
          <t>29103-ET-PE1101-2-1</t>
        </is>
      </c>
      <c r="C58" s="9" t="inlineStr">
        <is>
          <t>29103-ET-PE1101-2</t>
        </is>
      </c>
      <c r="D58" s="9" t="inlineStr">
        <is>
          <t>HTC-24 / CB-24</t>
        </is>
      </c>
      <c r="E58" s="9" t="inlineStr">
        <is>
          <t>29103-PE-1101</t>
        </is>
      </c>
      <c r="F58" s="9" t="inlineStr">
        <is>
          <t>29103-65R-ET-PE1101-02-01</t>
        </is>
      </c>
      <c r="G58" s="9" t="inlineStr">
        <is>
          <t>13.1</t>
        </is>
      </c>
      <c r="H58" s="9" t="inlineStr">
        <is>
          <t>29103-ET-PE1101-2-1.pdf</t>
        </is>
      </c>
      <c r="I58" s="4" t="str">
        <f>IF($H58&lt;&gt;"","YES","NO")</f>
        <v>YES</v>
      </c>
      <c r="J58" s="4" t="str">
        <f>IF(N($T58)&gt;0,"YES","NO")</f>
        <v>NO</v>
      </c>
      <c r="K58" s="4" t="str">
        <f>IF(OR($A58="EHT Trace"),IF(AND($U58&lt;&gt;"",$V58&lt;&gt;""),"YES","NO"),"N/A")</f>
        <v>NO</v>
      </c>
      <c r="L58" s="4" t="str">
        <f>IF(OR($A58="EHT Trace"),IF(AND($X58&lt;&gt;"",$Y58&lt;&gt;""),"YES","NO"),"N/A")</f>
        <v>NO</v>
      </c>
      <c r="M58" s="4" t="str">
        <f>IF(OR($A58="EHT Trace"),IF(AND($AA58&lt;&gt;"",$AB58&lt;&gt;""),"YES","NO"),"N/A")</f>
        <v>NO</v>
      </c>
      <c r="N58" s="4" t="str">
        <f>IF(OR($A58="Power Cable"),IF(AND($AD58&lt;&gt;""),"YES","NO"),"N/A")</f>
        <v>N/A</v>
      </c>
      <c r="O58" s="4" t="str">
        <f>IF(OR($A58="Power Cable",$A58="RTD Cable",$A58="Fieldbus Cable"),IF(AND($AE58&lt;&gt;""),"YES","NO"),"N/A")</f>
        <v>N/A</v>
      </c>
      <c r="P58" s="4" t="str">
        <f>IF(OR($A58="RTD"),IF(AND($AH58&lt;&gt;""),"YES","NO"),"N/A")</f>
        <v>N/A</v>
      </c>
      <c r="Q58" s="4" t="str">
        <f>IF(OR($A58="RTD"),IF(AND($AI58&lt;&gt;""),"YES","NO"),"N/A")</f>
        <v>N/A</v>
      </c>
      <c r="R58" s="4" t="str">
        <f>IF(OR($AM58&lt;&gt;"",$Z58&lt;&gt;"",$AC58&lt;&gt;""),"YES","NO")</f>
        <v>NO</v>
      </c>
      <c r="S58" s="4" t="str">
        <f>IF(COUNTIF(I58:R58,"NO")=0,"YES","NO")</f>
        <v>NO</v>
      </c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inlineStr">
        <is>
          <t>D/32SQ3200/52.5M/2063/277/1.2M/LS23A/X/N12</t>
        </is>
      </c>
      <c r="AK58" s="9" t="inlineStr">
        <is>
          <t>52.5 m m</t>
        </is>
      </c>
      <c r="AL58" s="9" t="inlineStr">
        <is>
          <t>Levy Ostrup</t>
        </is>
      </c>
      <c r="AM58" s="9" t="n"/>
      <c r="AN58" s="9" t="n"/>
    </row>
    <row r="59">
      <c r="A59" s="9" t="inlineStr">
        <is>
          <t>EHT Trace</t>
        </is>
      </c>
      <c r="B59" s="9" t="inlineStr">
        <is>
          <t>29103-ET-PE1101-2-2</t>
        </is>
      </c>
      <c r="C59" s="9" t="inlineStr">
        <is>
          <t>29103-ET-PE1101-2</t>
        </is>
      </c>
      <c r="D59" s="9" t="inlineStr">
        <is>
          <t>HTC-24 / CB-24</t>
        </is>
      </c>
      <c r="E59" s="9" t="inlineStr">
        <is>
          <t>29103-PE-1101</t>
        </is>
      </c>
      <c r="F59" s="9" t="inlineStr">
        <is>
          <t>29103-65R-ET-PE1101-02-01</t>
        </is>
      </c>
      <c r="G59" s="9" t="inlineStr">
        <is>
          <t>13.1</t>
        </is>
      </c>
      <c r="H59" s="9" t="inlineStr">
        <is>
          <t>29103-ET-PE1101-2-2.pdf</t>
        </is>
      </c>
      <c r="I59" s="4" t="str">
        <f>IF($H59&lt;&gt;"","YES","NO")</f>
        <v>YES</v>
      </c>
      <c r="J59" s="4" t="str">
        <f>IF(N($T59)&gt;0,"YES","NO")</f>
        <v>NO</v>
      </c>
      <c r="K59" s="4" t="str">
        <f>IF(OR($A59="EHT Trace"),IF(AND($U59&lt;&gt;"",$V59&lt;&gt;""),"YES","NO"),"N/A")</f>
        <v>NO</v>
      </c>
      <c r="L59" s="4" t="str">
        <f>IF(OR($A59="EHT Trace"),IF(AND($X59&lt;&gt;"",$Y59&lt;&gt;""),"YES","NO"),"N/A")</f>
        <v>NO</v>
      </c>
      <c r="M59" s="4" t="str">
        <f>IF(OR($A59="EHT Trace"),IF(AND($AA59&lt;&gt;"",$AB59&lt;&gt;""),"YES","NO"),"N/A")</f>
        <v>NO</v>
      </c>
      <c r="N59" s="4" t="str">
        <f>IF(OR($A59="Power Cable"),IF(AND($AD59&lt;&gt;""),"YES","NO"),"N/A")</f>
        <v>N/A</v>
      </c>
      <c r="O59" s="4" t="str">
        <f>IF(OR($A59="Power Cable",$A59="RTD Cable",$A59="Fieldbus Cable"),IF(AND($AE59&lt;&gt;""),"YES","NO"),"N/A")</f>
        <v>N/A</v>
      </c>
      <c r="P59" s="4" t="str">
        <f>IF(OR($A59="RTD"),IF(AND($AH59&lt;&gt;""),"YES","NO"),"N/A")</f>
        <v>N/A</v>
      </c>
      <c r="Q59" s="4" t="str">
        <f>IF(OR($A59="RTD"),IF(AND($AI59&lt;&gt;""),"YES","NO"),"N/A")</f>
        <v>N/A</v>
      </c>
      <c r="R59" s="4" t="str">
        <f>IF(OR($AM59&lt;&gt;"",$Z59&lt;&gt;"",$AC59&lt;&gt;""),"YES","NO")</f>
        <v>NO</v>
      </c>
      <c r="S59" s="4" t="str">
        <f>IF(COUNTIF(I59:R59,"NO")=0,"YES","NO")</f>
        <v>NO</v>
      </c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inlineStr">
        <is>
          <t>D/32SB2114/29.4M/694/277/1.2M/LS23A/X/N12</t>
        </is>
      </c>
      <c r="AK59" s="9" t="inlineStr">
        <is>
          <t>29.4 m m</t>
        </is>
      </c>
      <c r="AL59" s="9" t="inlineStr">
        <is>
          <t>Levy Ostrup</t>
        </is>
      </c>
      <c r="AM59" s="9" t="n"/>
      <c r="AN59" s="9" t="n"/>
    </row>
    <row r="60">
      <c r="A60" s="9" t="inlineStr">
        <is>
          <t>EHT Trace</t>
        </is>
      </c>
      <c r="B60" s="9" t="inlineStr">
        <is>
          <t>29103-ET-PE1102-1-1</t>
        </is>
      </c>
      <c r="C60" s="9" t="inlineStr">
        <is>
          <t>29103-ET-PE1102-1</t>
        </is>
      </c>
      <c r="D60" s="9" t="inlineStr">
        <is>
          <t>HTC-23 / CB-23</t>
        </is>
      </c>
      <c r="E60" s="9" t="inlineStr">
        <is>
          <t>29103-PE-1103, 29103-PE-1102</t>
        </is>
      </c>
      <c r="F60" s="9" t="inlineStr">
        <is>
          <t>29103-65R-ET-PE1102-01-01</t>
        </is>
      </c>
      <c r="G60" s="9" t="inlineStr">
        <is>
          <t>13.1</t>
        </is>
      </c>
      <c r="H60" s="9" t="inlineStr">
        <is>
          <t>29103-ET-PE1102-1-1.pdf</t>
        </is>
      </c>
      <c r="I60" s="4" t="str">
        <f>IF($H60&lt;&gt;"","YES","NO")</f>
        <v>YES</v>
      </c>
      <c r="J60" s="4" t="str">
        <f>IF(N($T60)&gt;0,"YES","NO")</f>
        <v>YES</v>
      </c>
      <c r="K60" s="4" t="str">
        <f>IF(OR($A60="EHT Trace"),IF(AND($U60&lt;&gt;"",$V60&lt;&gt;""),"YES","NO"),"N/A")</f>
        <v>NO</v>
      </c>
      <c r="L60" s="4" t="str">
        <f>IF(OR($A60="EHT Trace"),IF(AND($X60&lt;&gt;"",$Y60&lt;&gt;""),"YES","NO"),"N/A")</f>
        <v>YES</v>
      </c>
      <c r="M60" s="4" t="str">
        <f>IF(OR($A60="EHT Trace"),IF(AND($AA60&lt;&gt;"",$AB60&lt;&gt;""),"YES","NO"),"N/A")</f>
        <v>NO</v>
      </c>
      <c r="N60" s="4" t="str">
        <f>IF(OR($A60="Power Cable"),IF(AND($AD60&lt;&gt;""),"YES","NO"),"N/A")</f>
        <v>N/A</v>
      </c>
      <c r="O60" s="4" t="str">
        <f>IF(OR($A60="Power Cable",$A60="RTD Cable",$A60="Fieldbus Cable"),IF(AND($AE60&lt;&gt;""),"YES","NO"),"N/A")</f>
        <v>N/A</v>
      </c>
      <c r="P60" s="4" t="str">
        <f>IF(OR($A60="RTD"),IF(AND($AH60&lt;&gt;""),"YES","NO"),"N/A")</f>
        <v>N/A</v>
      </c>
      <c r="Q60" s="4" t="str">
        <f>IF(OR($A60="RTD"),IF(AND($AI60&lt;&gt;""),"YES","NO"),"N/A")</f>
        <v>N/A</v>
      </c>
      <c r="R60" s="4" t="str">
        <f>IF(OR($AM60&lt;&gt;"",$Z60&lt;&gt;"",$AC60&lt;&gt;""),"YES","NO")</f>
        <v>YES</v>
      </c>
      <c r="S60" s="4" t="str">
        <f>IF(COUNTIF(I60:R60,"NO")=0,"YES","NO")</f>
        <v>NO</v>
      </c>
      <c r="T60" s="9" t="n">
        <v>3</v>
      </c>
      <c r="U60" s="9" t="n"/>
      <c r="V60" s="9" t="n"/>
      <c r="W60" s="9" t="n"/>
      <c r="X60" s="9" t="inlineStr">
        <is>
          <t>550 MΩ</t>
        </is>
      </c>
      <c r="Y60" s="9" t="inlineStr">
        <is>
          <t>44.7 Ω</t>
        </is>
      </c>
      <c r="Z60" s="9" t="inlineStr">
        <is>
          <t>2026-08-12</t>
        </is>
      </c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inlineStr">
        <is>
          <t>D/32SQ3374/34.9M/1658/277/1.2M/LS23A/X/N12</t>
        </is>
      </c>
      <c r="AK60" s="9" t="inlineStr">
        <is>
          <t>34.9 m m</t>
        </is>
      </c>
      <c r="AL60" s="9" t="inlineStr">
        <is>
          <t>Levy Ostrup</t>
        </is>
      </c>
      <c r="AM60" s="9" t="n"/>
      <c r="AN60" s="9" t="inlineStr">
        <is>
          <t>No core markers for the RTD.</t>
        </is>
      </c>
    </row>
    <row r="61">
      <c r="A61" s="9" t="inlineStr">
        <is>
          <t>EHT Trace</t>
        </is>
      </c>
      <c r="B61" s="9" t="inlineStr">
        <is>
          <t>29103-ET-PE1201-1-1</t>
        </is>
      </c>
      <c r="C61" s="9" t="inlineStr">
        <is>
          <t>29103-ET-PE1201-1</t>
        </is>
      </c>
      <c r="D61" s="9" t="inlineStr">
        <is>
          <t>HTC-22 / CB-22</t>
        </is>
      </c>
      <c r="E61" s="9" t="inlineStr">
        <is>
          <t>29103-PE-1201</t>
        </is>
      </c>
      <c r="F61" s="9" t="inlineStr">
        <is>
          <t>29103-65R-ET-PE1201-01-01</t>
        </is>
      </c>
      <c r="G61" s="9" t="inlineStr">
        <is>
          <t>13.1</t>
        </is>
      </c>
      <c r="H61" s="9" t="inlineStr">
        <is>
          <t>29103-ET-PE1201-1-1.pdf</t>
        </is>
      </c>
      <c r="I61" s="4" t="str">
        <f>IF($H61&lt;&gt;"","YES","NO")</f>
        <v>YES</v>
      </c>
      <c r="J61" s="4" t="str">
        <f>IF(N($T61)&gt;0,"YES","NO")</f>
        <v>NO</v>
      </c>
      <c r="K61" s="4" t="str">
        <f>IF(OR($A61="EHT Trace"),IF(AND($U61&lt;&gt;"",$V61&lt;&gt;""),"YES","NO"),"N/A")</f>
        <v>NO</v>
      </c>
      <c r="L61" s="4" t="str">
        <f>IF(OR($A61="EHT Trace"),IF(AND($X61&lt;&gt;"",$Y61&lt;&gt;""),"YES","NO"),"N/A")</f>
        <v>NO</v>
      </c>
      <c r="M61" s="4" t="str">
        <f>IF(OR($A61="EHT Trace"),IF(AND($AA61&lt;&gt;"",$AB61&lt;&gt;""),"YES","NO"),"N/A")</f>
        <v>NO</v>
      </c>
      <c r="N61" s="4" t="str">
        <f>IF(OR($A61="Power Cable"),IF(AND($AD61&lt;&gt;""),"YES","NO"),"N/A")</f>
        <v>N/A</v>
      </c>
      <c r="O61" s="4" t="str">
        <f>IF(OR($A61="Power Cable",$A61="RTD Cable",$A61="Fieldbus Cable"),IF(AND($AE61&lt;&gt;""),"YES","NO"),"N/A")</f>
        <v>N/A</v>
      </c>
      <c r="P61" s="4" t="str">
        <f>IF(OR($A61="RTD"),IF(AND($AH61&lt;&gt;""),"YES","NO"),"N/A")</f>
        <v>N/A</v>
      </c>
      <c r="Q61" s="4" t="str">
        <f>IF(OR($A61="RTD"),IF(AND($AI61&lt;&gt;""),"YES","NO"),"N/A")</f>
        <v>N/A</v>
      </c>
      <c r="R61" s="4" t="str">
        <f>IF(OR($AM61&lt;&gt;"",$Z61&lt;&gt;"",$AC61&lt;&gt;""),"YES","NO")</f>
        <v>NO</v>
      </c>
      <c r="S61" s="4" t="str">
        <f>IF(COUNTIF(I61:R61,"NO")=0,"YES","NO")</f>
        <v>NO</v>
      </c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inlineStr">
        <is>
          <t>D/32SF1110/7.5M/280/277/1.2M/LS23A/X/N12</t>
        </is>
      </c>
      <c r="AK61" s="9" t="inlineStr">
        <is>
          <t>7.5 m m</t>
        </is>
      </c>
      <c r="AL61" s="9" t="inlineStr">
        <is>
          <t>Levy Ostrup</t>
        </is>
      </c>
      <c r="AM61" s="9" t="n"/>
      <c r="AN61" s="9" t="n"/>
    </row>
    <row r="62">
      <c r="A62" s="9" t="inlineStr">
        <is>
          <t>EHT Trace</t>
        </is>
      </c>
      <c r="B62" s="9" t="inlineStr">
        <is>
          <t>29103-ET-PE1201-1-2</t>
        </is>
      </c>
      <c r="C62" s="9" t="inlineStr">
        <is>
          <t>29103-ET-PE1201-1</t>
        </is>
      </c>
      <c r="D62" s="9" t="inlineStr">
        <is>
          <t>HTC-22 / CB-22</t>
        </is>
      </c>
      <c r="E62" s="9" t="inlineStr">
        <is>
          <t>29103-PE-1201</t>
        </is>
      </c>
      <c r="F62" s="9" t="inlineStr">
        <is>
          <t>29103-65R-ET-PE1201-01-01</t>
        </is>
      </c>
      <c r="G62" s="9" t="inlineStr">
        <is>
          <t>13.1</t>
        </is>
      </c>
      <c r="H62" s="9" t="inlineStr">
        <is>
          <t>29103-ET-PE1201-1-2.pdf</t>
        </is>
      </c>
      <c r="I62" s="4" t="str">
        <f>IF($H62&lt;&gt;"","YES","NO")</f>
        <v>YES</v>
      </c>
      <c r="J62" s="4" t="str">
        <f>IF(N($T62)&gt;0,"YES","NO")</f>
        <v>NO</v>
      </c>
      <c r="K62" s="4" t="str">
        <f>IF(OR($A62="EHT Trace"),IF(AND($U62&lt;&gt;"",$V62&lt;&gt;""),"YES","NO"),"N/A")</f>
        <v>NO</v>
      </c>
      <c r="L62" s="4" t="str">
        <f>IF(OR($A62="EHT Trace"),IF(AND($X62&lt;&gt;"",$Y62&lt;&gt;""),"YES","NO"),"N/A")</f>
        <v>NO</v>
      </c>
      <c r="M62" s="4" t="str">
        <f>IF(OR($A62="EHT Trace"),IF(AND($AA62&lt;&gt;"",$AB62&lt;&gt;""),"YES","NO"),"N/A")</f>
        <v>NO</v>
      </c>
      <c r="N62" s="4" t="str">
        <f>IF(OR($A62="Power Cable"),IF(AND($AD62&lt;&gt;""),"YES","NO"),"N/A")</f>
        <v>N/A</v>
      </c>
      <c r="O62" s="4" t="str">
        <f>IF(OR($A62="Power Cable",$A62="RTD Cable",$A62="Fieldbus Cable"),IF(AND($AE62&lt;&gt;""),"YES","NO"),"N/A")</f>
        <v>N/A</v>
      </c>
      <c r="P62" s="4" t="str">
        <f>IF(OR($A62="RTD"),IF(AND($AH62&lt;&gt;""),"YES","NO"),"N/A")</f>
        <v>N/A</v>
      </c>
      <c r="Q62" s="4" t="str">
        <f>IF(OR($A62="RTD"),IF(AND($AI62&lt;&gt;""),"YES","NO"),"N/A")</f>
        <v>N/A</v>
      </c>
      <c r="R62" s="4" t="str">
        <f>IF(OR($AM62&lt;&gt;"",$Z62&lt;&gt;"",$AC62&lt;&gt;""),"YES","NO")</f>
        <v>NO</v>
      </c>
      <c r="S62" s="4" t="str">
        <f>IF(COUNTIF(I62:R62,"NO")=0,"YES","NO")</f>
        <v>NO</v>
      </c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inlineStr">
        <is>
          <t>E/32SQ3472/10.8M/522/97.1/1.2M/LS23A/X/N12/XNF</t>
        </is>
      </c>
      <c r="AK62" s="9" t="inlineStr">
        <is>
          <t>10.8 m m</t>
        </is>
      </c>
      <c r="AL62" s="9" t="inlineStr">
        <is>
          <t>Levy Ostrup</t>
        </is>
      </c>
      <c r="AM62" s="9" t="n"/>
      <c r="AN62" s="9" t="n"/>
    </row>
    <row r="63">
      <c r="A63" s="9" t="inlineStr">
        <is>
          <t>EHT Trace</t>
        </is>
      </c>
      <c r="B63" s="9" t="inlineStr">
        <is>
          <t>29103-ET-PE1201-1-3</t>
        </is>
      </c>
      <c r="C63" s="9" t="inlineStr">
        <is>
          <t>29103-ET-PE1201-1</t>
        </is>
      </c>
      <c r="D63" s="9" t="inlineStr">
        <is>
          <t>HTC-22 / CB-22</t>
        </is>
      </c>
      <c r="E63" s="9" t="inlineStr">
        <is>
          <t>29103-PE-1201</t>
        </is>
      </c>
      <c r="F63" s="9" t="inlineStr">
        <is>
          <t>29103-65R-ET-PE1201-01-01</t>
        </is>
      </c>
      <c r="G63" s="9" t="inlineStr">
        <is>
          <t>13.1</t>
        </is>
      </c>
      <c r="H63" s="9" t="inlineStr">
        <is>
          <t>29103-ET-PE1201-1-3.pdf</t>
        </is>
      </c>
      <c r="I63" s="4" t="str">
        <f>IF($H63&lt;&gt;"","YES","NO")</f>
        <v>YES</v>
      </c>
      <c r="J63" s="4" t="str">
        <f>IF(N($T63)&gt;0,"YES","NO")</f>
        <v>NO</v>
      </c>
      <c r="K63" s="4" t="str">
        <f>IF(OR($A63="EHT Trace"),IF(AND($U63&lt;&gt;"",$V63&lt;&gt;""),"YES","NO"),"N/A")</f>
        <v>NO</v>
      </c>
      <c r="L63" s="4" t="str">
        <f>IF(OR($A63="EHT Trace"),IF(AND($X63&lt;&gt;"",$Y63&lt;&gt;""),"YES","NO"),"N/A")</f>
        <v>NO</v>
      </c>
      <c r="M63" s="4" t="str">
        <f>IF(OR($A63="EHT Trace"),IF(AND($AA63&lt;&gt;"",$AB63&lt;&gt;""),"YES","NO"),"N/A")</f>
        <v>NO</v>
      </c>
      <c r="N63" s="4" t="str">
        <f>IF(OR($A63="Power Cable"),IF(AND($AD63&lt;&gt;""),"YES","NO"),"N/A")</f>
        <v>N/A</v>
      </c>
      <c r="O63" s="4" t="str">
        <f>IF(OR($A63="Power Cable",$A63="RTD Cable",$A63="Fieldbus Cable"),IF(AND($AE63&lt;&gt;""),"YES","NO"),"N/A")</f>
        <v>N/A</v>
      </c>
      <c r="P63" s="4" t="str">
        <f>IF(OR($A63="RTD"),IF(AND($AH63&lt;&gt;""),"YES","NO"),"N/A")</f>
        <v>N/A</v>
      </c>
      <c r="Q63" s="4" t="str">
        <f>IF(OR($A63="RTD"),IF(AND($AI63&lt;&gt;""),"YES","NO"),"N/A")</f>
        <v>N/A</v>
      </c>
      <c r="R63" s="4" t="str">
        <f>IF(OR($AM63&lt;&gt;"",$Z63&lt;&gt;"",$AC63&lt;&gt;""),"YES","NO")</f>
        <v>NO</v>
      </c>
      <c r="S63" s="4" t="str">
        <f>IF(COUNTIF(I63:R63,"NO")=0,"YES","NO")</f>
        <v>NO</v>
      </c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inlineStr">
        <is>
          <t>E/32SQ3472/6.6M/319/59.4/1.2M/LS23A/X/N12/XMF</t>
        </is>
      </c>
      <c r="AK63" s="9" t="inlineStr">
        <is>
          <t>6.6 m m</t>
        </is>
      </c>
      <c r="AL63" s="9" t="inlineStr">
        <is>
          <t>Levy Ostrup</t>
        </is>
      </c>
      <c r="AM63" s="9" t="n"/>
      <c r="AN63" s="9" t="n"/>
    </row>
    <row r="64">
      <c r="A64" s="9" t="inlineStr">
        <is>
          <t>EHT Trace</t>
        </is>
      </c>
      <c r="B64" s="9" t="inlineStr">
        <is>
          <t>29103-ET-PE1201-1-4</t>
        </is>
      </c>
      <c r="C64" s="9" t="inlineStr">
        <is>
          <t>29103-ET-PE1201-1</t>
        </is>
      </c>
      <c r="D64" s="9" t="inlineStr">
        <is>
          <t>HTC-22 / CB-22</t>
        </is>
      </c>
      <c r="E64" s="9" t="inlineStr">
        <is>
          <t>29103-PE-1201</t>
        </is>
      </c>
      <c r="F64" s="9" t="inlineStr">
        <is>
          <t>29103-65R-ET-PE1201-01-01</t>
        </is>
      </c>
      <c r="G64" s="9" t="inlineStr">
        <is>
          <t>13.1</t>
        </is>
      </c>
      <c r="H64" s="9" t="inlineStr">
        <is>
          <t>29103-ET-PE1201-1-4.pdf</t>
        </is>
      </c>
      <c r="I64" s="4" t="str">
        <f>IF($H64&lt;&gt;"","YES","NO")</f>
        <v>YES</v>
      </c>
      <c r="J64" s="4" t="str">
        <f>IF(N($T64)&gt;0,"YES","NO")</f>
        <v>NO</v>
      </c>
      <c r="K64" s="4" t="str">
        <f>IF(OR($A64="EHT Trace"),IF(AND($U64&lt;&gt;"",$V64&lt;&gt;""),"YES","NO"),"N/A")</f>
        <v>NO</v>
      </c>
      <c r="L64" s="4" t="str">
        <f>IF(OR($A64="EHT Trace"),IF(AND($X64&lt;&gt;"",$Y64&lt;&gt;""),"YES","NO"),"N/A")</f>
        <v>NO</v>
      </c>
      <c r="M64" s="4" t="str">
        <f>IF(OR($A64="EHT Trace"),IF(AND($AA64&lt;&gt;"",$AB64&lt;&gt;""),"YES","NO"),"N/A")</f>
        <v>NO</v>
      </c>
      <c r="N64" s="4" t="str">
        <f>IF(OR($A64="Power Cable"),IF(AND($AD64&lt;&gt;""),"YES","NO"),"N/A")</f>
        <v>N/A</v>
      </c>
      <c r="O64" s="4" t="str">
        <f>IF(OR($A64="Power Cable",$A64="RTD Cable",$A64="Fieldbus Cable"),IF(AND($AE64&lt;&gt;""),"YES","NO"),"N/A")</f>
        <v>N/A</v>
      </c>
      <c r="P64" s="4" t="str">
        <f>IF(OR($A64="RTD"),IF(AND($AH64&lt;&gt;""),"YES","NO"),"N/A")</f>
        <v>N/A</v>
      </c>
      <c r="Q64" s="4" t="str">
        <f>IF(OR($A64="RTD"),IF(AND($AI64&lt;&gt;""),"YES","NO"),"N/A")</f>
        <v>N/A</v>
      </c>
      <c r="R64" s="4" t="str">
        <f>IF(OR($AM64&lt;&gt;"",$Z64&lt;&gt;"",$AC64&lt;&gt;""),"YES","NO")</f>
        <v>NO</v>
      </c>
      <c r="S64" s="4" t="str">
        <f>IF(COUNTIF(I64:R64,"NO")=0,"YES","NO")</f>
        <v>NO</v>
      </c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inlineStr">
        <is>
          <t>D/32SQ3472/13.4M/647/121/1.2M/LS23A/X/N12/XMN</t>
        </is>
      </c>
      <c r="AK64" s="9" t="inlineStr">
        <is>
          <t>13.4 m m</t>
        </is>
      </c>
      <c r="AL64" s="9" t="inlineStr">
        <is>
          <t>Levy Ostrup</t>
        </is>
      </c>
      <c r="AM64" s="9" t="n"/>
      <c r="AN64" s="9" t="n"/>
    </row>
    <row r="65">
      <c r="A65" s="9" t="inlineStr">
        <is>
          <t>EHT Trace</t>
        </is>
      </c>
      <c r="B65" s="9" t="inlineStr">
        <is>
          <t>29103-ET-PE1201-2-1</t>
        </is>
      </c>
      <c r="C65" s="9" t="inlineStr">
        <is>
          <t>29103-ET-PE1201-2</t>
        </is>
      </c>
      <c r="D65" s="9" t="inlineStr">
        <is>
          <t>HTC-20 / CB-20</t>
        </is>
      </c>
      <c r="E65" s="9" t="inlineStr">
        <is>
          <t>29103-PE-1201</t>
        </is>
      </c>
      <c r="F65" s="9" t="inlineStr">
        <is>
          <t>29103-65R-ET-PE1201-02-01</t>
        </is>
      </c>
      <c r="G65" s="9" t="inlineStr">
        <is>
          <t>13.1</t>
        </is>
      </c>
      <c r="H65" s="9" t="inlineStr">
        <is>
          <t>29103-ET-PE1201-2-1.pdf</t>
        </is>
      </c>
      <c r="I65" s="4" t="str">
        <f>IF($H65&lt;&gt;"","YES","NO")</f>
        <v>YES</v>
      </c>
      <c r="J65" s="4" t="str">
        <f>IF(N($T65)&gt;0,"YES","NO")</f>
        <v>NO</v>
      </c>
      <c r="K65" s="4" t="str">
        <f>IF(OR($A65="EHT Trace"),IF(AND($U65&lt;&gt;"",$V65&lt;&gt;""),"YES","NO"),"N/A")</f>
        <v>NO</v>
      </c>
      <c r="L65" s="4" t="str">
        <f>IF(OR($A65="EHT Trace"),IF(AND($X65&lt;&gt;"",$Y65&lt;&gt;""),"YES","NO"),"N/A")</f>
        <v>NO</v>
      </c>
      <c r="M65" s="4" t="str">
        <f>IF(OR($A65="EHT Trace"),IF(AND($AA65&lt;&gt;"",$AB65&lt;&gt;""),"YES","NO"),"N/A")</f>
        <v>NO</v>
      </c>
      <c r="N65" s="4" t="str">
        <f>IF(OR($A65="Power Cable"),IF(AND($AD65&lt;&gt;""),"YES","NO"),"N/A")</f>
        <v>N/A</v>
      </c>
      <c r="O65" s="4" t="str">
        <f>IF(OR($A65="Power Cable",$A65="RTD Cable",$A65="Fieldbus Cable"),IF(AND($AE65&lt;&gt;""),"YES","NO"),"N/A")</f>
        <v>N/A</v>
      </c>
      <c r="P65" s="4" t="str">
        <f>IF(OR($A65="RTD"),IF(AND($AH65&lt;&gt;""),"YES","NO"),"N/A")</f>
        <v>N/A</v>
      </c>
      <c r="Q65" s="4" t="str">
        <f>IF(OR($A65="RTD"),IF(AND($AI65&lt;&gt;""),"YES","NO"),"N/A")</f>
        <v>N/A</v>
      </c>
      <c r="R65" s="4" t="str">
        <f>IF(OR($AM65&lt;&gt;"",$Z65&lt;&gt;"",$AC65&lt;&gt;""),"YES","NO")</f>
        <v>NO</v>
      </c>
      <c r="S65" s="4" t="str">
        <f>IF(COUNTIF(I65:R65,"NO")=0,"YES","NO")</f>
        <v>NO</v>
      </c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inlineStr">
        <is>
          <t>D/32SQ3200/52.1M/2079/277/1.2M/LS23A/X/N12</t>
        </is>
      </c>
      <c r="AK65" s="9" t="inlineStr">
        <is>
          <t>52.1 m m</t>
        </is>
      </c>
      <c r="AL65" s="9" t="inlineStr">
        <is>
          <t>Levy Ostrup</t>
        </is>
      </c>
      <c r="AM65" s="9" t="n"/>
      <c r="AN65" s="9" t="n"/>
    </row>
    <row r="66">
      <c r="A66" s="9" t="inlineStr">
        <is>
          <t>EHT Trace</t>
        </is>
      </c>
      <c r="B66" s="9" t="inlineStr">
        <is>
          <t>29103-ET-PE1201-2-2</t>
        </is>
      </c>
      <c r="C66" s="9" t="inlineStr">
        <is>
          <t>29103-ET-PE1201-2</t>
        </is>
      </c>
      <c r="D66" s="9" t="inlineStr">
        <is>
          <t>HTC-20 / CB-20</t>
        </is>
      </c>
      <c r="E66" s="9" t="inlineStr">
        <is>
          <t>29103-PE-1201</t>
        </is>
      </c>
      <c r="F66" s="9" t="inlineStr">
        <is>
          <t>29103-65R-ET-PE1201-02-01</t>
        </is>
      </c>
      <c r="G66" s="9" t="inlineStr">
        <is>
          <t>13.1</t>
        </is>
      </c>
      <c r="H66" s="9" t="inlineStr">
        <is>
          <t>29103-ET-PE1201-2-2.pdf</t>
        </is>
      </c>
      <c r="I66" s="4" t="str">
        <f>IF($H66&lt;&gt;"","YES","NO")</f>
        <v>YES</v>
      </c>
      <c r="J66" s="4" t="str">
        <f>IF(N($T66)&gt;0,"YES","NO")</f>
        <v>NO</v>
      </c>
      <c r="K66" s="4" t="str">
        <f>IF(OR($A66="EHT Trace"),IF(AND($U66&lt;&gt;"",$V66&lt;&gt;""),"YES","NO"),"N/A")</f>
        <v>NO</v>
      </c>
      <c r="L66" s="4" t="str">
        <f>IF(OR($A66="EHT Trace"),IF(AND($X66&lt;&gt;"",$Y66&lt;&gt;""),"YES","NO"),"N/A")</f>
        <v>NO</v>
      </c>
      <c r="M66" s="4" t="str">
        <f>IF(OR($A66="EHT Trace"),IF(AND($AA66&lt;&gt;"",$AB66&lt;&gt;""),"YES","NO"),"N/A")</f>
        <v>NO</v>
      </c>
      <c r="N66" s="4" t="str">
        <f>IF(OR($A66="Power Cable"),IF(AND($AD66&lt;&gt;""),"YES","NO"),"N/A")</f>
        <v>N/A</v>
      </c>
      <c r="O66" s="4" t="str">
        <f>IF(OR($A66="Power Cable",$A66="RTD Cable",$A66="Fieldbus Cable"),IF(AND($AE66&lt;&gt;""),"YES","NO"),"N/A")</f>
        <v>N/A</v>
      </c>
      <c r="P66" s="4" t="str">
        <f>IF(OR($A66="RTD"),IF(AND($AH66&lt;&gt;""),"YES","NO"),"N/A")</f>
        <v>N/A</v>
      </c>
      <c r="Q66" s="4" t="str">
        <f>IF(OR($A66="RTD"),IF(AND($AI66&lt;&gt;""),"YES","NO"),"N/A")</f>
        <v>N/A</v>
      </c>
      <c r="R66" s="4" t="str">
        <f>IF(OR($AM66&lt;&gt;"",$Z66&lt;&gt;"",$AC66&lt;&gt;""),"YES","NO")</f>
        <v>NO</v>
      </c>
      <c r="S66" s="4" t="str">
        <f>IF(COUNTIF(I66:R66,"NO")=0,"YES","NO")</f>
        <v>NO</v>
      </c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inlineStr">
        <is>
          <t>D/32SB2114/29.2M/701/277/1.2M/LS23A/X/N12</t>
        </is>
      </c>
      <c r="AK66" s="9" t="inlineStr">
        <is>
          <t>29.2 m m</t>
        </is>
      </c>
      <c r="AL66" s="9" t="inlineStr">
        <is>
          <t>Levy Ostrup</t>
        </is>
      </c>
      <c r="AM66" s="9" t="n"/>
      <c r="AN66" s="9" t="n"/>
    </row>
    <row r="67">
      <c r="A67" s="9" t="inlineStr">
        <is>
          <t>EHT Trace</t>
        </is>
      </c>
      <c r="B67" s="9" t="inlineStr">
        <is>
          <t>29103-ET-PE1202-1-1</t>
        </is>
      </c>
      <c r="C67" s="9" t="inlineStr">
        <is>
          <t>29103-ET-PE1202-1</t>
        </is>
      </c>
      <c r="D67" s="9" t="inlineStr">
        <is>
          <t>HTC-18 / CB-18</t>
        </is>
      </c>
      <c r="E67" s="9" t="inlineStr">
        <is>
          <t>29103-PE-1203, 29103-PE-1202</t>
        </is>
      </c>
      <c r="F67" s="9" t="inlineStr">
        <is>
          <t>29103-65R-ET-PE1202-01-01</t>
        </is>
      </c>
      <c r="G67" s="9" t="inlineStr">
        <is>
          <t>13.1</t>
        </is>
      </c>
      <c r="H67" s="9" t="inlineStr">
        <is>
          <t>29103-ET-PE1202-1-1.pdf</t>
        </is>
      </c>
      <c r="I67" s="4" t="str">
        <f>IF($H67&lt;&gt;"","YES","NO")</f>
        <v>YES</v>
      </c>
      <c r="J67" s="4" t="str">
        <f>IF(N($T67)&gt;0,"YES","NO")</f>
        <v>YES</v>
      </c>
      <c r="K67" s="4" t="str">
        <f>IF(OR($A67="EHT Trace"),IF(AND($U67&lt;&gt;"",$V67&lt;&gt;""),"YES","NO"),"N/A")</f>
        <v>NO</v>
      </c>
      <c r="L67" s="4" t="str">
        <f>IF(OR($A67="EHT Trace"),IF(AND($X67&lt;&gt;"",$Y67&lt;&gt;""),"YES","NO"),"N/A")</f>
        <v>YES</v>
      </c>
      <c r="M67" s="4" t="str">
        <f>IF(OR($A67="EHT Trace"),IF(AND($AA67&lt;&gt;"",$AB67&lt;&gt;""),"YES","NO"),"N/A")</f>
        <v>NO</v>
      </c>
      <c r="N67" s="4" t="str">
        <f>IF(OR($A67="Power Cable"),IF(AND($AD67&lt;&gt;""),"YES","NO"),"N/A")</f>
        <v>N/A</v>
      </c>
      <c r="O67" s="4" t="str">
        <f>IF(OR($A67="Power Cable",$A67="RTD Cable",$A67="Fieldbus Cable"),IF(AND($AE67&lt;&gt;""),"YES","NO"),"N/A")</f>
        <v>N/A</v>
      </c>
      <c r="P67" s="4" t="str">
        <f>IF(OR($A67="RTD"),IF(AND($AH67&lt;&gt;""),"YES","NO"),"N/A")</f>
        <v>N/A</v>
      </c>
      <c r="Q67" s="4" t="str">
        <f>IF(OR($A67="RTD"),IF(AND($AI67&lt;&gt;""),"YES","NO"),"N/A")</f>
        <v>N/A</v>
      </c>
      <c r="R67" s="4" t="str">
        <f>IF(OR($AM67&lt;&gt;"",$Z67&lt;&gt;"",$AC67&lt;&gt;""),"YES","NO")</f>
        <v>YES</v>
      </c>
      <c r="S67" s="4" t="str">
        <f>IF(COUNTIF(I67:R67,"NO")=0,"YES","NO")</f>
        <v>NO</v>
      </c>
      <c r="T67" s="9" t="n">
        <v>3</v>
      </c>
      <c r="U67" s="9" t="n"/>
      <c r="V67" s="9" t="n"/>
      <c r="W67" s="9" t="n"/>
      <c r="X67" s="9" t="inlineStr">
        <is>
          <t>550 MΩ</t>
        </is>
      </c>
      <c r="Y67" s="9" t="inlineStr">
        <is>
          <t>44.7 Ω</t>
        </is>
      </c>
      <c r="Z67" s="9" t="inlineStr">
        <is>
          <t>2026-08-12</t>
        </is>
      </c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inlineStr">
        <is>
          <t>D/32SQ3374/35.4M/1635/277/1.2M/LS23A/X/N12</t>
        </is>
      </c>
      <c r="AK67" s="9" t="inlineStr">
        <is>
          <t>35.4 m m</t>
        </is>
      </c>
      <c r="AL67" s="9" t="inlineStr">
        <is>
          <t>Levy Ostrup</t>
        </is>
      </c>
      <c r="AM67" s="9" t="n"/>
      <c r="AN67" s="9" t="inlineStr">
        <is>
          <t>No stainless steel tags for the JB or RTD.</t>
        </is>
      </c>
    </row>
    <row r="68">
      <c r="A68" s="9" t="inlineStr">
        <is>
          <t>EHT Trace</t>
        </is>
      </c>
      <c r="B68" s="9" t="inlineStr">
        <is>
          <t>29103-ET-PE1301-1-1</t>
        </is>
      </c>
      <c r="C68" s="9" t="inlineStr">
        <is>
          <t>29103-ET-PE1301-1</t>
        </is>
      </c>
      <c r="D68" s="9" t="inlineStr">
        <is>
          <t>HTC-10 / CB-10</t>
        </is>
      </c>
      <c r="E68" s="9" t="inlineStr">
        <is>
          <t>29103-PE-1301</t>
        </is>
      </c>
      <c r="F68" s="9" t="inlineStr">
        <is>
          <t>29103-65R-ET-PE1301-01-01</t>
        </is>
      </c>
      <c r="G68" s="9" t="inlineStr">
        <is>
          <t>13.1</t>
        </is>
      </c>
      <c r="H68" s="9" t="inlineStr">
        <is>
          <t>29103-ET-PE1301-1-1.pdf</t>
        </is>
      </c>
      <c r="I68" s="4" t="str">
        <f>IF($H68&lt;&gt;"","YES","NO")</f>
        <v>YES</v>
      </c>
      <c r="J68" s="4" t="str">
        <f>IF(N($T68)&gt;0,"YES","NO")</f>
        <v>NO</v>
      </c>
      <c r="K68" s="4" t="str">
        <f>IF(OR($A68="EHT Trace"),IF(AND($U68&lt;&gt;"",$V68&lt;&gt;""),"YES","NO"),"N/A")</f>
        <v>NO</v>
      </c>
      <c r="L68" s="4" t="str">
        <f>IF(OR($A68="EHT Trace"),IF(AND($X68&lt;&gt;"",$Y68&lt;&gt;""),"YES","NO"),"N/A")</f>
        <v>NO</v>
      </c>
      <c r="M68" s="4" t="str">
        <f>IF(OR($A68="EHT Trace"),IF(AND($AA68&lt;&gt;"",$AB68&lt;&gt;""),"YES","NO"),"N/A")</f>
        <v>NO</v>
      </c>
      <c r="N68" s="4" t="str">
        <f>IF(OR($A68="Power Cable"),IF(AND($AD68&lt;&gt;""),"YES","NO"),"N/A")</f>
        <v>N/A</v>
      </c>
      <c r="O68" s="4" t="str">
        <f>IF(OR($A68="Power Cable",$A68="RTD Cable",$A68="Fieldbus Cable"),IF(AND($AE68&lt;&gt;""),"YES","NO"),"N/A")</f>
        <v>N/A</v>
      </c>
      <c r="P68" s="4" t="str">
        <f>IF(OR($A68="RTD"),IF(AND($AH68&lt;&gt;""),"YES","NO"),"N/A")</f>
        <v>N/A</v>
      </c>
      <c r="Q68" s="4" t="str">
        <f>IF(OR($A68="RTD"),IF(AND($AI68&lt;&gt;""),"YES","NO"),"N/A")</f>
        <v>N/A</v>
      </c>
      <c r="R68" s="4" t="str">
        <f>IF(OR($AM68&lt;&gt;"",$Z68&lt;&gt;"",$AC68&lt;&gt;""),"YES","NO")</f>
        <v>NO</v>
      </c>
      <c r="S68" s="4" t="str">
        <f>IF(COUNTIF(I68:R68,"NO")=0,"YES","NO")</f>
        <v>NO</v>
      </c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inlineStr">
        <is>
          <t>D/32SF1110/7.8M/269/277/1.2M/LS23A/X/N12</t>
        </is>
      </c>
      <c r="AK68" s="9" t="inlineStr">
        <is>
          <t>7.8 m m</t>
        </is>
      </c>
      <c r="AL68" s="9" t="inlineStr">
        <is>
          <t>Levy Ostrup</t>
        </is>
      </c>
      <c r="AM68" s="9" t="n"/>
      <c r="AN68" s="9" t="n"/>
    </row>
    <row r="69">
      <c r="A69" s="9" t="inlineStr">
        <is>
          <t>EHT Trace</t>
        </is>
      </c>
      <c r="B69" s="9" t="inlineStr">
        <is>
          <t>29103-ET-PE1301-1-2</t>
        </is>
      </c>
      <c r="C69" s="9" t="inlineStr">
        <is>
          <t>29103-ET-PE1301-1</t>
        </is>
      </c>
      <c r="D69" s="9" t="inlineStr">
        <is>
          <t>HTC-10 / CB-10</t>
        </is>
      </c>
      <c r="E69" s="9" t="inlineStr">
        <is>
          <t>29103-PE-1301</t>
        </is>
      </c>
      <c r="F69" s="9" t="inlineStr">
        <is>
          <t>29103-65R-ET-PE1301-01-01</t>
        </is>
      </c>
      <c r="G69" s="9" t="inlineStr">
        <is>
          <t>13.1</t>
        </is>
      </c>
      <c r="H69" s="9" t="inlineStr">
        <is>
          <t>29103-ET-PE1301-1-2.pdf</t>
        </is>
      </c>
      <c r="I69" s="4" t="str">
        <f>IF($H69&lt;&gt;"","YES","NO")</f>
        <v>YES</v>
      </c>
      <c r="J69" s="4" t="str">
        <f>IF(N($T69)&gt;0,"YES","NO")</f>
        <v>NO</v>
      </c>
      <c r="K69" s="4" t="str">
        <f>IF(OR($A69="EHT Trace"),IF(AND($U69&lt;&gt;"",$V69&lt;&gt;""),"YES","NO"),"N/A")</f>
        <v>NO</v>
      </c>
      <c r="L69" s="4" t="str">
        <f>IF(OR($A69="EHT Trace"),IF(AND($X69&lt;&gt;"",$Y69&lt;&gt;""),"YES","NO"),"N/A")</f>
        <v>NO</v>
      </c>
      <c r="M69" s="4" t="str">
        <f>IF(OR($A69="EHT Trace"),IF(AND($AA69&lt;&gt;"",$AB69&lt;&gt;""),"YES","NO"),"N/A")</f>
        <v>NO</v>
      </c>
      <c r="N69" s="4" t="str">
        <f>IF(OR($A69="Power Cable"),IF(AND($AD69&lt;&gt;""),"YES","NO"),"N/A")</f>
        <v>N/A</v>
      </c>
      <c r="O69" s="4" t="str">
        <f>IF(OR($A69="Power Cable",$A69="RTD Cable",$A69="Fieldbus Cable"),IF(AND($AE69&lt;&gt;""),"YES","NO"),"N/A")</f>
        <v>N/A</v>
      </c>
      <c r="P69" s="4" t="str">
        <f>IF(OR($A69="RTD"),IF(AND($AH69&lt;&gt;""),"YES","NO"),"N/A")</f>
        <v>N/A</v>
      </c>
      <c r="Q69" s="4" t="str">
        <f>IF(OR($A69="RTD"),IF(AND($AI69&lt;&gt;""),"YES","NO"),"N/A")</f>
        <v>N/A</v>
      </c>
      <c r="R69" s="4" t="str">
        <f>IF(OR($AM69&lt;&gt;"",$Z69&lt;&gt;"",$AC69&lt;&gt;""),"YES","NO")</f>
        <v>NO</v>
      </c>
      <c r="S69" s="4" t="str">
        <f>IF(COUNTIF(I69:R69,"NO")=0,"YES","NO")</f>
        <v>NO</v>
      </c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inlineStr">
        <is>
          <t>E/32SQ3472/9.5M/505/89.8/1.2M/LS23A/X/N12/XNF</t>
        </is>
      </c>
      <c r="AK69" s="9" t="inlineStr">
        <is>
          <t>9.5 m m</t>
        </is>
      </c>
      <c r="AL69" s="9" t="inlineStr">
        <is>
          <t>Levy Ostrup</t>
        </is>
      </c>
      <c r="AM69" s="9" t="n"/>
      <c r="AN69" s="9" t="n"/>
    </row>
    <row r="70">
      <c r="A70" s="9" t="inlineStr">
        <is>
          <t>EHT Trace</t>
        </is>
      </c>
      <c r="B70" s="9" t="inlineStr">
        <is>
          <t>29103-ET-PE1301-1-3</t>
        </is>
      </c>
      <c r="C70" s="9" t="inlineStr">
        <is>
          <t>29103-ET-PE1301-1</t>
        </is>
      </c>
      <c r="D70" s="9" t="inlineStr">
        <is>
          <t>HTC-10 / CB-10</t>
        </is>
      </c>
      <c r="E70" s="9" t="inlineStr">
        <is>
          <t>29103-PE-1301</t>
        </is>
      </c>
      <c r="F70" s="9" t="inlineStr">
        <is>
          <t>29103-65R-ET-PE1301-01-01</t>
        </is>
      </c>
      <c r="G70" s="9" t="inlineStr">
        <is>
          <t>13.1</t>
        </is>
      </c>
      <c r="H70" s="9" t="inlineStr">
        <is>
          <t>29103-ET-PE1301-1-3.pdf</t>
        </is>
      </c>
      <c r="I70" s="4" t="str">
        <f>IF($H70&lt;&gt;"","YES","NO")</f>
        <v>YES</v>
      </c>
      <c r="J70" s="4" t="str">
        <f>IF(N($T70)&gt;0,"YES","NO")</f>
        <v>NO</v>
      </c>
      <c r="K70" s="4" t="str">
        <f>IF(OR($A70="EHT Trace"),IF(AND($U70&lt;&gt;"",$V70&lt;&gt;""),"YES","NO"),"N/A")</f>
        <v>NO</v>
      </c>
      <c r="L70" s="4" t="str">
        <f>IF(OR($A70="EHT Trace"),IF(AND($X70&lt;&gt;"",$Y70&lt;&gt;""),"YES","NO"),"N/A")</f>
        <v>NO</v>
      </c>
      <c r="M70" s="4" t="str">
        <f>IF(OR($A70="EHT Trace"),IF(AND($AA70&lt;&gt;"",$AB70&lt;&gt;""),"YES","NO"),"N/A")</f>
        <v>NO</v>
      </c>
      <c r="N70" s="4" t="str">
        <f>IF(OR($A70="Power Cable"),IF(AND($AD70&lt;&gt;""),"YES","NO"),"N/A")</f>
        <v>N/A</v>
      </c>
      <c r="O70" s="4" t="str">
        <f>IF(OR($A70="Power Cable",$A70="RTD Cable",$A70="Fieldbus Cable"),IF(AND($AE70&lt;&gt;""),"YES","NO"),"N/A")</f>
        <v>N/A</v>
      </c>
      <c r="P70" s="4" t="str">
        <f>IF(OR($A70="RTD"),IF(AND($AH70&lt;&gt;""),"YES","NO"),"N/A")</f>
        <v>N/A</v>
      </c>
      <c r="Q70" s="4" t="str">
        <f>IF(OR($A70="RTD"),IF(AND($AI70&lt;&gt;""),"YES","NO"),"N/A")</f>
        <v>N/A</v>
      </c>
      <c r="R70" s="4" t="str">
        <f>IF(OR($AM70&lt;&gt;"",$Z70&lt;&gt;"",$AC70&lt;&gt;""),"YES","NO")</f>
        <v>NO</v>
      </c>
      <c r="S70" s="4" t="str">
        <f>IF(COUNTIF(I70:R70,"NO")=0,"YES","NO")</f>
        <v>NO</v>
      </c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inlineStr">
        <is>
          <t>E/32SQ3472/6.6M/351/62.4/1.2M/LS23A/X/N12/XMF</t>
        </is>
      </c>
      <c r="AK70" s="9" t="inlineStr">
        <is>
          <t>6.6 m m</t>
        </is>
      </c>
      <c r="AL70" s="9" t="inlineStr">
        <is>
          <t>Levy Ostrup</t>
        </is>
      </c>
      <c r="AM70" s="9" t="n"/>
      <c r="AN70" s="9" t="n"/>
    </row>
    <row r="71">
      <c r="A71" s="9" t="inlineStr">
        <is>
          <t>EHT Trace</t>
        </is>
      </c>
      <c r="B71" s="9" t="inlineStr">
        <is>
          <t>29103-ET-PE1301-1-4</t>
        </is>
      </c>
      <c r="C71" s="9" t="inlineStr">
        <is>
          <t>29103-ET-PE1301-1</t>
        </is>
      </c>
      <c r="D71" s="9" t="inlineStr">
        <is>
          <t>HTC-10 / CB-10</t>
        </is>
      </c>
      <c r="E71" s="9" t="inlineStr">
        <is>
          <t>29103-PE-1301</t>
        </is>
      </c>
      <c r="F71" s="9" t="inlineStr">
        <is>
          <t>29103-65R-ET-PE1301-01-01</t>
        </is>
      </c>
      <c r="G71" s="9" t="inlineStr">
        <is>
          <t>13.1</t>
        </is>
      </c>
      <c r="H71" s="9" t="inlineStr">
        <is>
          <t>29103-ET-PE1301-1-4.pdf</t>
        </is>
      </c>
      <c r="I71" s="4" t="str">
        <f>IF($H71&lt;&gt;"","YES","NO")</f>
        <v>YES</v>
      </c>
      <c r="J71" s="4" t="str">
        <f>IF(N($T71)&gt;0,"YES","NO")</f>
        <v>NO</v>
      </c>
      <c r="K71" s="4" t="str">
        <f>IF(OR($A71="EHT Trace"),IF(AND($U71&lt;&gt;"",$V71&lt;&gt;""),"YES","NO"),"N/A")</f>
        <v>NO</v>
      </c>
      <c r="L71" s="4" t="str">
        <f>IF(OR($A71="EHT Trace"),IF(AND($X71&lt;&gt;"",$Y71&lt;&gt;""),"YES","NO"),"N/A")</f>
        <v>NO</v>
      </c>
      <c r="M71" s="4" t="str">
        <f>IF(OR($A71="EHT Trace"),IF(AND($AA71&lt;&gt;"",$AB71&lt;&gt;""),"YES","NO"),"N/A")</f>
        <v>NO</v>
      </c>
      <c r="N71" s="4" t="str">
        <f>IF(OR($A71="Power Cable"),IF(AND($AD71&lt;&gt;""),"YES","NO"),"N/A")</f>
        <v>N/A</v>
      </c>
      <c r="O71" s="4" t="str">
        <f>IF(OR($A71="Power Cable",$A71="RTD Cable",$A71="Fieldbus Cable"),IF(AND($AE71&lt;&gt;""),"YES","NO"),"N/A")</f>
        <v>N/A</v>
      </c>
      <c r="P71" s="4" t="str">
        <f>IF(OR($A71="RTD"),IF(AND($AH71&lt;&gt;""),"YES","NO"),"N/A")</f>
        <v>N/A</v>
      </c>
      <c r="Q71" s="4" t="str">
        <f>IF(OR($A71="RTD"),IF(AND($AI71&lt;&gt;""),"YES","NO"),"N/A")</f>
        <v>N/A</v>
      </c>
      <c r="R71" s="4" t="str">
        <f>IF(OR($AM71&lt;&gt;"",$Z71&lt;&gt;"",$AC71&lt;&gt;""),"YES","NO")</f>
        <v>NO</v>
      </c>
      <c r="S71" s="4" t="str">
        <f>IF(COUNTIF(I71:R71,"NO")=0,"YES","NO")</f>
        <v>NO</v>
      </c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inlineStr">
        <is>
          <t>D/32SQ3472/13.2M/702/125/1.2M/LS23A/X/N12/XMN</t>
        </is>
      </c>
      <c r="AK71" s="9" t="inlineStr">
        <is>
          <t>13.2 m m</t>
        </is>
      </c>
      <c r="AL71" s="9" t="inlineStr">
        <is>
          <t>Levy Ostrup</t>
        </is>
      </c>
      <c r="AM71" s="9" t="n"/>
      <c r="AN71" s="9" t="n"/>
    </row>
    <row r="72">
      <c r="A72" s="9" t="inlineStr">
        <is>
          <t>EHT Trace</t>
        </is>
      </c>
      <c r="B72" s="9" t="inlineStr">
        <is>
          <t>29103-ET-PE1301-2-1</t>
        </is>
      </c>
      <c r="C72" s="9" t="inlineStr">
        <is>
          <t>29103-ET-PE1301-2</t>
        </is>
      </c>
      <c r="D72" s="9" t="inlineStr">
        <is>
          <t>HTC-07 / CB-07</t>
        </is>
      </c>
      <c r="E72" s="9" t="inlineStr">
        <is>
          <t>29103-PE-1301</t>
        </is>
      </c>
      <c r="F72" s="9" t="inlineStr">
        <is>
          <t>29103-65R-ET-PE1301-02-01</t>
        </is>
      </c>
      <c r="G72" s="9" t="inlineStr">
        <is>
          <t>13.1</t>
        </is>
      </c>
      <c r="H72" s="9" t="inlineStr">
        <is>
          <t>29103-ET-PE1301-2-1.pdf</t>
        </is>
      </c>
      <c r="I72" s="4" t="str">
        <f>IF($H72&lt;&gt;"","YES","NO")</f>
        <v>YES</v>
      </c>
      <c r="J72" s="4" t="str">
        <f>IF(N($T72)&gt;0,"YES","NO")</f>
        <v>NO</v>
      </c>
      <c r="K72" s="4" t="str">
        <f>IF(OR($A72="EHT Trace"),IF(AND($U72&lt;&gt;"",$V72&lt;&gt;""),"YES","NO"),"N/A")</f>
        <v>NO</v>
      </c>
      <c r="L72" s="4" t="str">
        <f>IF(OR($A72="EHT Trace"),IF(AND($X72&lt;&gt;"",$Y72&lt;&gt;""),"YES","NO"),"N/A")</f>
        <v>NO</v>
      </c>
      <c r="M72" s="4" t="str">
        <f>IF(OR($A72="EHT Trace"),IF(AND($AA72&lt;&gt;"",$AB72&lt;&gt;""),"YES","NO"),"N/A")</f>
        <v>NO</v>
      </c>
      <c r="N72" s="4" t="str">
        <f>IF(OR($A72="Power Cable"),IF(AND($AD72&lt;&gt;""),"YES","NO"),"N/A")</f>
        <v>N/A</v>
      </c>
      <c r="O72" s="4" t="str">
        <f>IF(OR($A72="Power Cable",$A72="RTD Cable",$A72="Fieldbus Cable"),IF(AND($AE72&lt;&gt;""),"YES","NO"),"N/A")</f>
        <v>N/A</v>
      </c>
      <c r="P72" s="4" t="str">
        <f>IF(OR($A72="RTD"),IF(AND($AH72&lt;&gt;""),"YES","NO"),"N/A")</f>
        <v>N/A</v>
      </c>
      <c r="Q72" s="4" t="str">
        <f>IF(OR($A72="RTD"),IF(AND($AI72&lt;&gt;""),"YES","NO"),"N/A")</f>
        <v>N/A</v>
      </c>
      <c r="R72" s="4" t="str">
        <f>IF(OR($AM72&lt;&gt;"",$Z72&lt;&gt;"",$AC72&lt;&gt;""),"YES","NO")</f>
        <v>NO</v>
      </c>
      <c r="S72" s="4" t="str">
        <f>IF(COUNTIF(I72:R72,"NO")=0,"YES","NO")</f>
        <v>NO</v>
      </c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inlineStr">
        <is>
          <t>D/32SQ3200/52.5M/2063/277/1.2M/LS23A/X/N12</t>
        </is>
      </c>
      <c r="AK72" s="9" t="inlineStr">
        <is>
          <t>52.5 m m</t>
        </is>
      </c>
      <c r="AL72" s="9" t="inlineStr">
        <is>
          <t>Levy Ostrup</t>
        </is>
      </c>
      <c r="AM72" s="9" t="n"/>
      <c r="AN72" s="9" t="n"/>
    </row>
    <row r="73">
      <c r="A73" s="9" t="inlineStr">
        <is>
          <t>EHT Trace</t>
        </is>
      </c>
      <c r="B73" s="9" t="inlineStr">
        <is>
          <t>29103-ET-PE1301-2-2</t>
        </is>
      </c>
      <c r="C73" s="9" t="inlineStr">
        <is>
          <t>29103-ET-PE1301-2</t>
        </is>
      </c>
      <c r="D73" s="9" t="inlineStr">
        <is>
          <t>HTC-07 / CB-07</t>
        </is>
      </c>
      <c r="E73" s="9" t="inlineStr">
        <is>
          <t>29103-PE-1301</t>
        </is>
      </c>
      <c r="F73" s="9" t="inlineStr">
        <is>
          <t>29103-65R-ET-PE1301-02-01</t>
        </is>
      </c>
      <c r="G73" s="9" t="inlineStr">
        <is>
          <t>13.1</t>
        </is>
      </c>
      <c r="H73" s="9" t="inlineStr">
        <is>
          <t>29103-ET-PE1301-2-2.pdf</t>
        </is>
      </c>
      <c r="I73" s="4" t="str">
        <f>IF($H73&lt;&gt;"","YES","NO")</f>
        <v>YES</v>
      </c>
      <c r="J73" s="4" t="str">
        <f>IF(N($T73)&gt;0,"YES","NO")</f>
        <v>NO</v>
      </c>
      <c r="K73" s="4" t="str">
        <f>IF(OR($A73="EHT Trace"),IF(AND($U73&lt;&gt;"",$V73&lt;&gt;""),"YES","NO"),"N/A")</f>
        <v>NO</v>
      </c>
      <c r="L73" s="4" t="str">
        <f>IF(OR($A73="EHT Trace"),IF(AND($X73&lt;&gt;"",$Y73&lt;&gt;""),"YES","NO"),"N/A")</f>
        <v>NO</v>
      </c>
      <c r="M73" s="4" t="str">
        <f>IF(OR($A73="EHT Trace"),IF(AND($AA73&lt;&gt;"",$AB73&lt;&gt;""),"YES","NO"),"N/A")</f>
        <v>NO</v>
      </c>
      <c r="N73" s="4" t="str">
        <f>IF(OR($A73="Power Cable"),IF(AND($AD73&lt;&gt;""),"YES","NO"),"N/A")</f>
        <v>N/A</v>
      </c>
      <c r="O73" s="4" t="str">
        <f>IF(OR($A73="Power Cable",$A73="RTD Cable",$A73="Fieldbus Cable"),IF(AND($AE73&lt;&gt;""),"YES","NO"),"N/A")</f>
        <v>N/A</v>
      </c>
      <c r="P73" s="4" t="str">
        <f>IF(OR($A73="RTD"),IF(AND($AH73&lt;&gt;""),"YES","NO"),"N/A")</f>
        <v>N/A</v>
      </c>
      <c r="Q73" s="4" t="str">
        <f>IF(OR($A73="RTD"),IF(AND($AI73&lt;&gt;""),"YES","NO"),"N/A")</f>
        <v>N/A</v>
      </c>
      <c r="R73" s="4" t="str">
        <f>IF(OR($AM73&lt;&gt;"",$Z73&lt;&gt;"",$AC73&lt;&gt;""),"YES","NO")</f>
        <v>NO</v>
      </c>
      <c r="S73" s="4" t="str">
        <f>IF(COUNTIF(I73:R73,"NO")=0,"YES","NO")</f>
        <v>NO</v>
      </c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inlineStr">
        <is>
          <t>D/32SB2114/29.4M/694/277/1.2M/LS23A/X/N12</t>
        </is>
      </c>
      <c r="AK73" s="9" t="inlineStr">
        <is>
          <t>29.4 m m</t>
        </is>
      </c>
      <c r="AL73" s="9" t="inlineStr">
        <is>
          <t>Levy Ostrup</t>
        </is>
      </c>
      <c r="AM73" s="9" t="n"/>
      <c r="AN73" s="9" t="n"/>
    </row>
    <row r="74">
      <c r="A74" s="9" t="inlineStr">
        <is>
          <t>EHT Trace</t>
        </is>
      </c>
      <c r="B74" s="9" t="inlineStr">
        <is>
          <t>29103-ET-PE1302-1-1</t>
        </is>
      </c>
      <c r="C74" s="9" t="inlineStr">
        <is>
          <t>29103-ET-PE1302-1</t>
        </is>
      </c>
      <c r="D74" s="9" t="inlineStr">
        <is>
          <t>HTC-06 / CB-06</t>
        </is>
      </c>
      <c r="E74" s="9" t="inlineStr">
        <is>
          <t>29103-PE-1303, 29103-PE-1302</t>
        </is>
      </c>
      <c r="F74" s="9" t="inlineStr">
        <is>
          <t>29103-65R-ET-PE1302-01-01</t>
        </is>
      </c>
      <c r="G74" s="9" t="inlineStr">
        <is>
          <t>13.1</t>
        </is>
      </c>
      <c r="H74" s="9" t="inlineStr">
        <is>
          <t>29103-ET-PE1302-1-1.pdf</t>
        </is>
      </c>
      <c r="I74" s="4" t="str">
        <f>IF($H74&lt;&gt;"","YES","NO")</f>
        <v>YES</v>
      </c>
      <c r="J74" s="4" t="str">
        <f>IF(N($T74)&gt;0,"YES","NO")</f>
        <v>YES</v>
      </c>
      <c r="K74" s="4" t="str">
        <f>IF(OR($A74="EHT Trace"),IF(AND($U74&lt;&gt;"",$V74&lt;&gt;""),"YES","NO"),"N/A")</f>
        <v>NO</v>
      </c>
      <c r="L74" s="4" t="str">
        <f>IF(OR($A74="EHT Trace"),IF(AND($X74&lt;&gt;"",$Y74&lt;&gt;""),"YES","NO"),"N/A")</f>
        <v>YES</v>
      </c>
      <c r="M74" s="4" t="str">
        <f>IF(OR($A74="EHT Trace"),IF(AND($AA74&lt;&gt;"",$AB74&lt;&gt;""),"YES","NO"),"N/A")</f>
        <v>NO</v>
      </c>
      <c r="N74" s="4" t="str">
        <f>IF(OR($A74="Power Cable"),IF(AND($AD74&lt;&gt;""),"YES","NO"),"N/A")</f>
        <v>N/A</v>
      </c>
      <c r="O74" s="4" t="str">
        <f>IF(OR($A74="Power Cable",$A74="RTD Cable",$A74="Fieldbus Cable"),IF(AND($AE74&lt;&gt;""),"YES","NO"),"N/A")</f>
        <v>N/A</v>
      </c>
      <c r="P74" s="4" t="str">
        <f>IF(OR($A74="RTD"),IF(AND($AH74&lt;&gt;""),"YES","NO"),"N/A")</f>
        <v>N/A</v>
      </c>
      <c r="Q74" s="4" t="str">
        <f>IF(OR($A74="RTD"),IF(AND($AI74&lt;&gt;""),"YES","NO"),"N/A")</f>
        <v>N/A</v>
      </c>
      <c r="R74" s="4" t="str">
        <f>IF(OR($AM74&lt;&gt;"",$Z74&lt;&gt;"",$AC74&lt;&gt;""),"YES","NO")</f>
        <v>YES</v>
      </c>
      <c r="S74" s="4" t="str">
        <f>IF(COUNTIF(I74:R74,"NO")=0,"YES","NO")</f>
        <v>NO</v>
      </c>
      <c r="T74" s="9" t="n">
        <v>3</v>
      </c>
      <c r="U74" s="9" t="n"/>
      <c r="V74" s="9" t="n"/>
      <c r="W74" s="9" t="n"/>
      <c r="X74" s="9" t="inlineStr">
        <is>
          <t>550 MΩ</t>
        </is>
      </c>
      <c r="Y74" s="9" t="inlineStr">
        <is>
          <t>44.9 Ω</t>
        </is>
      </c>
      <c r="Z74" s="9" t="inlineStr">
        <is>
          <t>2026-08-12</t>
        </is>
      </c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inlineStr">
        <is>
          <t>D/32SQ3374/34.9M/1658/277/1.2M/LS23A/X/N12</t>
        </is>
      </c>
      <c r="AK74" s="9" t="inlineStr">
        <is>
          <t>34.9 m m</t>
        </is>
      </c>
      <c r="AL74" s="9" t="inlineStr">
        <is>
          <t>Levy Ostrup</t>
        </is>
      </c>
      <c r="AM74" s="9" t="n"/>
      <c r="AN74" s="9" t="n"/>
    </row>
    <row r="75">
      <c r="A75" s="9" t="inlineStr">
        <is>
          <t>EHT Trace</t>
        </is>
      </c>
      <c r="B75" s="9" t="inlineStr">
        <is>
          <t>29103-ET-PE1401-1-1</t>
        </is>
      </c>
      <c r="C75" s="9" t="inlineStr">
        <is>
          <t>29103-ET-PE1401-1</t>
        </is>
      </c>
      <c r="D75" s="9" t="inlineStr">
        <is>
          <t>HTC-04 / CB-04</t>
        </is>
      </c>
      <c r="E75" s="9" t="inlineStr">
        <is>
          <t>29103-PE-1401</t>
        </is>
      </c>
      <c r="F75" s="9" t="inlineStr">
        <is>
          <t>29103-65R-ET-PE1401-01-01</t>
        </is>
      </c>
      <c r="G75" s="9" t="inlineStr">
        <is>
          <t>13.1</t>
        </is>
      </c>
      <c r="H75" s="9" t="inlineStr">
        <is>
          <t>29103-ET-PE1401-1-1.pdf</t>
        </is>
      </c>
      <c r="I75" s="4" t="str">
        <f>IF($H75&lt;&gt;"","YES","NO")</f>
        <v>YES</v>
      </c>
      <c r="J75" s="4" t="str">
        <f>IF(N($T75)&gt;0,"YES","NO")</f>
        <v>NO</v>
      </c>
      <c r="K75" s="4" t="str">
        <f>IF(OR($A75="EHT Trace"),IF(AND($U75&lt;&gt;"",$V75&lt;&gt;""),"YES","NO"),"N/A")</f>
        <v>NO</v>
      </c>
      <c r="L75" s="4" t="str">
        <f>IF(OR($A75="EHT Trace"),IF(AND($X75&lt;&gt;"",$Y75&lt;&gt;""),"YES","NO"),"N/A")</f>
        <v>NO</v>
      </c>
      <c r="M75" s="4" t="str">
        <f>IF(OR($A75="EHT Trace"),IF(AND($AA75&lt;&gt;"",$AB75&lt;&gt;""),"YES","NO"),"N/A")</f>
        <v>NO</v>
      </c>
      <c r="N75" s="4" t="str">
        <f>IF(OR($A75="Power Cable"),IF(AND($AD75&lt;&gt;""),"YES","NO"),"N/A")</f>
        <v>N/A</v>
      </c>
      <c r="O75" s="4" t="str">
        <f>IF(OR($A75="Power Cable",$A75="RTD Cable",$A75="Fieldbus Cable"),IF(AND($AE75&lt;&gt;""),"YES","NO"),"N/A")</f>
        <v>N/A</v>
      </c>
      <c r="P75" s="4" t="str">
        <f>IF(OR($A75="RTD"),IF(AND($AH75&lt;&gt;""),"YES","NO"),"N/A")</f>
        <v>N/A</v>
      </c>
      <c r="Q75" s="4" t="str">
        <f>IF(OR($A75="RTD"),IF(AND($AI75&lt;&gt;""),"YES","NO"),"N/A")</f>
        <v>N/A</v>
      </c>
      <c r="R75" s="4" t="str">
        <f>IF(OR($AM75&lt;&gt;"",$Z75&lt;&gt;"",$AC75&lt;&gt;""),"YES","NO")</f>
        <v>NO</v>
      </c>
      <c r="S75" s="4" t="str">
        <f>IF(COUNTIF(I75:R75,"NO")=0,"YES","NO")</f>
        <v>NO</v>
      </c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inlineStr">
        <is>
          <t>D/32SF1110/7.5M/280/277/1.2M/LS23A/X/N12</t>
        </is>
      </c>
      <c r="AK75" s="9" t="inlineStr">
        <is>
          <t>7.5 m m</t>
        </is>
      </c>
      <c r="AL75" s="9" t="inlineStr">
        <is>
          <t>Levy Ostrup</t>
        </is>
      </c>
      <c r="AM75" s="9" t="n"/>
      <c r="AN75" s="9" t="n"/>
    </row>
    <row r="76">
      <c r="A76" s="9" t="inlineStr">
        <is>
          <t>EHT Trace</t>
        </is>
      </c>
      <c r="B76" s="9" t="inlineStr">
        <is>
          <t>29103-ET-PE1401-1-2</t>
        </is>
      </c>
      <c r="C76" s="9" t="inlineStr">
        <is>
          <t>29103-ET-PE1401-1</t>
        </is>
      </c>
      <c r="D76" s="9" t="inlineStr">
        <is>
          <t>HTC-04 / CB-04</t>
        </is>
      </c>
      <c r="E76" s="9" t="inlineStr">
        <is>
          <t>29103-PE-1401</t>
        </is>
      </c>
      <c r="F76" s="9" t="inlineStr">
        <is>
          <t>29103-65R-ET-PE1401-01-01</t>
        </is>
      </c>
      <c r="G76" s="9" t="inlineStr">
        <is>
          <t>13.1</t>
        </is>
      </c>
      <c r="H76" s="9" t="inlineStr">
        <is>
          <t>29103-ET-PE1401-1-2.pdf</t>
        </is>
      </c>
      <c r="I76" s="4" t="str">
        <f>IF($H76&lt;&gt;"","YES","NO")</f>
        <v>YES</v>
      </c>
      <c r="J76" s="4" t="str">
        <f>IF(N($T76)&gt;0,"YES","NO")</f>
        <v>NO</v>
      </c>
      <c r="K76" s="4" t="str">
        <f>IF(OR($A76="EHT Trace"),IF(AND($U76&lt;&gt;"",$V76&lt;&gt;""),"YES","NO"),"N/A")</f>
        <v>NO</v>
      </c>
      <c r="L76" s="4" t="str">
        <f>IF(OR($A76="EHT Trace"),IF(AND($X76&lt;&gt;"",$Y76&lt;&gt;""),"YES","NO"),"N/A")</f>
        <v>NO</v>
      </c>
      <c r="M76" s="4" t="str">
        <f>IF(OR($A76="EHT Trace"),IF(AND($AA76&lt;&gt;"",$AB76&lt;&gt;""),"YES","NO"),"N/A")</f>
        <v>NO</v>
      </c>
      <c r="N76" s="4" t="str">
        <f>IF(OR($A76="Power Cable"),IF(AND($AD76&lt;&gt;""),"YES","NO"),"N/A")</f>
        <v>N/A</v>
      </c>
      <c r="O76" s="4" t="str">
        <f>IF(OR($A76="Power Cable",$A76="RTD Cable",$A76="Fieldbus Cable"),IF(AND($AE76&lt;&gt;""),"YES","NO"),"N/A")</f>
        <v>N/A</v>
      </c>
      <c r="P76" s="4" t="str">
        <f>IF(OR($A76="RTD"),IF(AND($AH76&lt;&gt;""),"YES","NO"),"N/A")</f>
        <v>N/A</v>
      </c>
      <c r="Q76" s="4" t="str">
        <f>IF(OR($A76="RTD"),IF(AND($AI76&lt;&gt;""),"YES","NO"),"N/A")</f>
        <v>N/A</v>
      </c>
      <c r="R76" s="4" t="str">
        <f>IF(OR($AM76&lt;&gt;"",$Z76&lt;&gt;"",$AC76&lt;&gt;""),"YES","NO")</f>
        <v>NO</v>
      </c>
      <c r="S76" s="4" t="str">
        <f>IF(COUNTIF(I76:R76,"NO")=0,"YES","NO")</f>
        <v>NO</v>
      </c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inlineStr">
        <is>
          <t>E/32SQ3472/10.8M/522/97.1/1.2M/LS23A/X/N12/XNF</t>
        </is>
      </c>
      <c r="AK76" s="9" t="inlineStr">
        <is>
          <t>10.8 m m</t>
        </is>
      </c>
      <c r="AL76" s="9" t="inlineStr">
        <is>
          <t>Levy Ostrup</t>
        </is>
      </c>
      <c r="AM76" s="9" t="n"/>
      <c r="AN76" s="9" t="n"/>
    </row>
    <row r="77">
      <c r="A77" s="9" t="inlineStr">
        <is>
          <t>EHT Trace</t>
        </is>
      </c>
      <c r="B77" s="9" t="inlineStr">
        <is>
          <t>29103-ET-PE1401-1-3</t>
        </is>
      </c>
      <c r="C77" s="9" t="inlineStr">
        <is>
          <t>29103-ET-PE1401-1</t>
        </is>
      </c>
      <c r="D77" s="9" t="inlineStr">
        <is>
          <t>HTC-04 / CB-04</t>
        </is>
      </c>
      <c r="E77" s="9" t="inlineStr">
        <is>
          <t>29103-PE-1401</t>
        </is>
      </c>
      <c r="F77" s="9" t="inlineStr">
        <is>
          <t>29103-65R-ET-PE1401-01-01</t>
        </is>
      </c>
      <c r="G77" s="9" t="inlineStr">
        <is>
          <t>13.1</t>
        </is>
      </c>
      <c r="H77" s="9" t="inlineStr">
        <is>
          <t>29103-ET-PE1401-1-3.pdf</t>
        </is>
      </c>
      <c r="I77" s="4" t="str">
        <f>IF($H77&lt;&gt;"","YES","NO")</f>
        <v>YES</v>
      </c>
      <c r="J77" s="4" t="str">
        <f>IF(N($T77)&gt;0,"YES","NO")</f>
        <v>NO</v>
      </c>
      <c r="K77" s="4" t="str">
        <f>IF(OR($A77="EHT Trace"),IF(AND($U77&lt;&gt;"",$V77&lt;&gt;""),"YES","NO"),"N/A")</f>
        <v>NO</v>
      </c>
      <c r="L77" s="4" t="str">
        <f>IF(OR($A77="EHT Trace"),IF(AND($X77&lt;&gt;"",$Y77&lt;&gt;""),"YES","NO"),"N/A")</f>
        <v>NO</v>
      </c>
      <c r="M77" s="4" t="str">
        <f>IF(OR($A77="EHT Trace"),IF(AND($AA77&lt;&gt;"",$AB77&lt;&gt;""),"YES","NO"),"N/A")</f>
        <v>NO</v>
      </c>
      <c r="N77" s="4" t="str">
        <f>IF(OR($A77="Power Cable"),IF(AND($AD77&lt;&gt;""),"YES","NO"),"N/A")</f>
        <v>N/A</v>
      </c>
      <c r="O77" s="4" t="str">
        <f>IF(OR($A77="Power Cable",$A77="RTD Cable",$A77="Fieldbus Cable"),IF(AND($AE77&lt;&gt;""),"YES","NO"),"N/A")</f>
        <v>N/A</v>
      </c>
      <c r="P77" s="4" t="str">
        <f>IF(OR($A77="RTD"),IF(AND($AH77&lt;&gt;""),"YES","NO"),"N/A")</f>
        <v>N/A</v>
      </c>
      <c r="Q77" s="4" t="str">
        <f>IF(OR($A77="RTD"),IF(AND($AI77&lt;&gt;""),"YES","NO"),"N/A")</f>
        <v>N/A</v>
      </c>
      <c r="R77" s="4" t="str">
        <f>IF(OR($AM77&lt;&gt;"",$Z77&lt;&gt;"",$AC77&lt;&gt;""),"YES","NO")</f>
        <v>NO</v>
      </c>
      <c r="S77" s="4" t="str">
        <f>IF(COUNTIF(I77:R77,"NO")=0,"YES","NO")</f>
        <v>NO</v>
      </c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inlineStr">
        <is>
          <t>E/32SQ3472/6.6M/319/59.4/1.2M/LS23A/X/N12/XMF</t>
        </is>
      </c>
      <c r="AK77" s="9" t="inlineStr">
        <is>
          <t>6.6 m m</t>
        </is>
      </c>
      <c r="AL77" s="9" t="inlineStr">
        <is>
          <t>Levy Ostrup</t>
        </is>
      </c>
      <c r="AM77" s="9" t="n"/>
      <c r="AN77" s="9" t="n"/>
    </row>
    <row r="78">
      <c r="A78" s="9" t="inlineStr">
        <is>
          <t>EHT Trace</t>
        </is>
      </c>
      <c r="B78" s="9" t="inlineStr">
        <is>
          <t>29103-ET-PE1401-1-4</t>
        </is>
      </c>
      <c r="C78" s="9" t="inlineStr">
        <is>
          <t>29103-ET-PE1401-1</t>
        </is>
      </c>
      <c r="D78" s="9" t="inlineStr">
        <is>
          <t>HTC-04 / CB-04</t>
        </is>
      </c>
      <c r="E78" s="9" t="inlineStr">
        <is>
          <t>29103-PE-1401</t>
        </is>
      </c>
      <c r="F78" s="9" t="inlineStr">
        <is>
          <t>29103-65R-ET-PE1401-01-01</t>
        </is>
      </c>
      <c r="G78" s="9" t="inlineStr">
        <is>
          <t>13.1</t>
        </is>
      </c>
      <c r="H78" s="9" t="inlineStr">
        <is>
          <t>29103-ET-PE1401-1-4.pdf</t>
        </is>
      </c>
      <c r="I78" s="4" t="str">
        <f>IF($H78&lt;&gt;"","YES","NO")</f>
        <v>YES</v>
      </c>
      <c r="J78" s="4" t="str">
        <f>IF(N($T78)&gt;0,"YES","NO")</f>
        <v>NO</v>
      </c>
      <c r="K78" s="4" t="str">
        <f>IF(OR($A78="EHT Trace"),IF(AND($U78&lt;&gt;"",$V78&lt;&gt;""),"YES","NO"),"N/A")</f>
        <v>NO</v>
      </c>
      <c r="L78" s="4" t="str">
        <f>IF(OR($A78="EHT Trace"),IF(AND($X78&lt;&gt;"",$Y78&lt;&gt;""),"YES","NO"),"N/A")</f>
        <v>NO</v>
      </c>
      <c r="M78" s="4" t="str">
        <f>IF(OR($A78="EHT Trace"),IF(AND($AA78&lt;&gt;"",$AB78&lt;&gt;""),"YES","NO"),"N/A")</f>
        <v>NO</v>
      </c>
      <c r="N78" s="4" t="str">
        <f>IF(OR($A78="Power Cable"),IF(AND($AD78&lt;&gt;""),"YES","NO"),"N/A")</f>
        <v>N/A</v>
      </c>
      <c r="O78" s="4" t="str">
        <f>IF(OR($A78="Power Cable",$A78="RTD Cable",$A78="Fieldbus Cable"),IF(AND($AE78&lt;&gt;""),"YES","NO"),"N/A")</f>
        <v>N/A</v>
      </c>
      <c r="P78" s="4" t="str">
        <f>IF(OR($A78="RTD"),IF(AND($AH78&lt;&gt;""),"YES","NO"),"N/A")</f>
        <v>N/A</v>
      </c>
      <c r="Q78" s="4" t="str">
        <f>IF(OR($A78="RTD"),IF(AND($AI78&lt;&gt;""),"YES","NO"),"N/A")</f>
        <v>N/A</v>
      </c>
      <c r="R78" s="4" t="str">
        <f>IF(OR($AM78&lt;&gt;"",$Z78&lt;&gt;"",$AC78&lt;&gt;""),"YES","NO")</f>
        <v>NO</v>
      </c>
      <c r="S78" s="4" t="str">
        <f>IF(COUNTIF(I78:R78,"NO")=0,"YES","NO")</f>
        <v>NO</v>
      </c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inlineStr">
        <is>
          <t>D/32SQ3472/13.4M/647/121/1.2M/LS23A/X/N12/XMN</t>
        </is>
      </c>
      <c r="AK78" s="9" t="inlineStr">
        <is>
          <t>13.4 m m</t>
        </is>
      </c>
      <c r="AL78" s="9" t="inlineStr">
        <is>
          <t>Levy Ostrup</t>
        </is>
      </c>
      <c r="AM78" s="9" t="n"/>
      <c r="AN78" s="9" t="n"/>
    </row>
    <row r="79">
      <c r="A79" s="9" t="inlineStr">
        <is>
          <t>EHT Trace</t>
        </is>
      </c>
      <c r="B79" s="9" t="inlineStr">
        <is>
          <t>29103-ET-PE1802-1-1</t>
        </is>
      </c>
      <c r="C79" s="9" t="inlineStr">
        <is>
          <t>29103-ET-PE1802-1</t>
        </is>
      </c>
      <c r="D79" s="9" t="inlineStr">
        <is>
          <t>HTC-17 / CB-17</t>
        </is>
      </c>
      <c r="E79" s="9" t="inlineStr">
        <is>
          <t>29103-PE-1802</t>
        </is>
      </c>
      <c r="F79" s="9" t="inlineStr">
        <is>
          <t>29103-65R-ET-PE1802-01-01</t>
        </is>
      </c>
      <c r="G79" s="9" t="inlineStr">
        <is>
          <t>13.1</t>
        </is>
      </c>
      <c r="H79" s="9" t="inlineStr">
        <is>
          <t>29103-ET-PE1802-1-1.pdf</t>
        </is>
      </c>
      <c r="I79" s="4" t="str">
        <f>IF($H79&lt;&gt;"","YES","NO")</f>
        <v>YES</v>
      </c>
      <c r="J79" s="4" t="str">
        <f>IF(N($T79)&gt;0,"YES","NO")</f>
        <v>NO</v>
      </c>
      <c r="K79" s="4" t="str">
        <f>IF(OR($A79="EHT Trace"),IF(AND($U79&lt;&gt;"",$V79&lt;&gt;""),"YES","NO"),"N/A")</f>
        <v>NO</v>
      </c>
      <c r="L79" s="4" t="str">
        <f>IF(OR($A79="EHT Trace"),IF(AND($X79&lt;&gt;"",$Y79&lt;&gt;""),"YES","NO"),"N/A")</f>
        <v>NO</v>
      </c>
      <c r="M79" s="4" t="str">
        <f>IF(OR($A79="EHT Trace"),IF(AND($AA79&lt;&gt;"",$AB79&lt;&gt;""),"YES","NO"),"N/A")</f>
        <v>NO</v>
      </c>
      <c r="N79" s="4" t="str">
        <f>IF(OR($A79="Power Cable"),IF(AND($AD79&lt;&gt;""),"YES","NO"),"N/A")</f>
        <v>N/A</v>
      </c>
      <c r="O79" s="4" t="str">
        <f>IF(OR($A79="Power Cable",$A79="RTD Cable",$A79="Fieldbus Cable"),IF(AND($AE79&lt;&gt;""),"YES","NO"),"N/A")</f>
        <v>N/A</v>
      </c>
      <c r="P79" s="4" t="str">
        <f>IF(OR($A79="RTD"),IF(AND($AH79&lt;&gt;""),"YES","NO"),"N/A")</f>
        <v>N/A</v>
      </c>
      <c r="Q79" s="4" t="str">
        <f>IF(OR($A79="RTD"),IF(AND($AI79&lt;&gt;""),"YES","NO"),"N/A")</f>
        <v>N/A</v>
      </c>
      <c r="R79" s="4" t="str">
        <f>IF(OR($AM79&lt;&gt;"",$Z79&lt;&gt;"",$AC79&lt;&gt;""),"YES","NO")</f>
        <v>NO</v>
      </c>
      <c r="S79" s="4" t="str">
        <f>IF(COUNTIF(I79:R79,"NO")=0,"YES","NO")</f>
        <v>NO</v>
      </c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inlineStr">
        <is>
          <t>E/32SP4734/24.2M/2105/126/2.1-1.2M/LS23A/X/N12/XNF</t>
        </is>
      </c>
      <c r="AK79" s="9" t="inlineStr">
        <is>
          <t>24.2 m m</t>
        </is>
      </c>
      <c r="AL79" s="9" t="inlineStr">
        <is>
          <t>Levy Ostrup</t>
        </is>
      </c>
      <c r="AM79" s="9" t="n"/>
      <c r="AN79" s="9" t="n"/>
    </row>
    <row r="80">
      <c r="A80" s="9" t="inlineStr">
        <is>
          <t>EHT Trace</t>
        </is>
      </c>
      <c r="B80" s="9" t="inlineStr">
        <is>
          <t>29103-ET-PE1802-1-2</t>
        </is>
      </c>
      <c r="C80" s="9" t="inlineStr">
        <is>
          <t>29103-ET-PE1802-1</t>
        </is>
      </c>
      <c r="D80" s="9" t="inlineStr">
        <is>
          <t>HTC-17 / CB-17</t>
        </is>
      </c>
      <c r="E80" s="9" t="inlineStr">
        <is>
          <t>29103-PE-1802</t>
        </is>
      </c>
      <c r="F80" s="9" t="inlineStr">
        <is>
          <t>29103-65R-ET-PE1802-01-01</t>
        </is>
      </c>
      <c r="G80" s="9" t="inlineStr">
        <is>
          <t>13.1</t>
        </is>
      </c>
      <c r="H80" s="9" t="inlineStr">
        <is>
          <t>29103-ET-PE1802-1-2.pdf</t>
        </is>
      </c>
      <c r="I80" s="4" t="str">
        <f>IF($H80&lt;&gt;"","YES","NO")</f>
        <v>YES</v>
      </c>
      <c r="J80" s="4" t="str">
        <f>IF(N($T80)&gt;0,"YES","NO")</f>
        <v>NO</v>
      </c>
      <c r="K80" s="4" t="str">
        <f>IF(OR($A80="EHT Trace"),IF(AND($U80&lt;&gt;"",$V80&lt;&gt;""),"YES","NO"),"N/A")</f>
        <v>NO</v>
      </c>
      <c r="L80" s="4" t="str">
        <f>IF(OR($A80="EHT Trace"),IF(AND($X80&lt;&gt;"",$Y80&lt;&gt;""),"YES","NO"),"N/A")</f>
        <v>NO</v>
      </c>
      <c r="M80" s="4" t="str">
        <f>IF(OR($A80="EHT Trace"),IF(AND($AA80&lt;&gt;"",$AB80&lt;&gt;""),"YES","NO"),"N/A")</f>
        <v>NO</v>
      </c>
      <c r="N80" s="4" t="str">
        <f>IF(OR($A80="Power Cable"),IF(AND($AD80&lt;&gt;""),"YES","NO"),"N/A")</f>
        <v>N/A</v>
      </c>
      <c r="O80" s="4" t="str">
        <f>IF(OR($A80="Power Cable",$A80="RTD Cable",$A80="Fieldbus Cable"),IF(AND($AE80&lt;&gt;""),"YES","NO"),"N/A")</f>
        <v>N/A</v>
      </c>
      <c r="P80" s="4" t="str">
        <f>IF(OR($A80="RTD"),IF(AND($AH80&lt;&gt;""),"YES","NO"),"N/A")</f>
        <v>N/A</v>
      </c>
      <c r="Q80" s="4" t="str">
        <f>IF(OR($A80="RTD"),IF(AND($AI80&lt;&gt;""),"YES","NO"),"N/A")</f>
        <v>N/A</v>
      </c>
      <c r="R80" s="4" t="str">
        <f>IF(OR($AM80&lt;&gt;"",$Z80&lt;&gt;"",$AC80&lt;&gt;""),"YES","NO")</f>
        <v>NO</v>
      </c>
      <c r="S80" s="4" t="str">
        <f>IF(COUNTIF(I80:R80,"NO")=0,"YES","NO")</f>
        <v>NO</v>
      </c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inlineStr">
        <is>
          <t>E/32SP4734/8.9M/774/46.2/1.2M/LS23A/X/N12/XMF</t>
        </is>
      </c>
      <c r="AK80" s="9" t="inlineStr">
        <is>
          <t>8.9 m m</t>
        </is>
      </c>
      <c r="AL80" s="9" t="inlineStr">
        <is>
          <t>Levy Ostrup</t>
        </is>
      </c>
      <c r="AM80" s="9" t="n"/>
      <c r="AN80" s="9" t="n"/>
    </row>
    <row r="81">
      <c r="A81" s="9" t="inlineStr">
        <is>
          <t>EHT Trace</t>
        </is>
      </c>
      <c r="B81" s="9" t="inlineStr">
        <is>
          <t>29103-ET-PE1802-1-3</t>
        </is>
      </c>
      <c r="C81" s="9" t="inlineStr">
        <is>
          <t>29103-ET-PE1802-1</t>
        </is>
      </c>
      <c r="D81" s="9" t="inlineStr">
        <is>
          <t>HTC-17 / CB-17</t>
        </is>
      </c>
      <c r="E81" s="9" t="inlineStr">
        <is>
          <t>29103-PE-1802</t>
        </is>
      </c>
      <c r="F81" s="9" t="inlineStr">
        <is>
          <t>29103-65R-ET-PE1802-01-01</t>
        </is>
      </c>
      <c r="G81" s="9" t="inlineStr">
        <is>
          <t>13.1</t>
        </is>
      </c>
      <c r="H81" s="9" t="inlineStr">
        <is>
          <t>29103-ET-PE1802-1-3.pdf</t>
        </is>
      </c>
      <c r="I81" s="4" t="str">
        <f>IF($H81&lt;&gt;"","YES","NO")</f>
        <v>YES</v>
      </c>
      <c r="J81" s="4" t="str">
        <f>IF(N($T81)&gt;0,"YES","NO")</f>
        <v>NO</v>
      </c>
      <c r="K81" s="4" t="str">
        <f>IF(OR($A81="EHT Trace"),IF(AND($U81&lt;&gt;"",$V81&lt;&gt;""),"YES","NO"),"N/A")</f>
        <v>NO</v>
      </c>
      <c r="L81" s="4" t="str">
        <f>IF(OR($A81="EHT Trace"),IF(AND($X81&lt;&gt;"",$Y81&lt;&gt;""),"YES","NO"),"N/A")</f>
        <v>NO</v>
      </c>
      <c r="M81" s="4" t="str">
        <f>IF(OR($A81="EHT Trace"),IF(AND($AA81&lt;&gt;"",$AB81&lt;&gt;""),"YES","NO"),"N/A")</f>
        <v>NO</v>
      </c>
      <c r="N81" s="4" t="str">
        <f>IF(OR($A81="Power Cable"),IF(AND($AD81&lt;&gt;""),"YES","NO"),"N/A")</f>
        <v>N/A</v>
      </c>
      <c r="O81" s="4" t="str">
        <f>IF(OR($A81="Power Cable",$A81="RTD Cable",$A81="Fieldbus Cable"),IF(AND($AE81&lt;&gt;""),"YES","NO"),"N/A")</f>
        <v>N/A</v>
      </c>
      <c r="P81" s="4" t="str">
        <f>IF(OR($A81="RTD"),IF(AND($AH81&lt;&gt;""),"YES","NO"),"N/A")</f>
        <v>N/A</v>
      </c>
      <c r="Q81" s="4" t="str">
        <f>IF(OR($A81="RTD"),IF(AND($AI81&lt;&gt;""),"YES","NO"),"N/A")</f>
        <v>N/A</v>
      </c>
      <c r="R81" s="4" t="str">
        <f>IF(OR($AM81&lt;&gt;"",$Z81&lt;&gt;"",$AC81&lt;&gt;""),"YES","NO")</f>
        <v>NO</v>
      </c>
      <c r="S81" s="4" t="str">
        <f>IF(COUNTIF(I81:R81,"NO")=0,"YES","NO")</f>
        <v>NO</v>
      </c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inlineStr">
        <is>
          <t>D/32SP4734/20.3M/1766/105/1.2M/LS23A/X/N12/XMN</t>
        </is>
      </c>
      <c r="AK81" s="9" t="inlineStr">
        <is>
          <t>20.3 m m</t>
        </is>
      </c>
      <c r="AL81" s="9" t="inlineStr">
        <is>
          <t>Levy Ostrup</t>
        </is>
      </c>
      <c r="AM81" s="9" t="n"/>
      <c r="AN81" s="9" t="n"/>
    </row>
    <row r="82">
      <c r="A82" s="9" t="inlineStr">
        <is>
          <t>EHT Trace</t>
        </is>
      </c>
      <c r="B82" s="9" t="inlineStr">
        <is>
          <t>29103-ET-PE1803-1-1</t>
        </is>
      </c>
      <c r="C82" s="9" t="inlineStr">
        <is>
          <t>29103-ET-PE1803-1</t>
        </is>
      </c>
      <c r="D82" s="9" t="inlineStr">
        <is>
          <t>HTC-21 / CB-21</t>
        </is>
      </c>
      <c r="E82" s="9" t="inlineStr">
        <is>
          <t>29103-PE-1803</t>
        </is>
      </c>
      <c r="F82" s="9" t="inlineStr">
        <is>
          <t>29103-65R-ET-PE1803-01-01</t>
        </is>
      </c>
      <c r="G82" s="9" t="inlineStr">
        <is>
          <t>13.1</t>
        </is>
      </c>
      <c r="H82" s="9" t="inlineStr">
        <is>
          <t>29103-ET-PE1803-1-1.pdf</t>
        </is>
      </c>
      <c r="I82" s="4" t="str">
        <f>IF($H82&lt;&gt;"","YES","NO")</f>
        <v>YES</v>
      </c>
      <c r="J82" s="4" t="str">
        <f>IF(N($T82)&gt;0,"YES","NO")</f>
        <v>NO</v>
      </c>
      <c r="K82" s="4" t="str">
        <f>IF(OR($A82="EHT Trace"),IF(AND($U82&lt;&gt;"",$V82&lt;&gt;""),"YES","NO"),"N/A")</f>
        <v>NO</v>
      </c>
      <c r="L82" s="4" t="str">
        <f>IF(OR($A82="EHT Trace"),IF(AND($X82&lt;&gt;"",$Y82&lt;&gt;""),"YES","NO"),"N/A")</f>
        <v>NO</v>
      </c>
      <c r="M82" s="4" t="str">
        <f>IF(OR($A82="EHT Trace"),IF(AND($AA82&lt;&gt;"",$AB82&lt;&gt;""),"YES","NO"),"N/A")</f>
        <v>NO</v>
      </c>
      <c r="N82" s="4" t="str">
        <f>IF(OR($A82="Power Cable"),IF(AND($AD82&lt;&gt;""),"YES","NO"),"N/A")</f>
        <v>N/A</v>
      </c>
      <c r="O82" s="4" t="str">
        <f>IF(OR($A82="Power Cable",$A82="RTD Cable",$A82="Fieldbus Cable"),IF(AND($AE82&lt;&gt;""),"YES","NO"),"N/A")</f>
        <v>N/A</v>
      </c>
      <c r="P82" s="4" t="str">
        <f>IF(OR($A82="RTD"),IF(AND($AH82&lt;&gt;""),"YES","NO"),"N/A")</f>
        <v>N/A</v>
      </c>
      <c r="Q82" s="4" t="str">
        <f>IF(OR($A82="RTD"),IF(AND($AI82&lt;&gt;""),"YES","NO"),"N/A")</f>
        <v>N/A</v>
      </c>
      <c r="R82" s="4" t="str">
        <f>IF(OR($AM82&lt;&gt;"",$Z82&lt;&gt;"",$AC82&lt;&gt;""),"YES","NO")</f>
        <v>NO</v>
      </c>
      <c r="S82" s="4" t="str">
        <f>IF(COUNTIF(I82:R82,"NO")=0,"YES","NO")</f>
        <v>NO</v>
      </c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inlineStr">
        <is>
          <t>E/32SQ3100/9.7M/437/38.8/1.2M/LS23A/X/N12/XNF</t>
        </is>
      </c>
      <c r="AK82" s="9" t="inlineStr">
        <is>
          <t>9.7 m m</t>
        </is>
      </c>
      <c r="AL82" s="9" t="inlineStr">
        <is>
          <t>Levy Ostrup</t>
        </is>
      </c>
      <c r="AM82" s="9" t="n"/>
      <c r="AN82" s="9" t="n"/>
    </row>
    <row r="83">
      <c r="A83" s="9" t="inlineStr">
        <is>
          <t>EHT Trace</t>
        </is>
      </c>
      <c r="B83" s="9" t="inlineStr">
        <is>
          <t>29103-ET-PE1803-1-2</t>
        </is>
      </c>
      <c r="C83" s="9" t="inlineStr">
        <is>
          <t>29103-ET-PE1803-1</t>
        </is>
      </c>
      <c r="D83" s="9" t="inlineStr">
        <is>
          <t>HTC-21 / CB-21</t>
        </is>
      </c>
      <c r="E83" s="9" t="inlineStr">
        <is>
          <t>29103-PE-1803</t>
        </is>
      </c>
      <c r="F83" s="9" t="inlineStr">
        <is>
          <t>29103-65R-ET-PE1803-01-01</t>
        </is>
      </c>
      <c r="G83" s="9" t="inlineStr">
        <is>
          <t>13.1</t>
        </is>
      </c>
      <c r="H83" s="9" t="inlineStr">
        <is>
          <t>29103-ET-PE1803-1-2.pdf</t>
        </is>
      </c>
      <c r="I83" s="4" t="str">
        <f>IF($H83&lt;&gt;"","YES","NO")</f>
        <v>YES</v>
      </c>
      <c r="J83" s="4" t="str">
        <f>IF(N($T83)&gt;0,"YES","NO")</f>
        <v>NO</v>
      </c>
      <c r="K83" s="4" t="str">
        <f>IF(OR($A83="EHT Trace"),IF(AND($U83&lt;&gt;"",$V83&lt;&gt;""),"YES","NO"),"N/A")</f>
        <v>NO</v>
      </c>
      <c r="L83" s="4" t="str">
        <f>IF(OR($A83="EHT Trace"),IF(AND($X83&lt;&gt;"",$Y83&lt;&gt;""),"YES","NO"),"N/A")</f>
        <v>NO</v>
      </c>
      <c r="M83" s="4" t="str">
        <f>IF(OR($A83="EHT Trace"),IF(AND($AA83&lt;&gt;"",$AB83&lt;&gt;""),"YES","NO"),"N/A")</f>
        <v>NO</v>
      </c>
      <c r="N83" s="4" t="str">
        <f>IF(OR($A83="Power Cable"),IF(AND($AD83&lt;&gt;""),"YES","NO"),"N/A")</f>
        <v>N/A</v>
      </c>
      <c r="O83" s="4" t="str">
        <f>IF(OR($A83="Power Cable",$A83="RTD Cable",$A83="Fieldbus Cable"),IF(AND($AE83&lt;&gt;""),"YES","NO"),"N/A")</f>
        <v>N/A</v>
      </c>
      <c r="P83" s="4" t="str">
        <f>IF(OR($A83="RTD"),IF(AND($AH83&lt;&gt;""),"YES","NO"),"N/A")</f>
        <v>N/A</v>
      </c>
      <c r="Q83" s="4" t="str">
        <f>IF(OR($A83="RTD"),IF(AND($AI83&lt;&gt;""),"YES","NO"),"N/A")</f>
        <v>N/A</v>
      </c>
      <c r="R83" s="4" t="str">
        <f>IF(OR($AM83&lt;&gt;"",$Z83&lt;&gt;"",$AC83&lt;&gt;""),"YES","NO")</f>
        <v>NO</v>
      </c>
      <c r="S83" s="4" t="str">
        <f>IF(COUNTIF(I83:R83,"NO")=0,"YES","NO")</f>
        <v>NO</v>
      </c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inlineStr">
        <is>
          <t>D/32SQ3100/26.3M/1186/105/1.2M/LS23A/X/N12/XMN</t>
        </is>
      </c>
      <c r="AK83" s="9" t="inlineStr">
        <is>
          <t>26.3 m m</t>
        </is>
      </c>
      <c r="AL83" s="9" t="inlineStr">
        <is>
          <t>Levy Ostrup</t>
        </is>
      </c>
      <c r="AM83" s="9" t="n"/>
      <c r="AN83" s="9" t="n"/>
    </row>
    <row r="84">
      <c r="A84" s="9" t="inlineStr">
        <is>
          <t>EHT Trace</t>
        </is>
      </c>
      <c r="B84" s="9" t="inlineStr">
        <is>
          <t>29103-ET-PE1803-1-3</t>
        </is>
      </c>
      <c r="C84" s="9" t="inlineStr">
        <is>
          <t>29103-ET-PE1803-1</t>
        </is>
      </c>
      <c r="D84" s="9" t="inlineStr">
        <is>
          <t>HTC-21 / CB-21</t>
        </is>
      </c>
      <c r="E84" s="9" t="inlineStr">
        <is>
          <t>29103-PE-1803</t>
        </is>
      </c>
      <c r="F84" s="9" t="inlineStr">
        <is>
          <t>29103-65R-ET-PE1803-01-01</t>
        </is>
      </c>
      <c r="G84" s="9" t="inlineStr">
        <is>
          <t>13.1</t>
        </is>
      </c>
      <c r="H84" s="9" t="inlineStr">
        <is>
          <t>29103-ET-PE1803-1-3.pdf</t>
        </is>
      </c>
      <c r="I84" s="4" t="str">
        <f>IF($H84&lt;&gt;"","YES","NO")</f>
        <v>YES</v>
      </c>
      <c r="J84" s="4" t="str">
        <f>IF(N($T84)&gt;0,"YES","NO")</f>
        <v>NO</v>
      </c>
      <c r="K84" s="4" t="str">
        <f>IF(OR($A84="EHT Trace"),IF(AND($U84&lt;&gt;"",$V84&lt;&gt;""),"YES","NO"),"N/A")</f>
        <v>NO</v>
      </c>
      <c r="L84" s="4" t="str">
        <f>IF(OR($A84="EHT Trace"),IF(AND($X84&lt;&gt;"",$Y84&lt;&gt;""),"YES","NO"),"N/A")</f>
        <v>NO</v>
      </c>
      <c r="M84" s="4" t="str">
        <f>IF(OR($A84="EHT Trace"),IF(AND($AA84&lt;&gt;"",$AB84&lt;&gt;""),"YES","NO"),"N/A")</f>
        <v>NO</v>
      </c>
      <c r="N84" s="4" t="str">
        <f>IF(OR($A84="Power Cable"),IF(AND($AD84&lt;&gt;""),"YES","NO"),"N/A")</f>
        <v>N/A</v>
      </c>
      <c r="O84" s="4" t="str">
        <f>IF(OR($A84="Power Cable",$A84="RTD Cable",$A84="Fieldbus Cable"),IF(AND($AE84&lt;&gt;""),"YES","NO"),"N/A")</f>
        <v>N/A</v>
      </c>
      <c r="P84" s="4" t="str">
        <f>IF(OR($A84="RTD"),IF(AND($AH84&lt;&gt;""),"YES","NO"),"N/A")</f>
        <v>N/A</v>
      </c>
      <c r="Q84" s="4" t="str">
        <f>IF(OR($A84="RTD"),IF(AND($AI84&lt;&gt;""),"YES","NO"),"N/A")</f>
        <v>N/A</v>
      </c>
      <c r="R84" s="4" t="str">
        <f>IF(OR($AM84&lt;&gt;"",$Z84&lt;&gt;"",$AC84&lt;&gt;""),"YES","NO")</f>
        <v>NO</v>
      </c>
      <c r="S84" s="4" t="str">
        <f>IF(COUNTIF(I84:R84,"NO")=0,"YES","NO")</f>
        <v>NO</v>
      </c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inlineStr">
        <is>
          <t>E/32SQ3100/22.1M/997/88.3/1.2M/LS23A/X/N12/XNF</t>
        </is>
      </c>
      <c r="AK84" s="9" t="inlineStr">
        <is>
          <t>22.1 m m</t>
        </is>
      </c>
      <c r="AL84" s="9" t="inlineStr">
        <is>
          <t>Levy Ostrup</t>
        </is>
      </c>
      <c r="AM84" s="9" t="n"/>
      <c r="AN84" s="9" t="n"/>
    </row>
    <row r="85">
      <c r="A85" s="9" t="inlineStr">
        <is>
          <t>EHT Trace</t>
        </is>
      </c>
      <c r="B85" s="9" t="inlineStr">
        <is>
          <t>29103-ET-PE1803-1-4</t>
        </is>
      </c>
      <c r="C85" s="9" t="inlineStr">
        <is>
          <t>29103-ET-PE1803-1</t>
        </is>
      </c>
      <c r="D85" s="9" t="inlineStr">
        <is>
          <t>HTC-21 / CB-21</t>
        </is>
      </c>
      <c r="E85" s="9" t="inlineStr">
        <is>
          <t>29103-PE-1803</t>
        </is>
      </c>
      <c r="F85" s="9" t="inlineStr">
        <is>
          <t>29103-65R-ET-PE1803-01-01</t>
        </is>
      </c>
      <c r="G85" s="9" t="inlineStr">
        <is>
          <t>13.1</t>
        </is>
      </c>
      <c r="H85" s="9" t="inlineStr">
        <is>
          <t>29103-ET-PE1803-1-4.pdf</t>
        </is>
      </c>
      <c r="I85" s="4" t="str">
        <f>IF($H85&lt;&gt;"","YES","NO")</f>
        <v>YES</v>
      </c>
      <c r="J85" s="4" t="str">
        <f>IF(N($T85)&gt;0,"YES","NO")</f>
        <v>NO</v>
      </c>
      <c r="K85" s="4" t="str">
        <f>IF(OR($A85="EHT Trace"),IF(AND($U85&lt;&gt;"",$V85&lt;&gt;""),"YES","NO"),"N/A")</f>
        <v>NO</v>
      </c>
      <c r="L85" s="4" t="str">
        <f>IF(OR($A85="EHT Trace"),IF(AND($X85&lt;&gt;"",$Y85&lt;&gt;""),"YES","NO"),"N/A")</f>
        <v>NO</v>
      </c>
      <c r="M85" s="4" t="str">
        <f>IF(OR($A85="EHT Trace"),IF(AND($AA85&lt;&gt;"",$AB85&lt;&gt;""),"YES","NO"),"N/A")</f>
        <v>NO</v>
      </c>
      <c r="N85" s="4" t="str">
        <f>IF(OR($A85="Power Cable"),IF(AND($AD85&lt;&gt;""),"YES","NO"),"N/A")</f>
        <v>N/A</v>
      </c>
      <c r="O85" s="4" t="str">
        <f>IF(OR($A85="Power Cable",$A85="RTD Cable",$A85="Fieldbus Cable"),IF(AND($AE85&lt;&gt;""),"YES","NO"),"N/A")</f>
        <v>N/A</v>
      </c>
      <c r="P85" s="4" t="str">
        <f>IF(OR($A85="RTD"),IF(AND($AH85&lt;&gt;""),"YES","NO"),"N/A")</f>
        <v>N/A</v>
      </c>
      <c r="Q85" s="4" t="str">
        <f>IF(OR($A85="RTD"),IF(AND($AI85&lt;&gt;""),"YES","NO"),"N/A")</f>
        <v>N/A</v>
      </c>
      <c r="R85" s="4" t="str">
        <f>IF(OR($AM85&lt;&gt;"",$Z85&lt;&gt;"",$AC85&lt;&gt;""),"YES","NO")</f>
        <v>NO</v>
      </c>
      <c r="S85" s="4" t="str">
        <f>IF(COUNTIF(I85:R85,"NO")=0,"YES","NO")</f>
        <v>NO</v>
      </c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inlineStr">
        <is>
          <t>D/32SQ3100/11.2M/505/44.8/1.2M/LS23A/X/N12/XMN</t>
        </is>
      </c>
      <c r="AK85" s="9" t="inlineStr">
        <is>
          <t>11.2 m m</t>
        </is>
      </c>
      <c r="AL85" s="9" t="inlineStr">
        <is>
          <t>Levy Ostrup</t>
        </is>
      </c>
      <c r="AM85" s="9" t="n"/>
      <c r="AN85" s="9" t="n"/>
    </row>
    <row r="86">
      <c r="A86" s="9" t="inlineStr">
        <is>
          <t>EHT Trace</t>
        </is>
      </c>
      <c r="B86" s="9" t="inlineStr">
        <is>
          <t>29103-ET-PG1101-1-1</t>
        </is>
      </c>
      <c r="C86" s="9" t="inlineStr">
        <is>
          <t>29103-ET-PG1101-1</t>
        </is>
      </c>
      <c r="D86" s="9" t="inlineStr">
        <is>
          <t>HTC-15 / CB-15</t>
        </is>
      </c>
      <c r="E86" s="9" t="inlineStr">
        <is>
          <t>29103-PG-1101, 29103-PE-1102, 29103-P-1100</t>
        </is>
      </c>
      <c r="F86" s="9" t="inlineStr">
        <is>
          <t>29103-65R-ET-PG1101-01-01</t>
        </is>
      </c>
      <c r="G86" s="9" t="inlineStr">
        <is>
          <t>13.1</t>
        </is>
      </c>
      <c r="H86" s="9" t="inlineStr">
        <is>
          <t>29103-ET-PG1101-1-1.pdf</t>
        </is>
      </c>
      <c r="I86" s="4" t="str">
        <f>IF($H86&lt;&gt;"","YES","NO")</f>
        <v>YES</v>
      </c>
      <c r="J86" s="4" t="str">
        <f>IF(N($T86)&gt;0,"YES","NO")</f>
        <v>NO</v>
      </c>
      <c r="K86" s="4" t="str">
        <f>IF(OR($A86="EHT Trace"),IF(AND($U86&lt;&gt;"",$V86&lt;&gt;""),"YES","NO"),"N/A")</f>
        <v>NO</v>
      </c>
      <c r="L86" s="4" t="str">
        <f>IF(OR($A86="EHT Trace"),IF(AND($X86&lt;&gt;"",$Y86&lt;&gt;""),"YES","NO"),"N/A")</f>
        <v>NO</v>
      </c>
      <c r="M86" s="4" t="str">
        <f>IF(OR($A86="EHT Trace"),IF(AND($AA86&lt;&gt;"",$AB86&lt;&gt;""),"YES","NO"),"N/A")</f>
        <v>NO</v>
      </c>
      <c r="N86" s="4" t="str">
        <f>IF(OR($A86="Power Cable"),IF(AND($AD86&lt;&gt;""),"YES","NO"),"N/A")</f>
        <v>N/A</v>
      </c>
      <c r="O86" s="4" t="str">
        <f>IF(OR($A86="Power Cable",$A86="RTD Cable",$A86="Fieldbus Cable"),IF(AND($AE86&lt;&gt;""),"YES","NO"),"N/A")</f>
        <v>N/A</v>
      </c>
      <c r="P86" s="4" t="str">
        <f>IF(OR($A86="RTD"),IF(AND($AH86&lt;&gt;""),"YES","NO"),"N/A")</f>
        <v>N/A</v>
      </c>
      <c r="Q86" s="4" t="str">
        <f>IF(OR($A86="RTD"),IF(AND($AI86&lt;&gt;""),"YES","NO"),"N/A")</f>
        <v>N/A</v>
      </c>
      <c r="R86" s="4" t="str">
        <f>IF(OR($AM86&lt;&gt;"",$Z86&lt;&gt;"",$AC86&lt;&gt;""),"YES","NO")</f>
        <v>NO</v>
      </c>
      <c r="S86" s="4" t="str">
        <f>IF(COUNTIF(I86:R86,"NO")=0,"YES","NO")</f>
        <v>NO</v>
      </c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inlineStr">
        <is>
          <t>D/32SP4734/90M/3006/277/1.2M/LS23A/X/N12</t>
        </is>
      </c>
      <c r="AK86" s="9" t="inlineStr">
        <is>
          <t>90 m m</t>
        </is>
      </c>
      <c r="AL86" s="9" t="inlineStr">
        <is>
          <t>Levy Ostrup</t>
        </is>
      </c>
      <c r="AM86" s="9" t="n"/>
      <c r="AN86" s="9" t="n"/>
    </row>
    <row r="87">
      <c r="A87" s="9" t="inlineStr">
        <is>
          <t>EHT Trace</t>
        </is>
      </c>
      <c r="B87" s="9" t="inlineStr">
        <is>
          <t>29103-ET-PG1101-2-1</t>
        </is>
      </c>
      <c r="C87" s="9" t="inlineStr">
        <is>
          <t>29103-ET-PG1101-2</t>
        </is>
      </c>
      <c r="D87" s="9" t="inlineStr">
        <is>
          <t>HTC-14 / CB-14</t>
        </is>
      </c>
      <c r="E87" s="9" t="inlineStr">
        <is>
          <t>29103-PG-1101</t>
        </is>
      </c>
      <c r="F87" s="9" t="inlineStr">
        <is>
          <t>29103-65R-ET-PG1101-02-01</t>
        </is>
      </c>
      <c r="G87" s="9" t="inlineStr">
        <is>
          <t>13.1</t>
        </is>
      </c>
      <c r="H87" s="9" t="inlineStr">
        <is>
          <t>29103-ET-PG1101-2-1.pdf</t>
        </is>
      </c>
      <c r="I87" s="4" t="str">
        <f>IF($H87&lt;&gt;"","YES","NO")</f>
        <v>YES</v>
      </c>
      <c r="J87" s="4" t="str">
        <f>IF(N($T87)&gt;0,"YES","NO")</f>
        <v>NO</v>
      </c>
      <c r="K87" s="4" t="str">
        <f>IF(OR($A87="EHT Trace"),IF(AND($U87&lt;&gt;"",$V87&lt;&gt;""),"YES","NO"),"N/A")</f>
        <v>NO</v>
      </c>
      <c r="L87" s="4" t="str">
        <f>IF(OR($A87="EHT Trace"),IF(AND($X87&lt;&gt;"",$Y87&lt;&gt;""),"YES","NO"),"N/A")</f>
        <v>NO</v>
      </c>
      <c r="M87" s="4" t="str">
        <f>IF(OR($A87="EHT Trace"),IF(AND($AA87&lt;&gt;"",$AB87&lt;&gt;""),"YES","NO"),"N/A")</f>
        <v>NO</v>
      </c>
      <c r="N87" s="4" t="str">
        <f>IF(OR($A87="Power Cable"),IF(AND($AD87&lt;&gt;""),"YES","NO"),"N/A")</f>
        <v>N/A</v>
      </c>
      <c r="O87" s="4" t="str">
        <f>IF(OR($A87="Power Cable",$A87="RTD Cable",$A87="Fieldbus Cable"),IF(AND($AE87&lt;&gt;""),"YES","NO"),"N/A")</f>
        <v>N/A</v>
      </c>
      <c r="P87" s="4" t="str">
        <f>IF(OR($A87="RTD"),IF(AND($AH87&lt;&gt;""),"YES","NO"),"N/A")</f>
        <v>N/A</v>
      </c>
      <c r="Q87" s="4" t="str">
        <f>IF(OR($A87="RTD"),IF(AND($AI87&lt;&gt;""),"YES","NO"),"N/A")</f>
        <v>N/A</v>
      </c>
      <c r="R87" s="4" t="str">
        <f>IF(OR($AM87&lt;&gt;"",$Z87&lt;&gt;"",$AC87&lt;&gt;""),"YES","NO")</f>
        <v>NO</v>
      </c>
      <c r="S87" s="4" t="str">
        <f>IF(COUNTIF(I87:R87,"NO")=0,"YES","NO")</f>
        <v>NO</v>
      </c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inlineStr">
        <is>
          <t>E/32SB3700/9.2M/409/93.3/1.2M/LS23A/X/N12/XNF</t>
        </is>
      </c>
      <c r="AK87" s="9" t="inlineStr">
        <is>
          <t>9.2 m m</t>
        </is>
      </c>
      <c r="AL87" s="9" t="inlineStr">
        <is>
          <t>Levy Ostrup</t>
        </is>
      </c>
      <c r="AM87" s="9" t="n"/>
      <c r="AN87" s="9" t="n"/>
    </row>
    <row r="88">
      <c r="A88" s="9" t="inlineStr">
        <is>
          <t>EHT Trace</t>
        </is>
      </c>
      <c r="B88" s="9" t="inlineStr">
        <is>
          <t>29103-ET-PG1101-2-2</t>
        </is>
      </c>
      <c r="C88" s="9" t="inlineStr">
        <is>
          <t>29103-ET-PG1101-2</t>
        </is>
      </c>
      <c r="D88" s="9" t="inlineStr">
        <is>
          <t>HTC-14 / CB-14</t>
        </is>
      </c>
      <c r="E88" s="9" t="inlineStr">
        <is>
          <t>29103-PG-1101</t>
        </is>
      </c>
      <c r="F88" s="9" t="inlineStr">
        <is>
          <t>29103-65R-ET-PG1101-02-01</t>
        </is>
      </c>
      <c r="G88" s="9" t="inlineStr">
        <is>
          <t>13.1</t>
        </is>
      </c>
      <c r="H88" s="9" t="inlineStr">
        <is>
          <t>29103-ET-PG1101-2-2.pdf</t>
        </is>
      </c>
      <c r="I88" s="4" t="str">
        <f>IF($H88&lt;&gt;"","YES","NO")</f>
        <v>YES</v>
      </c>
      <c r="J88" s="4" t="str">
        <f>IF(N($T88)&gt;0,"YES","NO")</f>
        <v>NO</v>
      </c>
      <c r="K88" s="4" t="str">
        <f>IF(OR($A88="EHT Trace"),IF(AND($U88&lt;&gt;"",$V88&lt;&gt;""),"YES","NO"),"N/A")</f>
        <v>NO</v>
      </c>
      <c r="L88" s="4" t="str">
        <f>IF(OR($A88="EHT Trace"),IF(AND($X88&lt;&gt;"",$Y88&lt;&gt;""),"YES","NO"),"N/A")</f>
        <v>NO</v>
      </c>
      <c r="M88" s="4" t="str">
        <f>IF(OR($A88="EHT Trace"),IF(AND($AA88&lt;&gt;"",$AB88&lt;&gt;""),"YES","NO"),"N/A")</f>
        <v>NO</v>
      </c>
      <c r="N88" s="4" t="str">
        <f>IF(OR($A88="Power Cable"),IF(AND($AD88&lt;&gt;""),"YES","NO"),"N/A")</f>
        <v>N/A</v>
      </c>
      <c r="O88" s="4" t="str">
        <f>IF(OR($A88="Power Cable",$A88="RTD Cable",$A88="Fieldbus Cable"),IF(AND($AE88&lt;&gt;""),"YES","NO"),"N/A")</f>
        <v>N/A</v>
      </c>
      <c r="P88" s="4" t="str">
        <f>IF(OR($A88="RTD"),IF(AND($AH88&lt;&gt;""),"YES","NO"),"N/A")</f>
        <v>N/A</v>
      </c>
      <c r="Q88" s="4" t="str">
        <f>IF(OR($A88="RTD"),IF(AND($AI88&lt;&gt;""),"YES","NO"),"N/A")</f>
        <v>N/A</v>
      </c>
      <c r="R88" s="4" t="str">
        <f>IF(OR($AM88&lt;&gt;"",$Z88&lt;&gt;"",$AC88&lt;&gt;""),"YES","NO")</f>
        <v>NO</v>
      </c>
      <c r="S88" s="4" t="str">
        <f>IF(COUNTIF(I88:R88,"NO")=0,"YES","NO")</f>
        <v>NO</v>
      </c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inlineStr">
        <is>
          <t>E/32SB3700/6.3M/280/63.9/1.2M/LS23A/X/N12/XMF</t>
        </is>
      </c>
      <c r="AK88" s="9" t="inlineStr">
        <is>
          <t>6.3 m m</t>
        </is>
      </c>
      <c r="AL88" s="9" t="inlineStr">
        <is>
          <t>Levy Ostrup</t>
        </is>
      </c>
      <c r="AM88" s="9" t="n"/>
      <c r="AN88" s="9" t="n"/>
    </row>
    <row r="89">
      <c r="A89" s="9" t="inlineStr">
        <is>
          <t>EHT Trace</t>
        </is>
      </c>
      <c r="B89" s="9" t="inlineStr">
        <is>
          <t>29103-ET-PG1101-2-3</t>
        </is>
      </c>
      <c r="C89" s="9" t="inlineStr">
        <is>
          <t>29103-ET-PG1101-2</t>
        </is>
      </c>
      <c r="D89" s="9" t="inlineStr">
        <is>
          <t>HTC-14 / CB-14</t>
        </is>
      </c>
      <c r="E89" s="9" t="inlineStr">
        <is>
          <t>29103-PG-1101</t>
        </is>
      </c>
      <c r="F89" s="9" t="inlineStr">
        <is>
          <t>29103-65R-ET-PG1101-02-01</t>
        </is>
      </c>
      <c r="G89" s="9" t="inlineStr">
        <is>
          <t>13.1</t>
        </is>
      </c>
      <c r="H89" s="9" t="inlineStr">
        <is>
          <t>29103-ET-PG1101-2-3.pdf</t>
        </is>
      </c>
      <c r="I89" s="4" t="str">
        <f>IF($H89&lt;&gt;"","YES","NO")</f>
        <v>YES</v>
      </c>
      <c r="J89" s="4" t="str">
        <f>IF(N($T89)&gt;0,"YES","NO")</f>
        <v>NO</v>
      </c>
      <c r="K89" s="4" t="str">
        <f>IF(OR($A89="EHT Trace"),IF(AND($U89&lt;&gt;"",$V89&lt;&gt;""),"YES","NO"),"N/A")</f>
        <v>NO</v>
      </c>
      <c r="L89" s="4" t="str">
        <f>IF(OR($A89="EHT Trace"),IF(AND($X89&lt;&gt;"",$Y89&lt;&gt;""),"YES","NO"),"N/A")</f>
        <v>NO</v>
      </c>
      <c r="M89" s="4" t="str">
        <f>IF(OR($A89="EHT Trace"),IF(AND($AA89&lt;&gt;"",$AB89&lt;&gt;""),"YES","NO"),"N/A")</f>
        <v>NO</v>
      </c>
      <c r="N89" s="4" t="str">
        <f>IF(OR($A89="Power Cable"),IF(AND($AD89&lt;&gt;""),"YES","NO"),"N/A")</f>
        <v>N/A</v>
      </c>
      <c r="O89" s="4" t="str">
        <f>IF(OR($A89="Power Cable",$A89="RTD Cable",$A89="Fieldbus Cable"),IF(AND($AE89&lt;&gt;""),"YES","NO"),"N/A")</f>
        <v>N/A</v>
      </c>
      <c r="P89" s="4" t="str">
        <f>IF(OR($A89="RTD"),IF(AND($AH89&lt;&gt;""),"YES","NO"),"N/A")</f>
        <v>N/A</v>
      </c>
      <c r="Q89" s="4" t="str">
        <f>IF(OR($A89="RTD"),IF(AND($AI89&lt;&gt;""),"YES","NO"),"N/A")</f>
        <v>N/A</v>
      </c>
      <c r="R89" s="4" t="str">
        <f>IF(OR($AM89&lt;&gt;"",$Z89&lt;&gt;"",$AC89&lt;&gt;""),"YES","NO")</f>
        <v>NO</v>
      </c>
      <c r="S89" s="4" t="str">
        <f>IF(COUNTIF(I89:R89,"NO")=0,"YES","NO")</f>
        <v>NO</v>
      </c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inlineStr">
        <is>
          <t>D/32SB3700/11.8M/525/120/1.2M/LS23A/X/N12/XMN</t>
        </is>
      </c>
      <c r="AK89" s="9" t="inlineStr">
        <is>
          <t>11.8 m m</t>
        </is>
      </c>
      <c r="AL89" s="9" t="inlineStr">
        <is>
          <t>Levy Ostrup</t>
        </is>
      </c>
      <c r="AM89" s="9" t="n"/>
      <c r="AN89" s="9" t="n"/>
    </row>
    <row r="90">
      <c r="A90" s="9" t="inlineStr">
        <is>
          <t>EHT Trace</t>
        </is>
      </c>
      <c r="B90" s="9" t="inlineStr">
        <is>
          <t>29103-ET-PG1201-1-1</t>
        </is>
      </c>
      <c r="C90" s="9" t="inlineStr">
        <is>
          <t>29103-ET-PG1201-1</t>
        </is>
      </c>
      <c r="D90" s="9" t="inlineStr">
        <is>
          <t>HTC-12 / CB-12</t>
        </is>
      </c>
      <c r="E90" s="9" t="inlineStr">
        <is>
          <t>29103-PG-1201, 29103-PE-1202, 29103-P-1200</t>
        </is>
      </c>
      <c r="F90" s="9" t="inlineStr">
        <is>
          <t>29103-65R-ET-PG1201-01-01</t>
        </is>
      </c>
      <c r="G90" s="9" t="inlineStr">
        <is>
          <t>13.1</t>
        </is>
      </c>
      <c r="H90" s="9" t="inlineStr">
        <is>
          <t>29103-ET-PG1201-1-1.pdf</t>
        </is>
      </c>
      <c r="I90" s="4" t="str">
        <f>IF($H90&lt;&gt;"","YES","NO")</f>
        <v>YES</v>
      </c>
      <c r="J90" s="4" t="str">
        <f>IF(N($T90)&gt;0,"YES","NO")</f>
        <v>NO</v>
      </c>
      <c r="K90" s="4" t="str">
        <f>IF(OR($A90="EHT Trace"),IF(AND($U90&lt;&gt;"",$V90&lt;&gt;""),"YES","NO"),"N/A")</f>
        <v>NO</v>
      </c>
      <c r="L90" s="4" t="str">
        <f>IF(OR($A90="EHT Trace"),IF(AND($X90&lt;&gt;"",$Y90&lt;&gt;""),"YES","NO"),"N/A")</f>
        <v>NO</v>
      </c>
      <c r="M90" s="4" t="str">
        <f>IF(OR($A90="EHT Trace"),IF(AND($AA90&lt;&gt;"",$AB90&lt;&gt;""),"YES","NO"),"N/A")</f>
        <v>NO</v>
      </c>
      <c r="N90" s="4" t="str">
        <f>IF(OR($A90="Power Cable"),IF(AND($AD90&lt;&gt;""),"YES","NO"),"N/A")</f>
        <v>N/A</v>
      </c>
      <c r="O90" s="4" t="str">
        <f>IF(OR($A90="Power Cable",$A90="RTD Cable",$A90="Fieldbus Cable"),IF(AND($AE90&lt;&gt;""),"YES","NO"),"N/A")</f>
        <v>N/A</v>
      </c>
      <c r="P90" s="4" t="str">
        <f>IF(OR($A90="RTD"),IF(AND($AH90&lt;&gt;""),"YES","NO"),"N/A")</f>
        <v>N/A</v>
      </c>
      <c r="Q90" s="4" t="str">
        <f>IF(OR($A90="RTD"),IF(AND($AI90&lt;&gt;""),"YES","NO"),"N/A")</f>
        <v>N/A</v>
      </c>
      <c r="R90" s="4" t="str">
        <f>IF(OR($AM90&lt;&gt;"",$Z90&lt;&gt;"",$AC90&lt;&gt;""),"YES","NO")</f>
        <v>NO</v>
      </c>
      <c r="S90" s="4" t="str">
        <f>IF(COUNTIF(I90:R90,"NO")=0,"YES","NO")</f>
        <v>NO</v>
      </c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inlineStr">
        <is>
          <t>D/32SP4734/93.1M/2914/277/1.2M/LS23A/X/N12</t>
        </is>
      </c>
      <c r="AK90" s="9" t="inlineStr">
        <is>
          <t>93.1 m m</t>
        </is>
      </c>
      <c r="AL90" s="9" t="inlineStr">
        <is>
          <t>Levy Ostrup</t>
        </is>
      </c>
      <c r="AM90" s="9" t="n"/>
      <c r="AN90" s="9" t="n"/>
    </row>
    <row r="91">
      <c r="A91" s="9" t="inlineStr">
        <is>
          <t>EHT Trace</t>
        </is>
      </c>
      <c r="B91" s="9" t="inlineStr">
        <is>
          <t>29103-ET-PG1201-2-1</t>
        </is>
      </c>
      <c r="C91" s="9" t="inlineStr">
        <is>
          <t>29103-ET-PG1201-2</t>
        </is>
      </c>
      <c r="D91" s="9" t="inlineStr">
        <is>
          <t>HTC-08 / CB-08</t>
        </is>
      </c>
      <c r="E91" s="9" t="inlineStr">
        <is>
          <t>29103-PG-1201</t>
        </is>
      </c>
      <c r="F91" s="9" t="inlineStr">
        <is>
          <t>29103-65R-ET-PG1201-02-01</t>
        </is>
      </c>
      <c r="G91" s="9" t="inlineStr">
        <is>
          <t>13.1</t>
        </is>
      </c>
      <c r="H91" s="9" t="inlineStr">
        <is>
          <t>29103-ET-PG1201-2-1.pdf</t>
        </is>
      </c>
      <c r="I91" s="4" t="str">
        <f>IF($H91&lt;&gt;"","YES","NO")</f>
        <v>YES</v>
      </c>
      <c r="J91" s="4" t="str">
        <f>IF(N($T91)&gt;0,"YES","NO")</f>
        <v>NO</v>
      </c>
      <c r="K91" s="4" t="str">
        <f>IF(OR($A91="EHT Trace"),IF(AND($U91&lt;&gt;"",$V91&lt;&gt;""),"YES","NO"),"N/A")</f>
        <v>NO</v>
      </c>
      <c r="L91" s="4" t="str">
        <f>IF(OR($A91="EHT Trace"),IF(AND($X91&lt;&gt;"",$Y91&lt;&gt;""),"YES","NO"),"N/A")</f>
        <v>NO</v>
      </c>
      <c r="M91" s="4" t="str">
        <f>IF(OR($A91="EHT Trace"),IF(AND($AA91&lt;&gt;"",$AB91&lt;&gt;""),"YES","NO"),"N/A")</f>
        <v>NO</v>
      </c>
      <c r="N91" s="4" t="str">
        <f>IF(OR($A91="Power Cable"),IF(AND($AD91&lt;&gt;""),"YES","NO"),"N/A")</f>
        <v>N/A</v>
      </c>
      <c r="O91" s="4" t="str">
        <f>IF(OR($A91="Power Cable",$A91="RTD Cable",$A91="Fieldbus Cable"),IF(AND($AE91&lt;&gt;""),"YES","NO"),"N/A")</f>
        <v>N/A</v>
      </c>
      <c r="P91" s="4" t="str">
        <f>IF(OR($A91="RTD"),IF(AND($AH91&lt;&gt;""),"YES","NO"),"N/A")</f>
        <v>N/A</v>
      </c>
      <c r="Q91" s="4" t="str">
        <f>IF(OR($A91="RTD"),IF(AND($AI91&lt;&gt;""),"YES","NO"),"N/A")</f>
        <v>N/A</v>
      </c>
      <c r="R91" s="4" t="str">
        <f>IF(OR($AM91&lt;&gt;"",$Z91&lt;&gt;"",$AC91&lt;&gt;""),"YES","NO")</f>
        <v>NO</v>
      </c>
      <c r="S91" s="4" t="str">
        <f>IF(COUNTIF(I91:R91,"NO")=0,"YES","NO")</f>
        <v>NO</v>
      </c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inlineStr">
        <is>
          <t>E/32SB3700/8.6M/401/89.2/1.2M/LS23A/X/N12/XNF</t>
        </is>
      </c>
      <c r="AK91" s="9" t="inlineStr">
        <is>
          <t>8.6 m m</t>
        </is>
      </c>
      <c r="AL91" s="9" t="inlineStr">
        <is>
          <t>Levy Ostrup</t>
        </is>
      </c>
      <c r="AM91" s="9" t="n"/>
      <c r="AN91" s="9" t="n"/>
    </row>
    <row r="92">
      <c r="A92" s="9" t="inlineStr">
        <is>
          <t>EHT Trace</t>
        </is>
      </c>
      <c r="B92" s="9" t="inlineStr">
        <is>
          <t>29103-ET-PG1201-2-2</t>
        </is>
      </c>
      <c r="C92" s="9" t="inlineStr">
        <is>
          <t>29103-ET-PG1201-2</t>
        </is>
      </c>
      <c r="D92" s="9" t="inlineStr">
        <is>
          <t>HTC-08 / CB-08</t>
        </is>
      </c>
      <c r="E92" s="9" t="inlineStr">
        <is>
          <t>29103-PG-1201</t>
        </is>
      </c>
      <c r="F92" s="9" t="inlineStr">
        <is>
          <t>29103-65R-ET-PG1201-02-01</t>
        </is>
      </c>
      <c r="G92" s="9" t="inlineStr">
        <is>
          <t>13.1</t>
        </is>
      </c>
      <c r="H92" s="9" t="inlineStr">
        <is>
          <t>29103-ET-PG1201-2-2.pdf</t>
        </is>
      </c>
      <c r="I92" s="4" t="str">
        <f>IF($H92&lt;&gt;"","YES","NO")</f>
        <v>YES</v>
      </c>
      <c r="J92" s="4" t="str">
        <f>IF(N($T92)&gt;0,"YES","NO")</f>
        <v>NO</v>
      </c>
      <c r="K92" s="4" t="str">
        <f>IF(OR($A92="EHT Trace"),IF(AND($U92&lt;&gt;"",$V92&lt;&gt;""),"YES","NO"),"N/A")</f>
        <v>NO</v>
      </c>
      <c r="L92" s="4" t="str">
        <f>IF(OR($A92="EHT Trace"),IF(AND($X92&lt;&gt;"",$Y92&lt;&gt;""),"YES","NO"),"N/A")</f>
        <v>NO</v>
      </c>
      <c r="M92" s="4" t="str">
        <f>IF(OR($A92="EHT Trace"),IF(AND($AA92&lt;&gt;"",$AB92&lt;&gt;""),"YES","NO"),"N/A")</f>
        <v>NO</v>
      </c>
      <c r="N92" s="4" t="str">
        <f>IF(OR($A92="Power Cable"),IF(AND($AD92&lt;&gt;""),"YES","NO"),"N/A")</f>
        <v>N/A</v>
      </c>
      <c r="O92" s="4" t="str">
        <f>IF(OR($A92="Power Cable",$A92="RTD Cable",$A92="Fieldbus Cable"),IF(AND($AE92&lt;&gt;""),"YES","NO"),"N/A")</f>
        <v>N/A</v>
      </c>
      <c r="P92" s="4" t="str">
        <f>IF(OR($A92="RTD"),IF(AND($AH92&lt;&gt;""),"YES","NO"),"N/A")</f>
        <v>N/A</v>
      </c>
      <c r="Q92" s="4" t="str">
        <f>IF(OR($A92="RTD"),IF(AND($AI92&lt;&gt;""),"YES","NO"),"N/A")</f>
        <v>N/A</v>
      </c>
      <c r="R92" s="4" t="str">
        <f>IF(OR($AM92&lt;&gt;"",$Z92&lt;&gt;"",$AC92&lt;&gt;""),"YES","NO")</f>
        <v>NO</v>
      </c>
      <c r="S92" s="4" t="str">
        <f>IF(COUNTIF(I92:R92,"NO")=0,"YES","NO")</f>
        <v>NO</v>
      </c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inlineStr">
        <is>
          <t>E/32SB3700/6.3M/294/65.4/1.2M/LS23A/X/N12/XMF</t>
        </is>
      </c>
      <c r="AK92" s="9" t="inlineStr">
        <is>
          <t>6.3 m m</t>
        </is>
      </c>
      <c r="AL92" s="9" t="inlineStr">
        <is>
          <t>Levy Ostrup</t>
        </is>
      </c>
      <c r="AM92" s="9" t="n"/>
      <c r="AN92" s="9" t="n"/>
    </row>
    <row r="93">
      <c r="A93" s="9" t="inlineStr">
        <is>
          <t>EHT Trace</t>
        </is>
      </c>
      <c r="B93" s="9" t="inlineStr">
        <is>
          <t>29103-ET-PG1201-2-3</t>
        </is>
      </c>
      <c r="C93" s="9" t="inlineStr">
        <is>
          <t>29103-ET-PG1201-2</t>
        </is>
      </c>
      <c r="D93" s="9" t="inlineStr">
        <is>
          <t>HTC-08 / CB-08</t>
        </is>
      </c>
      <c r="E93" s="9" t="inlineStr">
        <is>
          <t>29103-PG-1201</t>
        </is>
      </c>
      <c r="F93" s="9" t="inlineStr">
        <is>
          <t>29103-65R-ET-PG1201-02-01</t>
        </is>
      </c>
      <c r="G93" s="9" t="inlineStr">
        <is>
          <t>13.1</t>
        </is>
      </c>
      <c r="H93" s="9" t="inlineStr">
        <is>
          <t>29103-ET-PG1201-2-3.pdf</t>
        </is>
      </c>
      <c r="I93" s="4" t="str">
        <f>IF($H93&lt;&gt;"","YES","NO")</f>
        <v>YES</v>
      </c>
      <c r="J93" s="4" t="str">
        <f>IF(N($T93)&gt;0,"YES","NO")</f>
        <v>NO</v>
      </c>
      <c r="K93" s="4" t="str">
        <f>IF(OR($A93="EHT Trace"),IF(AND($U93&lt;&gt;"",$V93&lt;&gt;""),"YES","NO"),"N/A")</f>
        <v>NO</v>
      </c>
      <c r="L93" s="4" t="str">
        <f>IF(OR($A93="EHT Trace"),IF(AND($X93&lt;&gt;"",$Y93&lt;&gt;""),"YES","NO"),"N/A")</f>
        <v>NO</v>
      </c>
      <c r="M93" s="4" t="str">
        <f>IF(OR($A93="EHT Trace"),IF(AND($AA93&lt;&gt;"",$AB93&lt;&gt;""),"YES","NO"),"N/A")</f>
        <v>NO</v>
      </c>
      <c r="N93" s="4" t="str">
        <f>IF(OR($A93="Power Cable"),IF(AND($AD93&lt;&gt;""),"YES","NO"),"N/A")</f>
        <v>N/A</v>
      </c>
      <c r="O93" s="4" t="str">
        <f>IF(OR($A93="Power Cable",$A93="RTD Cable",$A93="Fieldbus Cable"),IF(AND($AE93&lt;&gt;""),"YES","NO"),"N/A")</f>
        <v>N/A</v>
      </c>
      <c r="P93" s="4" t="str">
        <f>IF(OR($A93="RTD"),IF(AND($AH93&lt;&gt;""),"YES","NO"),"N/A")</f>
        <v>N/A</v>
      </c>
      <c r="Q93" s="4" t="str">
        <f>IF(OR($A93="RTD"),IF(AND($AI93&lt;&gt;""),"YES","NO"),"N/A")</f>
        <v>N/A</v>
      </c>
      <c r="R93" s="4" t="str">
        <f>IF(OR($AM93&lt;&gt;"",$Z93&lt;&gt;"",$AC93&lt;&gt;""),"YES","NO")</f>
        <v>NO</v>
      </c>
      <c r="S93" s="4" t="str">
        <f>IF(COUNTIF(I93:R93,"NO")=0,"YES","NO")</f>
        <v>NO</v>
      </c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inlineStr">
        <is>
          <t>D/32SB3700/11.8M/550/122/1.2M/LS23A/X/N12/XMN</t>
        </is>
      </c>
      <c r="AK93" s="9" t="inlineStr">
        <is>
          <t>11.8 m m</t>
        </is>
      </c>
      <c r="AL93" s="9" t="inlineStr">
        <is>
          <t>Levy Ostrup</t>
        </is>
      </c>
      <c r="AM93" s="9" t="n"/>
      <c r="AN93" s="9" t="n"/>
    </row>
    <row r="94">
      <c r="A94" s="9" t="inlineStr">
        <is>
          <t>EHT Trace</t>
        </is>
      </c>
      <c r="B94" s="9" t="inlineStr">
        <is>
          <t>29103-ET-PG1301-1-1</t>
        </is>
      </c>
      <c r="C94" s="9" t="inlineStr">
        <is>
          <t>29103-ET-PG1301-1</t>
        </is>
      </c>
      <c r="D94" s="9" t="inlineStr">
        <is>
          <t>HTC-11 / CB-11</t>
        </is>
      </c>
      <c r="E94" s="9" t="inlineStr">
        <is>
          <t>29103-PG-1301, 29103-PE-1302, 29103-P-1300</t>
        </is>
      </c>
      <c r="F94" s="9" t="inlineStr">
        <is>
          <t>29103-65R-ET-PG1301-01-01</t>
        </is>
      </c>
      <c r="G94" s="9" t="inlineStr">
        <is>
          <t>13.1</t>
        </is>
      </c>
      <c r="H94" s="9" t="inlineStr">
        <is>
          <t>29103-ET-PG1301-1-1.pdf</t>
        </is>
      </c>
      <c r="I94" s="4" t="str">
        <f>IF($H94&lt;&gt;"","YES","NO")</f>
        <v>YES</v>
      </c>
      <c r="J94" s="4" t="str">
        <f>IF(N($T94)&gt;0,"YES","NO")</f>
        <v>NO</v>
      </c>
      <c r="K94" s="4" t="str">
        <f>IF(OR($A94="EHT Trace"),IF(AND($U94&lt;&gt;"",$V94&lt;&gt;""),"YES","NO"),"N/A")</f>
        <v>NO</v>
      </c>
      <c r="L94" s="4" t="str">
        <f>IF(OR($A94="EHT Trace"),IF(AND($X94&lt;&gt;"",$Y94&lt;&gt;""),"YES","NO"),"N/A")</f>
        <v>NO</v>
      </c>
      <c r="M94" s="4" t="str">
        <f>IF(OR($A94="EHT Trace"),IF(AND($AA94&lt;&gt;"",$AB94&lt;&gt;""),"YES","NO"),"N/A")</f>
        <v>NO</v>
      </c>
      <c r="N94" s="4" t="str">
        <f>IF(OR($A94="Power Cable"),IF(AND($AD94&lt;&gt;""),"YES","NO"),"N/A")</f>
        <v>N/A</v>
      </c>
      <c r="O94" s="4" t="str">
        <f>IF(OR($A94="Power Cable",$A94="RTD Cable",$A94="Fieldbus Cable"),IF(AND($AE94&lt;&gt;""),"YES","NO"),"N/A")</f>
        <v>N/A</v>
      </c>
      <c r="P94" s="4" t="str">
        <f>IF(OR($A94="RTD"),IF(AND($AH94&lt;&gt;""),"YES","NO"),"N/A")</f>
        <v>N/A</v>
      </c>
      <c r="Q94" s="4" t="str">
        <f>IF(OR($A94="RTD"),IF(AND($AI94&lt;&gt;""),"YES","NO"),"N/A")</f>
        <v>N/A</v>
      </c>
      <c r="R94" s="4" t="str">
        <f>IF(OR($AM94&lt;&gt;"",$Z94&lt;&gt;"",$AC94&lt;&gt;""),"YES","NO")</f>
        <v>NO</v>
      </c>
      <c r="S94" s="4" t="str">
        <f>IF(COUNTIF(I94:R94,"NO")=0,"YES","NO")</f>
        <v>NO</v>
      </c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inlineStr">
        <is>
          <t>D/32SP4734/89M/3035/277/1.2M/LS23A/X/N12</t>
        </is>
      </c>
      <c r="AK94" s="9" t="inlineStr">
        <is>
          <t>89 m m</t>
        </is>
      </c>
      <c r="AL94" s="9" t="inlineStr">
        <is>
          <t>Levy Ostrup</t>
        </is>
      </c>
      <c r="AM94" s="9" t="n"/>
      <c r="AN94" s="9" t="n"/>
    </row>
    <row r="95">
      <c r="A95" s="9" t="inlineStr">
        <is>
          <t>EHT Trace</t>
        </is>
      </c>
      <c r="B95" s="9" t="inlineStr">
        <is>
          <t>29103-ET-PG1301-2-1</t>
        </is>
      </c>
      <c r="C95" s="9" t="inlineStr">
        <is>
          <t>29103-ET-PG1301-2</t>
        </is>
      </c>
      <c r="D95" s="9" t="inlineStr">
        <is>
          <t>HTC-13 / CB-13</t>
        </is>
      </c>
      <c r="E95" s="9" t="inlineStr">
        <is>
          <t>29103-PG-1301</t>
        </is>
      </c>
      <c r="F95" s="9" t="inlineStr">
        <is>
          <t>29103-65R-ET-PG1301-02-01</t>
        </is>
      </c>
      <c r="G95" s="9" t="inlineStr">
        <is>
          <t>13.1</t>
        </is>
      </c>
      <c r="H95" s="9" t="inlineStr">
        <is>
          <t>29103-ET-PG1301-2-1.pdf</t>
        </is>
      </c>
      <c r="I95" s="4" t="str">
        <f>IF($H95&lt;&gt;"","YES","NO")</f>
        <v>YES</v>
      </c>
      <c r="J95" s="4" t="str">
        <f>IF(N($T95)&gt;0,"YES","NO")</f>
        <v>NO</v>
      </c>
      <c r="K95" s="4" t="str">
        <f>IF(OR($A95="EHT Trace"),IF(AND($U95&lt;&gt;"",$V95&lt;&gt;""),"YES","NO"),"N/A")</f>
        <v>NO</v>
      </c>
      <c r="L95" s="4" t="str">
        <f>IF(OR($A95="EHT Trace"),IF(AND($X95&lt;&gt;"",$Y95&lt;&gt;""),"YES","NO"),"N/A")</f>
        <v>NO</v>
      </c>
      <c r="M95" s="4" t="str">
        <f>IF(OR($A95="EHT Trace"),IF(AND($AA95&lt;&gt;"",$AB95&lt;&gt;""),"YES","NO"),"N/A")</f>
        <v>NO</v>
      </c>
      <c r="N95" s="4" t="str">
        <f>IF(OR($A95="Power Cable"),IF(AND($AD95&lt;&gt;""),"YES","NO"),"N/A")</f>
        <v>N/A</v>
      </c>
      <c r="O95" s="4" t="str">
        <f>IF(OR($A95="Power Cable",$A95="RTD Cable",$A95="Fieldbus Cable"),IF(AND($AE95&lt;&gt;""),"YES","NO"),"N/A")</f>
        <v>N/A</v>
      </c>
      <c r="P95" s="4" t="str">
        <f>IF(OR($A95="RTD"),IF(AND($AH95&lt;&gt;""),"YES","NO"),"N/A")</f>
        <v>N/A</v>
      </c>
      <c r="Q95" s="4" t="str">
        <f>IF(OR($A95="RTD"),IF(AND($AI95&lt;&gt;""),"YES","NO"),"N/A")</f>
        <v>N/A</v>
      </c>
      <c r="R95" s="4" t="str">
        <f>IF(OR($AM95&lt;&gt;"",$Z95&lt;&gt;"",$AC95&lt;&gt;""),"YES","NO")</f>
        <v>NO</v>
      </c>
      <c r="S95" s="4" t="str">
        <f>IF(COUNTIF(I95:R95,"NO")=0,"YES","NO")</f>
        <v>NO</v>
      </c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inlineStr">
        <is>
          <t>E/32SB3700/9.2M/409/93.3/1.2M/LS23A/X/N12/XNF</t>
        </is>
      </c>
      <c r="AK95" s="9" t="inlineStr">
        <is>
          <t>9.2 m m</t>
        </is>
      </c>
      <c r="AL95" s="9" t="inlineStr">
        <is>
          <t>Levy Ostrup</t>
        </is>
      </c>
      <c r="AM95" s="9" t="n"/>
      <c r="AN95" s="9" t="n"/>
    </row>
    <row r="96">
      <c r="A96" s="9" t="inlineStr">
        <is>
          <t>EHT Trace</t>
        </is>
      </c>
      <c r="B96" s="9" t="inlineStr">
        <is>
          <t>29103-ET-PG1301-2-2</t>
        </is>
      </c>
      <c r="C96" s="9" t="inlineStr">
        <is>
          <t>29103-ET-PG1301-2</t>
        </is>
      </c>
      <c r="D96" s="9" t="inlineStr">
        <is>
          <t>HTC-13 / CB-13</t>
        </is>
      </c>
      <c r="E96" s="9" t="inlineStr">
        <is>
          <t>29103-PG-1301</t>
        </is>
      </c>
      <c r="F96" s="9" t="inlineStr">
        <is>
          <t>29103-65R-ET-PG1301-02-01</t>
        </is>
      </c>
      <c r="G96" s="9" t="inlineStr">
        <is>
          <t>13.1</t>
        </is>
      </c>
      <c r="H96" s="9" t="inlineStr">
        <is>
          <t>29103-ET-PG1301-2-2.pdf</t>
        </is>
      </c>
      <c r="I96" s="4" t="str">
        <f>IF($H96&lt;&gt;"","YES","NO")</f>
        <v>YES</v>
      </c>
      <c r="J96" s="4" t="str">
        <f>IF(N($T96)&gt;0,"YES","NO")</f>
        <v>NO</v>
      </c>
      <c r="K96" s="4" t="str">
        <f>IF(OR($A96="EHT Trace"),IF(AND($U96&lt;&gt;"",$V96&lt;&gt;""),"YES","NO"),"N/A")</f>
        <v>NO</v>
      </c>
      <c r="L96" s="4" t="str">
        <f>IF(OR($A96="EHT Trace"),IF(AND($X96&lt;&gt;"",$Y96&lt;&gt;""),"YES","NO"),"N/A")</f>
        <v>NO</v>
      </c>
      <c r="M96" s="4" t="str">
        <f>IF(OR($A96="EHT Trace"),IF(AND($AA96&lt;&gt;"",$AB96&lt;&gt;""),"YES","NO"),"N/A")</f>
        <v>NO</v>
      </c>
      <c r="N96" s="4" t="str">
        <f>IF(OR($A96="Power Cable"),IF(AND($AD96&lt;&gt;""),"YES","NO"),"N/A")</f>
        <v>N/A</v>
      </c>
      <c r="O96" s="4" t="str">
        <f>IF(OR($A96="Power Cable",$A96="RTD Cable",$A96="Fieldbus Cable"),IF(AND($AE96&lt;&gt;""),"YES","NO"),"N/A")</f>
        <v>N/A</v>
      </c>
      <c r="P96" s="4" t="str">
        <f>IF(OR($A96="RTD"),IF(AND($AH96&lt;&gt;""),"YES","NO"),"N/A")</f>
        <v>N/A</v>
      </c>
      <c r="Q96" s="4" t="str">
        <f>IF(OR($A96="RTD"),IF(AND($AI96&lt;&gt;""),"YES","NO"),"N/A")</f>
        <v>N/A</v>
      </c>
      <c r="R96" s="4" t="str">
        <f>IF(OR($AM96&lt;&gt;"",$Z96&lt;&gt;"",$AC96&lt;&gt;""),"YES","NO")</f>
        <v>NO</v>
      </c>
      <c r="S96" s="4" t="str">
        <f>IF(COUNTIF(I96:R96,"NO")=0,"YES","NO")</f>
        <v>NO</v>
      </c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inlineStr">
        <is>
          <t>E/32SB3700/6.3M/280/63.9/1.2M/LS23A/X/N12/XMF</t>
        </is>
      </c>
      <c r="AK96" s="9" t="inlineStr">
        <is>
          <t>6.3 m m</t>
        </is>
      </c>
      <c r="AL96" s="9" t="inlineStr">
        <is>
          <t>Levy Ostrup</t>
        </is>
      </c>
      <c r="AM96" s="9" t="n"/>
      <c r="AN96" s="9" t="n"/>
    </row>
    <row r="97">
      <c r="A97" s="9" t="inlineStr">
        <is>
          <t>EHT Trace</t>
        </is>
      </c>
      <c r="B97" s="9" t="inlineStr">
        <is>
          <t>29103-ET-PG1301-2-3</t>
        </is>
      </c>
      <c r="C97" s="9" t="inlineStr">
        <is>
          <t>29103-ET-PG1301-2</t>
        </is>
      </c>
      <c r="D97" s="9" t="inlineStr">
        <is>
          <t>HTC-13 / CB-13</t>
        </is>
      </c>
      <c r="E97" s="9" t="inlineStr">
        <is>
          <t>29103-PG-1301</t>
        </is>
      </c>
      <c r="F97" s="9" t="inlineStr">
        <is>
          <t>29103-65R-ET-PG1301-02-01</t>
        </is>
      </c>
      <c r="G97" s="9" t="inlineStr">
        <is>
          <t>13.1</t>
        </is>
      </c>
      <c r="H97" s="9" t="inlineStr">
        <is>
          <t>29103-ET-PG1301-2-3.pdf</t>
        </is>
      </c>
      <c r="I97" s="4" t="str">
        <f>IF($H97&lt;&gt;"","YES","NO")</f>
        <v>YES</v>
      </c>
      <c r="J97" s="4" t="str">
        <f>IF(N($T97)&gt;0,"YES","NO")</f>
        <v>NO</v>
      </c>
      <c r="K97" s="4" t="str">
        <f>IF(OR($A97="EHT Trace"),IF(AND($U97&lt;&gt;"",$V97&lt;&gt;""),"YES","NO"),"N/A")</f>
        <v>NO</v>
      </c>
      <c r="L97" s="4" t="str">
        <f>IF(OR($A97="EHT Trace"),IF(AND($X97&lt;&gt;"",$Y97&lt;&gt;""),"YES","NO"),"N/A")</f>
        <v>NO</v>
      </c>
      <c r="M97" s="4" t="str">
        <f>IF(OR($A97="EHT Trace"),IF(AND($AA97&lt;&gt;"",$AB97&lt;&gt;""),"YES","NO"),"N/A")</f>
        <v>NO</v>
      </c>
      <c r="N97" s="4" t="str">
        <f>IF(OR($A97="Power Cable"),IF(AND($AD97&lt;&gt;""),"YES","NO"),"N/A")</f>
        <v>N/A</v>
      </c>
      <c r="O97" s="4" t="str">
        <f>IF(OR($A97="Power Cable",$A97="RTD Cable",$A97="Fieldbus Cable"),IF(AND($AE97&lt;&gt;""),"YES","NO"),"N/A")</f>
        <v>N/A</v>
      </c>
      <c r="P97" s="4" t="str">
        <f>IF(OR($A97="RTD"),IF(AND($AH97&lt;&gt;""),"YES","NO"),"N/A")</f>
        <v>N/A</v>
      </c>
      <c r="Q97" s="4" t="str">
        <f>IF(OR($A97="RTD"),IF(AND($AI97&lt;&gt;""),"YES","NO"),"N/A")</f>
        <v>N/A</v>
      </c>
      <c r="R97" s="4" t="str">
        <f>IF(OR($AM97&lt;&gt;"",$Z97&lt;&gt;"",$AC97&lt;&gt;""),"YES","NO")</f>
        <v>NO</v>
      </c>
      <c r="S97" s="4" t="str">
        <f>IF(COUNTIF(I97:R97,"NO")=0,"YES","NO")</f>
        <v>NO</v>
      </c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inlineStr">
        <is>
          <t>D/32SB3700/11.8M/525/120/1.2M/LS23A/X/N12/XMN</t>
        </is>
      </c>
      <c r="AK97" s="9" t="inlineStr">
        <is>
          <t>11.8 m m</t>
        </is>
      </c>
      <c r="AL97" s="9" t="inlineStr">
        <is>
          <t>Levy Ostrup</t>
        </is>
      </c>
      <c r="AM97" s="9" t="n"/>
      <c r="AN97" s="9" t="n"/>
    </row>
    <row r="98">
      <c r="A98" s="9" t="inlineStr">
        <is>
          <t>EHT Trace</t>
        </is>
      </c>
      <c r="B98" s="9" t="inlineStr">
        <is>
          <t>29103-ET-SC1800-1-1</t>
        </is>
      </c>
      <c r="C98" s="9" t="inlineStr">
        <is>
          <t>29103-ET-SC1800-1</t>
        </is>
      </c>
      <c r="D98" s="9" t="inlineStr">
        <is>
          <t>29103-AMB-002</t>
        </is>
      </c>
      <c r="E98" s="9" t="inlineStr">
        <is>
          <t>29103-ST-1815, 29103-ST-1814, 29103-ST-1813, 29103- ST-1812, 29103-SC-1803, 29103-SC-1800</t>
        </is>
      </c>
      <c r="F98" s="9" t="inlineStr">
        <is>
          <t>29103-65R-ET-SC1800-01-01</t>
        </is>
      </c>
      <c r="G98" s="9" t="inlineStr">
        <is>
          <t>13.1</t>
        </is>
      </c>
      <c r="H98" s="9" t="inlineStr">
        <is>
          <t>29103-ET-SC1800-1-1.pdf</t>
        </is>
      </c>
      <c r="I98" s="4" t="str">
        <f>IF($H98&lt;&gt;"","YES","NO")</f>
        <v>YES</v>
      </c>
      <c r="J98" s="4" t="str">
        <f>IF(N($T98)&gt;0,"YES","NO")</f>
        <v>NO</v>
      </c>
      <c r="K98" s="4" t="str">
        <f>IF(OR($A98="EHT Trace"),IF(AND($U98&lt;&gt;"",$V98&lt;&gt;""),"YES","NO"),"N/A")</f>
        <v>NO</v>
      </c>
      <c r="L98" s="4" t="str">
        <f>IF(OR($A98="EHT Trace"),IF(AND($X98&lt;&gt;"",$Y98&lt;&gt;""),"YES","NO"),"N/A")</f>
        <v>NO</v>
      </c>
      <c r="M98" s="4" t="str">
        <f>IF(OR($A98="EHT Trace"),IF(AND($AA98&lt;&gt;"",$AB98&lt;&gt;""),"YES","NO"),"N/A")</f>
        <v>NO</v>
      </c>
      <c r="N98" s="4" t="str">
        <f>IF(OR($A98="Power Cable"),IF(AND($AD98&lt;&gt;""),"YES","NO"),"N/A")</f>
        <v>N/A</v>
      </c>
      <c r="O98" s="4" t="str">
        <f>IF(OR($A98="Power Cable",$A98="RTD Cable",$A98="Fieldbus Cable"),IF(AND($AE98&lt;&gt;""),"YES","NO"),"N/A")</f>
        <v>N/A</v>
      </c>
      <c r="P98" s="4" t="str">
        <f>IF(OR($A98="RTD"),IF(AND($AH98&lt;&gt;""),"YES","NO"),"N/A")</f>
        <v>N/A</v>
      </c>
      <c r="Q98" s="4" t="str">
        <f>IF(OR($A98="RTD"),IF(AND($AI98&lt;&gt;""),"YES","NO"),"N/A")</f>
        <v>N/A</v>
      </c>
      <c r="R98" s="4" t="str">
        <f>IF(OR($AM98&lt;&gt;"",$Z98&lt;&gt;"",$AC98&lt;&gt;""),"YES","NO")</f>
        <v>NO</v>
      </c>
      <c r="S98" s="4" t="str">
        <f>IF(COUNTIF(I98:R98,"NO")=0,"YES","NO")</f>
        <v>NO</v>
      </c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inlineStr">
        <is>
          <t>D/32SB3914/39.4M/650/277/1.2M/LS23A/X/N12</t>
        </is>
      </c>
      <c r="AK98" s="9" t="inlineStr">
        <is>
          <t>39.4 m m</t>
        </is>
      </c>
      <c r="AL98" s="9" t="inlineStr">
        <is>
          <t>Levy Ostrup</t>
        </is>
      </c>
      <c r="AM98" s="9" t="n"/>
      <c r="AN98" s="9" t="n"/>
    </row>
    <row r="99">
      <c r="A99" s="9" t="inlineStr">
        <is>
          <t>EHT Trace</t>
        </is>
      </c>
      <c r="B99" s="9" t="inlineStr">
        <is>
          <t>29103-ET-ST1001-1-1</t>
        </is>
      </c>
      <c r="C99" s="9" t="inlineStr">
        <is>
          <t>29103-ET-ST1001-1</t>
        </is>
      </c>
      <c r="D99" s="9" t="inlineStr">
        <is>
          <t>29103-AMB-002</t>
        </is>
      </c>
      <c r="E99" s="9" t="inlineStr">
        <is>
          <t>29103-ST-1001</t>
        </is>
      </c>
      <c r="F99" s="9" t="inlineStr">
        <is>
          <t>29103-65R-ET-ST1001-01-01</t>
        </is>
      </c>
      <c r="G99" s="9" t="inlineStr">
        <is>
          <t>13.1</t>
        </is>
      </c>
      <c r="H99" s="9" t="inlineStr">
        <is>
          <t>29103-ET-ST1001-1-1.pdf</t>
        </is>
      </c>
      <c r="I99" s="4" t="str">
        <f>IF($H99&lt;&gt;"","YES","NO")</f>
        <v>YES</v>
      </c>
      <c r="J99" s="4" t="str">
        <f>IF(N($T99)&gt;0,"YES","NO")</f>
        <v>NO</v>
      </c>
      <c r="K99" s="4" t="str">
        <f>IF(OR($A99="EHT Trace"),IF(AND($U99&lt;&gt;"",$V99&lt;&gt;""),"YES","NO"),"N/A")</f>
        <v>NO</v>
      </c>
      <c r="L99" s="4" t="str">
        <f>IF(OR($A99="EHT Trace"),IF(AND($X99&lt;&gt;"",$Y99&lt;&gt;""),"YES","NO"),"N/A")</f>
        <v>NO</v>
      </c>
      <c r="M99" s="4" t="str">
        <f>IF(OR($A99="EHT Trace"),IF(AND($AA99&lt;&gt;"",$AB99&lt;&gt;""),"YES","NO"),"N/A")</f>
        <v>NO</v>
      </c>
      <c r="N99" s="4" t="str">
        <f>IF(OR($A99="Power Cable"),IF(AND($AD99&lt;&gt;""),"YES","NO"),"N/A")</f>
        <v>N/A</v>
      </c>
      <c r="O99" s="4" t="str">
        <f>IF(OR($A99="Power Cable",$A99="RTD Cable",$A99="Fieldbus Cable"),IF(AND($AE99&lt;&gt;""),"YES","NO"),"N/A")</f>
        <v>N/A</v>
      </c>
      <c r="P99" s="4" t="str">
        <f>IF(OR($A99="RTD"),IF(AND($AH99&lt;&gt;""),"YES","NO"),"N/A")</f>
        <v>N/A</v>
      </c>
      <c r="Q99" s="4" t="str">
        <f>IF(OR($A99="RTD"),IF(AND($AI99&lt;&gt;""),"YES","NO"),"N/A")</f>
        <v>N/A</v>
      </c>
      <c r="R99" s="4" t="str">
        <f>IF(OR($AM99&lt;&gt;"",$Z99&lt;&gt;"",$AC99&lt;&gt;""),"YES","NO")</f>
        <v>NO</v>
      </c>
      <c r="S99" s="4" t="str">
        <f>IF(COUNTIF(I99:R99,"NO")=0,"YES","NO")</f>
        <v>NO</v>
      </c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inlineStr">
        <is>
          <t>E/32SB2114/12.6M/169/89.3/1.2M/LS23A/X/N12/XNF</t>
        </is>
      </c>
      <c r="AK99" s="9" t="inlineStr">
        <is>
          <t>12.6 m m</t>
        </is>
      </c>
      <c r="AL99" s="9" t="inlineStr">
        <is>
          <t>Levy Ostrup</t>
        </is>
      </c>
      <c r="AM99" s="9" t="n"/>
      <c r="AN99" s="9" t="n"/>
    </row>
    <row r="100">
      <c r="A100" s="9" t="inlineStr">
        <is>
          <t>EHT Trace</t>
        </is>
      </c>
      <c r="B100" s="9" t="inlineStr">
        <is>
          <t>29103-ET-ST1001-1-2</t>
        </is>
      </c>
      <c r="C100" s="9" t="inlineStr">
        <is>
          <t>29103-ET-ST1001-1</t>
        </is>
      </c>
      <c r="D100" s="9" t="inlineStr">
        <is>
          <t>29103-AMB-002</t>
        </is>
      </c>
      <c r="E100" s="9" t="inlineStr">
        <is>
          <t>29103-ST-1002, 29103-ST-1001</t>
        </is>
      </c>
      <c r="F100" s="9" t="inlineStr">
        <is>
          <t>29103-65R-ET-ST1001-01-01</t>
        </is>
      </c>
      <c r="G100" s="9" t="inlineStr">
        <is>
          <t>13.1</t>
        </is>
      </c>
      <c r="H100" s="9" t="inlineStr">
        <is>
          <t>29103-ET-ST1001-1-2.pdf</t>
        </is>
      </c>
      <c r="I100" s="4" t="str">
        <f>IF($H100&lt;&gt;"","YES","NO")</f>
        <v>YES</v>
      </c>
      <c r="J100" s="4" t="str">
        <f>IF(N($T100)&gt;0,"YES","NO")</f>
        <v>NO</v>
      </c>
      <c r="K100" s="4" t="str">
        <f>IF(OR($A100="EHT Trace"),IF(AND($U100&lt;&gt;"",$V100&lt;&gt;""),"YES","NO"),"N/A")</f>
        <v>NO</v>
      </c>
      <c r="L100" s="4" t="str">
        <f>IF(OR($A100="EHT Trace"),IF(AND($X100&lt;&gt;"",$Y100&lt;&gt;""),"YES","NO"),"N/A")</f>
        <v>NO</v>
      </c>
      <c r="M100" s="4" t="str">
        <f>IF(OR($A100="EHT Trace"),IF(AND($AA100&lt;&gt;"",$AB100&lt;&gt;""),"YES","NO"),"N/A")</f>
        <v>NO</v>
      </c>
      <c r="N100" s="4" t="str">
        <f>IF(OR($A100="Power Cable"),IF(AND($AD100&lt;&gt;""),"YES","NO"),"N/A")</f>
        <v>N/A</v>
      </c>
      <c r="O100" s="4" t="str">
        <f>IF(OR($A100="Power Cable",$A100="RTD Cable",$A100="Fieldbus Cable"),IF(AND($AE100&lt;&gt;""),"YES","NO"),"N/A")</f>
        <v>N/A</v>
      </c>
      <c r="P100" s="4" t="str">
        <f>IF(OR($A100="RTD"),IF(AND($AH100&lt;&gt;""),"YES","NO"),"N/A")</f>
        <v>N/A</v>
      </c>
      <c r="Q100" s="4" t="str">
        <f>IF(OR($A100="RTD"),IF(AND($AI100&lt;&gt;""),"YES","NO"),"N/A")</f>
        <v>N/A</v>
      </c>
      <c r="R100" s="4" t="str">
        <f>IF(OR($AM100&lt;&gt;"",$Z100&lt;&gt;"",$AC100&lt;&gt;""),"YES","NO")</f>
        <v>NO</v>
      </c>
      <c r="S100" s="4" t="str">
        <f>IF(COUNTIF(I100:R100,"NO")=0,"YES","NO")</f>
        <v>NO</v>
      </c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inlineStr">
        <is>
          <t>D/32SB2114/26.5M/355/188/1.2M/LS23A/X/N12/XMN</t>
        </is>
      </c>
      <c r="AK100" s="9" t="inlineStr">
        <is>
          <t>26.5 m m</t>
        </is>
      </c>
      <c r="AL100" s="9" t="inlineStr">
        <is>
          <t>Levy Ostrup</t>
        </is>
      </c>
      <c r="AM100" s="9" t="n"/>
      <c r="AN100" s="9" t="n"/>
    </row>
    <row r="101">
      <c r="A101" s="9" t="inlineStr">
        <is>
          <t>EHT Trace</t>
        </is>
      </c>
      <c r="B101" s="9" t="inlineStr">
        <is>
          <t>29103-ET-ST1103-1-1</t>
        </is>
      </c>
      <c r="C101" s="9" t="inlineStr">
        <is>
          <t>29103-ET-ST1103-1</t>
        </is>
      </c>
      <c r="D101" s="9" t="inlineStr">
        <is>
          <t>29103-AMB-002</t>
        </is>
      </c>
      <c r="E101" s="9" t="inlineStr">
        <is>
          <t>29103-ST-1104, 29103-ST-1103</t>
        </is>
      </c>
      <c r="F101" s="9" t="inlineStr">
        <is>
          <t>29103-65R-ET-ST1103-01-01</t>
        </is>
      </c>
      <c r="G101" s="9" t="inlineStr">
        <is>
          <t>13.1</t>
        </is>
      </c>
      <c r="H101" s="9" t="inlineStr">
        <is>
          <t>29103-ET-ST1103-1-1.pdf</t>
        </is>
      </c>
      <c r="I101" s="4" t="str">
        <f>IF($H101&lt;&gt;"","YES","NO")</f>
        <v>YES</v>
      </c>
      <c r="J101" s="4" t="str">
        <f>IF(N($T101)&gt;0,"YES","NO")</f>
        <v>NO</v>
      </c>
      <c r="K101" s="4" t="str">
        <f>IF(OR($A101="EHT Trace"),IF(AND($U101&lt;&gt;"",$V101&lt;&gt;""),"YES","NO"),"N/A")</f>
        <v>NO</v>
      </c>
      <c r="L101" s="4" t="str">
        <f>IF(OR($A101="EHT Trace"),IF(AND($X101&lt;&gt;"",$Y101&lt;&gt;""),"YES","NO"),"N/A")</f>
        <v>NO</v>
      </c>
      <c r="M101" s="4" t="str">
        <f>IF(OR($A101="EHT Trace"),IF(AND($AA101&lt;&gt;"",$AB101&lt;&gt;""),"YES","NO"),"N/A")</f>
        <v>NO</v>
      </c>
      <c r="N101" s="4" t="str">
        <f>IF(OR($A101="Power Cable"),IF(AND($AD101&lt;&gt;""),"YES","NO"),"N/A")</f>
        <v>N/A</v>
      </c>
      <c r="O101" s="4" t="str">
        <f>IF(OR($A101="Power Cable",$A101="RTD Cable",$A101="Fieldbus Cable"),IF(AND($AE101&lt;&gt;""),"YES","NO"),"N/A")</f>
        <v>N/A</v>
      </c>
      <c r="P101" s="4" t="str">
        <f>IF(OR($A101="RTD"),IF(AND($AH101&lt;&gt;""),"YES","NO"),"N/A")</f>
        <v>N/A</v>
      </c>
      <c r="Q101" s="4" t="str">
        <f>IF(OR($A101="RTD"),IF(AND($AI101&lt;&gt;""),"YES","NO"),"N/A")</f>
        <v>N/A</v>
      </c>
      <c r="R101" s="4" t="str">
        <f>IF(OR($AM101&lt;&gt;"",$Z101&lt;&gt;"",$AC101&lt;&gt;""),"YES","NO")</f>
        <v>NO</v>
      </c>
      <c r="S101" s="4" t="str">
        <f>IF(COUNTIF(I101:R101,"NO")=0,"YES","NO")</f>
        <v>NO</v>
      </c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inlineStr">
        <is>
          <t>E/32SB2114/17.5M/282/136/1.2M/LS23A/X/N12/XNF</t>
        </is>
      </c>
      <c r="AK101" s="9" t="inlineStr">
        <is>
          <t>17.5 m m</t>
        </is>
      </c>
      <c r="AL101" s="9" t="inlineStr">
        <is>
          <t>Levy Ostrup</t>
        </is>
      </c>
      <c r="AM101" s="9" t="n"/>
      <c r="AN101" s="9" t="n"/>
    </row>
    <row r="102">
      <c r="A102" s="9" t="inlineStr">
        <is>
          <t>EHT Trace</t>
        </is>
      </c>
      <c r="B102" s="9" t="inlineStr">
        <is>
          <t>29103-ET-ST1103-1-2</t>
        </is>
      </c>
      <c r="C102" s="9" t="inlineStr">
        <is>
          <t>29103-ET-ST1103-1</t>
        </is>
      </c>
      <c r="D102" s="9" t="inlineStr">
        <is>
          <t>29103-AMB-002</t>
        </is>
      </c>
      <c r="E102" s="9" t="inlineStr">
        <is>
          <t>29103-ST-1104</t>
        </is>
      </c>
      <c r="F102" s="9" t="inlineStr">
        <is>
          <t>29103-65R-ET-ST1103-01-01</t>
        </is>
      </c>
      <c r="G102" s="9" t="inlineStr">
        <is>
          <t>13.1</t>
        </is>
      </c>
      <c r="H102" s="9" t="inlineStr">
        <is>
          <t>29103-ET-ST1103-1-2.pdf</t>
        </is>
      </c>
      <c r="I102" s="4" t="str">
        <f>IF($H102&lt;&gt;"","YES","NO")</f>
        <v>YES</v>
      </c>
      <c r="J102" s="4" t="str">
        <f>IF(N($T102)&gt;0,"YES","NO")</f>
        <v>NO</v>
      </c>
      <c r="K102" s="4" t="str">
        <f>IF(OR($A102="EHT Trace"),IF(AND($U102&lt;&gt;"",$V102&lt;&gt;""),"YES","NO"),"N/A")</f>
        <v>NO</v>
      </c>
      <c r="L102" s="4" t="str">
        <f>IF(OR($A102="EHT Trace"),IF(AND($X102&lt;&gt;"",$Y102&lt;&gt;""),"YES","NO"),"N/A")</f>
        <v>NO</v>
      </c>
      <c r="M102" s="4" t="str">
        <f>IF(OR($A102="EHT Trace"),IF(AND($AA102&lt;&gt;"",$AB102&lt;&gt;""),"YES","NO"),"N/A")</f>
        <v>NO</v>
      </c>
      <c r="N102" s="4" t="str">
        <f>IF(OR($A102="Power Cable"),IF(AND($AD102&lt;&gt;""),"YES","NO"),"N/A")</f>
        <v>N/A</v>
      </c>
      <c r="O102" s="4" t="str">
        <f>IF(OR($A102="Power Cable",$A102="RTD Cable",$A102="Fieldbus Cable"),IF(AND($AE102&lt;&gt;""),"YES","NO"),"N/A")</f>
        <v>N/A</v>
      </c>
      <c r="P102" s="4" t="str">
        <f>IF(OR($A102="RTD"),IF(AND($AH102&lt;&gt;""),"YES","NO"),"N/A")</f>
        <v>N/A</v>
      </c>
      <c r="Q102" s="4" t="str">
        <f>IF(OR($A102="RTD"),IF(AND($AI102&lt;&gt;""),"YES","NO"),"N/A")</f>
        <v>N/A</v>
      </c>
      <c r="R102" s="4" t="str">
        <f>IF(OR($AM102&lt;&gt;"",$Z102&lt;&gt;"",$AC102&lt;&gt;""),"YES","NO")</f>
        <v>NO</v>
      </c>
      <c r="S102" s="4" t="str">
        <f>IF(COUNTIF(I102:R102,"NO")=0,"YES","NO")</f>
        <v>NO</v>
      </c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inlineStr">
        <is>
          <t>D/32SB2114/18.2M/293/141/1.2M/LS23A/X/N12/XMN</t>
        </is>
      </c>
      <c r="AK102" s="9" t="inlineStr">
        <is>
          <t>18.2 m m</t>
        </is>
      </c>
      <c r="AL102" s="9" t="inlineStr">
        <is>
          <t>Levy Ostrup</t>
        </is>
      </c>
      <c r="AM102" s="9" t="n"/>
      <c r="AN102" s="9" t="n"/>
    </row>
    <row r="103">
      <c r="A103" s="9" t="inlineStr">
        <is>
          <t>EHT Trace</t>
        </is>
      </c>
      <c r="B103" s="9" t="inlineStr">
        <is>
          <t>29103-ET-ST1103-1-3</t>
        </is>
      </c>
      <c r="C103" s="9" t="inlineStr">
        <is>
          <t>29103-ET-ST1103-1</t>
        </is>
      </c>
      <c r="D103" s="9" t="inlineStr">
        <is>
          <t>29103-AMB-002</t>
        </is>
      </c>
      <c r="E103" s="9" t="inlineStr">
        <is>
          <t>29103-ST-1103</t>
        </is>
      </c>
      <c r="F103" s="9" t="inlineStr">
        <is>
          <t>29103-65R-ET-ST1103-01-01</t>
        </is>
      </c>
      <c r="G103" s="9" t="inlineStr">
        <is>
          <t>13.1</t>
        </is>
      </c>
      <c r="H103" s="9" t="inlineStr">
        <is>
          <t>29103-ET-ST1103-1-3.pdf</t>
        </is>
      </c>
      <c r="I103" s="4" t="str">
        <f>IF($H103&lt;&gt;"","YES","NO")</f>
        <v>YES</v>
      </c>
      <c r="J103" s="4" t="str">
        <f>IF(N($T103)&gt;0,"YES","NO")</f>
        <v>NO</v>
      </c>
      <c r="K103" s="4" t="str">
        <f>IF(OR($A103="EHT Trace"),IF(AND($U103&lt;&gt;"",$V103&lt;&gt;""),"YES","NO"),"N/A")</f>
        <v>YES</v>
      </c>
      <c r="L103" s="4" t="str">
        <f>IF(OR($A103="EHT Trace"),IF(AND($X103&lt;&gt;"",$Y103&lt;&gt;""),"YES","NO"),"N/A")</f>
        <v>NO</v>
      </c>
      <c r="M103" s="4" t="str">
        <f>IF(OR($A103="EHT Trace"),IF(AND($AA103&lt;&gt;"",$AB103&lt;&gt;""),"YES","NO"),"N/A")</f>
        <v>NO</v>
      </c>
      <c r="N103" s="4" t="str">
        <f>IF(OR($A103="Power Cable"),IF(AND($AD103&lt;&gt;""),"YES","NO"),"N/A")</f>
        <v>N/A</v>
      </c>
      <c r="O103" s="4" t="str">
        <f>IF(OR($A103="Power Cable",$A103="RTD Cable",$A103="Fieldbus Cable"),IF(AND($AE103&lt;&gt;""),"YES","NO"),"N/A")</f>
        <v>N/A</v>
      </c>
      <c r="P103" s="4" t="str">
        <f>IF(OR($A103="RTD"),IF(AND($AH103&lt;&gt;""),"YES","NO"),"N/A")</f>
        <v>N/A</v>
      </c>
      <c r="Q103" s="4" t="str">
        <f>IF(OR($A103="RTD"),IF(AND($AI103&lt;&gt;""),"YES","NO"),"N/A")</f>
        <v>N/A</v>
      </c>
      <c r="R103" s="4" t="str">
        <f>IF(OR($AM103&lt;&gt;"",$Z103&lt;&gt;"",$AC103&lt;&gt;""),"YES","NO")</f>
        <v>NO</v>
      </c>
      <c r="S103" s="4" t="str">
        <f>IF(COUNTIF(I103:R103,"NO")=0,"YES","NO")</f>
        <v>NO</v>
      </c>
      <c r="T103" s="9" t="n"/>
      <c r="U103" s="9" t="inlineStr">
        <is>
          <t>&gt;550 MΩ</t>
        </is>
      </c>
      <c r="V103" s="9" t="inlineStr">
        <is>
          <t>55.2 Ω</t>
        </is>
      </c>
      <c r="W103" s="9" t="inlineStr">
        <is>
          <t>2026-05-18</t>
        </is>
      </c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inlineStr">
        <is>
          <t>E/32SA2170/9.5M/162/93/1.2M/LS23A/X/N12/XNF</t>
        </is>
      </c>
      <c r="AK103" s="9" t="inlineStr">
        <is>
          <t>9.5 m m</t>
        </is>
      </c>
      <c r="AL103" s="9" t="inlineStr">
        <is>
          <t>Levy Ostrup</t>
        </is>
      </c>
      <c r="AM103" s="9" t="n"/>
      <c r="AN103" s="9" t="n"/>
    </row>
    <row r="104">
      <c r="A104" s="9" t="inlineStr">
        <is>
          <t>EHT Trace</t>
        </is>
      </c>
      <c r="B104" s="9" t="inlineStr">
        <is>
          <t>29103-ET-ST1103-1-4</t>
        </is>
      </c>
      <c r="C104" s="9" t="inlineStr">
        <is>
          <t>29103-ET-ST1103-1</t>
        </is>
      </c>
      <c r="D104" s="9" t="inlineStr">
        <is>
          <t>29103-AMB-002</t>
        </is>
      </c>
      <c r="E104" s="9" t="inlineStr">
        <is>
          <t>29103-ST-1103</t>
        </is>
      </c>
      <c r="F104" s="9" t="inlineStr">
        <is>
          <t>29103-65R-ET-ST1103-01-01</t>
        </is>
      </c>
      <c r="G104" s="9" t="inlineStr">
        <is>
          <t>13.1</t>
        </is>
      </c>
      <c r="H104" s="9" t="inlineStr">
        <is>
          <t>29103-ET-ST1103-1-4.pdf</t>
        </is>
      </c>
      <c r="I104" s="4" t="str">
        <f>IF($H104&lt;&gt;"","YES","NO")</f>
        <v>YES</v>
      </c>
      <c r="J104" s="4" t="str">
        <f>IF(N($T104)&gt;0,"YES","NO")</f>
        <v>NO</v>
      </c>
      <c r="K104" s="4" t="str">
        <f>IF(OR($A104="EHT Trace"),IF(AND($U104&lt;&gt;"",$V104&lt;&gt;""),"YES","NO"),"N/A")</f>
        <v>YES</v>
      </c>
      <c r="L104" s="4" t="str">
        <f>IF(OR($A104="EHT Trace"),IF(AND($X104&lt;&gt;"",$Y104&lt;&gt;""),"YES","NO"),"N/A")</f>
        <v>NO</v>
      </c>
      <c r="M104" s="4" t="str">
        <f>IF(OR($A104="EHT Trace"),IF(AND($AA104&lt;&gt;"",$AB104&lt;&gt;""),"YES","NO"),"N/A")</f>
        <v>NO</v>
      </c>
      <c r="N104" s="4" t="str">
        <f>IF(OR($A104="Power Cable"),IF(AND($AD104&lt;&gt;""),"YES","NO"),"N/A")</f>
        <v>N/A</v>
      </c>
      <c r="O104" s="4" t="str">
        <f>IF(OR($A104="Power Cable",$A104="RTD Cable",$A104="Fieldbus Cable"),IF(AND($AE104&lt;&gt;""),"YES","NO"),"N/A")</f>
        <v>N/A</v>
      </c>
      <c r="P104" s="4" t="str">
        <f>IF(OR($A104="RTD"),IF(AND($AH104&lt;&gt;""),"YES","NO"),"N/A")</f>
        <v>N/A</v>
      </c>
      <c r="Q104" s="4" t="str">
        <f>IF(OR($A104="RTD"),IF(AND($AI104&lt;&gt;""),"YES","NO"),"N/A")</f>
        <v>N/A</v>
      </c>
      <c r="R104" s="4" t="str">
        <f>IF(OR($AM104&lt;&gt;"",$Z104&lt;&gt;"",$AC104&lt;&gt;""),"YES","NO")</f>
        <v>NO</v>
      </c>
      <c r="S104" s="4" t="str">
        <f>IF(COUNTIF(I104:R104,"NO")=0,"YES","NO")</f>
        <v>NO</v>
      </c>
      <c r="T104" s="9" t="n"/>
      <c r="U104" s="9" t="inlineStr">
        <is>
          <t>&gt;550 MΩ</t>
        </is>
      </c>
      <c r="V104" s="9" t="inlineStr">
        <is>
          <t>33.5 Ω</t>
        </is>
      </c>
      <c r="W104" s="9" t="inlineStr">
        <is>
          <t>2026-05-18</t>
        </is>
      </c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inlineStr">
        <is>
          <t>E/32SA2170/5.7M/97/55.8/1.2M/LS23A/X/N12/XMF</t>
        </is>
      </c>
      <c r="AK104" s="9" t="inlineStr">
        <is>
          <t>5.7 m m</t>
        </is>
      </c>
      <c r="AL104" s="9" t="inlineStr">
        <is>
          <t>Levy Ostrup</t>
        </is>
      </c>
      <c r="AM104" s="9" t="n"/>
      <c r="AN104" s="9" t="n"/>
    </row>
    <row r="105">
      <c r="A105" s="9" t="inlineStr">
        <is>
          <t>EHT Trace</t>
        </is>
      </c>
      <c r="B105" s="9" t="inlineStr">
        <is>
          <t>29103-ET-ST1103-1-5</t>
        </is>
      </c>
      <c r="C105" s="9" t="inlineStr">
        <is>
          <t>29103-ET-ST1103-1</t>
        </is>
      </c>
      <c r="D105" s="9" t="inlineStr">
        <is>
          <t>29103-AMB-002</t>
        </is>
      </c>
      <c r="E105" s="9" t="inlineStr">
        <is>
          <t>29103-ST-1103</t>
        </is>
      </c>
      <c r="F105" s="9" t="inlineStr">
        <is>
          <t>29103-65R-ET-ST1103-01-01</t>
        </is>
      </c>
      <c r="G105" s="9" t="inlineStr">
        <is>
          <t>13.1</t>
        </is>
      </c>
      <c r="H105" s="9" t="inlineStr">
        <is>
          <t>29103-ET-ST1103-1-5.pdf</t>
        </is>
      </c>
      <c r="I105" s="4" t="str">
        <f>IF($H105&lt;&gt;"","YES","NO")</f>
        <v>YES</v>
      </c>
      <c r="J105" s="4" t="str">
        <f>IF(N($T105)&gt;0,"YES","NO")</f>
        <v>NO</v>
      </c>
      <c r="K105" s="4" t="str">
        <f>IF(OR($A105="EHT Trace"),IF(AND($U105&lt;&gt;"",$V105&lt;&gt;""),"YES","NO"),"N/A")</f>
        <v>YES</v>
      </c>
      <c r="L105" s="4" t="str">
        <f>IF(OR($A105="EHT Trace"),IF(AND($X105&lt;&gt;"",$Y105&lt;&gt;""),"YES","NO"),"N/A")</f>
        <v>NO</v>
      </c>
      <c r="M105" s="4" t="str">
        <f>IF(OR($A105="EHT Trace"),IF(AND($AA105&lt;&gt;"",$AB105&lt;&gt;""),"YES","NO"),"N/A")</f>
        <v>NO</v>
      </c>
      <c r="N105" s="4" t="str">
        <f>IF(OR($A105="Power Cable"),IF(AND($AD105&lt;&gt;""),"YES","NO"),"N/A")</f>
        <v>N/A</v>
      </c>
      <c r="O105" s="4" t="str">
        <f>IF(OR($A105="Power Cable",$A105="RTD Cable",$A105="Fieldbus Cable"),IF(AND($AE105&lt;&gt;""),"YES","NO"),"N/A")</f>
        <v>N/A</v>
      </c>
      <c r="P105" s="4" t="str">
        <f>IF(OR($A105="RTD"),IF(AND($AH105&lt;&gt;""),"YES","NO"),"N/A")</f>
        <v>N/A</v>
      </c>
      <c r="Q105" s="4" t="str">
        <f>IF(OR($A105="RTD"),IF(AND($AI105&lt;&gt;""),"YES","NO"),"N/A")</f>
        <v>N/A</v>
      </c>
      <c r="R105" s="4" t="str">
        <f>IF(OR($AM105&lt;&gt;"",$Z105&lt;&gt;"",$AC105&lt;&gt;""),"YES","NO")</f>
        <v>NO</v>
      </c>
      <c r="S105" s="4" t="str">
        <f>IF(COUNTIF(I105:R105,"NO")=0,"YES","NO")</f>
        <v>NO</v>
      </c>
      <c r="T105" s="9" t="n"/>
      <c r="U105" s="9" t="inlineStr">
        <is>
          <t>&gt;550 MΩ</t>
        </is>
      </c>
      <c r="V105" s="9" t="inlineStr">
        <is>
          <t>75.6 Ω</t>
        </is>
      </c>
      <c r="W105" s="9" t="inlineStr">
        <is>
          <t>2026-05-18</t>
        </is>
      </c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inlineStr">
        <is>
          <t>D/32SA2170/13.1M/224/128/1.2M/LS23A/X/N12/XMN</t>
        </is>
      </c>
      <c r="AK105" s="9" t="inlineStr">
        <is>
          <t>13.1 m m</t>
        </is>
      </c>
      <c r="AL105" s="9" t="inlineStr">
        <is>
          <t>Levy Ostrup</t>
        </is>
      </c>
      <c r="AM105" s="9" t="n"/>
      <c r="AN105" s="9" t="n"/>
    </row>
    <row r="106">
      <c r="A106" s="9" t="inlineStr">
        <is>
          <t>EHT Trace</t>
        </is>
      </c>
      <c r="B106" s="9" t="inlineStr">
        <is>
          <t>29103-ET-ST1203-1-1</t>
        </is>
      </c>
      <c r="C106" s="9" t="inlineStr">
        <is>
          <t>29103-ET-ST1203-1</t>
        </is>
      </c>
      <c r="D106" s="9" t="inlineStr">
        <is>
          <t>29103-AMB-002</t>
        </is>
      </c>
      <c r="E106" s="9" t="inlineStr">
        <is>
          <t>29103-ST-1204, 29103-ST-1203</t>
        </is>
      </c>
      <c r="F106" s="9" t="inlineStr">
        <is>
          <t>29103-65R-ET-ST1203-01-01</t>
        </is>
      </c>
      <c r="G106" s="9" t="inlineStr">
        <is>
          <t>13.1</t>
        </is>
      </c>
      <c r="H106" s="9" t="inlineStr">
        <is>
          <t>29103-ET-ST1203-1-1.pdf</t>
        </is>
      </c>
      <c r="I106" s="4" t="str">
        <f>IF($H106&lt;&gt;"","YES","NO")</f>
        <v>YES</v>
      </c>
      <c r="J106" s="4" t="str">
        <f>IF(N($T106)&gt;0,"YES","NO")</f>
        <v>NO</v>
      </c>
      <c r="K106" s="4" t="str">
        <f>IF(OR($A106="EHT Trace"),IF(AND($U106&lt;&gt;"",$V106&lt;&gt;""),"YES","NO"),"N/A")</f>
        <v>NO</v>
      </c>
      <c r="L106" s="4" t="str">
        <f>IF(OR($A106="EHT Trace"),IF(AND($X106&lt;&gt;"",$Y106&lt;&gt;""),"YES","NO"),"N/A")</f>
        <v>NO</v>
      </c>
      <c r="M106" s="4" t="str">
        <f>IF(OR($A106="EHT Trace"),IF(AND($AA106&lt;&gt;"",$AB106&lt;&gt;""),"YES","NO"),"N/A")</f>
        <v>NO</v>
      </c>
      <c r="N106" s="4" t="str">
        <f>IF(OR($A106="Power Cable"),IF(AND($AD106&lt;&gt;""),"YES","NO"),"N/A")</f>
        <v>N/A</v>
      </c>
      <c r="O106" s="4" t="str">
        <f>IF(OR($A106="Power Cable",$A106="RTD Cable",$A106="Fieldbus Cable"),IF(AND($AE106&lt;&gt;""),"YES","NO"),"N/A")</f>
        <v>N/A</v>
      </c>
      <c r="P106" s="4" t="str">
        <f>IF(OR($A106="RTD"),IF(AND($AH106&lt;&gt;""),"YES","NO"),"N/A")</f>
        <v>N/A</v>
      </c>
      <c r="Q106" s="4" t="str">
        <f>IF(OR($A106="RTD"),IF(AND($AI106&lt;&gt;""),"YES","NO"),"N/A")</f>
        <v>N/A</v>
      </c>
      <c r="R106" s="4" t="str">
        <f>IF(OR($AM106&lt;&gt;"",$Z106&lt;&gt;"",$AC106&lt;&gt;""),"YES","NO")</f>
        <v>NO</v>
      </c>
      <c r="S106" s="4" t="str">
        <f>IF(COUNTIF(I106:R106,"NO")=0,"YES","NO")</f>
        <v>NO</v>
      </c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inlineStr">
        <is>
          <t>E/32SB2114/17.3M/282/135/1.2M/LS23A/X/N12/XNF</t>
        </is>
      </c>
      <c r="AK106" s="9" t="inlineStr">
        <is>
          <t>17.3 m m</t>
        </is>
      </c>
      <c r="AL106" s="9" t="inlineStr">
        <is>
          <t>Levy Ostrup</t>
        </is>
      </c>
      <c r="AM106" s="9" t="n"/>
      <c r="AN106" s="9" t="n"/>
    </row>
    <row r="107">
      <c r="A107" s="9" t="inlineStr">
        <is>
          <t>EHT Trace</t>
        </is>
      </c>
      <c r="B107" s="9" t="inlineStr">
        <is>
          <t>29103-ET-ST1203-1-2</t>
        </is>
      </c>
      <c r="C107" s="9" t="inlineStr">
        <is>
          <t>29103-ET-ST1203-1</t>
        </is>
      </c>
      <c r="D107" s="9" t="inlineStr">
        <is>
          <t>29103-AMB-002</t>
        </is>
      </c>
      <c r="E107" s="9" t="inlineStr">
        <is>
          <t>29103-ST-1204</t>
        </is>
      </c>
      <c r="F107" s="9" t="inlineStr">
        <is>
          <t>29103-65R-ET-ST1203-01-01</t>
        </is>
      </c>
      <c r="G107" s="9" t="inlineStr">
        <is>
          <t>13.1</t>
        </is>
      </c>
      <c r="H107" s="9" t="inlineStr">
        <is>
          <t>29103-ET-ST1203-1-2.pdf</t>
        </is>
      </c>
      <c r="I107" s="4" t="str">
        <f>IF($H107&lt;&gt;"","YES","NO")</f>
        <v>YES</v>
      </c>
      <c r="J107" s="4" t="str">
        <f>IF(N($T107)&gt;0,"YES","NO")</f>
        <v>NO</v>
      </c>
      <c r="K107" s="4" t="str">
        <f>IF(OR($A107="EHT Trace"),IF(AND($U107&lt;&gt;"",$V107&lt;&gt;""),"YES","NO"),"N/A")</f>
        <v>NO</v>
      </c>
      <c r="L107" s="4" t="str">
        <f>IF(OR($A107="EHT Trace"),IF(AND($X107&lt;&gt;"",$Y107&lt;&gt;""),"YES","NO"),"N/A")</f>
        <v>NO</v>
      </c>
      <c r="M107" s="4" t="str">
        <f>IF(OR($A107="EHT Trace"),IF(AND($AA107&lt;&gt;"",$AB107&lt;&gt;""),"YES","NO"),"N/A")</f>
        <v>NO</v>
      </c>
      <c r="N107" s="4" t="str">
        <f>IF(OR($A107="Power Cable"),IF(AND($AD107&lt;&gt;""),"YES","NO"),"N/A")</f>
        <v>N/A</v>
      </c>
      <c r="O107" s="4" t="str">
        <f>IF(OR($A107="Power Cable",$A107="RTD Cable",$A107="Fieldbus Cable"),IF(AND($AE107&lt;&gt;""),"YES","NO"),"N/A")</f>
        <v>N/A</v>
      </c>
      <c r="P107" s="4" t="str">
        <f>IF(OR($A107="RTD"),IF(AND($AH107&lt;&gt;""),"YES","NO"),"N/A")</f>
        <v>N/A</v>
      </c>
      <c r="Q107" s="4" t="str">
        <f>IF(OR($A107="RTD"),IF(AND($AI107&lt;&gt;""),"YES","NO"),"N/A")</f>
        <v>N/A</v>
      </c>
      <c r="R107" s="4" t="str">
        <f>IF(OR($AM107&lt;&gt;"",$Z107&lt;&gt;"",$AC107&lt;&gt;""),"YES","NO")</f>
        <v>NO</v>
      </c>
      <c r="S107" s="4" t="str">
        <f>IF(COUNTIF(I107:R107,"NO")=0,"YES","NO")</f>
        <v>NO</v>
      </c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inlineStr">
        <is>
          <t>D/32SB2114/18.2M/297/142/1.2M/LS23A/X/N12/XMN</t>
        </is>
      </c>
      <c r="AK107" s="9" t="inlineStr">
        <is>
          <t>18.2 m m</t>
        </is>
      </c>
      <c r="AL107" s="9" t="inlineStr">
        <is>
          <t>Levy Ostrup</t>
        </is>
      </c>
      <c r="AM107" s="9" t="n"/>
      <c r="AN107" s="9" t="n"/>
    </row>
    <row r="108">
      <c r="A108" s="9" t="inlineStr">
        <is>
          <t>EHT Trace</t>
        </is>
      </c>
      <c r="B108" s="9" t="inlineStr">
        <is>
          <t>29103-ET-ST1203-1-3</t>
        </is>
      </c>
      <c r="C108" s="9" t="inlineStr">
        <is>
          <t>29103-ET-ST1203-1</t>
        </is>
      </c>
      <c r="D108" s="9" t="inlineStr">
        <is>
          <t>29103-AMB-002</t>
        </is>
      </c>
      <c r="E108" s="9" t="inlineStr">
        <is>
          <t>29103-ST-1203</t>
        </is>
      </c>
      <c r="F108" s="9" t="inlineStr">
        <is>
          <t>29103-65R-ET-ST1203-01-01</t>
        </is>
      </c>
      <c r="G108" s="9" t="inlineStr">
        <is>
          <t>13.1</t>
        </is>
      </c>
      <c r="H108" s="9" t="inlineStr">
        <is>
          <t>29103-ET-ST1203-1-3.pdf</t>
        </is>
      </c>
      <c r="I108" s="4" t="str">
        <f>IF($H108&lt;&gt;"","YES","NO")</f>
        <v>YES</v>
      </c>
      <c r="J108" s="4" t="str">
        <f>IF(N($T108)&gt;0,"YES","NO")</f>
        <v>NO</v>
      </c>
      <c r="K108" s="4" t="str">
        <f>IF(OR($A108="EHT Trace"),IF(AND($U108&lt;&gt;"",$V108&lt;&gt;""),"YES","NO"),"N/A")</f>
        <v>YES</v>
      </c>
      <c r="L108" s="4" t="str">
        <f>IF(OR($A108="EHT Trace"),IF(AND($X108&lt;&gt;"",$Y108&lt;&gt;""),"YES","NO"),"N/A")</f>
        <v>NO</v>
      </c>
      <c r="M108" s="4" t="str">
        <f>IF(OR($A108="EHT Trace"),IF(AND($AA108&lt;&gt;"",$AB108&lt;&gt;""),"YES","NO"),"N/A")</f>
        <v>NO</v>
      </c>
      <c r="N108" s="4" t="str">
        <f>IF(OR($A108="Power Cable"),IF(AND($AD108&lt;&gt;""),"YES","NO"),"N/A")</f>
        <v>N/A</v>
      </c>
      <c r="O108" s="4" t="str">
        <f>IF(OR($A108="Power Cable",$A108="RTD Cable",$A108="Fieldbus Cable"),IF(AND($AE108&lt;&gt;""),"YES","NO"),"N/A")</f>
        <v>N/A</v>
      </c>
      <c r="P108" s="4" t="str">
        <f>IF(OR($A108="RTD"),IF(AND($AH108&lt;&gt;""),"YES","NO"),"N/A")</f>
        <v>N/A</v>
      </c>
      <c r="Q108" s="4" t="str">
        <f>IF(OR($A108="RTD"),IF(AND($AI108&lt;&gt;""),"YES","NO"),"N/A")</f>
        <v>N/A</v>
      </c>
      <c r="R108" s="4" t="str">
        <f>IF(OR($AM108&lt;&gt;"",$Z108&lt;&gt;"",$AC108&lt;&gt;""),"YES","NO")</f>
        <v>NO</v>
      </c>
      <c r="S108" s="4" t="str">
        <f>IF(COUNTIF(I108:R108,"NO")=0,"YES","NO")</f>
        <v>NO</v>
      </c>
      <c r="T108" s="9" t="n"/>
      <c r="U108" s="9" t="inlineStr">
        <is>
          <t>&gt;550 MΩ</t>
        </is>
      </c>
      <c r="V108" s="9" t="inlineStr">
        <is>
          <t>51.6 Ω</t>
        </is>
      </c>
      <c r="W108" s="9" t="inlineStr">
        <is>
          <t>2026-05-18</t>
        </is>
      </c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inlineStr">
        <is>
          <t>E/32SA2200/7.6M/127/79.7/1.2M/LS23A/X/N12/XNF</t>
        </is>
      </c>
      <c r="AK108" s="9" t="inlineStr">
        <is>
          <t>7.6 m m</t>
        </is>
      </c>
      <c r="AL108" s="9" t="inlineStr">
        <is>
          <t>Levy Ostrup</t>
        </is>
      </c>
      <c r="AM108" s="9" t="n"/>
      <c r="AN108" s="9" t="n"/>
    </row>
    <row r="109">
      <c r="A109" s="9" t="inlineStr">
        <is>
          <t>EHT Trace</t>
        </is>
      </c>
      <c r="B109" s="9" t="inlineStr">
        <is>
          <t>29103-ET-ST1203-1-4</t>
        </is>
      </c>
      <c r="C109" s="9" t="inlineStr">
        <is>
          <t>29103-ET-ST1203-1</t>
        </is>
      </c>
      <c r="D109" s="9" t="inlineStr">
        <is>
          <t>29103-AMB-002</t>
        </is>
      </c>
      <c r="E109" s="9" t="inlineStr">
        <is>
          <t>29103-ST-1203</t>
        </is>
      </c>
      <c r="F109" s="9" t="inlineStr">
        <is>
          <t>29103-65R-ET-ST1203-01-01</t>
        </is>
      </c>
      <c r="G109" s="9" t="inlineStr">
        <is>
          <t>13.1</t>
        </is>
      </c>
      <c r="H109" s="9" t="inlineStr">
        <is>
          <t>29103-ET-ST1203-1-4.pdf</t>
        </is>
      </c>
      <c r="I109" s="4" t="str">
        <f>IF($H109&lt;&gt;"","YES","NO")</f>
        <v>YES</v>
      </c>
      <c r="J109" s="4" t="str">
        <f>IF(N($T109)&gt;0,"YES","NO")</f>
        <v>NO</v>
      </c>
      <c r="K109" s="4" t="str">
        <f>IF(OR($A109="EHT Trace"),IF(AND($U109&lt;&gt;"",$V109&lt;&gt;""),"YES","NO"),"N/A")</f>
        <v>YES</v>
      </c>
      <c r="L109" s="4" t="str">
        <f>IF(OR($A109="EHT Trace"),IF(AND($X109&lt;&gt;"",$Y109&lt;&gt;""),"YES","NO"),"N/A")</f>
        <v>NO</v>
      </c>
      <c r="M109" s="4" t="str">
        <f>IF(OR($A109="EHT Trace"),IF(AND($AA109&lt;&gt;"",$AB109&lt;&gt;""),"YES","NO"),"N/A")</f>
        <v>NO</v>
      </c>
      <c r="N109" s="4" t="str">
        <f>IF(OR($A109="Power Cable"),IF(AND($AD109&lt;&gt;""),"YES","NO"),"N/A")</f>
        <v>N/A</v>
      </c>
      <c r="O109" s="4" t="str">
        <f>IF(OR($A109="Power Cable",$A109="RTD Cable",$A109="Fieldbus Cable"),IF(AND($AE109&lt;&gt;""),"YES","NO"),"N/A")</f>
        <v>N/A</v>
      </c>
      <c r="P109" s="4" t="str">
        <f>IF(OR($A109="RTD"),IF(AND($AH109&lt;&gt;""),"YES","NO"),"N/A")</f>
        <v>N/A</v>
      </c>
      <c r="Q109" s="4" t="str">
        <f>IF(OR($A109="RTD"),IF(AND($AI109&lt;&gt;""),"YES","NO"),"N/A")</f>
        <v>N/A</v>
      </c>
      <c r="R109" s="4" t="str">
        <f>IF(OR($AM109&lt;&gt;"",$Z109&lt;&gt;"",$AC109&lt;&gt;""),"YES","NO")</f>
        <v>NO</v>
      </c>
      <c r="S109" s="4" t="str">
        <f>IF(COUNTIF(I109:R109,"NO")=0,"YES","NO")</f>
        <v>NO</v>
      </c>
      <c r="T109" s="9" t="n"/>
      <c r="U109" s="9" t="inlineStr">
        <is>
          <t>&gt;550 MΩ</t>
        </is>
      </c>
      <c r="V109" s="9" t="inlineStr">
        <is>
          <t>38.6 Ω</t>
        </is>
      </c>
      <c r="W109" s="9" t="inlineStr">
        <is>
          <t>2026-05-18</t>
        </is>
      </c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inlineStr">
        <is>
          <t>E/32SA2200/5.7M/95/59.8/1.2M/LS23A/X/N12/XMF</t>
        </is>
      </c>
      <c r="AK109" s="9" t="inlineStr">
        <is>
          <t>5.7 m m</t>
        </is>
      </c>
      <c r="AL109" s="9" t="inlineStr">
        <is>
          <t>Levy Ostrup</t>
        </is>
      </c>
      <c r="AM109" s="9" t="n"/>
      <c r="AN109" s="9" t="n"/>
    </row>
    <row r="110">
      <c r="A110" s="9" t="inlineStr">
        <is>
          <t>EHT Trace</t>
        </is>
      </c>
      <c r="B110" s="9" t="inlineStr">
        <is>
          <t>29103-ET-ST1203-1-5</t>
        </is>
      </c>
      <c r="C110" s="9" t="inlineStr">
        <is>
          <t>29103-ET-ST1203-1</t>
        </is>
      </c>
      <c r="D110" s="9" t="inlineStr">
        <is>
          <t>29103-AMB-002</t>
        </is>
      </c>
      <c r="E110" s="9" t="inlineStr">
        <is>
          <t>29103-ST-1203</t>
        </is>
      </c>
      <c r="F110" s="9" t="inlineStr">
        <is>
          <t>29103-65R-ET-ST1203-01-01</t>
        </is>
      </c>
      <c r="G110" s="9" t="inlineStr">
        <is>
          <t>13.1</t>
        </is>
      </c>
      <c r="H110" s="9" t="inlineStr">
        <is>
          <t>29103-ET-ST1203-1-5.pdf</t>
        </is>
      </c>
      <c r="I110" s="4" t="str">
        <f>IF($H110&lt;&gt;"","YES","NO")</f>
        <v>YES</v>
      </c>
      <c r="J110" s="4" t="str">
        <f>IF(N($T110)&gt;0,"YES","NO")</f>
        <v>NO</v>
      </c>
      <c r="K110" s="4" t="str">
        <f>IF(OR($A110="EHT Trace"),IF(AND($U110&lt;&gt;"",$V110&lt;&gt;""),"YES","NO"),"N/A")</f>
        <v>YES</v>
      </c>
      <c r="L110" s="4" t="str">
        <f>IF(OR($A110="EHT Trace"),IF(AND($X110&lt;&gt;"",$Y110&lt;&gt;""),"YES","NO"),"N/A")</f>
        <v>NO</v>
      </c>
      <c r="M110" s="4" t="str">
        <f>IF(OR($A110="EHT Trace"),IF(AND($AA110&lt;&gt;"",$AB110&lt;&gt;""),"YES","NO"),"N/A")</f>
        <v>NO</v>
      </c>
      <c r="N110" s="4" t="str">
        <f>IF(OR($A110="Power Cable"),IF(AND($AD110&lt;&gt;""),"YES","NO"),"N/A")</f>
        <v>N/A</v>
      </c>
      <c r="O110" s="4" t="str">
        <f>IF(OR($A110="Power Cable",$A110="RTD Cable",$A110="Fieldbus Cable"),IF(AND($AE110&lt;&gt;""),"YES","NO"),"N/A")</f>
        <v>N/A</v>
      </c>
      <c r="P110" s="4" t="str">
        <f>IF(OR($A110="RTD"),IF(AND($AH110&lt;&gt;""),"YES","NO"),"N/A")</f>
        <v>N/A</v>
      </c>
      <c r="Q110" s="4" t="str">
        <f>IF(OR($A110="RTD"),IF(AND($AI110&lt;&gt;""),"YES","NO"),"N/A")</f>
        <v>N/A</v>
      </c>
      <c r="R110" s="4" t="str">
        <f>IF(OR($AM110&lt;&gt;"",$Z110&lt;&gt;"",$AC110&lt;&gt;""),"YES","NO")</f>
        <v>NO</v>
      </c>
      <c r="S110" s="4" t="str">
        <f>IF(COUNTIF(I110:R110,"NO")=0,"YES","NO")</f>
        <v>NO</v>
      </c>
      <c r="T110" s="9" t="n"/>
      <c r="U110" s="9" t="inlineStr">
        <is>
          <t>&gt;550 MΩ</t>
        </is>
      </c>
      <c r="V110" s="9" t="inlineStr">
        <is>
          <t>88.7 Ω</t>
        </is>
      </c>
      <c r="W110" s="9" t="inlineStr">
        <is>
          <t>2026-05-18</t>
        </is>
      </c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inlineStr">
        <is>
          <t>D/32SA2200/13.1M/219/137/1.2M/LS23A/X/N12/XMN</t>
        </is>
      </c>
      <c r="AK110" s="9" t="inlineStr">
        <is>
          <t>13.1 m m</t>
        </is>
      </c>
      <c r="AL110" s="9" t="inlineStr">
        <is>
          <t>Levy Ostrup</t>
        </is>
      </c>
      <c r="AM110" s="9" t="n"/>
      <c r="AN110" s="9" t="n"/>
    </row>
    <row r="111">
      <c r="A111" s="9" t="inlineStr">
        <is>
          <t>Power Cable</t>
        </is>
      </c>
      <c r="B111" s="9" t="inlineStr">
        <is>
          <t>29103-AMB-001</t>
        </is>
      </c>
      <c r="C111" s="9" t="inlineStr"/>
      <c r="D111" s="9" t="inlineStr">
        <is>
          <t>29103-HTP-002 HTC-03</t>
        </is>
      </c>
      <c r="E111" s="9" t="inlineStr">
        <is>
          <t>29103-HTP-002</t>
        </is>
      </c>
      <c r="F111" s="9" t="inlineStr"/>
      <c r="G111" s="9" t="inlineStr">
        <is>
          <t>113</t>
        </is>
      </c>
      <c r="H111" s="9" t="inlineStr">
        <is>
          <t>29103-AMB-001.pdf</t>
        </is>
      </c>
      <c r="I111" s="4" t="str">
        <f>IF($H111&lt;&gt;"","YES","NO")</f>
        <v>YES</v>
      </c>
      <c r="J111" s="4" t="str">
        <f>IF(N($T111)&gt;0,"YES","NO")</f>
        <v>NO</v>
      </c>
      <c r="K111" s="4" t="str">
        <f>IF(OR($A111="EHT Trace"),IF(AND($U111&lt;&gt;"",$V111&lt;&gt;""),"YES","NO"),"N/A")</f>
        <v>N/A</v>
      </c>
      <c r="L111" s="4" t="str">
        <f>IF(OR($A111="EHT Trace"),IF(AND($X111&lt;&gt;"",$Y111&lt;&gt;""),"YES","NO"),"N/A")</f>
        <v>N/A</v>
      </c>
      <c r="M111" s="4" t="str">
        <f>IF(OR($A111="EHT Trace"),IF(AND($AA111&lt;&gt;"",$AB111&lt;&gt;""),"YES","NO"),"N/A")</f>
        <v>N/A</v>
      </c>
      <c r="N111" s="4" t="str">
        <f>IF(OR($A111="Power Cable"),IF(AND($AD111&lt;&gt;""),"YES","NO"),"N/A")</f>
        <v>NO</v>
      </c>
      <c r="O111" s="4" t="str">
        <f>IF(OR($A111="Power Cable",$A111="RTD Cable",$A111="Fieldbus Cable"),IF(AND($AE111&lt;&gt;""),"YES","NO"),"N/A")</f>
        <v>NO</v>
      </c>
      <c r="P111" s="4" t="str">
        <f>IF(OR($A111="RTD"),IF(AND($AH111&lt;&gt;""),"YES","NO"),"N/A")</f>
        <v>N/A</v>
      </c>
      <c r="Q111" s="4" t="str">
        <f>IF(OR($A111="RTD"),IF(AND($AI111&lt;&gt;""),"YES","NO"),"N/A")</f>
        <v>N/A</v>
      </c>
      <c r="R111" s="4" t="str">
        <f>IF(OR($AM111&lt;&gt;"",$Z111&lt;&gt;"",$AC111&lt;&gt;""),"YES","NO")</f>
        <v>NO</v>
      </c>
      <c r="S111" s="4" t="str">
        <f>IF(COUNTIF(I111:R111,"NO")=0,"YES","NO")</f>
        <v>NO</v>
      </c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inlineStr">
        <is>
          <t>Teck</t>
        </is>
      </c>
      <c r="AK111" s="9" t="inlineStr">
        <is>
          <t>8AWG</t>
        </is>
      </c>
      <c r="AL111" s="9" t="inlineStr">
        <is>
          <t>Levy Ostrup</t>
        </is>
      </c>
      <c r="AM111" s="9" t="n"/>
      <c r="AN111" s="9" t="n"/>
    </row>
    <row r="112">
      <c r="A112" s="9" t="inlineStr">
        <is>
          <t>Power Cable</t>
        </is>
      </c>
      <c r="B112" s="9" t="inlineStr">
        <is>
          <t>29103-AMB-002</t>
        </is>
      </c>
      <c r="C112" s="9" t="inlineStr"/>
      <c r="D112" s="9" t="inlineStr">
        <is>
          <t>29103-HTP-002 HTC-02</t>
        </is>
      </c>
      <c r="E112" s="9" t="inlineStr">
        <is>
          <t>29103-HTP-002</t>
        </is>
      </c>
      <c r="F112" s="9" t="inlineStr"/>
      <c r="G112" s="9" t="inlineStr">
        <is>
          <t>113</t>
        </is>
      </c>
      <c r="H112" s="9" t="inlineStr">
        <is>
          <t>29103-AMB-002.pdf</t>
        </is>
      </c>
      <c r="I112" s="4" t="str">
        <f>IF($H112&lt;&gt;"","YES","NO")</f>
        <v>YES</v>
      </c>
      <c r="J112" s="4" t="str">
        <f>IF(N($T112)&gt;0,"YES","NO")</f>
        <v>NO</v>
      </c>
      <c r="K112" s="4" t="str">
        <f>IF(OR($A112="EHT Trace"),IF(AND($U112&lt;&gt;"",$V112&lt;&gt;""),"YES","NO"),"N/A")</f>
        <v>N/A</v>
      </c>
      <c r="L112" s="4" t="str">
        <f>IF(OR($A112="EHT Trace"),IF(AND($X112&lt;&gt;"",$Y112&lt;&gt;""),"YES","NO"),"N/A")</f>
        <v>N/A</v>
      </c>
      <c r="M112" s="4" t="str">
        <f>IF(OR($A112="EHT Trace"),IF(AND($AA112&lt;&gt;"",$AB112&lt;&gt;""),"YES","NO"),"N/A")</f>
        <v>N/A</v>
      </c>
      <c r="N112" s="4" t="str">
        <f>IF(OR($A112="Power Cable"),IF(AND($AD112&lt;&gt;""),"YES","NO"),"N/A")</f>
        <v>NO</v>
      </c>
      <c r="O112" s="4" t="str">
        <f>IF(OR($A112="Power Cable",$A112="RTD Cable",$A112="Fieldbus Cable"),IF(AND($AE112&lt;&gt;""),"YES","NO"),"N/A")</f>
        <v>NO</v>
      </c>
      <c r="P112" s="4" t="str">
        <f>IF(OR($A112="RTD"),IF(AND($AH112&lt;&gt;""),"YES","NO"),"N/A")</f>
        <v>N/A</v>
      </c>
      <c r="Q112" s="4" t="str">
        <f>IF(OR($A112="RTD"),IF(AND($AI112&lt;&gt;""),"YES","NO"),"N/A")</f>
        <v>N/A</v>
      </c>
      <c r="R112" s="4" t="str">
        <f>IF(OR($AM112&lt;&gt;"",$Z112&lt;&gt;"",$AC112&lt;&gt;""),"YES","NO")</f>
        <v>NO</v>
      </c>
      <c r="S112" s="4" t="str">
        <f>IF(COUNTIF(I112:R112,"NO")=0,"YES","NO")</f>
        <v>NO</v>
      </c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inlineStr">
        <is>
          <t>Teck</t>
        </is>
      </c>
      <c r="AK112" s="9" t="inlineStr">
        <is>
          <t>8AWG</t>
        </is>
      </c>
      <c r="AL112" s="9" t="inlineStr">
        <is>
          <t>Levy Ostrup</t>
        </is>
      </c>
      <c r="AM112" s="9" t="n"/>
      <c r="AN112" s="9" t="n"/>
    </row>
    <row r="113">
      <c r="A113" s="9" t="inlineStr">
        <is>
          <t>Power Cable</t>
        </is>
      </c>
      <c r="B113" s="9" t="inlineStr">
        <is>
          <t>29103-AMB-003</t>
        </is>
      </c>
      <c r="C113" s="9" t="inlineStr"/>
      <c r="D113" s="9" t="inlineStr">
        <is>
          <t>29103-HTP-002 HTC-01</t>
        </is>
      </c>
      <c r="E113" s="9" t="inlineStr">
        <is>
          <t>29103-HTP-002</t>
        </is>
      </c>
      <c r="F113" s="9" t="inlineStr"/>
      <c r="G113" s="9" t="inlineStr">
        <is>
          <t>113</t>
        </is>
      </c>
      <c r="H113" s="9" t="inlineStr">
        <is>
          <t>29103-AMB-003.pdf</t>
        </is>
      </c>
      <c r="I113" s="4" t="str">
        <f>IF($H113&lt;&gt;"","YES","NO")</f>
        <v>YES</v>
      </c>
      <c r="J113" s="4" t="str">
        <f>IF(N($T113)&gt;0,"YES","NO")</f>
        <v>NO</v>
      </c>
      <c r="K113" s="4" t="str">
        <f>IF(OR($A113="EHT Trace"),IF(AND($U113&lt;&gt;"",$V113&lt;&gt;""),"YES","NO"),"N/A")</f>
        <v>N/A</v>
      </c>
      <c r="L113" s="4" t="str">
        <f>IF(OR($A113="EHT Trace"),IF(AND($X113&lt;&gt;"",$Y113&lt;&gt;""),"YES","NO"),"N/A")</f>
        <v>N/A</v>
      </c>
      <c r="M113" s="4" t="str">
        <f>IF(OR($A113="EHT Trace"),IF(AND($AA113&lt;&gt;"",$AB113&lt;&gt;""),"YES","NO"),"N/A")</f>
        <v>N/A</v>
      </c>
      <c r="N113" s="4" t="str">
        <f>IF(OR($A113="Power Cable"),IF(AND($AD113&lt;&gt;""),"YES","NO"),"N/A")</f>
        <v>NO</v>
      </c>
      <c r="O113" s="4" t="str">
        <f>IF(OR($A113="Power Cable",$A113="RTD Cable",$A113="Fieldbus Cable"),IF(AND($AE113&lt;&gt;""),"YES","NO"),"N/A")</f>
        <v>NO</v>
      </c>
      <c r="P113" s="4" t="str">
        <f>IF(OR($A113="RTD"),IF(AND($AH113&lt;&gt;""),"YES","NO"),"N/A")</f>
        <v>N/A</v>
      </c>
      <c r="Q113" s="4" t="str">
        <f>IF(OR($A113="RTD"),IF(AND($AI113&lt;&gt;""),"YES","NO"),"N/A")</f>
        <v>N/A</v>
      </c>
      <c r="R113" s="4" t="str">
        <f>IF(OR($AM113&lt;&gt;"",$Z113&lt;&gt;"",$AC113&lt;&gt;""),"YES","NO")</f>
        <v>NO</v>
      </c>
      <c r="S113" s="4" t="str">
        <f>IF(COUNTIF(I113:R113,"NO")=0,"YES","NO")</f>
        <v>NO</v>
      </c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inlineStr">
        <is>
          <t>Teck</t>
        </is>
      </c>
      <c r="AK113" s="9" t="inlineStr">
        <is>
          <t>8AWG</t>
        </is>
      </c>
      <c r="AL113" s="9" t="inlineStr">
        <is>
          <t>Levy Ostrup</t>
        </is>
      </c>
      <c r="AM113" s="9" t="n"/>
      <c r="AN113" s="9" t="n"/>
    </row>
    <row r="114">
      <c r="A114" s="9" t="inlineStr">
        <is>
          <t>Power Cable</t>
        </is>
      </c>
      <c r="B114" s="9" t="inlineStr">
        <is>
          <t>29103-ET-FG1101-1-PWK-1</t>
        </is>
      </c>
      <c r="C114" s="9" t="inlineStr">
        <is>
          <t>29103-ET-FG1101-1</t>
        </is>
      </c>
      <c r="D114" s="9" t="inlineStr">
        <is>
          <t>29103-AMB-001</t>
        </is>
      </c>
      <c r="E114" s="9" t="inlineStr">
        <is>
          <t>29103-HTP-002</t>
        </is>
      </c>
      <c r="F114" s="9" t="inlineStr"/>
      <c r="G114" s="9" t="inlineStr">
        <is>
          <t>113</t>
        </is>
      </c>
      <c r="H114" s="9" t="inlineStr">
        <is>
          <t>29103-ET-FG1101-1-PWK-1.pdf</t>
        </is>
      </c>
      <c r="I114" s="4" t="str">
        <f>IF($H114&lt;&gt;"","YES","NO")</f>
        <v>YES</v>
      </c>
      <c r="J114" s="4" t="str">
        <f>IF(N($T114)&gt;0,"YES","NO")</f>
        <v>NO</v>
      </c>
      <c r="K114" s="4" t="str">
        <f>IF(OR($A114="EHT Trace"),IF(AND($U114&lt;&gt;"",$V114&lt;&gt;""),"YES","NO"),"N/A")</f>
        <v>N/A</v>
      </c>
      <c r="L114" s="4" t="str">
        <f>IF(OR($A114="EHT Trace"),IF(AND($X114&lt;&gt;"",$Y114&lt;&gt;""),"YES","NO"),"N/A")</f>
        <v>N/A</v>
      </c>
      <c r="M114" s="4" t="str">
        <f>IF(OR($A114="EHT Trace"),IF(AND($AA114&lt;&gt;"",$AB114&lt;&gt;""),"YES","NO"),"N/A")</f>
        <v>N/A</v>
      </c>
      <c r="N114" s="4" t="str">
        <f>IF(OR($A114="Power Cable"),IF(AND($AD114&lt;&gt;""),"YES","NO"),"N/A")</f>
        <v>NO</v>
      </c>
      <c r="O114" s="4" t="str">
        <f>IF(OR($A114="Power Cable",$A114="RTD Cable",$A114="Fieldbus Cable"),IF(AND($AE114&lt;&gt;""),"YES","NO"),"N/A")</f>
        <v>NO</v>
      </c>
      <c r="P114" s="4" t="str">
        <f>IF(OR($A114="RTD"),IF(AND($AH114&lt;&gt;""),"YES","NO"),"N/A")</f>
        <v>N/A</v>
      </c>
      <c r="Q114" s="4" t="str">
        <f>IF(OR($A114="RTD"),IF(AND($AI114&lt;&gt;""),"YES","NO"),"N/A")</f>
        <v>N/A</v>
      </c>
      <c r="R114" s="4" t="str">
        <f>IF(OR($AM114&lt;&gt;"",$Z114&lt;&gt;"",$AC114&lt;&gt;""),"YES","NO")</f>
        <v>NO</v>
      </c>
      <c r="S114" s="4" t="str">
        <f>IF(COUNTIF(I114:R114,"NO")=0,"YES","NO")</f>
        <v>NO</v>
      </c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inlineStr">
        <is>
          <t>Teck</t>
        </is>
      </c>
      <c r="AK114" s="9" t="inlineStr">
        <is>
          <t>10AWG</t>
        </is>
      </c>
      <c r="AL114" s="9" t="inlineStr">
        <is>
          <t>Levy Ostrup</t>
        </is>
      </c>
      <c r="AM114" s="9" t="n"/>
      <c r="AN114" s="9" t="n"/>
    </row>
    <row r="115">
      <c r="A115" s="9" t="inlineStr">
        <is>
          <t>Power Cable</t>
        </is>
      </c>
      <c r="B115" s="9" t="inlineStr">
        <is>
          <t>29103-ET-FG1103-1-PWK-1</t>
        </is>
      </c>
      <c r="C115" s="9" t="inlineStr">
        <is>
          <t>29103-ET-FG1103-1</t>
        </is>
      </c>
      <c r="D115" s="9" t="inlineStr">
        <is>
          <t>29103-AMB-001</t>
        </is>
      </c>
      <c r="E115" s="9" t="inlineStr">
        <is>
          <t>29103-HTP-002</t>
        </is>
      </c>
      <c r="F115" s="9" t="inlineStr"/>
      <c r="G115" s="9" t="inlineStr">
        <is>
          <t>113</t>
        </is>
      </c>
      <c r="H115" s="9" t="inlineStr">
        <is>
          <t>29103-ET-FG1103-1-PWK-1.pdf</t>
        </is>
      </c>
      <c r="I115" s="4" t="str">
        <f>IF($H115&lt;&gt;"","YES","NO")</f>
        <v>YES</v>
      </c>
      <c r="J115" s="4" t="str">
        <f>IF(N($T115)&gt;0,"YES","NO")</f>
        <v>NO</v>
      </c>
      <c r="K115" s="4" t="str">
        <f>IF(OR($A115="EHT Trace"),IF(AND($U115&lt;&gt;"",$V115&lt;&gt;""),"YES","NO"),"N/A")</f>
        <v>N/A</v>
      </c>
      <c r="L115" s="4" t="str">
        <f>IF(OR($A115="EHT Trace"),IF(AND($X115&lt;&gt;"",$Y115&lt;&gt;""),"YES","NO"),"N/A")</f>
        <v>N/A</v>
      </c>
      <c r="M115" s="4" t="str">
        <f>IF(OR($A115="EHT Trace"),IF(AND($AA115&lt;&gt;"",$AB115&lt;&gt;""),"YES","NO"),"N/A")</f>
        <v>N/A</v>
      </c>
      <c r="N115" s="4" t="str">
        <f>IF(OR($A115="Power Cable"),IF(AND($AD115&lt;&gt;""),"YES","NO"),"N/A")</f>
        <v>NO</v>
      </c>
      <c r="O115" s="4" t="str">
        <f>IF(OR($A115="Power Cable",$A115="RTD Cable",$A115="Fieldbus Cable"),IF(AND($AE115&lt;&gt;""),"YES","NO"),"N/A")</f>
        <v>NO</v>
      </c>
      <c r="P115" s="4" t="str">
        <f>IF(OR($A115="RTD"),IF(AND($AH115&lt;&gt;""),"YES","NO"),"N/A")</f>
        <v>N/A</v>
      </c>
      <c r="Q115" s="4" t="str">
        <f>IF(OR($A115="RTD"),IF(AND($AI115&lt;&gt;""),"YES","NO"),"N/A")</f>
        <v>N/A</v>
      </c>
      <c r="R115" s="4" t="str">
        <f>IF(OR($AM115&lt;&gt;"",$Z115&lt;&gt;"",$AC115&lt;&gt;""),"YES","NO")</f>
        <v>NO</v>
      </c>
      <c r="S115" s="4" t="str">
        <f>IF(COUNTIF(I115:R115,"NO")=0,"YES","NO")</f>
        <v>NO</v>
      </c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inlineStr">
        <is>
          <t>Teck</t>
        </is>
      </c>
      <c r="AK115" s="9" t="inlineStr">
        <is>
          <t>10AWG</t>
        </is>
      </c>
      <c r="AL115" s="9" t="inlineStr">
        <is>
          <t>Levy Ostrup</t>
        </is>
      </c>
      <c r="AM115" s="9" t="n"/>
      <c r="AN115" s="9" t="n"/>
    </row>
    <row r="116">
      <c r="A116" s="9" t="inlineStr">
        <is>
          <t>Power Cable</t>
        </is>
      </c>
      <c r="B116" s="9" t="inlineStr">
        <is>
          <t>29103-ET-FG1105-1-PWK-1</t>
        </is>
      </c>
      <c r="C116" s="9" t="inlineStr">
        <is>
          <t>29103-ET-FG1105-1</t>
        </is>
      </c>
      <c r="D116" s="9" t="inlineStr">
        <is>
          <t>29103-AMB-002</t>
        </is>
      </c>
      <c r="E116" s="9" t="inlineStr">
        <is>
          <t>29103-HTP-002</t>
        </is>
      </c>
      <c r="F116" s="9" t="inlineStr"/>
      <c r="G116" s="9" t="inlineStr">
        <is>
          <t>113</t>
        </is>
      </c>
      <c r="H116" s="9" t="inlineStr">
        <is>
          <t>29103-ET-FG1105-1-PWK-1.pdf</t>
        </is>
      </c>
      <c r="I116" s="4" t="str">
        <f>IF($H116&lt;&gt;"","YES","NO")</f>
        <v>YES</v>
      </c>
      <c r="J116" s="4" t="str">
        <f>IF(N($T116)&gt;0,"YES","NO")</f>
        <v>NO</v>
      </c>
      <c r="K116" s="4" t="str">
        <f>IF(OR($A116="EHT Trace"),IF(AND($U116&lt;&gt;"",$V116&lt;&gt;""),"YES","NO"),"N/A")</f>
        <v>N/A</v>
      </c>
      <c r="L116" s="4" t="str">
        <f>IF(OR($A116="EHT Trace"),IF(AND($X116&lt;&gt;"",$Y116&lt;&gt;""),"YES","NO"),"N/A")</f>
        <v>N/A</v>
      </c>
      <c r="M116" s="4" t="str">
        <f>IF(OR($A116="EHT Trace"),IF(AND($AA116&lt;&gt;"",$AB116&lt;&gt;""),"YES","NO"),"N/A")</f>
        <v>N/A</v>
      </c>
      <c r="N116" s="4" t="str">
        <f>IF(OR($A116="Power Cable"),IF(AND($AD116&lt;&gt;""),"YES","NO"),"N/A")</f>
        <v>NO</v>
      </c>
      <c r="O116" s="4" t="str">
        <f>IF(OR($A116="Power Cable",$A116="RTD Cable",$A116="Fieldbus Cable"),IF(AND($AE116&lt;&gt;""),"YES","NO"),"N/A")</f>
        <v>NO</v>
      </c>
      <c r="P116" s="4" t="str">
        <f>IF(OR($A116="RTD"),IF(AND($AH116&lt;&gt;""),"YES","NO"),"N/A")</f>
        <v>N/A</v>
      </c>
      <c r="Q116" s="4" t="str">
        <f>IF(OR($A116="RTD"),IF(AND($AI116&lt;&gt;""),"YES","NO"),"N/A")</f>
        <v>N/A</v>
      </c>
      <c r="R116" s="4" t="str">
        <f>IF(OR($AM116&lt;&gt;"",$Z116&lt;&gt;"",$AC116&lt;&gt;""),"YES","NO")</f>
        <v>NO</v>
      </c>
      <c r="S116" s="4" t="str">
        <f>IF(COUNTIF(I116:R116,"NO")=0,"YES","NO")</f>
        <v>NO</v>
      </c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inlineStr">
        <is>
          <t>Teck</t>
        </is>
      </c>
      <c r="AK116" s="9" t="inlineStr">
        <is>
          <t>10AWG</t>
        </is>
      </c>
      <c r="AL116" s="9" t="inlineStr">
        <is>
          <t>Levy Ostrup</t>
        </is>
      </c>
      <c r="AM116" s="9" t="n"/>
      <c r="AN116" s="9" t="n"/>
    </row>
    <row r="117">
      <c r="A117" s="9" t="inlineStr">
        <is>
          <t>Power Cable</t>
        </is>
      </c>
      <c r="B117" s="9" t="inlineStr">
        <is>
          <t>29103-ET-FG1201-1-PWK-1</t>
        </is>
      </c>
      <c r="C117" s="9" t="inlineStr">
        <is>
          <t>29103-ET-FG1201-1</t>
        </is>
      </c>
      <c r="D117" s="9" t="inlineStr">
        <is>
          <t>29103-AMB-001</t>
        </is>
      </c>
      <c r="E117" s="9" t="inlineStr">
        <is>
          <t>29103-HTP-002</t>
        </is>
      </c>
      <c r="F117" s="9" t="inlineStr"/>
      <c r="G117" s="9" t="inlineStr">
        <is>
          <t>113</t>
        </is>
      </c>
      <c r="H117" s="9" t="inlineStr">
        <is>
          <t>29103-ET-FG1201-1-PWK-1.pdf</t>
        </is>
      </c>
      <c r="I117" s="4" t="str">
        <f>IF($H117&lt;&gt;"","YES","NO")</f>
        <v>YES</v>
      </c>
      <c r="J117" s="4" t="str">
        <f>IF(N($T117)&gt;0,"YES","NO")</f>
        <v>NO</v>
      </c>
      <c r="K117" s="4" t="str">
        <f>IF(OR($A117="EHT Trace"),IF(AND($U117&lt;&gt;"",$V117&lt;&gt;""),"YES","NO"),"N/A")</f>
        <v>N/A</v>
      </c>
      <c r="L117" s="4" t="str">
        <f>IF(OR($A117="EHT Trace"),IF(AND($X117&lt;&gt;"",$Y117&lt;&gt;""),"YES","NO"),"N/A")</f>
        <v>N/A</v>
      </c>
      <c r="M117" s="4" t="str">
        <f>IF(OR($A117="EHT Trace"),IF(AND($AA117&lt;&gt;"",$AB117&lt;&gt;""),"YES","NO"),"N/A")</f>
        <v>N/A</v>
      </c>
      <c r="N117" s="4" t="str">
        <f>IF(OR($A117="Power Cable"),IF(AND($AD117&lt;&gt;""),"YES","NO"),"N/A")</f>
        <v>NO</v>
      </c>
      <c r="O117" s="4" t="str">
        <f>IF(OR($A117="Power Cable",$A117="RTD Cable",$A117="Fieldbus Cable"),IF(AND($AE117&lt;&gt;""),"YES","NO"),"N/A")</f>
        <v>NO</v>
      </c>
      <c r="P117" s="4" t="str">
        <f>IF(OR($A117="RTD"),IF(AND($AH117&lt;&gt;""),"YES","NO"),"N/A")</f>
        <v>N/A</v>
      </c>
      <c r="Q117" s="4" t="str">
        <f>IF(OR($A117="RTD"),IF(AND($AI117&lt;&gt;""),"YES","NO"),"N/A")</f>
        <v>N/A</v>
      </c>
      <c r="R117" s="4" t="str">
        <f>IF(OR($AM117&lt;&gt;"",$Z117&lt;&gt;"",$AC117&lt;&gt;""),"YES","NO")</f>
        <v>NO</v>
      </c>
      <c r="S117" s="4" t="str">
        <f>IF(COUNTIF(I117:R117,"NO")=0,"YES","NO")</f>
        <v>NO</v>
      </c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inlineStr">
        <is>
          <t>Teck</t>
        </is>
      </c>
      <c r="AK117" s="9" t="inlineStr">
        <is>
          <t>10AWG</t>
        </is>
      </c>
      <c r="AL117" s="9" t="inlineStr">
        <is>
          <t>Levy Ostrup</t>
        </is>
      </c>
      <c r="AM117" s="9" t="n"/>
      <c r="AN117" s="9" t="n"/>
    </row>
    <row r="118">
      <c r="A118" s="9" t="inlineStr">
        <is>
          <t>Power Cable</t>
        </is>
      </c>
      <c r="B118" s="9" t="inlineStr">
        <is>
          <t>29103-ET-FG1203-1-PWK-1</t>
        </is>
      </c>
      <c r="C118" s="9" t="inlineStr">
        <is>
          <t>29103-ET-FG1203-1</t>
        </is>
      </c>
      <c r="D118" s="9" t="inlineStr">
        <is>
          <t>29103-AMB-001</t>
        </is>
      </c>
      <c r="E118" s="9" t="inlineStr">
        <is>
          <t>29103-HTP-002</t>
        </is>
      </c>
      <c r="F118" s="9" t="inlineStr"/>
      <c r="G118" s="9" t="inlineStr">
        <is>
          <t>113</t>
        </is>
      </c>
      <c r="H118" s="9" t="inlineStr">
        <is>
          <t>29103-ET-FG1203-1-PWK-1.pdf</t>
        </is>
      </c>
      <c r="I118" s="4" t="str">
        <f>IF($H118&lt;&gt;"","YES","NO")</f>
        <v>YES</v>
      </c>
      <c r="J118" s="4" t="str">
        <f>IF(N($T118)&gt;0,"YES","NO")</f>
        <v>NO</v>
      </c>
      <c r="K118" s="4" t="str">
        <f>IF(OR($A118="EHT Trace"),IF(AND($U118&lt;&gt;"",$V118&lt;&gt;""),"YES","NO"),"N/A")</f>
        <v>N/A</v>
      </c>
      <c r="L118" s="4" t="str">
        <f>IF(OR($A118="EHT Trace"),IF(AND($X118&lt;&gt;"",$Y118&lt;&gt;""),"YES","NO"),"N/A")</f>
        <v>N/A</v>
      </c>
      <c r="M118" s="4" t="str">
        <f>IF(OR($A118="EHT Trace"),IF(AND($AA118&lt;&gt;"",$AB118&lt;&gt;""),"YES","NO"),"N/A")</f>
        <v>N/A</v>
      </c>
      <c r="N118" s="4" t="str">
        <f>IF(OR($A118="Power Cable"),IF(AND($AD118&lt;&gt;""),"YES","NO"),"N/A")</f>
        <v>NO</v>
      </c>
      <c r="O118" s="4" t="str">
        <f>IF(OR($A118="Power Cable",$A118="RTD Cable",$A118="Fieldbus Cable"),IF(AND($AE118&lt;&gt;""),"YES","NO"),"N/A")</f>
        <v>NO</v>
      </c>
      <c r="P118" s="4" t="str">
        <f>IF(OR($A118="RTD"),IF(AND($AH118&lt;&gt;""),"YES","NO"),"N/A")</f>
        <v>N/A</v>
      </c>
      <c r="Q118" s="4" t="str">
        <f>IF(OR($A118="RTD"),IF(AND($AI118&lt;&gt;""),"YES","NO"),"N/A")</f>
        <v>N/A</v>
      </c>
      <c r="R118" s="4" t="str">
        <f>IF(OR($AM118&lt;&gt;"",$Z118&lt;&gt;"",$AC118&lt;&gt;""),"YES","NO")</f>
        <v>NO</v>
      </c>
      <c r="S118" s="4" t="str">
        <f>IF(COUNTIF(I118:R118,"NO")=0,"YES","NO")</f>
        <v>NO</v>
      </c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inlineStr">
        <is>
          <t>Teck</t>
        </is>
      </c>
      <c r="AK118" s="9" t="inlineStr">
        <is>
          <t>10AWG</t>
        </is>
      </c>
      <c r="AL118" s="9" t="inlineStr">
        <is>
          <t>Levy Ostrup</t>
        </is>
      </c>
      <c r="AM118" s="9" t="n"/>
      <c r="AN118" s="9" t="n"/>
    </row>
    <row r="119">
      <c r="A119" s="9" t="inlineStr">
        <is>
          <t>Power Cable</t>
        </is>
      </c>
      <c r="B119" s="9" t="inlineStr">
        <is>
          <t>29103-ET-FG1301-1-PWK-1</t>
        </is>
      </c>
      <c r="C119" s="9" t="inlineStr">
        <is>
          <t>29103-ET-FG1301-1</t>
        </is>
      </c>
      <c r="D119" s="9" t="inlineStr">
        <is>
          <t>29103-AMB-003</t>
        </is>
      </c>
      <c r="E119" s="9" t="inlineStr">
        <is>
          <t>29103-HTP-002</t>
        </is>
      </c>
      <c r="F119" s="9" t="inlineStr"/>
      <c r="G119" s="9" t="inlineStr">
        <is>
          <t>113</t>
        </is>
      </c>
      <c r="H119" s="9" t="inlineStr">
        <is>
          <t>29103-ET-FG1301-1-PWK-1.pdf</t>
        </is>
      </c>
      <c r="I119" s="4" t="str">
        <f>IF($H119&lt;&gt;"","YES","NO")</f>
        <v>YES</v>
      </c>
      <c r="J119" s="4" t="str">
        <f>IF(N($T119)&gt;0,"YES","NO")</f>
        <v>NO</v>
      </c>
      <c r="K119" s="4" t="str">
        <f>IF(OR($A119="EHT Trace"),IF(AND($U119&lt;&gt;"",$V119&lt;&gt;""),"YES","NO"),"N/A")</f>
        <v>N/A</v>
      </c>
      <c r="L119" s="4" t="str">
        <f>IF(OR($A119="EHT Trace"),IF(AND($X119&lt;&gt;"",$Y119&lt;&gt;""),"YES","NO"),"N/A")</f>
        <v>N/A</v>
      </c>
      <c r="M119" s="4" t="str">
        <f>IF(OR($A119="EHT Trace"),IF(AND($AA119&lt;&gt;"",$AB119&lt;&gt;""),"YES","NO"),"N/A")</f>
        <v>N/A</v>
      </c>
      <c r="N119" s="4" t="str">
        <f>IF(OR($A119="Power Cable"),IF(AND($AD119&lt;&gt;""),"YES","NO"),"N/A")</f>
        <v>NO</v>
      </c>
      <c r="O119" s="4" t="str">
        <f>IF(OR($A119="Power Cable",$A119="RTD Cable",$A119="Fieldbus Cable"),IF(AND($AE119&lt;&gt;""),"YES","NO"),"N/A")</f>
        <v>NO</v>
      </c>
      <c r="P119" s="4" t="str">
        <f>IF(OR($A119="RTD"),IF(AND($AH119&lt;&gt;""),"YES","NO"),"N/A")</f>
        <v>N/A</v>
      </c>
      <c r="Q119" s="4" t="str">
        <f>IF(OR($A119="RTD"),IF(AND($AI119&lt;&gt;""),"YES","NO"),"N/A")</f>
        <v>N/A</v>
      </c>
      <c r="R119" s="4" t="str">
        <f>IF(OR($AM119&lt;&gt;"",$Z119&lt;&gt;"",$AC119&lt;&gt;""),"YES","NO")</f>
        <v>NO</v>
      </c>
      <c r="S119" s="4" t="str">
        <f>IF(COUNTIF(I119:R119,"NO")=0,"YES","NO")</f>
        <v>NO</v>
      </c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inlineStr">
        <is>
          <t>Teck</t>
        </is>
      </c>
      <c r="AK119" s="9" t="inlineStr">
        <is>
          <t>10AWG</t>
        </is>
      </c>
      <c r="AL119" s="9" t="inlineStr">
        <is>
          <t>Levy Ostrup</t>
        </is>
      </c>
      <c r="AM119" s="9" t="n"/>
      <c r="AN119" s="9" t="n"/>
    </row>
    <row r="120">
      <c r="A120" s="9" t="inlineStr">
        <is>
          <t>Power Cable</t>
        </is>
      </c>
      <c r="B120" s="9" t="inlineStr">
        <is>
          <t>29103-ET-FG1303-1-PWK-1</t>
        </is>
      </c>
      <c r="C120" s="9" t="inlineStr">
        <is>
          <t>29103-ET-FG1303-1</t>
        </is>
      </c>
      <c r="D120" s="9" t="inlineStr">
        <is>
          <t>29103-AMB-003</t>
        </is>
      </c>
      <c r="E120" s="9" t="inlineStr">
        <is>
          <t>29103-HTP-002</t>
        </is>
      </c>
      <c r="F120" s="9" t="inlineStr"/>
      <c r="G120" s="9" t="inlineStr">
        <is>
          <t>113</t>
        </is>
      </c>
      <c r="H120" s="9" t="inlineStr">
        <is>
          <t>29103-ET-FG1303-1-PWK-1.pdf</t>
        </is>
      </c>
      <c r="I120" s="4" t="str">
        <f>IF($H120&lt;&gt;"","YES","NO")</f>
        <v>YES</v>
      </c>
      <c r="J120" s="4" t="str">
        <f>IF(N($T120)&gt;0,"YES","NO")</f>
        <v>NO</v>
      </c>
      <c r="K120" s="4" t="str">
        <f>IF(OR($A120="EHT Trace"),IF(AND($U120&lt;&gt;"",$V120&lt;&gt;""),"YES","NO"),"N/A")</f>
        <v>N/A</v>
      </c>
      <c r="L120" s="4" t="str">
        <f>IF(OR($A120="EHT Trace"),IF(AND($X120&lt;&gt;"",$Y120&lt;&gt;""),"YES","NO"),"N/A")</f>
        <v>N/A</v>
      </c>
      <c r="M120" s="4" t="str">
        <f>IF(OR($A120="EHT Trace"),IF(AND($AA120&lt;&gt;"",$AB120&lt;&gt;""),"YES","NO"),"N/A")</f>
        <v>N/A</v>
      </c>
      <c r="N120" s="4" t="str">
        <f>IF(OR($A120="Power Cable"),IF(AND($AD120&lt;&gt;""),"YES","NO"),"N/A")</f>
        <v>NO</v>
      </c>
      <c r="O120" s="4" t="str">
        <f>IF(OR($A120="Power Cable",$A120="RTD Cable",$A120="Fieldbus Cable"),IF(AND($AE120&lt;&gt;""),"YES","NO"),"N/A")</f>
        <v>NO</v>
      </c>
      <c r="P120" s="4" t="str">
        <f>IF(OR($A120="RTD"),IF(AND($AH120&lt;&gt;""),"YES","NO"),"N/A")</f>
        <v>N/A</v>
      </c>
      <c r="Q120" s="4" t="str">
        <f>IF(OR($A120="RTD"),IF(AND($AI120&lt;&gt;""),"YES","NO"),"N/A")</f>
        <v>N/A</v>
      </c>
      <c r="R120" s="4" t="str">
        <f>IF(OR($AM120&lt;&gt;"",$Z120&lt;&gt;"",$AC120&lt;&gt;""),"YES","NO")</f>
        <v>NO</v>
      </c>
      <c r="S120" s="4" t="str">
        <f>IF(COUNTIF(I120:R120,"NO")=0,"YES","NO")</f>
        <v>NO</v>
      </c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inlineStr">
        <is>
          <t>Teck</t>
        </is>
      </c>
      <c r="AK120" s="9" t="inlineStr">
        <is>
          <t>10AWG</t>
        </is>
      </c>
      <c r="AL120" s="9" t="inlineStr">
        <is>
          <t>Levy Ostrup</t>
        </is>
      </c>
      <c r="AM120" s="9" t="n"/>
      <c r="AN120" s="9" t="n"/>
    </row>
    <row r="121">
      <c r="A121" s="9" t="inlineStr">
        <is>
          <t>Power Cable</t>
        </is>
      </c>
      <c r="B121" s="9" t="inlineStr">
        <is>
          <t>29103-ET-FG1401-1-PWK-1</t>
        </is>
      </c>
      <c r="C121" s="9" t="inlineStr">
        <is>
          <t>29103-ET-FG1401-1</t>
        </is>
      </c>
      <c r="D121" s="9" t="inlineStr">
        <is>
          <t>29103-AMB-003</t>
        </is>
      </c>
      <c r="E121" s="9" t="inlineStr">
        <is>
          <t>29103-HTP-002</t>
        </is>
      </c>
      <c r="F121" s="9" t="inlineStr"/>
      <c r="G121" s="9" t="inlineStr">
        <is>
          <t>113</t>
        </is>
      </c>
      <c r="H121" s="9" t="inlineStr">
        <is>
          <t>29103-ET-FG1401-1-PWK-1.pdf</t>
        </is>
      </c>
      <c r="I121" s="4" t="str">
        <f>IF($H121&lt;&gt;"","YES","NO")</f>
        <v>YES</v>
      </c>
      <c r="J121" s="4" t="str">
        <f>IF(N($T121)&gt;0,"YES","NO")</f>
        <v>NO</v>
      </c>
      <c r="K121" s="4" t="str">
        <f>IF(OR($A121="EHT Trace"),IF(AND($U121&lt;&gt;"",$V121&lt;&gt;""),"YES","NO"),"N/A")</f>
        <v>N/A</v>
      </c>
      <c r="L121" s="4" t="str">
        <f>IF(OR($A121="EHT Trace"),IF(AND($X121&lt;&gt;"",$Y121&lt;&gt;""),"YES","NO"),"N/A")</f>
        <v>N/A</v>
      </c>
      <c r="M121" s="4" t="str">
        <f>IF(OR($A121="EHT Trace"),IF(AND($AA121&lt;&gt;"",$AB121&lt;&gt;""),"YES","NO"),"N/A")</f>
        <v>N/A</v>
      </c>
      <c r="N121" s="4" t="str">
        <f>IF(OR($A121="Power Cable"),IF(AND($AD121&lt;&gt;""),"YES","NO"),"N/A")</f>
        <v>NO</v>
      </c>
      <c r="O121" s="4" t="str">
        <f>IF(OR($A121="Power Cable",$A121="RTD Cable",$A121="Fieldbus Cable"),IF(AND($AE121&lt;&gt;""),"YES","NO"),"N/A")</f>
        <v>NO</v>
      </c>
      <c r="P121" s="4" t="str">
        <f>IF(OR($A121="RTD"),IF(AND($AH121&lt;&gt;""),"YES","NO"),"N/A")</f>
        <v>N/A</v>
      </c>
      <c r="Q121" s="4" t="str">
        <f>IF(OR($A121="RTD"),IF(AND($AI121&lt;&gt;""),"YES","NO"),"N/A")</f>
        <v>N/A</v>
      </c>
      <c r="R121" s="4" t="str">
        <f>IF(OR($AM121&lt;&gt;"",$Z121&lt;&gt;"",$AC121&lt;&gt;""),"YES","NO")</f>
        <v>NO</v>
      </c>
      <c r="S121" s="4" t="str">
        <f>IF(COUNTIF(I121:R121,"NO")=0,"YES","NO")</f>
        <v>NO</v>
      </c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inlineStr">
        <is>
          <t>Teck</t>
        </is>
      </c>
      <c r="AK121" s="9" t="inlineStr">
        <is>
          <t>10AWG</t>
        </is>
      </c>
      <c r="AL121" s="9" t="inlineStr">
        <is>
          <t>Levy Ostrup</t>
        </is>
      </c>
      <c r="AM121" s="9" t="n"/>
      <c r="AN121" s="9" t="n"/>
    </row>
    <row r="122">
      <c r="A122" s="9" t="inlineStr">
        <is>
          <t>Power Cable</t>
        </is>
      </c>
      <c r="B122" s="9" t="inlineStr">
        <is>
          <t>29103-ET-FG1403-1-PWK-1</t>
        </is>
      </c>
      <c r="C122" s="9" t="inlineStr">
        <is>
          <t>29103-ET-FG1403-1</t>
        </is>
      </c>
      <c r="D122" s="9" t="inlineStr">
        <is>
          <t>29103-AMB-003</t>
        </is>
      </c>
      <c r="E122" s="9" t="inlineStr">
        <is>
          <t>29103-HTP-002</t>
        </is>
      </c>
      <c r="F122" s="9" t="inlineStr"/>
      <c r="G122" s="9" t="inlineStr">
        <is>
          <t>113</t>
        </is>
      </c>
      <c r="H122" s="9" t="inlineStr">
        <is>
          <t>29103-ET-FG1403-1-PWK-1.pdf</t>
        </is>
      </c>
      <c r="I122" s="4" t="str">
        <f>IF($H122&lt;&gt;"","YES","NO")</f>
        <v>YES</v>
      </c>
      <c r="J122" s="4" t="str">
        <f>IF(N($T122)&gt;0,"YES","NO")</f>
        <v>NO</v>
      </c>
      <c r="K122" s="4" t="str">
        <f>IF(OR($A122="EHT Trace"),IF(AND($U122&lt;&gt;"",$V122&lt;&gt;""),"YES","NO"),"N/A")</f>
        <v>N/A</v>
      </c>
      <c r="L122" s="4" t="str">
        <f>IF(OR($A122="EHT Trace"),IF(AND($X122&lt;&gt;"",$Y122&lt;&gt;""),"YES","NO"),"N/A")</f>
        <v>N/A</v>
      </c>
      <c r="M122" s="4" t="str">
        <f>IF(OR($A122="EHT Trace"),IF(AND($AA122&lt;&gt;"",$AB122&lt;&gt;""),"YES","NO"),"N/A")</f>
        <v>N/A</v>
      </c>
      <c r="N122" s="4" t="str">
        <f>IF(OR($A122="Power Cable"),IF(AND($AD122&lt;&gt;""),"YES","NO"),"N/A")</f>
        <v>NO</v>
      </c>
      <c r="O122" s="4" t="str">
        <f>IF(OR($A122="Power Cable",$A122="RTD Cable",$A122="Fieldbus Cable"),IF(AND($AE122&lt;&gt;""),"YES","NO"),"N/A")</f>
        <v>NO</v>
      </c>
      <c r="P122" s="4" t="str">
        <f>IF(OR($A122="RTD"),IF(AND($AH122&lt;&gt;""),"YES","NO"),"N/A")</f>
        <v>N/A</v>
      </c>
      <c r="Q122" s="4" t="str">
        <f>IF(OR($A122="RTD"),IF(AND($AI122&lt;&gt;""),"YES","NO"),"N/A")</f>
        <v>N/A</v>
      </c>
      <c r="R122" s="4" t="str">
        <f>IF(OR($AM122&lt;&gt;"",$Z122&lt;&gt;"",$AC122&lt;&gt;""),"YES","NO")</f>
        <v>NO</v>
      </c>
      <c r="S122" s="4" t="str">
        <f>IF(COUNTIF(I122:R122,"NO")=0,"YES","NO")</f>
        <v>NO</v>
      </c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inlineStr">
        <is>
          <t>Teck</t>
        </is>
      </c>
      <c r="AK122" s="9" t="inlineStr">
        <is>
          <t>10AWG</t>
        </is>
      </c>
      <c r="AL122" s="9" t="inlineStr">
        <is>
          <t>Levy Ostrup</t>
        </is>
      </c>
      <c r="AM122" s="9" t="n"/>
      <c r="AN122" s="9" t="n"/>
    </row>
    <row r="123">
      <c r="A123" s="9" t="inlineStr">
        <is>
          <t>Power Cable</t>
        </is>
      </c>
      <c r="B123" s="9" t="inlineStr">
        <is>
          <t>29103-ET-P1101-1-PWK-1</t>
        </is>
      </c>
      <c r="C123" s="9" t="inlineStr">
        <is>
          <t>29103-ET-P1101-1</t>
        </is>
      </c>
      <c r="D123" s="9" t="inlineStr">
        <is>
          <t>29103-HTP-002 HTC-37</t>
        </is>
      </c>
      <c r="E123" s="9" t="inlineStr">
        <is>
          <t>29103-HTP-002</t>
        </is>
      </c>
      <c r="F123" s="9" t="inlineStr"/>
      <c r="G123" s="9" t="inlineStr">
        <is>
          <t>113</t>
        </is>
      </c>
      <c r="H123" s="9" t="inlineStr">
        <is>
          <t>29103-ET-P1101-1-PWK-1.pdf</t>
        </is>
      </c>
      <c r="I123" s="4" t="str">
        <f>IF($H123&lt;&gt;"","YES","NO")</f>
        <v>YES</v>
      </c>
      <c r="J123" s="4" t="str">
        <f>IF(N($T123)&gt;0,"YES","NO")</f>
        <v>NO</v>
      </c>
      <c r="K123" s="4" t="str">
        <f>IF(OR($A123="EHT Trace"),IF(AND($U123&lt;&gt;"",$V123&lt;&gt;""),"YES","NO"),"N/A")</f>
        <v>N/A</v>
      </c>
      <c r="L123" s="4" t="str">
        <f>IF(OR($A123="EHT Trace"),IF(AND($X123&lt;&gt;"",$Y123&lt;&gt;""),"YES","NO"),"N/A")</f>
        <v>N/A</v>
      </c>
      <c r="M123" s="4" t="str">
        <f>IF(OR($A123="EHT Trace"),IF(AND($AA123&lt;&gt;"",$AB123&lt;&gt;""),"YES","NO"),"N/A")</f>
        <v>N/A</v>
      </c>
      <c r="N123" s="4" t="str">
        <f>IF(OR($A123="Power Cable"),IF(AND($AD123&lt;&gt;""),"YES","NO"),"N/A")</f>
        <v>YES</v>
      </c>
      <c r="O123" s="4" t="str">
        <f>IF(OR($A123="Power Cable",$A123="RTD Cable",$A123="Fieldbus Cable"),IF(AND($AE123&lt;&gt;""),"YES","NO"),"N/A")</f>
        <v>YES</v>
      </c>
      <c r="P123" s="4" t="str">
        <f>IF(OR($A123="RTD"),IF(AND($AH123&lt;&gt;""),"YES","NO"),"N/A")</f>
        <v>N/A</v>
      </c>
      <c r="Q123" s="4" t="str">
        <f>IF(OR($A123="RTD"),IF(AND($AI123&lt;&gt;""),"YES","NO"),"N/A")</f>
        <v>N/A</v>
      </c>
      <c r="R123" s="4" t="str">
        <f>IF(OR($AM123&lt;&gt;"",$Z123&lt;&gt;"",$AC123&lt;&gt;""),"YES","NO")</f>
        <v>YES</v>
      </c>
      <c r="S123" s="4" t="str">
        <f>IF(COUNTIF(I123:R123,"NO")=0,"YES","NO")</f>
        <v>NO</v>
      </c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inlineStr">
        <is>
          <t>&gt;550 MΩ / &gt;550 MΩ / &gt;550 MΩ</t>
        </is>
      </c>
      <c r="AE123" s="9" t="inlineStr">
        <is>
          <t>0.4 Ω / OL / OL</t>
        </is>
      </c>
      <c r="AF123" s="9" t="inlineStr">
        <is>
          <t>Fluke 1587 FC 72300003</t>
        </is>
      </c>
      <c r="AG123" s="9" t="n"/>
      <c r="AH123" s="9" t="n"/>
      <c r="AI123" s="9" t="n"/>
      <c r="AJ123" s="9" t="inlineStr">
        <is>
          <t>TECK</t>
        </is>
      </c>
      <c r="AK123" s="9" t="inlineStr">
        <is>
          <t>10 AWG</t>
        </is>
      </c>
      <c r="AL123" s="9" t="inlineStr">
        <is>
          <t>Levy Ostrup</t>
        </is>
      </c>
      <c r="AM123" s="9" t="inlineStr">
        <is>
          <t>Sept 29</t>
        </is>
      </c>
      <c r="AN123" s="9" t="inlineStr">
        <is>
          <t>Cable is pulled &amp; glanded; no terms</t>
        </is>
      </c>
    </row>
    <row r="124">
      <c r="A124" s="9" t="inlineStr">
        <is>
          <t>Power Cable</t>
        </is>
      </c>
      <c r="B124" s="9" t="inlineStr">
        <is>
          <t>29103-ET-P1104-1-PWK-1</t>
        </is>
      </c>
      <c r="C124" s="9" t="inlineStr">
        <is>
          <t>29103-ET-P1104-1</t>
        </is>
      </c>
      <c r="D124" s="9" t="inlineStr">
        <is>
          <t>29103-HTP-002 HTC-35</t>
        </is>
      </c>
      <c r="E124" s="9" t="inlineStr">
        <is>
          <t>29103-HTP-002</t>
        </is>
      </c>
      <c r="F124" s="9" t="inlineStr"/>
      <c r="G124" s="9" t="inlineStr">
        <is>
          <t>113</t>
        </is>
      </c>
      <c r="H124" s="9" t="inlineStr">
        <is>
          <t>29103-ET-P1104-1-PWK-1.pdf</t>
        </is>
      </c>
      <c r="I124" s="4" t="str">
        <f>IF($H124&lt;&gt;"","YES","NO")</f>
        <v>YES</v>
      </c>
      <c r="J124" s="4" t="str">
        <f>IF(N($T124)&gt;0,"YES","NO")</f>
        <v>YES</v>
      </c>
      <c r="K124" s="4" t="str">
        <f>IF(OR($A124="EHT Trace"),IF(AND($U124&lt;&gt;"",$V124&lt;&gt;""),"YES","NO"),"N/A")</f>
        <v>N/A</v>
      </c>
      <c r="L124" s="4" t="str">
        <f>IF(OR($A124="EHT Trace"),IF(AND($X124&lt;&gt;"",$Y124&lt;&gt;""),"YES","NO"),"N/A")</f>
        <v>N/A</v>
      </c>
      <c r="M124" s="4" t="str">
        <f>IF(OR($A124="EHT Trace"),IF(AND($AA124&lt;&gt;"",$AB124&lt;&gt;""),"YES","NO"),"N/A")</f>
        <v>N/A</v>
      </c>
      <c r="N124" s="4" t="str">
        <f>IF(OR($A124="Power Cable"),IF(AND($AD124&lt;&gt;""),"YES","NO"),"N/A")</f>
        <v>YES</v>
      </c>
      <c r="O124" s="4" t="str">
        <f>IF(OR($A124="Power Cable",$A124="RTD Cable",$A124="Fieldbus Cable"),IF(AND($AE124&lt;&gt;""),"YES","NO"),"N/A")</f>
        <v>YES</v>
      </c>
      <c r="P124" s="4" t="str">
        <f>IF(OR($A124="RTD"),IF(AND($AH124&lt;&gt;""),"YES","NO"),"N/A")</f>
        <v>N/A</v>
      </c>
      <c r="Q124" s="4" t="str">
        <f>IF(OR($A124="RTD"),IF(AND($AI124&lt;&gt;""),"YES","NO"),"N/A")</f>
        <v>N/A</v>
      </c>
      <c r="R124" s="4" t="str">
        <f>IF(OR($AM124&lt;&gt;"",$Z124&lt;&gt;"",$AC124&lt;&gt;""),"YES","NO")</f>
        <v>YES</v>
      </c>
      <c r="S124" s="4" t="str">
        <f>IF(COUNTIF(I124:R124,"NO")=0,"YES","NO")</f>
        <v>YES</v>
      </c>
      <c r="T124" s="9" t="n">
        <v>11</v>
      </c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inlineStr">
        <is>
          <t>&gt;550 MΩ / &gt;550 MΩ / &gt;550 MΩ</t>
        </is>
      </c>
      <c r="AE124" s="9" t="inlineStr">
        <is>
          <t>0.4 Ω / OL / OL</t>
        </is>
      </c>
      <c r="AF124" s="9" t="inlineStr">
        <is>
          <t>Fluke 1587 FC 72300003</t>
        </is>
      </c>
      <c r="AG124" s="9" t="n"/>
      <c r="AH124" s="9" t="n"/>
      <c r="AI124" s="9" t="n"/>
      <c r="AJ124" s="9" t="inlineStr">
        <is>
          <t>TECK</t>
        </is>
      </c>
      <c r="AK124" s="9" t="inlineStr">
        <is>
          <t>10 AWG</t>
        </is>
      </c>
      <c r="AL124" s="9" t="inlineStr">
        <is>
          <t>Levy Ostrup</t>
        </is>
      </c>
      <c r="AM124" s="9" t="inlineStr">
        <is>
          <t>Sept 29</t>
        </is>
      </c>
      <c r="AN124" s="9" t="n"/>
    </row>
    <row r="125">
      <c r="A125" s="9" t="inlineStr">
        <is>
          <t>Power Cable</t>
        </is>
      </c>
      <c r="B125" s="9" t="inlineStr">
        <is>
          <t>29103-ET-P1104-2-PWK-1</t>
        </is>
      </c>
      <c r="C125" s="9" t="inlineStr">
        <is>
          <t>29103-ET-P1104-2</t>
        </is>
      </c>
      <c r="D125" s="9" t="inlineStr">
        <is>
          <t>29103-HTP-002 HTC-40</t>
        </is>
      </c>
      <c r="E125" s="9" t="inlineStr">
        <is>
          <t>29103-HTP-002</t>
        </is>
      </c>
      <c r="F125" s="9" t="inlineStr"/>
      <c r="G125" s="9" t="inlineStr">
        <is>
          <t>113</t>
        </is>
      </c>
      <c r="H125" s="9" t="inlineStr">
        <is>
          <t>29103-ET-P1104-2-PWK-1.pdf</t>
        </is>
      </c>
      <c r="I125" s="4" t="str">
        <f>IF($H125&lt;&gt;"","YES","NO")</f>
        <v>YES</v>
      </c>
      <c r="J125" s="4" t="str">
        <f>IF(N($T125)&gt;0,"YES","NO")</f>
        <v>YES</v>
      </c>
      <c r="K125" s="4" t="str">
        <f>IF(OR($A125="EHT Trace"),IF(AND($U125&lt;&gt;"",$V125&lt;&gt;""),"YES","NO"),"N/A")</f>
        <v>N/A</v>
      </c>
      <c r="L125" s="4" t="str">
        <f>IF(OR($A125="EHT Trace"),IF(AND($X125&lt;&gt;"",$Y125&lt;&gt;""),"YES","NO"),"N/A")</f>
        <v>N/A</v>
      </c>
      <c r="M125" s="4" t="str">
        <f>IF(OR($A125="EHT Trace"),IF(AND($AA125&lt;&gt;"",$AB125&lt;&gt;""),"YES","NO"),"N/A")</f>
        <v>N/A</v>
      </c>
      <c r="N125" s="4" t="str">
        <f>IF(OR($A125="Power Cable"),IF(AND($AD125&lt;&gt;""),"YES","NO"),"N/A")</f>
        <v>YES</v>
      </c>
      <c r="O125" s="4" t="str">
        <f>IF(OR($A125="Power Cable",$A125="RTD Cable",$A125="Fieldbus Cable"),IF(AND($AE125&lt;&gt;""),"YES","NO"),"N/A")</f>
        <v>YES</v>
      </c>
      <c r="P125" s="4" t="str">
        <f>IF(OR($A125="RTD"),IF(AND($AH125&lt;&gt;""),"YES","NO"),"N/A")</f>
        <v>N/A</v>
      </c>
      <c r="Q125" s="4" t="str">
        <f>IF(OR($A125="RTD"),IF(AND($AI125&lt;&gt;""),"YES","NO"),"N/A")</f>
        <v>N/A</v>
      </c>
      <c r="R125" s="4" t="str">
        <f>IF(OR($AM125&lt;&gt;"",$Z125&lt;&gt;"",$AC125&lt;&gt;""),"YES","NO")</f>
        <v>YES</v>
      </c>
      <c r="S125" s="4" t="str">
        <f>IF(COUNTIF(I125:R125,"NO")=0,"YES","NO")</f>
        <v>YES</v>
      </c>
      <c r="T125" s="9" t="n">
        <v>10</v>
      </c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inlineStr">
        <is>
          <t>&gt;550 MΩ / &gt;550 MΩ / &gt;550 MΩ</t>
        </is>
      </c>
      <c r="AE125" s="9" t="inlineStr">
        <is>
          <t>0.5 Ω / OL / OL</t>
        </is>
      </c>
      <c r="AF125" s="9" t="inlineStr">
        <is>
          <t>Fluke 1587 FC 72300003</t>
        </is>
      </c>
      <c r="AG125" s="9" t="n"/>
      <c r="AH125" s="9" t="n"/>
      <c r="AI125" s="9" t="n"/>
      <c r="AJ125" s="9" t="inlineStr">
        <is>
          <t>TECK</t>
        </is>
      </c>
      <c r="AK125" s="9" t="inlineStr">
        <is>
          <t>10 AWG</t>
        </is>
      </c>
      <c r="AL125" s="9" t="inlineStr">
        <is>
          <t>Levy Ostrup</t>
        </is>
      </c>
      <c r="AM125" s="9" t="inlineStr">
        <is>
          <t>Sept 29</t>
        </is>
      </c>
      <c r="AN125" s="9" t="inlineStr">
        <is>
          <t>Missing cable tag both sides</t>
        </is>
      </c>
    </row>
    <row r="126">
      <c r="A126" s="9" t="inlineStr">
        <is>
          <t>Power Cable</t>
        </is>
      </c>
      <c r="B126" s="9" t="inlineStr">
        <is>
          <t>29103-ET-P1201-1-PWK-1</t>
        </is>
      </c>
      <c r="C126" s="9" t="inlineStr">
        <is>
          <t>29103-ET-P1201-1</t>
        </is>
      </c>
      <c r="D126" s="9" t="inlineStr">
        <is>
          <t>29103-HTP-002 HTC-39</t>
        </is>
      </c>
      <c r="E126" s="9" t="inlineStr">
        <is>
          <t>29103-HTP-002</t>
        </is>
      </c>
      <c r="F126" s="9" t="inlineStr"/>
      <c r="G126" s="9" t="inlineStr">
        <is>
          <t>113</t>
        </is>
      </c>
      <c r="H126" s="9" t="inlineStr">
        <is>
          <t>29103-ET-P1201-1-PWK-1.pdf</t>
        </is>
      </c>
      <c r="I126" s="4" t="str">
        <f>IF($H126&lt;&gt;"","YES","NO")</f>
        <v>YES</v>
      </c>
      <c r="J126" s="4" t="str">
        <f>IF(N($T126)&gt;0,"YES","NO")</f>
        <v>YES</v>
      </c>
      <c r="K126" s="4" t="str">
        <f>IF(OR($A126="EHT Trace"),IF(AND($U126&lt;&gt;"",$V126&lt;&gt;""),"YES","NO"),"N/A")</f>
        <v>N/A</v>
      </c>
      <c r="L126" s="4" t="str">
        <f>IF(OR($A126="EHT Trace"),IF(AND($X126&lt;&gt;"",$Y126&lt;&gt;""),"YES","NO"),"N/A")</f>
        <v>N/A</v>
      </c>
      <c r="M126" s="4" t="str">
        <f>IF(OR($A126="EHT Trace"),IF(AND($AA126&lt;&gt;"",$AB126&lt;&gt;""),"YES","NO"),"N/A")</f>
        <v>N/A</v>
      </c>
      <c r="N126" s="4" t="str">
        <f>IF(OR($A126="Power Cable"),IF(AND($AD126&lt;&gt;""),"YES","NO"),"N/A")</f>
        <v>YES</v>
      </c>
      <c r="O126" s="4" t="str">
        <f>IF(OR($A126="Power Cable",$A126="RTD Cable",$A126="Fieldbus Cable"),IF(AND($AE126&lt;&gt;""),"YES","NO"),"N/A")</f>
        <v>YES</v>
      </c>
      <c r="P126" s="4" t="str">
        <f>IF(OR($A126="RTD"),IF(AND($AH126&lt;&gt;""),"YES","NO"),"N/A")</f>
        <v>N/A</v>
      </c>
      <c r="Q126" s="4" t="str">
        <f>IF(OR($A126="RTD"),IF(AND($AI126&lt;&gt;""),"YES","NO"),"N/A")</f>
        <v>N/A</v>
      </c>
      <c r="R126" s="4" t="str">
        <f>IF(OR($AM126&lt;&gt;"",$Z126&lt;&gt;"",$AC126&lt;&gt;""),"YES","NO")</f>
        <v>YES</v>
      </c>
      <c r="S126" s="4" t="str">
        <f>IF(COUNTIF(I126:R126,"NO")=0,"YES","NO")</f>
        <v>YES</v>
      </c>
      <c r="T126" s="9" t="n">
        <v>5</v>
      </c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inlineStr">
        <is>
          <t>&gt;550 MΩ / &gt;550 MΩ / &gt;550 MΩ</t>
        </is>
      </c>
      <c r="AE126" s="9" t="inlineStr">
        <is>
          <t>0.4 Ω / OL / OL</t>
        </is>
      </c>
      <c r="AF126" s="9" t="inlineStr">
        <is>
          <t>Fluke 1587 FC 72300003</t>
        </is>
      </c>
      <c r="AG126" s="9" t="n"/>
      <c r="AH126" s="9" t="n"/>
      <c r="AI126" s="9" t="n"/>
      <c r="AJ126" s="9" t="inlineStr">
        <is>
          <t>TECK</t>
        </is>
      </c>
      <c r="AK126" s="9" t="inlineStr">
        <is>
          <t>10 AWG</t>
        </is>
      </c>
      <c r="AL126" s="9" t="inlineStr">
        <is>
          <t>Levy Ostrup</t>
        </is>
      </c>
      <c r="AM126" s="9" t="inlineStr">
        <is>
          <t>Sept 29</t>
        </is>
      </c>
      <c r="AN126" s="9" t="inlineStr">
        <is>
          <t>Core markers missing; not termed</t>
        </is>
      </c>
    </row>
    <row r="127">
      <c r="A127" s="9" t="inlineStr">
        <is>
          <t>Power Cable</t>
        </is>
      </c>
      <c r="B127" s="9" t="inlineStr">
        <is>
          <t>29103-ET-P1204-1-PWK-1</t>
        </is>
      </c>
      <c r="C127" s="9" t="inlineStr">
        <is>
          <t>29103-ET-P1204-1</t>
        </is>
      </c>
      <c r="D127" s="9" t="inlineStr">
        <is>
          <t>29103-HTP-002 HTC-27</t>
        </is>
      </c>
      <c r="E127" s="9" t="inlineStr">
        <is>
          <t>29103-HTP-002</t>
        </is>
      </c>
      <c r="F127" s="9" t="inlineStr"/>
      <c r="G127" s="9" t="inlineStr">
        <is>
          <t>113</t>
        </is>
      </c>
      <c r="H127" s="9" t="inlineStr">
        <is>
          <t>29103-ET-P1204-1-PWK-1.pdf</t>
        </is>
      </c>
      <c r="I127" s="4" t="str">
        <f>IF($H127&lt;&gt;"","YES","NO")</f>
        <v>YES</v>
      </c>
      <c r="J127" s="4" t="str">
        <f>IF(N($T127)&gt;0,"YES","NO")</f>
        <v>NO</v>
      </c>
      <c r="K127" s="4" t="str">
        <f>IF(OR($A127="EHT Trace"),IF(AND($U127&lt;&gt;"",$V127&lt;&gt;""),"YES","NO"),"N/A")</f>
        <v>N/A</v>
      </c>
      <c r="L127" s="4" t="str">
        <f>IF(OR($A127="EHT Trace"),IF(AND($X127&lt;&gt;"",$Y127&lt;&gt;""),"YES","NO"),"N/A")</f>
        <v>N/A</v>
      </c>
      <c r="M127" s="4" t="str">
        <f>IF(OR($A127="EHT Trace"),IF(AND($AA127&lt;&gt;"",$AB127&lt;&gt;""),"YES","NO"),"N/A")</f>
        <v>N/A</v>
      </c>
      <c r="N127" s="4" t="str">
        <f>IF(OR($A127="Power Cable"),IF(AND($AD127&lt;&gt;""),"YES","NO"),"N/A")</f>
        <v>NO</v>
      </c>
      <c r="O127" s="4" t="str">
        <f>IF(OR($A127="Power Cable",$A127="RTD Cable",$A127="Fieldbus Cable"),IF(AND($AE127&lt;&gt;""),"YES","NO"),"N/A")</f>
        <v>NO</v>
      </c>
      <c r="P127" s="4" t="str">
        <f>IF(OR($A127="RTD"),IF(AND($AH127&lt;&gt;""),"YES","NO"),"N/A")</f>
        <v>N/A</v>
      </c>
      <c r="Q127" s="4" t="str">
        <f>IF(OR($A127="RTD"),IF(AND($AI127&lt;&gt;""),"YES","NO"),"N/A")</f>
        <v>N/A</v>
      </c>
      <c r="R127" s="4" t="str">
        <f>IF(OR($AM127&lt;&gt;"",$Z127&lt;&gt;"",$AC127&lt;&gt;""),"YES","NO")</f>
        <v>NO</v>
      </c>
      <c r="S127" s="4" t="str">
        <f>IF(COUNTIF(I127:R127,"NO")=0,"YES","NO")</f>
        <v>NO</v>
      </c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inlineStr">
        <is>
          <t>Teck</t>
        </is>
      </c>
      <c r="AK127" s="9" t="inlineStr">
        <is>
          <t>10AWG</t>
        </is>
      </c>
      <c r="AL127" s="9" t="inlineStr">
        <is>
          <t>Levy Ostrup</t>
        </is>
      </c>
      <c r="AM127" s="9" t="n"/>
      <c r="AN127" s="9" t="n"/>
    </row>
    <row r="128">
      <c r="A128" s="9" t="inlineStr">
        <is>
          <t>Power Cable</t>
        </is>
      </c>
      <c r="B128" s="9" t="inlineStr">
        <is>
          <t>29103-ET-P1204-2-PWK-1</t>
        </is>
      </c>
      <c r="C128" s="9" t="inlineStr">
        <is>
          <t>29103-ET-P1204-2</t>
        </is>
      </c>
      <c r="D128" s="9" t="inlineStr">
        <is>
          <t>29103-HTP-002 HTC-29</t>
        </is>
      </c>
      <c r="E128" s="9" t="inlineStr">
        <is>
          <t>29103-HTP-002</t>
        </is>
      </c>
      <c r="F128" s="9" t="inlineStr"/>
      <c r="G128" s="9" t="inlineStr">
        <is>
          <t>113</t>
        </is>
      </c>
      <c r="H128" s="9" t="inlineStr">
        <is>
          <t>29103-ET-P1204-2-PWK-1.pdf</t>
        </is>
      </c>
      <c r="I128" s="4" t="str">
        <f>IF($H128&lt;&gt;"","YES","NO")</f>
        <v>YES</v>
      </c>
      <c r="J128" s="4" t="str">
        <f>IF(N($T128)&gt;0,"YES","NO")</f>
        <v>YES</v>
      </c>
      <c r="K128" s="4" t="str">
        <f>IF(OR($A128="EHT Trace"),IF(AND($U128&lt;&gt;"",$V128&lt;&gt;""),"YES","NO"),"N/A")</f>
        <v>N/A</v>
      </c>
      <c r="L128" s="4" t="str">
        <f>IF(OR($A128="EHT Trace"),IF(AND($X128&lt;&gt;"",$Y128&lt;&gt;""),"YES","NO"),"N/A")</f>
        <v>N/A</v>
      </c>
      <c r="M128" s="4" t="str">
        <f>IF(OR($A128="EHT Trace"),IF(AND($AA128&lt;&gt;"",$AB128&lt;&gt;""),"YES","NO"),"N/A")</f>
        <v>N/A</v>
      </c>
      <c r="N128" s="4" t="str">
        <f>IF(OR($A128="Power Cable"),IF(AND($AD128&lt;&gt;""),"YES","NO"),"N/A")</f>
        <v>YES</v>
      </c>
      <c r="O128" s="4" t="str">
        <f>IF(OR($A128="Power Cable",$A128="RTD Cable",$A128="Fieldbus Cable"),IF(AND($AE128&lt;&gt;""),"YES","NO"),"N/A")</f>
        <v>YES</v>
      </c>
      <c r="P128" s="4" t="str">
        <f>IF(OR($A128="RTD"),IF(AND($AH128&lt;&gt;""),"YES","NO"),"N/A")</f>
        <v>N/A</v>
      </c>
      <c r="Q128" s="4" t="str">
        <f>IF(OR($A128="RTD"),IF(AND($AI128&lt;&gt;""),"YES","NO"),"N/A")</f>
        <v>N/A</v>
      </c>
      <c r="R128" s="4" t="str">
        <f>IF(OR($AM128&lt;&gt;"",$Z128&lt;&gt;"",$AC128&lt;&gt;""),"YES","NO")</f>
        <v>YES</v>
      </c>
      <c r="S128" s="4" t="str">
        <f>IF(COUNTIF(I128:R128,"NO")=0,"YES","NO")</f>
        <v>YES</v>
      </c>
      <c r="T128" s="9" t="n">
        <v>9</v>
      </c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inlineStr">
        <is>
          <t>&gt;550 MΩ / &gt;550 MΩ / &gt;550 MΩ</t>
        </is>
      </c>
      <c r="AE128" s="9" t="inlineStr">
        <is>
          <t>0.4 Ω / OL / OL</t>
        </is>
      </c>
      <c r="AF128" s="9" t="inlineStr">
        <is>
          <t>Fluke 1587 FC 72300003</t>
        </is>
      </c>
      <c r="AG128" s="9" t="n"/>
      <c r="AH128" s="9" t="n"/>
      <c r="AI128" s="9" t="n"/>
      <c r="AJ128" s="9" t="inlineStr">
        <is>
          <t>TECK</t>
        </is>
      </c>
      <c r="AK128" s="9" t="inlineStr">
        <is>
          <t>10 AWG</t>
        </is>
      </c>
      <c r="AL128" s="9" t="inlineStr">
        <is>
          <t>Levy Ostrup</t>
        </is>
      </c>
      <c r="AM128" s="9" t="inlineStr">
        <is>
          <t>Sept 28</t>
        </is>
      </c>
      <c r="AN128" s="9" t="inlineStr">
        <is>
          <t>Missing cable tag; service loop on cold lead</t>
        </is>
      </c>
    </row>
    <row r="129">
      <c r="A129" s="9" t="inlineStr">
        <is>
          <t>Power Cable</t>
        </is>
      </c>
      <c r="B129" s="9" t="inlineStr">
        <is>
          <t>29103-ET-P1301-1-PWK-1</t>
        </is>
      </c>
      <c r="C129" s="9" t="inlineStr">
        <is>
          <t>29103-ET-P1301-1</t>
        </is>
      </c>
      <c r="D129" s="9" t="inlineStr">
        <is>
          <t>29103-HTP-002 HTC-38</t>
        </is>
      </c>
      <c r="E129" s="9" t="inlineStr">
        <is>
          <t>29103-HTP-002</t>
        </is>
      </c>
      <c r="F129" s="9" t="inlineStr"/>
      <c r="G129" s="9" t="inlineStr">
        <is>
          <t>113</t>
        </is>
      </c>
      <c r="H129" s="9" t="inlineStr">
        <is>
          <t>29103-ET-P1301-1-PWK-1.pdf</t>
        </is>
      </c>
      <c r="I129" s="4" t="str">
        <f>IF($H129&lt;&gt;"","YES","NO")</f>
        <v>YES</v>
      </c>
      <c r="J129" s="4" t="str">
        <f>IF(N($T129)&gt;0,"YES","NO")</f>
        <v>NO</v>
      </c>
      <c r="K129" s="4" t="str">
        <f>IF(OR($A129="EHT Trace"),IF(AND($U129&lt;&gt;"",$V129&lt;&gt;""),"YES","NO"),"N/A")</f>
        <v>N/A</v>
      </c>
      <c r="L129" s="4" t="str">
        <f>IF(OR($A129="EHT Trace"),IF(AND($X129&lt;&gt;"",$Y129&lt;&gt;""),"YES","NO"),"N/A")</f>
        <v>N/A</v>
      </c>
      <c r="M129" s="4" t="str">
        <f>IF(OR($A129="EHT Trace"),IF(AND($AA129&lt;&gt;"",$AB129&lt;&gt;""),"YES","NO"),"N/A")</f>
        <v>N/A</v>
      </c>
      <c r="N129" s="4" t="str">
        <f>IF(OR($A129="Power Cable"),IF(AND($AD129&lt;&gt;""),"YES","NO"),"N/A")</f>
        <v>NO</v>
      </c>
      <c r="O129" s="4" t="str">
        <f>IF(OR($A129="Power Cable",$A129="RTD Cable",$A129="Fieldbus Cable"),IF(AND($AE129&lt;&gt;""),"YES","NO"),"N/A")</f>
        <v>NO</v>
      </c>
      <c r="P129" s="4" t="str">
        <f>IF(OR($A129="RTD"),IF(AND($AH129&lt;&gt;""),"YES","NO"),"N/A")</f>
        <v>N/A</v>
      </c>
      <c r="Q129" s="4" t="str">
        <f>IF(OR($A129="RTD"),IF(AND($AI129&lt;&gt;""),"YES","NO"),"N/A")</f>
        <v>N/A</v>
      </c>
      <c r="R129" s="4" t="str">
        <f>IF(OR($AM129&lt;&gt;"",$Z129&lt;&gt;"",$AC129&lt;&gt;""),"YES","NO")</f>
        <v>NO</v>
      </c>
      <c r="S129" s="4" t="str">
        <f>IF(COUNTIF(I129:R129,"NO")=0,"YES","NO")</f>
        <v>NO</v>
      </c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inlineStr">
        <is>
          <t>Teck</t>
        </is>
      </c>
      <c r="AK129" s="9" t="inlineStr">
        <is>
          <t>10AWG</t>
        </is>
      </c>
      <c r="AL129" s="9" t="inlineStr">
        <is>
          <t>Levy Ostrup</t>
        </is>
      </c>
      <c r="AM129" s="9" t="n"/>
      <c r="AN129" s="9" t="n"/>
    </row>
    <row r="130">
      <c r="A130" s="9" t="inlineStr">
        <is>
          <t>Power Cable</t>
        </is>
      </c>
      <c r="B130" s="9" t="inlineStr">
        <is>
          <t>29103-ET-P1304-1-PWK-1</t>
        </is>
      </c>
      <c r="C130" s="9" t="inlineStr">
        <is>
          <t>29103-ET-P1304-1</t>
        </is>
      </c>
      <c r="D130" s="9" t="inlineStr">
        <is>
          <t>29103-HTP-002 HTC-09</t>
        </is>
      </c>
      <c r="E130" s="9" t="inlineStr">
        <is>
          <t>29103-HTP-002</t>
        </is>
      </c>
      <c r="F130" s="9" t="inlineStr"/>
      <c r="G130" s="9" t="inlineStr">
        <is>
          <t>113</t>
        </is>
      </c>
      <c r="H130" s="9" t="inlineStr">
        <is>
          <t>29103-ET-P1304-1-PWK-1.pdf</t>
        </is>
      </c>
      <c r="I130" s="4" t="str">
        <f>IF($H130&lt;&gt;"","YES","NO")</f>
        <v>YES</v>
      </c>
      <c r="J130" s="4" t="str">
        <f>IF(N($T130)&gt;0,"YES","NO")</f>
        <v>NO</v>
      </c>
      <c r="K130" s="4" t="str">
        <f>IF(OR($A130="EHT Trace"),IF(AND($U130&lt;&gt;"",$V130&lt;&gt;""),"YES","NO"),"N/A")</f>
        <v>N/A</v>
      </c>
      <c r="L130" s="4" t="str">
        <f>IF(OR($A130="EHT Trace"),IF(AND($X130&lt;&gt;"",$Y130&lt;&gt;""),"YES","NO"),"N/A")</f>
        <v>N/A</v>
      </c>
      <c r="M130" s="4" t="str">
        <f>IF(OR($A130="EHT Trace"),IF(AND($AA130&lt;&gt;"",$AB130&lt;&gt;""),"YES","NO"),"N/A")</f>
        <v>N/A</v>
      </c>
      <c r="N130" s="4" t="str">
        <f>IF(OR($A130="Power Cable"),IF(AND($AD130&lt;&gt;""),"YES","NO"),"N/A")</f>
        <v>NO</v>
      </c>
      <c r="O130" s="4" t="str">
        <f>IF(OR($A130="Power Cable",$A130="RTD Cable",$A130="Fieldbus Cable"),IF(AND($AE130&lt;&gt;""),"YES","NO"),"N/A")</f>
        <v>NO</v>
      </c>
      <c r="P130" s="4" t="str">
        <f>IF(OR($A130="RTD"),IF(AND($AH130&lt;&gt;""),"YES","NO"),"N/A")</f>
        <v>N/A</v>
      </c>
      <c r="Q130" s="4" t="str">
        <f>IF(OR($A130="RTD"),IF(AND($AI130&lt;&gt;""),"YES","NO"),"N/A")</f>
        <v>N/A</v>
      </c>
      <c r="R130" s="4" t="str">
        <f>IF(OR($AM130&lt;&gt;"",$Z130&lt;&gt;"",$AC130&lt;&gt;""),"YES","NO")</f>
        <v>NO</v>
      </c>
      <c r="S130" s="4" t="str">
        <f>IF(COUNTIF(I130:R130,"NO")=0,"YES","NO")</f>
        <v>NO</v>
      </c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inlineStr">
        <is>
          <t>Teck</t>
        </is>
      </c>
      <c r="AK130" s="9" t="inlineStr">
        <is>
          <t>10AWG</t>
        </is>
      </c>
      <c r="AL130" s="9" t="inlineStr">
        <is>
          <t>Levy Ostrup</t>
        </is>
      </c>
      <c r="AM130" s="9" t="n"/>
      <c r="AN130" s="9" t="n"/>
    </row>
    <row r="131">
      <c r="A131" s="9" t="inlineStr">
        <is>
          <t>Power Cable</t>
        </is>
      </c>
      <c r="B131" s="9" t="inlineStr">
        <is>
          <t>29103-ET-P1304-2-PWK-1</t>
        </is>
      </c>
      <c r="C131" s="9" t="inlineStr">
        <is>
          <t>29103-ET-P1304-2</t>
        </is>
      </c>
      <c r="D131" s="9" t="inlineStr">
        <is>
          <t>29103-HTP-002 HTC-19</t>
        </is>
      </c>
      <c r="E131" s="9" t="inlineStr">
        <is>
          <t>29103-HTP-002</t>
        </is>
      </c>
      <c r="F131" s="9" t="inlineStr"/>
      <c r="G131" s="9" t="inlineStr">
        <is>
          <t>113</t>
        </is>
      </c>
      <c r="H131" s="9" t="inlineStr">
        <is>
          <t>29103-ET-P1304-2-PWK-1.pdf</t>
        </is>
      </c>
      <c r="I131" s="4" t="str">
        <f>IF($H131&lt;&gt;"","YES","NO")</f>
        <v>YES</v>
      </c>
      <c r="J131" s="4" t="str">
        <f>IF(N($T131)&gt;0,"YES","NO")</f>
        <v>NO</v>
      </c>
      <c r="K131" s="4" t="str">
        <f>IF(OR($A131="EHT Trace"),IF(AND($U131&lt;&gt;"",$V131&lt;&gt;""),"YES","NO"),"N/A")</f>
        <v>N/A</v>
      </c>
      <c r="L131" s="4" t="str">
        <f>IF(OR($A131="EHT Trace"),IF(AND($X131&lt;&gt;"",$Y131&lt;&gt;""),"YES","NO"),"N/A")</f>
        <v>N/A</v>
      </c>
      <c r="M131" s="4" t="str">
        <f>IF(OR($A131="EHT Trace"),IF(AND($AA131&lt;&gt;"",$AB131&lt;&gt;""),"YES","NO"),"N/A")</f>
        <v>N/A</v>
      </c>
      <c r="N131" s="4" t="str">
        <f>IF(OR($A131="Power Cable"),IF(AND($AD131&lt;&gt;""),"YES","NO"),"N/A")</f>
        <v>NO</v>
      </c>
      <c r="O131" s="4" t="str">
        <f>IF(OR($A131="Power Cable",$A131="RTD Cable",$A131="Fieldbus Cable"),IF(AND($AE131&lt;&gt;""),"YES","NO"),"N/A")</f>
        <v>NO</v>
      </c>
      <c r="P131" s="4" t="str">
        <f>IF(OR($A131="RTD"),IF(AND($AH131&lt;&gt;""),"YES","NO"),"N/A")</f>
        <v>N/A</v>
      </c>
      <c r="Q131" s="4" t="str">
        <f>IF(OR($A131="RTD"),IF(AND($AI131&lt;&gt;""),"YES","NO"),"N/A")</f>
        <v>N/A</v>
      </c>
      <c r="R131" s="4" t="str">
        <f>IF(OR($AM131&lt;&gt;"",$Z131&lt;&gt;"",$AC131&lt;&gt;""),"YES","NO")</f>
        <v>NO</v>
      </c>
      <c r="S131" s="4" t="str">
        <f>IF(COUNTIF(I131:R131,"NO")=0,"YES","NO")</f>
        <v>NO</v>
      </c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inlineStr">
        <is>
          <t>Teck</t>
        </is>
      </c>
      <c r="AK131" s="9" t="inlineStr">
        <is>
          <t>10AWG</t>
        </is>
      </c>
      <c r="AL131" s="9" t="inlineStr">
        <is>
          <t>Levy Ostrup</t>
        </is>
      </c>
      <c r="AM131" s="9" t="n"/>
      <c r="AN131" s="9" t="n"/>
    </row>
    <row r="132">
      <c r="A132" s="9" t="inlineStr">
        <is>
          <t>Power Cable</t>
        </is>
      </c>
      <c r="B132" s="9" t="inlineStr">
        <is>
          <t>29103-ET-P1401-1-PWK-1</t>
        </is>
      </c>
      <c r="C132" s="9" t="inlineStr">
        <is>
          <t>29103-ET-P1401-1</t>
        </is>
      </c>
      <c r="D132" s="9" t="inlineStr">
        <is>
          <t>29103-HTP-002 HTC-05</t>
        </is>
      </c>
      <c r="E132" s="9" t="inlineStr">
        <is>
          <t>29103-HTP-002</t>
        </is>
      </c>
      <c r="F132" s="9" t="inlineStr"/>
      <c r="G132" s="9" t="inlineStr">
        <is>
          <t>113</t>
        </is>
      </c>
      <c r="H132" s="9" t="inlineStr">
        <is>
          <t>29103-ET-P1401-1-PWK-1.pdf</t>
        </is>
      </c>
      <c r="I132" s="4" t="str">
        <f>IF($H132&lt;&gt;"","YES","NO")</f>
        <v>YES</v>
      </c>
      <c r="J132" s="4" t="str">
        <f>IF(N($T132)&gt;0,"YES","NO")</f>
        <v>NO</v>
      </c>
      <c r="K132" s="4" t="str">
        <f>IF(OR($A132="EHT Trace"),IF(AND($U132&lt;&gt;"",$V132&lt;&gt;""),"YES","NO"),"N/A")</f>
        <v>N/A</v>
      </c>
      <c r="L132" s="4" t="str">
        <f>IF(OR($A132="EHT Trace"),IF(AND($X132&lt;&gt;"",$Y132&lt;&gt;""),"YES","NO"),"N/A")</f>
        <v>N/A</v>
      </c>
      <c r="M132" s="4" t="str">
        <f>IF(OR($A132="EHT Trace"),IF(AND($AA132&lt;&gt;"",$AB132&lt;&gt;""),"YES","NO"),"N/A")</f>
        <v>N/A</v>
      </c>
      <c r="N132" s="4" t="str">
        <f>IF(OR($A132="Power Cable"),IF(AND($AD132&lt;&gt;""),"YES","NO"),"N/A")</f>
        <v>NO</v>
      </c>
      <c r="O132" s="4" t="str">
        <f>IF(OR($A132="Power Cable",$A132="RTD Cable",$A132="Fieldbus Cable"),IF(AND($AE132&lt;&gt;""),"YES","NO"),"N/A")</f>
        <v>NO</v>
      </c>
      <c r="P132" s="4" t="str">
        <f>IF(OR($A132="RTD"),IF(AND($AH132&lt;&gt;""),"YES","NO"),"N/A")</f>
        <v>N/A</v>
      </c>
      <c r="Q132" s="4" t="str">
        <f>IF(OR($A132="RTD"),IF(AND($AI132&lt;&gt;""),"YES","NO"),"N/A")</f>
        <v>N/A</v>
      </c>
      <c r="R132" s="4" t="str">
        <f>IF(OR($AM132&lt;&gt;"",$Z132&lt;&gt;"",$AC132&lt;&gt;""),"YES","NO")</f>
        <v>NO</v>
      </c>
      <c r="S132" s="4" t="str">
        <f>IF(COUNTIF(I132:R132,"NO")=0,"YES","NO")</f>
        <v>NO</v>
      </c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inlineStr">
        <is>
          <t>Teck</t>
        </is>
      </c>
      <c r="AK132" s="9" t="inlineStr">
        <is>
          <t>10AWG</t>
        </is>
      </c>
      <c r="AL132" s="9" t="inlineStr">
        <is>
          <t>Levy Ostrup</t>
        </is>
      </c>
      <c r="AM132" s="9" t="n"/>
      <c r="AN132" s="9" t="n"/>
    </row>
    <row r="133">
      <c r="A133" s="9" t="inlineStr">
        <is>
          <t>Power Cable</t>
        </is>
      </c>
      <c r="B133" s="9" t="inlineStr">
        <is>
          <t>29103-ET-P1800-1-PWK-1</t>
        </is>
      </c>
      <c r="C133" s="9" t="inlineStr">
        <is>
          <t>29103-ET-P1800-1</t>
        </is>
      </c>
      <c r="D133" s="9" t="inlineStr">
        <is>
          <t>29103-HTP-002 HTC-26</t>
        </is>
      </c>
      <c r="E133" s="9" t="inlineStr">
        <is>
          <t>29103-HTP-002</t>
        </is>
      </c>
      <c r="F133" s="9" t="inlineStr"/>
      <c r="G133" s="9" t="inlineStr">
        <is>
          <t>113</t>
        </is>
      </c>
      <c r="H133" s="9" t="inlineStr">
        <is>
          <t>29103-ET-P1800-1-PWK-1.pdf</t>
        </is>
      </c>
      <c r="I133" s="4" t="str">
        <f>IF($H133&lt;&gt;"","YES","NO")</f>
        <v>YES</v>
      </c>
      <c r="J133" s="4" t="str">
        <f>IF(N($T133)&gt;0,"YES","NO")</f>
        <v>NO</v>
      </c>
      <c r="K133" s="4" t="str">
        <f>IF(OR($A133="EHT Trace"),IF(AND($U133&lt;&gt;"",$V133&lt;&gt;""),"YES","NO"),"N/A")</f>
        <v>N/A</v>
      </c>
      <c r="L133" s="4" t="str">
        <f>IF(OR($A133="EHT Trace"),IF(AND($X133&lt;&gt;"",$Y133&lt;&gt;""),"YES","NO"),"N/A")</f>
        <v>N/A</v>
      </c>
      <c r="M133" s="4" t="str">
        <f>IF(OR($A133="EHT Trace"),IF(AND($AA133&lt;&gt;"",$AB133&lt;&gt;""),"YES","NO"),"N/A")</f>
        <v>N/A</v>
      </c>
      <c r="N133" s="4" t="str">
        <f>IF(OR($A133="Power Cable"),IF(AND($AD133&lt;&gt;""),"YES","NO"),"N/A")</f>
        <v>NO</v>
      </c>
      <c r="O133" s="4" t="str">
        <f>IF(OR($A133="Power Cable",$A133="RTD Cable",$A133="Fieldbus Cable"),IF(AND($AE133&lt;&gt;""),"YES","NO"),"N/A")</f>
        <v>NO</v>
      </c>
      <c r="P133" s="4" t="str">
        <f>IF(OR($A133="RTD"),IF(AND($AH133&lt;&gt;""),"YES","NO"),"N/A")</f>
        <v>N/A</v>
      </c>
      <c r="Q133" s="4" t="str">
        <f>IF(OR($A133="RTD"),IF(AND($AI133&lt;&gt;""),"YES","NO"),"N/A")</f>
        <v>N/A</v>
      </c>
      <c r="R133" s="4" t="str">
        <f>IF(OR($AM133&lt;&gt;"",$Z133&lt;&gt;"",$AC133&lt;&gt;""),"YES","NO")</f>
        <v>NO</v>
      </c>
      <c r="S133" s="4" t="str">
        <f>IF(COUNTIF(I133:R133,"NO")=0,"YES","NO")</f>
        <v>NO</v>
      </c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inlineStr">
        <is>
          <t>Teck</t>
        </is>
      </c>
      <c r="AK133" s="9" t="inlineStr">
        <is>
          <t>10AWG</t>
        </is>
      </c>
      <c r="AL133" s="9" t="inlineStr">
        <is>
          <t>Levy Ostrup</t>
        </is>
      </c>
      <c r="AM133" s="9" t="n"/>
      <c r="AN133" s="9" t="n"/>
    </row>
    <row r="134">
      <c r="A134" s="9" t="inlineStr">
        <is>
          <t>Power Cable</t>
        </is>
      </c>
      <c r="B134" s="9" t="inlineStr">
        <is>
          <t>29103-ET-P1800-2-PWK-1</t>
        </is>
      </c>
      <c r="C134" s="9" t="inlineStr">
        <is>
          <t>29103-ET-P1800-2</t>
        </is>
      </c>
      <c r="D134" s="9" t="inlineStr">
        <is>
          <t>29103-HTP-002 HTC-16</t>
        </is>
      </c>
      <c r="E134" s="9" t="inlineStr">
        <is>
          <t>29103-HTP-002</t>
        </is>
      </c>
      <c r="F134" s="9" t="inlineStr"/>
      <c r="G134" s="9" t="inlineStr">
        <is>
          <t>113</t>
        </is>
      </c>
      <c r="H134" s="9" t="inlineStr">
        <is>
          <t>29103-ET-P1800-2-PWK-1.pdf</t>
        </is>
      </c>
      <c r="I134" s="4" t="str">
        <f>IF($H134&lt;&gt;"","YES","NO")</f>
        <v>YES</v>
      </c>
      <c r="J134" s="4" t="str">
        <f>IF(N($T134)&gt;0,"YES","NO")</f>
        <v>NO</v>
      </c>
      <c r="K134" s="4" t="str">
        <f>IF(OR($A134="EHT Trace"),IF(AND($U134&lt;&gt;"",$V134&lt;&gt;""),"YES","NO"),"N/A")</f>
        <v>N/A</v>
      </c>
      <c r="L134" s="4" t="str">
        <f>IF(OR($A134="EHT Trace"),IF(AND($X134&lt;&gt;"",$Y134&lt;&gt;""),"YES","NO"),"N/A")</f>
        <v>N/A</v>
      </c>
      <c r="M134" s="4" t="str">
        <f>IF(OR($A134="EHT Trace"),IF(AND($AA134&lt;&gt;"",$AB134&lt;&gt;""),"YES","NO"),"N/A")</f>
        <v>N/A</v>
      </c>
      <c r="N134" s="4" t="str">
        <f>IF(OR($A134="Power Cable"),IF(AND($AD134&lt;&gt;""),"YES","NO"),"N/A")</f>
        <v>NO</v>
      </c>
      <c r="O134" s="4" t="str">
        <f>IF(OR($A134="Power Cable",$A134="RTD Cable",$A134="Fieldbus Cable"),IF(AND($AE134&lt;&gt;""),"YES","NO"),"N/A")</f>
        <v>NO</v>
      </c>
      <c r="P134" s="4" t="str">
        <f>IF(OR($A134="RTD"),IF(AND($AH134&lt;&gt;""),"YES","NO"),"N/A")</f>
        <v>N/A</v>
      </c>
      <c r="Q134" s="4" t="str">
        <f>IF(OR($A134="RTD"),IF(AND($AI134&lt;&gt;""),"YES","NO"),"N/A")</f>
        <v>N/A</v>
      </c>
      <c r="R134" s="4" t="str">
        <f>IF(OR($AM134&lt;&gt;"",$Z134&lt;&gt;"",$AC134&lt;&gt;""),"YES","NO")</f>
        <v>NO</v>
      </c>
      <c r="S134" s="4" t="str">
        <f>IF(COUNTIF(I134:R134,"NO")=0,"YES","NO")</f>
        <v>NO</v>
      </c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inlineStr">
        <is>
          <t>Teck</t>
        </is>
      </c>
      <c r="AK134" s="9" t="inlineStr">
        <is>
          <t>10AWG</t>
        </is>
      </c>
      <c r="AL134" s="9" t="inlineStr">
        <is>
          <t>Levy Ostrup</t>
        </is>
      </c>
      <c r="AM134" s="9" t="n"/>
      <c r="AN134" s="9" t="n"/>
    </row>
    <row r="135">
      <c r="A135" s="9" t="inlineStr">
        <is>
          <t>Power Cable</t>
        </is>
      </c>
      <c r="B135" s="9" t="inlineStr">
        <is>
          <t>29103-ET-PE1101-1-PWK-1</t>
        </is>
      </c>
      <c r="C135" s="9" t="inlineStr">
        <is>
          <t>29103-ET-PE1101-1</t>
        </is>
      </c>
      <c r="D135" s="9" t="inlineStr">
        <is>
          <t>29103-HTP-002 HTC-25</t>
        </is>
      </c>
      <c r="E135" s="9" t="inlineStr">
        <is>
          <t>29103-HTP-002</t>
        </is>
      </c>
      <c r="F135" s="9" t="inlineStr"/>
      <c r="G135" s="9" t="inlineStr">
        <is>
          <t>113</t>
        </is>
      </c>
      <c r="H135" s="9" t="inlineStr">
        <is>
          <t>29103-ET-PE1101-1-PWK-1.pdf</t>
        </is>
      </c>
      <c r="I135" s="4" t="str">
        <f>IF($H135&lt;&gt;"","YES","NO")</f>
        <v>YES</v>
      </c>
      <c r="J135" s="4" t="str">
        <f>IF(N($T135)&gt;0,"YES","NO")</f>
        <v>YES</v>
      </c>
      <c r="K135" s="4" t="str">
        <f>IF(OR($A135="EHT Trace"),IF(AND($U135&lt;&gt;"",$V135&lt;&gt;""),"YES","NO"),"N/A")</f>
        <v>N/A</v>
      </c>
      <c r="L135" s="4" t="str">
        <f>IF(OR($A135="EHT Trace"),IF(AND($X135&lt;&gt;"",$Y135&lt;&gt;""),"YES","NO"),"N/A")</f>
        <v>N/A</v>
      </c>
      <c r="M135" s="4" t="str">
        <f>IF(OR($A135="EHT Trace"),IF(AND($AA135&lt;&gt;"",$AB135&lt;&gt;""),"YES","NO"),"N/A")</f>
        <v>N/A</v>
      </c>
      <c r="N135" s="4" t="str">
        <f>IF(OR($A135="Power Cable"),IF(AND($AD135&lt;&gt;""),"YES","NO"),"N/A")</f>
        <v>YES</v>
      </c>
      <c r="O135" s="4" t="str">
        <f>IF(OR($A135="Power Cable",$A135="RTD Cable",$A135="Fieldbus Cable"),IF(AND($AE135&lt;&gt;""),"YES","NO"),"N/A")</f>
        <v>YES</v>
      </c>
      <c r="P135" s="4" t="str">
        <f>IF(OR($A135="RTD"),IF(AND($AH135&lt;&gt;""),"YES","NO"),"N/A")</f>
        <v>N/A</v>
      </c>
      <c r="Q135" s="4" t="str">
        <f>IF(OR($A135="RTD"),IF(AND($AI135&lt;&gt;""),"YES","NO"),"N/A")</f>
        <v>N/A</v>
      </c>
      <c r="R135" s="4" t="str">
        <f>IF(OR($AM135&lt;&gt;"",$Z135&lt;&gt;"",$AC135&lt;&gt;""),"YES","NO")</f>
        <v>YES</v>
      </c>
      <c r="S135" s="4" t="str">
        <f>IF(COUNTIF(I135:R135,"NO")=0,"YES","NO")</f>
        <v>YES</v>
      </c>
      <c r="T135" s="9" t="n">
        <v>11</v>
      </c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inlineStr">
        <is>
          <t>&gt;550 MΩ / &gt;550 MΩ / &gt;550 MΩ</t>
        </is>
      </c>
      <c r="AE135" s="9" t="inlineStr">
        <is>
          <t>0.4 Ω / OL / OL</t>
        </is>
      </c>
      <c r="AF135" s="9" t="inlineStr">
        <is>
          <t>Fluke 1587 FC 72300003</t>
        </is>
      </c>
      <c r="AG135" s="9" t="n"/>
      <c r="AH135" s="9" t="n"/>
      <c r="AI135" s="9" t="n"/>
      <c r="AJ135" s="9" t="inlineStr">
        <is>
          <t>TECK</t>
        </is>
      </c>
      <c r="AK135" s="9" t="inlineStr">
        <is>
          <t>10 AWG</t>
        </is>
      </c>
      <c r="AL135" s="9" t="inlineStr">
        <is>
          <t>Levy Ostrup</t>
        </is>
      </c>
      <c r="AM135" s="9" t="inlineStr">
        <is>
          <t>Sept 28</t>
        </is>
      </c>
      <c r="AN135" s="9" t="n"/>
    </row>
    <row r="136">
      <c r="A136" s="9" t="inlineStr">
        <is>
          <t>Power Cable</t>
        </is>
      </c>
      <c r="B136" s="9" t="inlineStr">
        <is>
          <t>29103-ET-PE1101-2-PWK-1</t>
        </is>
      </c>
      <c r="C136" s="9" t="inlineStr">
        <is>
          <t>29103-ET-PE1101-2</t>
        </is>
      </c>
      <c r="D136" s="9" t="inlineStr">
        <is>
          <t>29103-HTP-002 HTC-24</t>
        </is>
      </c>
      <c r="E136" s="9" t="inlineStr">
        <is>
          <t>29103-HTP-002</t>
        </is>
      </c>
      <c r="F136" s="9" t="inlineStr"/>
      <c r="G136" s="9" t="inlineStr">
        <is>
          <t>113</t>
        </is>
      </c>
      <c r="H136" s="9" t="inlineStr">
        <is>
          <t>29103-ET-PE1101-2-PWK-1.pdf</t>
        </is>
      </c>
      <c r="I136" s="4" t="str">
        <f>IF($H136&lt;&gt;"","YES","NO")</f>
        <v>YES</v>
      </c>
      <c r="J136" s="4" t="str">
        <f>IF(N($T136)&gt;0,"YES","NO")</f>
        <v>NO</v>
      </c>
      <c r="K136" s="4" t="str">
        <f>IF(OR($A136="EHT Trace"),IF(AND($U136&lt;&gt;"",$V136&lt;&gt;""),"YES","NO"),"N/A")</f>
        <v>N/A</v>
      </c>
      <c r="L136" s="4" t="str">
        <f>IF(OR($A136="EHT Trace"),IF(AND($X136&lt;&gt;"",$Y136&lt;&gt;""),"YES","NO"),"N/A")</f>
        <v>N/A</v>
      </c>
      <c r="M136" s="4" t="str">
        <f>IF(OR($A136="EHT Trace"),IF(AND($AA136&lt;&gt;"",$AB136&lt;&gt;""),"YES","NO"),"N/A")</f>
        <v>N/A</v>
      </c>
      <c r="N136" s="4" t="str">
        <f>IF(OR($A136="Power Cable"),IF(AND($AD136&lt;&gt;""),"YES","NO"),"N/A")</f>
        <v>NO</v>
      </c>
      <c r="O136" s="4" t="str">
        <f>IF(OR($A136="Power Cable",$A136="RTD Cable",$A136="Fieldbus Cable"),IF(AND($AE136&lt;&gt;""),"YES","NO"),"N/A")</f>
        <v>NO</v>
      </c>
      <c r="P136" s="4" t="str">
        <f>IF(OR($A136="RTD"),IF(AND($AH136&lt;&gt;""),"YES","NO"),"N/A")</f>
        <v>N/A</v>
      </c>
      <c r="Q136" s="4" t="str">
        <f>IF(OR($A136="RTD"),IF(AND($AI136&lt;&gt;""),"YES","NO"),"N/A")</f>
        <v>N/A</v>
      </c>
      <c r="R136" s="4" t="str">
        <f>IF(OR($AM136&lt;&gt;"",$Z136&lt;&gt;"",$AC136&lt;&gt;""),"YES","NO")</f>
        <v>NO</v>
      </c>
      <c r="S136" s="4" t="str">
        <f>IF(COUNTIF(I136:R136,"NO")=0,"YES","NO")</f>
        <v>NO</v>
      </c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inlineStr">
        <is>
          <t>Teck</t>
        </is>
      </c>
      <c r="AK136" s="9" t="inlineStr">
        <is>
          <t>10AWG</t>
        </is>
      </c>
      <c r="AL136" s="9" t="inlineStr">
        <is>
          <t>Levy Ostrup</t>
        </is>
      </c>
      <c r="AM136" s="9" t="n"/>
      <c r="AN136" s="9" t="n"/>
    </row>
    <row r="137">
      <c r="A137" s="9" t="inlineStr">
        <is>
          <t>Power Cable</t>
        </is>
      </c>
      <c r="B137" s="9" t="inlineStr">
        <is>
          <t>29103-ET-PE1102-1-PWK-1</t>
        </is>
      </c>
      <c r="C137" s="9" t="inlineStr">
        <is>
          <t>29103-ET-PE1102-1</t>
        </is>
      </c>
      <c r="D137" s="9" t="inlineStr">
        <is>
          <t>29103-HTP-002 HTC-23</t>
        </is>
      </c>
      <c r="E137" s="9" t="inlineStr">
        <is>
          <t>29103-HTP-002</t>
        </is>
      </c>
      <c r="F137" s="9" t="inlineStr"/>
      <c r="G137" s="9" t="inlineStr">
        <is>
          <t>113</t>
        </is>
      </c>
      <c r="H137" s="9" t="inlineStr">
        <is>
          <t>29103-ET-PE1102-1-PWK-1.pdf</t>
        </is>
      </c>
      <c r="I137" s="4" t="str">
        <f>IF($H137&lt;&gt;"","YES","NO")</f>
        <v>YES</v>
      </c>
      <c r="J137" s="4" t="str">
        <f>IF(N($T137)&gt;0,"YES","NO")</f>
        <v>YES</v>
      </c>
      <c r="K137" s="4" t="str">
        <f>IF(OR($A137="EHT Trace"),IF(AND($U137&lt;&gt;"",$V137&lt;&gt;""),"YES","NO"),"N/A")</f>
        <v>N/A</v>
      </c>
      <c r="L137" s="4" t="str">
        <f>IF(OR($A137="EHT Trace"),IF(AND($X137&lt;&gt;"",$Y137&lt;&gt;""),"YES","NO"),"N/A")</f>
        <v>N/A</v>
      </c>
      <c r="M137" s="4" t="str">
        <f>IF(OR($A137="EHT Trace"),IF(AND($AA137&lt;&gt;"",$AB137&lt;&gt;""),"YES","NO"),"N/A")</f>
        <v>N/A</v>
      </c>
      <c r="N137" s="4" t="str">
        <f>IF(OR($A137="Power Cable"),IF(AND($AD137&lt;&gt;""),"YES","NO"),"N/A")</f>
        <v>YES</v>
      </c>
      <c r="O137" s="4" t="str">
        <f>IF(OR($A137="Power Cable",$A137="RTD Cable",$A137="Fieldbus Cable"),IF(AND($AE137&lt;&gt;""),"YES","NO"),"N/A")</f>
        <v>YES</v>
      </c>
      <c r="P137" s="4" t="str">
        <f>IF(OR($A137="RTD"),IF(AND($AH137&lt;&gt;""),"YES","NO"),"N/A")</f>
        <v>N/A</v>
      </c>
      <c r="Q137" s="4" t="str">
        <f>IF(OR($A137="RTD"),IF(AND($AI137&lt;&gt;""),"YES","NO"),"N/A")</f>
        <v>N/A</v>
      </c>
      <c r="R137" s="4" t="str">
        <f>IF(OR($AM137&lt;&gt;"",$Z137&lt;&gt;"",$AC137&lt;&gt;""),"YES","NO")</f>
        <v>YES</v>
      </c>
      <c r="S137" s="4" t="str">
        <f>IF(COUNTIF(I137:R137,"NO")=0,"YES","NO")</f>
        <v>YES</v>
      </c>
      <c r="T137" s="9" t="n">
        <v>4</v>
      </c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inlineStr">
        <is>
          <t>550 MΩ / 550 MΩ / 550 MΩ</t>
        </is>
      </c>
      <c r="AE137" s="9" t="inlineStr">
        <is>
          <t>0.4 Ω / OL / OL</t>
        </is>
      </c>
      <c r="AF137" s="9" t="inlineStr">
        <is>
          <t>Fluke 1587 FC 72300003</t>
        </is>
      </c>
      <c r="AG137" s="9" t="n"/>
      <c r="AH137" s="9" t="n"/>
      <c r="AI137" s="9" t="n"/>
      <c r="AJ137" s="9" t="inlineStr">
        <is>
          <t>TECK</t>
        </is>
      </c>
      <c r="AK137" s="9" t="inlineStr">
        <is>
          <t>10 AWG</t>
        </is>
      </c>
      <c r="AL137" s="9" t="inlineStr">
        <is>
          <t>Levy Ostrup</t>
        </is>
      </c>
      <c r="AM137" s="9" t="inlineStr">
        <is>
          <t>Sept 28/26</t>
        </is>
      </c>
      <c r="AN137" s="9" t="inlineStr">
        <is>
          <t>No core markers / cable tags | Not terminated | No GRL on HT connector</t>
        </is>
      </c>
    </row>
    <row r="138">
      <c r="A138" s="9" t="inlineStr">
        <is>
          <t>Power Cable</t>
        </is>
      </c>
      <c r="B138" s="9" t="inlineStr">
        <is>
          <t>29103-ET-PE1201-1-PWK-1</t>
        </is>
      </c>
      <c r="C138" s="9" t="inlineStr">
        <is>
          <t>29103-ET-PE1201-1</t>
        </is>
      </c>
      <c r="D138" s="9" t="inlineStr">
        <is>
          <t>29103-HTP-002 HTC-22</t>
        </is>
      </c>
      <c r="E138" s="9" t="inlineStr">
        <is>
          <t>29103-HTP-002</t>
        </is>
      </c>
      <c r="F138" s="9" t="inlineStr"/>
      <c r="G138" s="9" t="inlineStr">
        <is>
          <t>113</t>
        </is>
      </c>
      <c r="H138" s="9" t="inlineStr">
        <is>
          <t>29103-ET-PE1201-1-PWK-1.pdf</t>
        </is>
      </c>
      <c r="I138" s="4" t="str">
        <f>IF($H138&lt;&gt;"","YES","NO")</f>
        <v>YES</v>
      </c>
      <c r="J138" s="4" t="str">
        <f>IF(N($T138)&gt;0,"YES","NO")</f>
        <v>YES</v>
      </c>
      <c r="K138" s="4" t="str">
        <f>IF(OR($A138="EHT Trace"),IF(AND($U138&lt;&gt;"",$V138&lt;&gt;""),"YES","NO"),"N/A")</f>
        <v>N/A</v>
      </c>
      <c r="L138" s="4" t="str">
        <f>IF(OR($A138="EHT Trace"),IF(AND($X138&lt;&gt;"",$Y138&lt;&gt;""),"YES","NO"),"N/A")</f>
        <v>N/A</v>
      </c>
      <c r="M138" s="4" t="str">
        <f>IF(OR($A138="EHT Trace"),IF(AND($AA138&lt;&gt;"",$AB138&lt;&gt;""),"YES","NO"),"N/A")</f>
        <v>N/A</v>
      </c>
      <c r="N138" s="4" t="str">
        <f>IF(OR($A138="Power Cable"),IF(AND($AD138&lt;&gt;""),"YES","NO"),"N/A")</f>
        <v>YES</v>
      </c>
      <c r="O138" s="4" t="str">
        <f>IF(OR($A138="Power Cable",$A138="RTD Cable",$A138="Fieldbus Cable"),IF(AND($AE138&lt;&gt;""),"YES","NO"),"N/A")</f>
        <v>YES</v>
      </c>
      <c r="P138" s="4" t="str">
        <f>IF(OR($A138="RTD"),IF(AND($AH138&lt;&gt;""),"YES","NO"),"N/A")</f>
        <v>N/A</v>
      </c>
      <c r="Q138" s="4" t="str">
        <f>IF(OR($A138="RTD"),IF(AND($AI138&lt;&gt;""),"YES","NO"),"N/A")</f>
        <v>N/A</v>
      </c>
      <c r="R138" s="4" t="str">
        <f>IF(OR($AM138&lt;&gt;"",$Z138&lt;&gt;"",$AC138&lt;&gt;""),"YES","NO")</f>
        <v>YES</v>
      </c>
      <c r="S138" s="4" t="str">
        <f>IF(COUNTIF(I138:R138,"NO")=0,"YES","NO")</f>
        <v>YES</v>
      </c>
      <c r="T138" s="9" t="n">
        <v>9</v>
      </c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inlineStr">
        <is>
          <t>&gt;550 MΩ / &gt;550 MΩ / &gt;550 MΩ</t>
        </is>
      </c>
      <c r="AE138" s="9" t="inlineStr">
        <is>
          <t>0.4 Ω / OL / OL</t>
        </is>
      </c>
      <c r="AF138" s="9" t="inlineStr">
        <is>
          <t>Fluke 1587 FC 72300003</t>
        </is>
      </c>
      <c r="AG138" s="9" t="n"/>
      <c r="AH138" s="9" t="n"/>
      <c r="AI138" s="9" t="n"/>
      <c r="AJ138" s="9" t="inlineStr">
        <is>
          <t>TECK</t>
        </is>
      </c>
      <c r="AK138" s="9" t="inlineStr">
        <is>
          <t>10 AWG</t>
        </is>
      </c>
      <c r="AL138" s="9" t="inlineStr">
        <is>
          <t>Levy Ostrup</t>
        </is>
      </c>
      <c r="AM138" s="9" t="inlineStr">
        <is>
          <t>Sept 28</t>
        </is>
      </c>
      <c r="AN138" s="9" t="inlineStr">
        <is>
          <t>Cable tag upside down</t>
        </is>
      </c>
    </row>
    <row r="139">
      <c r="A139" s="9" t="inlineStr">
        <is>
          <t>Power Cable</t>
        </is>
      </c>
      <c r="B139" s="9" t="inlineStr">
        <is>
          <t>29103-ET-PE1201-2-PWK-1</t>
        </is>
      </c>
      <c r="C139" s="9" t="inlineStr">
        <is>
          <t>29103-ET-PE1201-2</t>
        </is>
      </c>
      <c r="D139" s="9" t="inlineStr">
        <is>
          <t>29103-HTP-002 HTC-20</t>
        </is>
      </c>
      <c r="E139" s="9" t="inlineStr">
        <is>
          <t>29103-HTP-002</t>
        </is>
      </c>
      <c r="F139" s="9" t="inlineStr"/>
      <c r="G139" s="9" t="inlineStr">
        <is>
          <t>113</t>
        </is>
      </c>
      <c r="H139" s="9" t="inlineStr">
        <is>
          <t>29103-ET-PE1201-2-PWK-1.pdf</t>
        </is>
      </c>
      <c r="I139" s="4" t="str">
        <f>IF($H139&lt;&gt;"","YES","NO")</f>
        <v>YES</v>
      </c>
      <c r="J139" s="4" t="str">
        <f>IF(N($T139)&gt;0,"YES","NO")</f>
        <v>NO</v>
      </c>
      <c r="K139" s="4" t="str">
        <f>IF(OR($A139="EHT Trace"),IF(AND($U139&lt;&gt;"",$V139&lt;&gt;""),"YES","NO"),"N/A")</f>
        <v>N/A</v>
      </c>
      <c r="L139" s="4" t="str">
        <f>IF(OR($A139="EHT Trace"),IF(AND($X139&lt;&gt;"",$Y139&lt;&gt;""),"YES","NO"),"N/A")</f>
        <v>N/A</v>
      </c>
      <c r="M139" s="4" t="str">
        <f>IF(OR($A139="EHT Trace"),IF(AND($AA139&lt;&gt;"",$AB139&lt;&gt;""),"YES","NO"),"N/A")</f>
        <v>N/A</v>
      </c>
      <c r="N139" s="4" t="str">
        <f>IF(OR($A139="Power Cable"),IF(AND($AD139&lt;&gt;""),"YES","NO"),"N/A")</f>
        <v>NO</v>
      </c>
      <c r="O139" s="4" t="str">
        <f>IF(OR($A139="Power Cable",$A139="RTD Cable",$A139="Fieldbus Cable"),IF(AND($AE139&lt;&gt;""),"YES","NO"),"N/A")</f>
        <v>NO</v>
      </c>
      <c r="P139" s="4" t="str">
        <f>IF(OR($A139="RTD"),IF(AND($AH139&lt;&gt;""),"YES","NO"),"N/A")</f>
        <v>N/A</v>
      </c>
      <c r="Q139" s="4" t="str">
        <f>IF(OR($A139="RTD"),IF(AND($AI139&lt;&gt;""),"YES","NO"),"N/A")</f>
        <v>N/A</v>
      </c>
      <c r="R139" s="4" t="str">
        <f>IF(OR($AM139&lt;&gt;"",$Z139&lt;&gt;"",$AC139&lt;&gt;""),"YES","NO")</f>
        <v>NO</v>
      </c>
      <c r="S139" s="4" t="str">
        <f>IF(COUNTIF(I139:R139,"NO")=0,"YES","NO")</f>
        <v>NO</v>
      </c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inlineStr">
        <is>
          <t>Teck</t>
        </is>
      </c>
      <c r="AK139" s="9" t="inlineStr">
        <is>
          <t>10AWG</t>
        </is>
      </c>
      <c r="AL139" s="9" t="inlineStr">
        <is>
          <t>Levy Ostrup</t>
        </is>
      </c>
      <c r="AM139" s="9" t="n"/>
      <c r="AN139" s="9" t="n"/>
    </row>
    <row r="140">
      <c r="A140" s="9" t="inlineStr">
        <is>
          <t>Power Cable</t>
        </is>
      </c>
      <c r="B140" s="9" t="inlineStr">
        <is>
          <t>29103-ET-PE1202-1-PWK-1</t>
        </is>
      </c>
      <c r="C140" s="9" t="inlineStr">
        <is>
          <t>29103-ET-PE1202-1</t>
        </is>
      </c>
      <c r="D140" s="9" t="inlineStr">
        <is>
          <t>29103-HTP-002 HTC-18</t>
        </is>
      </c>
      <c r="E140" s="9" t="inlineStr">
        <is>
          <t>29103-HTP-002</t>
        </is>
      </c>
      <c r="F140" s="9" t="inlineStr"/>
      <c r="G140" s="9" t="inlineStr">
        <is>
          <t>113</t>
        </is>
      </c>
      <c r="H140" s="9" t="inlineStr">
        <is>
          <t>29103-ET-PE1202-1-PWK-1.pdf</t>
        </is>
      </c>
      <c r="I140" s="4" t="str">
        <f>IF($H140&lt;&gt;"","YES","NO")</f>
        <v>YES</v>
      </c>
      <c r="J140" s="4" t="str">
        <f>IF(N($T140)&gt;0,"YES","NO")</f>
        <v>NO</v>
      </c>
      <c r="K140" s="4" t="str">
        <f>IF(OR($A140="EHT Trace"),IF(AND($U140&lt;&gt;"",$V140&lt;&gt;""),"YES","NO"),"N/A")</f>
        <v>N/A</v>
      </c>
      <c r="L140" s="4" t="str">
        <f>IF(OR($A140="EHT Trace"),IF(AND($X140&lt;&gt;"",$Y140&lt;&gt;""),"YES","NO"),"N/A")</f>
        <v>N/A</v>
      </c>
      <c r="M140" s="4" t="str">
        <f>IF(OR($A140="EHT Trace"),IF(AND($AA140&lt;&gt;"",$AB140&lt;&gt;""),"YES","NO"),"N/A")</f>
        <v>N/A</v>
      </c>
      <c r="N140" s="4" t="str">
        <f>IF(OR($A140="Power Cable"),IF(AND($AD140&lt;&gt;""),"YES","NO"),"N/A")</f>
        <v>NO</v>
      </c>
      <c r="O140" s="4" t="str">
        <f>IF(OR($A140="Power Cable",$A140="RTD Cable",$A140="Fieldbus Cable"),IF(AND($AE140&lt;&gt;""),"YES","NO"),"N/A")</f>
        <v>NO</v>
      </c>
      <c r="P140" s="4" t="str">
        <f>IF(OR($A140="RTD"),IF(AND($AH140&lt;&gt;""),"YES","NO"),"N/A")</f>
        <v>N/A</v>
      </c>
      <c r="Q140" s="4" t="str">
        <f>IF(OR($A140="RTD"),IF(AND($AI140&lt;&gt;""),"YES","NO"),"N/A")</f>
        <v>N/A</v>
      </c>
      <c r="R140" s="4" t="str">
        <f>IF(OR($AM140&lt;&gt;"",$Z140&lt;&gt;"",$AC140&lt;&gt;""),"YES","NO")</f>
        <v>NO</v>
      </c>
      <c r="S140" s="4" t="str">
        <f>IF(COUNTIF(I140:R140,"NO")=0,"YES","NO")</f>
        <v>NO</v>
      </c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inlineStr">
        <is>
          <t>Teck</t>
        </is>
      </c>
      <c r="AK140" s="9" t="inlineStr">
        <is>
          <t>10AWG</t>
        </is>
      </c>
      <c r="AL140" s="9" t="inlineStr">
        <is>
          <t>Levy Ostrup</t>
        </is>
      </c>
      <c r="AM140" s="9" t="n"/>
      <c r="AN140" s="9" t="n"/>
    </row>
    <row r="141">
      <c r="A141" s="9" t="inlineStr">
        <is>
          <t>Power Cable</t>
        </is>
      </c>
      <c r="B141" s="9" t="inlineStr">
        <is>
          <t>29103-ET-PE1301-1-PWK-1</t>
        </is>
      </c>
      <c r="C141" s="9" t="inlineStr">
        <is>
          <t>29103-ET-PE1301-1</t>
        </is>
      </c>
      <c r="D141" s="9" t="inlineStr">
        <is>
          <t>29103-HTP-002 HTC-10</t>
        </is>
      </c>
      <c r="E141" s="9" t="inlineStr">
        <is>
          <t>29103-HTP-002</t>
        </is>
      </c>
      <c r="F141" s="9" t="inlineStr"/>
      <c r="G141" s="9" t="inlineStr">
        <is>
          <t>113</t>
        </is>
      </c>
      <c r="H141" s="9" t="inlineStr">
        <is>
          <t>29103-ET-PE1301-1-PWK-1.pdf</t>
        </is>
      </c>
      <c r="I141" s="4" t="str">
        <f>IF($H141&lt;&gt;"","YES","NO")</f>
        <v>YES</v>
      </c>
      <c r="J141" s="4" t="str">
        <f>IF(N($T141)&gt;0,"YES","NO")</f>
        <v>NO</v>
      </c>
      <c r="K141" s="4" t="str">
        <f>IF(OR($A141="EHT Trace"),IF(AND($U141&lt;&gt;"",$V141&lt;&gt;""),"YES","NO"),"N/A")</f>
        <v>N/A</v>
      </c>
      <c r="L141" s="4" t="str">
        <f>IF(OR($A141="EHT Trace"),IF(AND($X141&lt;&gt;"",$Y141&lt;&gt;""),"YES","NO"),"N/A")</f>
        <v>N/A</v>
      </c>
      <c r="M141" s="4" t="str">
        <f>IF(OR($A141="EHT Trace"),IF(AND($AA141&lt;&gt;"",$AB141&lt;&gt;""),"YES","NO"),"N/A")</f>
        <v>N/A</v>
      </c>
      <c r="N141" s="4" t="str">
        <f>IF(OR($A141="Power Cable"),IF(AND($AD141&lt;&gt;""),"YES","NO"),"N/A")</f>
        <v>NO</v>
      </c>
      <c r="O141" s="4" t="str">
        <f>IF(OR($A141="Power Cable",$A141="RTD Cable",$A141="Fieldbus Cable"),IF(AND($AE141&lt;&gt;""),"YES","NO"),"N/A")</f>
        <v>NO</v>
      </c>
      <c r="P141" s="4" t="str">
        <f>IF(OR($A141="RTD"),IF(AND($AH141&lt;&gt;""),"YES","NO"),"N/A")</f>
        <v>N/A</v>
      </c>
      <c r="Q141" s="4" t="str">
        <f>IF(OR($A141="RTD"),IF(AND($AI141&lt;&gt;""),"YES","NO"),"N/A")</f>
        <v>N/A</v>
      </c>
      <c r="R141" s="4" t="str">
        <f>IF(OR($AM141&lt;&gt;"",$Z141&lt;&gt;"",$AC141&lt;&gt;""),"YES","NO")</f>
        <v>NO</v>
      </c>
      <c r="S141" s="4" t="str">
        <f>IF(COUNTIF(I141:R141,"NO")=0,"YES","NO")</f>
        <v>NO</v>
      </c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inlineStr">
        <is>
          <t>Teck</t>
        </is>
      </c>
      <c r="AK141" s="9" t="inlineStr">
        <is>
          <t>10AWG</t>
        </is>
      </c>
      <c r="AL141" s="9" t="inlineStr">
        <is>
          <t>Levy Ostrup</t>
        </is>
      </c>
      <c r="AM141" s="9" t="n"/>
      <c r="AN141" s="9" t="n"/>
    </row>
    <row r="142">
      <c r="A142" s="9" t="inlineStr">
        <is>
          <t>Power Cable</t>
        </is>
      </c>
      <c r="B142" s="9" t="inlineStr">
        <is>
          <t>29103-ET-PE1301-2-PWK-1</t>
        </is>
      </c>
      <c r="C142" s="9" t="inlineStr">
        <is>
          <t>29103-ET-PE1301-2</t>
        </is>
      </c>
      <c r="D142" s="9" t="inlineStr">
        <is>
          <t>29103-HTP-002 HTC-07</t>
        </is>
      </c>
      <c r="E142" s="9" t="inlineStr">
        <is>
          <t>29103-HTP-002</t>
        </is>
      </c>
      <c r="F142" s="9" t="inlineStr"/>
      <c r="G142" s="9" t="inlineStr">
        <is>
          <t>113</t>
        </is>
      </c>
      <c r="H142" s="9" t="inlineStr">
        <is>
          <t>29103-ET-PE1301-2-PWK-1.pdf</t>
        </is>
      </c>
      <c r="I142" s="4" t="str">
        <f>IF($H142&lt;&gt;"","YES","NO")</f>
        <v>YES</v>
      </c>
      <c r="J142" s="4" t="str">
        <f>IF(N($T142)&gt;0,"YES","NO")</f>
        <v>NO</v>
      </c>
      <c r="K142" s="4" t="str">
        <f>IF(OR($A142="EHT Trace"),IF(AND($U142&lt;&gt;"",$V142&lt;&gt;""),"YES","NO"),"N/A")</f>
        <v>N/A</v>
      </c>
      <c r="L142" s="4" t="str">
        <f>IF(OR($A142="EHT Trace"),IF(AND($X142&lt;&gt;"",$Y142&lt;&gt;""),"YES","NO"),"N/A")</f>
        <v>N/A</v>
      </c>
      <c r="M142" s="4" t="str">
        <f>IF(OR($A142="EHT Trace"),IF(AND($AA142&lt;&gt;"",$AB142&lt;&gt;""),"YES","NO"),"N/A")</f>
        <v>N/A</v>
      </c>
      <c r="N142" s="4" t="str">
        <f>IF(OR($A142="Power Cable"),IF(AND($AD142&lt;&gt;""),"YES","NO"),"N/A")</f>
        <v>NO</v>
      </c>
      <c r="O142" s="4" t="str">
        <f>IF(OR($A142="Power Cable",$A142="RTD Cable",$A142="Fieldbus Cable"),IF(AND($AE142&lt;&gt;""),"YES","NO"),"N/A")</f>
        <v>NO</v>
      </c>
      <c r="P142" s="4" t="str">
        <f>IF(OR($A142="RTD"),IF(AND($AH142&lt;&gt;""),"YES","NO"),"N/A")</f>
        <v>N/A</v>
      </c>
      <c r="Q142" s="4" t="str">
        <f>IF(OR($A142="RTD"),IF(AND($AI142&lt;&gt;""),"YES","NO"),"N/A")</f>
        <v>N/A</v>
      </c>
      <c r="R142" s="4" t="str">
        <f>IF(OR($AM142&lt;&gt;"",$Z142&lt;&gt;"",$AC142&lt;&gt;""),"YES","NO")</f>
        <v>NO</v>
      </c>
      <c r="S142" s="4" t="str">
        <f>IF(COUNTIF(I142:R142,"NO")=0,"YES","NO")</f>
        <v>NO</v>
      </c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inlineStr">
        <is>
          <t>Teck</t>
        </is>
      </c>
      <c r="AK142" s="9" t="inlineStr">
        <is>
          <t>10AWG</t>
        </is>
      </c>
      <c r="AL142" s="9" t="inlineStr">
        <is>
          <t>Levy Ostrup</t>
        </is>
      </c>
      <c r="AM142" s="9" t="n"/>
      <c r="AN142" s="9" t="n"/>
    </row>
    <row r="143">
      <c r="A143" s="9" t="inlineStr">
        <is>
          <t>Power Cable</t>
        </is>
      </c>
      <c r="B143" s="9" t="inlineStr">
        <is>
          <t>29103-ET-PE1302-1-PWK-1</t>
        </is>
      </c>
      <c r="C143" s="9" t="inlineStr">
        <is>
          <t>29103-ET-PE1302-1</t>
        </is>
      </c>
      <c r="D143" s="9" t="inlineStr">
        <is>
          <t>29103-HTP-002 HTC-06</t>
        </is>
      </c>
      <c r="E143" s="9" t="inlineStr">
        <is>
          <t>29103-HTP-002</t>
        </is>
      </c>
      <c r="F143" s="9" t="inlineStr"/>
      <c r="G143" s="9" t="inlineStr">
        <is>
          <t>113</t>
        </is>
      </c>
      <c r="H143" s="9" t="inlineStr">
        <is>
          <t>29103-ET-PE1302-1-PWK-1.pdf</t>
        </is>
      </c>
      <c r="I143" s="4" t="str">
        <f>IF($H143&lt;&gt;"","YES","NO")</f>
        <v>YES</v>
      </c>
      <c r="J143" s="4" t="str">
        <f>IF(N($T143)&gt;0,"YES","NO")</f>
        <v>NO</v>
      </c>
      <c r="K143" s="4" t="str">
        <f>IF(OR($A143="EHT Trace"),IF(AND($U143&lt;&gt;"",$V143&lt;&gt;""),"YES","NO"),"N/A")</f>
        <v>N/A</v>
      </c>
      <c r="L143" s="4" t="str">
        <f>IF(OR($A143="EHT Trace"),IF(AND($X143&lt;&gt;"",$Y143&lt;&gt;""),"YES","NO"),"N/A")</f>
        <v>N/A</v>
      </c>
      <c r="M143" s="4" t="str">
        <f>IF(OR($A143="EHT Trace"),IF(AND($AA143&lt;&gt;"",$AB143&lt;&gt;""),"YES","NO"),"N/A")</f>
        <v>N/A</v>
      </c>
      <c r="N143" s="4" t="str">
        <f>IF(OR($A143="Power Cable"),IF(AND($AD143&lt;&gt;""),"YES","NO"),"N/A")</f>
        <v>NO</v>
      </c>
      <c r="O143" s="4" t="str">
        <f>IF(OR($A143="Power Cable",$A143="RTD Cable",$A143="Fieldbus Cable"),IF(AND($AE143&lt;&gt;""),"YES","NO"),"N/A")</f>
        <v>NO</v>
      </c>
      <c r="P143" s="4" t="str">
        <f>IF(OR($A143="RTD"),IF(AND($AH143&lt;&gt;""),"YES","NO"),"N/A")</f>
        <v>N/A</v>
      </c>
      <c r="Q143" s="4" t="str">
        <f>IF(OR($A143="RTD"),IF(AND($AI143&lt;&gt;""),"YES","NO"),"N/A")</f>
        <v>N/A</v>
      </c>
      <c r="R143" s="4" t="str">
        <f>IF(OR($AM143&lt;&gt;"",$Z143&lt;&gt;"",$AC143&lt;&gt;""),"YES","NO")</f>
        <v>NO</v>
      </c>
      <c r="S143" s="4" t="str">
        <f>IF(COUNTIF(I143:R143,"NO")=0,"YES","NO")</f>
        <v>NO</v>
      </c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inlineStr">
        <is>
          <t>Teck</t>
        </is>
      </c>
      <c r="AK143" s="9" t="inlineStr">
        <is>
          <t>10AWG</t>
        </is>
      </c>
      <c r="AL143" s="9" t="inlineStr">
        <is>
          <t>Levy Ostrup</t>
        </is>
      </c>
      <c r="AM143" s="9" t="n"/>
      <c r="AN143" s="9" t="n"/>
    </row>
    <row r="144">
      <c r="A144" s="9" t="inlineStr">
        <is>
          <t>Power Cable</t>
        </is>
      </c>
      <c r="B144" s="9" t="inlineStr">
        <is>
          <t>29103-ET-PE1401-1-PWK-1</t>
        </is>
      </c>
      <c r="C144" s="9" t="inlineStr">
        <is>
          <t>29103-ET-PE1401-1</t>
        </is>
      </c>
      <c r="D144" s="9" t="inlineStr">
        <is>
          <t>29103-HTP-002 HTC-04</t>
        </is>
      </c>
      <c r="E144" s="9" t="inlineStr">
        <is>
          <t>29103-HTP-002</t>
        </is>
      </c>
      <c r="F144" s="9" t="inlineStr"/>
      <c r="G144" s="9" t="inlineStr">
        <is>
          <t>113</t>
        </is>
      </c>
      <c r="H144" s="9" t="inlineStr">
        <is>
          <t>29103-ET-PE1401-1-PWK-1.pdf</t>
        </is>
      </c>
      <c r="I144" s="4" t="str">
        <f>IF($H144&lt;&gt;"","YES","NO")</f>
        <v>YES</v>
      </c>
      <c r="J144" s="4" t="str">
        <f>IF(N($T144)&gt;0,"YES","NO")</f>
        <v>NO</v>
      </c>
      <c r="K144" s="4" t="str">
        <f>IF(OR($A144="EHT Trace"),IF(AND($U144&lt;&gt;"",$V144&lt;&gt;""),"YES","NO"),"N/A")</f>
        <v>N/A</v>
      </c>
      <c r="L144" s="4" t="str">
        <f>IF(OR($A144="EHT Trace"),IF(AND($X144&lt;&gt;"",$Y144&lt;&gt;""),"YES","NO"),"N/A")</f>
        <v>N/A</v>
      </c>
      <c r="M144" s="4" t="str">
        <f>IF(OR($A144="EHT Trace"),IF(AND($AA144&lt;&gt;"",$AB144&lt;&gt;""),"YES","NO"),"N/A")</f>
        <v>N/A</v>
      </c>
      <c r="N144" s="4" t="str">
        <f>IF(OR($A144="Power Cable"),IF(AND($AD144&lt;&gt;""),"YES","NO"),"N/A")</f>
        <v>NO</v>
      </c>
      <c r="O144" s="4" t="str">
        <f>IF(OR($A144="Power Cable",$A144="RTD Cable",$A144="Fieldbus Cable"),IF(AND($AE144&lt;&gt;""),"YES","NO"),"N/A")</f>
        <v>NO</v>
      </c>
      <c r="P144" s="4" t="str">
        <f>IF(OR($A144="RTD"),IF(AND($AH144&lt;&gt;""),"YES","NO"),"N/A")</f>
        <v>N/A</v>
      </c>
      <c r="Q144" s="4" t="str">
        <f>IF(OR($A144="RTD"),IF(AND($AI144&lt;&gt;""),"YES","NO"),"N/A")</f>
        <v>N/A</v>
      </c>
      <c r="R144" s="4" t="str">
        <f>IF(OR($AM144&lt;&gt;"",$Z144&lt;&gt;"",$AC144&lt;&gt;""),"YES","NO")</f>
        <v>NO</v>
      </c>
      <c r="S144" s="4" t="str">
        <f>IF(COUNTIF(I144:R144,"NO")=0,"YES","NO")</f>
        <v>NO</v>
      </c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inlineStr">
        <is>
          <t>Teck</t>
        </is>
      </c>
      <c r="AK144" s="9" t="inlineStr">
        <is>
          <t>10AWG</t>
        </is>
      </c>
      <c r="AL144" s="9" t="inlineStr">
        <is>
          <t>Levy Ostrup</t>
        </is>
      </c>
      <c r="AM144" s="9" t="n"/>
      <c r="AN144" s="9" t="n"/>
    </row>
    <row r="145">
      <c r="A145" s="9" t="inlineStr">
        <is>
          <t>Power Cable</t>
        </is>
      </c>
      <c r="B145" s="9" t="inlineStr">
        <is>
          <t>29103-ET-PE1802-1-PWK-1</t>
        </is>
      </c>
      <c r="C145" s="9" t="inlineStr">
        <is>
          <t>29103-ET-PE1802-1</t>
        </is>
      </c>
      <c r="D145" s="9" t="inlineStr">
        <is>
          <t>29103-HTP-002 HTC-17</t>
        </is>
      </c>
      <c r="E145" s="9" t="inlineStr">
        <is>
          <t>29103-HTP-002</t>
        </is>
      </c>
      <c r="F145" s="9" t="inlineStr"/>
      <c r="G145" s="9" t="inlineStr">
        <is>
          <t>113</t>
        </is>
      </c>
      <c r="H145" s="9" t="inlineStr">
        <is>
          <t>29103-ET-PE1802-1-PWK-1.pdf</t>
        </is>
      </c>
      <c r="I145" s="4" t="str">
        <f>IF($H145&lt;&gt;"","YES","NO")</f>
        <v>YES</v>
      </c>
      <c r="J145" s="4" t="str">
        <f>IF(N($T145)&gt;0,"YES","NO")</f>
        <v>YES</v>
      </c>
      <c r="K145" s="4" t="str">
        <f>IF(OR($A145="EHT Trace"),IF(AND($U145&lt;&gt;"",$V145&lt;&gt;""),"YES","NO"),"N/A")</f>
        <v>N/A</v>
      </c>
      <c r="L145" s="4" t="str">
        <f>IF(OR($A145="EHT Trace"),IF(AND($X145&lt;&gt;"",$Y145&lt;&gt;""),"YES","NO"),"N/A")</f>
        <v>N/A</v>
      </c>
      <c r="M145" s="4" t="str">
        <f>IF(OR($A145="EHT Trace"),IF(AND($AA145&lt;&gt;"",$AB145&lt;&gt;""),"YES","NO"),"N/A")</f>
        <v>N/A</v>
      </c>
      <c r="N145" s="4" t="str">
        <f>IF(OR($A145="Power Cable"),IF(AND($AD145&lt;&gt;""),"YES","NO"),"N/A")</f>
        <v>YES</v>
      </c>
      <c r="O145" s="4" t="str">
        <f>IF(OR($A145="Power Cable",$A145="RTD Cable",$A145="Fieldbus Cable"),IF(AND($AE145&lt;&gt;""),"YES","NO"),"N/A")</f>
        <v>YES</v>
      </c>
      <c r="P145" s="4" t="str">
        <f>IF(OR($A145="RTD"),IF(AND($AH145&lt;&gt;""),"YES","NO"),"N/A")</f>
        <v>N/A</v>
      </c>
      <c r="Q145" s="4" t="str">
        <f>IF(OR($A145="RTD"),IF(AND($AI145&lt;&gt;""),"YES","NO"),"N/A")</f>
        <v>N/A</v>
      </c>
      <c r="R145" s="4" t="str">
        <f>IF(OR($AM145&lt;&gt;"",$Z145&lt;&gt;"",$AC145&lt;&gt;""),"YES","NO")</f>
        <v>YES</v>
      </c>
      <c r="S145" s="4" t="str">
        <f>IF(COUNTIF(I145:R145,"NO")=0,"YES","NO")</f>
        <v>YES</v>
      </c>
      <c r="T145" s="9" t="n">
        <v>8</v>
      </c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inlineStr">
        <is>
          <t>550 MΩ / 550 MΩ / 550 MΩ</t>
        </is>
      </c>
      <c r="AE145" s="9" t="inlineStr">
        <is>
          <t>0.4 Ω / OL / OL</t>
        </is>
      </c>
      <c r="AF145" s="9" t="inlineStr">
        <is>
          <t>Fluke 1587 FC 72300003</t>
        </is>
      </c>
      <c r="AG145" s="9" t="n"/>
      <c r="AH145" s="9" t="n"/>
      <c r="AI145" s="9" t="n"/>
      <c r="AJ145" s="9" t="inlineStr">
        <is>
          <t>TECK</t>
        </is>
      </c>
      <c r="AK145" s="9" t="inlineStr">
        <is>
          <t>10 AWG</t>
        </is>
      </c>
      <c r="AL145" s="9" t="inlineStr">
        <is>
          <t>Levy Ostrup</t>
        </is>
      </c>
      <c r="AM145" s="9" t="inlineStr">
        <is>
          <t>Sept 28</t>
        </is>
      </c>
      <c r="AN145" s="9" t="inlineStr">
        <is>
          <t>Needs core markers | Cable tag upside down</t>
        </is>
      </c>
    </row>
    <row r="146">
      <c r="A146" s="9" t="inlineStr">
        <is>
          <t>Power Cable</t>
        </is>
      </c>
      <c r="B146" s="9" t="inlineStr">
        <is>
          <t>29103-ET-PE1803-1-PWK-1</t>
        </is>
      </c>
      <c r="C146" s="9" t="inlineStr">
        <is>
          <t>29103-ET-PE1803-1</t>
        </is>
      </c>
      <c r="D146" s="9" t="inlineStr">
        <is>
          <t>29103-HTP-002 HTC-21</t>
        </is>
      </c>
      <c r="E146" s="9" t="inlineStr">
        <is>
          <t>29103-HTP-002</t>
        </is>
      </c>
      <c r="F146" s="9" t="inlineStr"/>
      <c r="G146" s="9" t="inlineStr">
        <is>
          <t>113</t>
        </is>
      </c>
      <c r="H146" s="9" t="inlineStr">
        <is>
          <t>29103-ET-PE1803-1-PWK-1.pdf</t>
        </is>
      </c>
      <c r="I146" s="4" t="str">
        <f>IF($H146&lt;&gt;"","YES","NO")</f>
        <v>YES</v>
      </c>
      <c r="J146" s="4" t="str">
        <f>IF(N($T146)&gt;0,"YES","NO")</f>
        <v>NO</v>
      </c>
      <c r="K146" s="4" t="str">
        <f>IF(OR($A146="EHT Trace"),IF(AND($U146&lt;&gt;"",$V146&lt;&gt;""),"YES","NO"),"N/A")</f>
        <v>N/A</v>
      </c>
      <c r="L146" s="4" t="str">
        <f>IF(OR($A146="EHT Trace"),IF(AND($X146&lt;&gt;"",$Y146&lt;&gt;""),"YES","NO"),"N/A")</f>
        <v>N/A</v>
      </c>
      <c r="M146" s="4" t="str">
        <f>IF(OR($A146="EHT Trace"),IF(AND($AA146&lt;&gt;"",$AB146&lt;&gt;""),"YES","NO"),"N/A")</f>
        <v>N/A</v>
      </c>
      <c r="N146" s="4" t="str">
        <f>IF(OR($A146="Power Cable"),IF(AND($AD146&lt;&gt;""),"YES","NO"),"N/A")</f>
        <v>NO</v>
      </c>
      <c r="O146" s="4" t="str">
        <f>IF(OR($A146="Power Cable",$A146="RTD Cable",$A146="Fieldbus Cable"),IF(AND($AE146&lt;&gt;""),"YES","NO"),"N/A")</f>
        <v>NO</v>
      </c>
      <c r="P146" s="4" t="str">
        <f>IF(OR($A146="RTD"),IF(AND($AH146&lt;&gt;""),"YES","NO"),"N/A")</f>
        <v>N/A</v>
      </c>
      <c r="Q146" s="4" t="str">
        <f>IF(OR($A146="RTD"),IF(AND($AI146&lt;&gt;""),"YES","NO"),"N/A")</f>
        <v>N/A</v>
      </c>
      <c r="R146" s="4" t="str">
        <f>IF(OR($AM146&lt;&gt;"",$Z146&lt;&gt;"",$AC146&lt;&gt;""),"YES","NO")</f>
        <v>NO</v>
      </c>
      <c r="S146" s="4" t="str">
        <f>IF(COUNTIF(I146:R146,"NO")=0,"YES","NO")</f>
        <v>NO</v>
      </c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inlineStr">
        <is>
          <t>Teck</t>
        </is>
      </c>
      <c r="AK146" s="9" t="inlineStr">
        <is>
          <t>10AWG</t>
        </is>
      </c>
      <c r="AL146" s="9" t="inlineStr">
        <is>
          <t>Levy Ostrup</t>
        </is>
      </c>
      <c r="AM146" s="9" t="n"/>
      <c r="AN146" s="9" t="n"/>
    </row>
    <row r="147">
      <c r="A147" s="9" t="inlineStr">
        <is>
          <t>Power Cable</t>
        </is>
      </c>
      <c r="B147" s="9" t="inlineStr">
        <is>
          <t>29103-ET-PG1101-1-PWK-1</t>
        </is>
      </c>
      <c r="C147" s="9" t="inlineStr">
        <is>
          <t>29103-ET-PG1101-1</t>
        </is>
      </c>
      <c r="D147" s="9" t="inlineStr">
        <is>
          <t>29103-HTP-002 HTC-15</t>
        </is>
      </c>
      <c r="E147" s="9" t="inlineStr">
        <is>
          <t>29103-HTP-002</t>
        </is>
      </c>
      <c r="F147" s="9" t="inlineStr"/>
      <c r="G147" s="9" t="inlineStr">
        <is>
          <t>113</t>
        </is>
      </c>
      <c r="H147" s="9" t="inlineStr">
        <is>
          <t>29103-ET-PG1101-1-PWK-1.pdf</t>
        </is>
      </c>
      <c r="I147" s="4" t="str">
        <f>IF($H147&lt;&gt;"","YES","NO")</f>
        <v>YES</v>
      </c>
      <c r="J147" s="4" t="str">
        <f>IF(N($T147)&gt;0,"YES","NO")</f>
        <v>YES</v>
      </c>
      <c r="K147" s="4" t="str">
        <f>IF(OR($A147="EHT Trace"),IF(AND($U147&lt;&gt;"",$V147&lt;&gt;""),"YES","NO"),"N/A")</f>
        <v>N/A</v>
      </c>
      <c r="L147" s="4" t="str">
        <f>IF(OR($A147="EHT Trace"),IF(AND($X147&lt;&gt;"",$Y147&lt;&gt;""),"YES","NO"),"N/A")</f>
        <v>N/A</v>
      </c>
      <c r="M147" s="4" t="str">
        <f>IF(OR($A147="EHT Trace"),IF(AND($AA147&lt;&gt;"",$AB147&lt;&gt;""),"YES","NO"),"N/A")</f>
        <v>N/A</v>
      </c>
      <c r="N147" s="4" t="str">
        <f>IF(OR($A147="Power Cable"),IF(AND($AD147&lt;&gt;""),"YES","NO"),"N/A")</f>
        <v>YES</v>
      </c>
      <c r="O147" s="4" t="str">
        <f>IF(OR($A147="Power Cable",$A147="RTD Cable",$A147="Fieldbus Cable"),IF(AND($AE147&lt;&gt;""),"YES","NO"),"N/A")</f>
        <v>YES</v>
      </c>
      <c r="P147" s="4" t="str">
        <f>IF(OR($A147="RTD"),IF(AND($AH147&lt;&gt;""),"YES","NO"),"N/A")</f>
        <v>N/A</v>
      </c>
      <c r="Q147" s="4" t="str">
        <f>IF(OR($A147="RTD"),IF(AND($AI147&lt;&gt;""),"YES","NO"),"N/A")</f>
        <v>N/A</v>
      </c>
      <c r="R147" s="4" t="str">
        <f>IF(OR($AM147&lt;&gt;"",$Z147&lt;&gt;"",$AC147&lt;&gt;""),"YES","NO")</f>
        <v>YES</v>
      </c>
      <c r="S147" s="4" t="str">
        <f>IF(COUNTIF(I147:R147,"NO")=0,"YES","NO")</f>
        <v>YES</v>
      </c>
      <c r="T147" s="9" t="n">
        <v>10</v>
      </c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inlineStr">
        <is>
          <t>&gt;550 MΩ / &gt;550 MΩ / &gt;550 MΩ</t>
        </is>
      </c>
      <c r="AE147" s="9" t="inlineStr">
        <is>
          <t>0.4 Ω / OL / OL</t>
        </is>
      </c>
      <c r="AF147" s="9" t="inlineStr">
        <is>
          <t>Fluke 1587 FC 72300003</t>
        </is>
      </c>
      <c r="AG147" s="9" t="n"/>
      <c r="AH147" s="9" t="n"/>
      <c r="AI147" s="9" t="n"/>
      <c r="AJ147" s="9" t="inlineStr">
        <is>
          <t>TECK</t>
        </is>
      </c>
      <c r="AK147" s="9" t="inlineStr">
        <is>
          <t>10 AWG</t>
        </is>
      </c>
      <c r="AL147" s="9" t="inlineStr">
        <is>
          <t>Levy Ostrup</t>
        </is>
      </c>
      <c r="AM147" s="9" t="inlineStr">
        <is>
          <t>Sept 29</t>
        </is>
      </c>
      <c r="AN147" s="9" t="inlineStr">
        <is>
          <t>Power cable missing core markers</t>
        </is>
      </c>
    </row>
    <row r="148">
      <c r="A148" s="9" t="inlineStr">
        <is>
          <t>Power Cable</t>
        </is>
      </c>
      <c r="B148" s="9" t="inlineStr">
        <is>
          <t>29103-ET-PG1101-2-PWK-1</t>
        </is>
      </c>
      <c r="C148" s="9" t="inlineStr">
        <is>
          <t>29103-ET-PG1101-2</t>
        </is>
      </c>
      <c r="D148" s="9" t="inlineStr">
        <is>
          <t>29103-HTP-002 HTC-14</t>
        </is>
      </c>
      <c r="E148" s="9" t="inlineStr">
        <is>
          <t>29103-HTP-002</t>
        </is>
      </c>
      <c r="F148" s="9" t="inlineStr"/>
      <c r="G148" s="9" t="inlineStr">
        <is>
          <t>113</t>
        </is>
      </c>
      <c r="H148" s="9" t="inlineStr">
        <is>
          <t>29103-ET-PG1101-2-PWK-1.pdf</t>
        </is>
      </c>
      <c r="I148" s="4" t="str">
        <f>IF($H148&lt;&gt;"","YES","NO")</f>
        <v>YES</v>
      </c>
      <c r="J148" s="4" t="str">
        <f>IF(N($T148)&gt;0,"YES","NO")</f>
        <v>NO</v>
      </c>
      <c r="K148" s="4" t="str">
        <f>IF(OR($A148="EHT Trace"),IF(AND($U148&lt;&gt;"",$V148&lt;&gt;""),"YES","NO"),"N/A")</f>
        <v>N/A</v>
      </c>
      <c r="L148" s="4" t="str">
        <f>IF(OR($A148="EHT Trace"),IF(AND($X148&lt;&gt;"",$Y148&lt;&gt;""),"YES","NO"),"N/A")</f>
        <v>N/A</v>
      </c>
      <c r="M148" s="4" t="str">
        <f>IF(OR($A148="EHT Trace"),IF(AND($AA148&lt;&gt;"",$AB148&lt;&gt;""),"YES","NO"),"N/A")</f>
        <v>N/A</v>
      </c>
      <c r="N148" s="4" t="str">
        <f>IF(OR($A148="Power Cable"),IF(AND($AD148&lt;&gt;""),"YES","NO"),"N/A")</f>
        <v>NO</v>
      </c>
      <c r="O148" s="4" t="str">
        <f>IF(OR($A148="Power Cable",$A148="RTD Cable",$A148="Fieldbus Cable"),IF(AND($AE148&lt;&gt;""),"YES","NO"),"N/A")</f>
        <v>NO</v>
      </c>
      <c r="P148" s="4" t="str">
        <f>IF(OR($A148="RTD"),IF(AND($AH148&lt;&gt;""),"YES","NO"),"N/A")</f>
        <v>N/A</v>
      </c>
      <c r="Q148" s="4" t="str">
        <f>IF(OR($A148="RTD"),IF(AND($AI148&lt;&gt;""),"YES","NO"),"N/A")</f>
        <v>N/A</v>
      </c>
      <c r="R148" s="4" t="str">
        <f>IF(OR($AM148&lt;&gt;"",$Z148&lt;&gt;"",$AC148&lt;&gt;""),"YES","NO")</f>
        <v>NO</v>
      </c>
      <c r="S148" s="4" t="str">
        <f>IF(COUNTIF(I148:R148,"NO")=0,"YES","NO")</f>
        <v>NO</v>
      </c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inlineStr">
        <is>
          <t>Teck</t>
        </is>
      </c>
      <c r="AK148" s="9" t="inlineStr">
        <is>
          <t>10AWG</t>
        </is>
      </c>
      <c r="AL148" s="9" t="inlineStr">
        <is>
          <t>Levy Ostrup</t>
        </is>
      </c>
      <c r="AM148" s="9" t="n"/>
      <c r="AN148" s="9" t="n"/>
    </row>
    <row r="149">
      <c r="A149" s="9" t="inlineStr">
        <is>
          <t>Power Cable</t>
        </is>
      </c>
      <c r="B149" s="9" t="inlineStr">
        <is>
          <t>29103-ET-PG1201-1-PWK-1</t>
        </is>
      </c>
      <c r="C149" s="9" t="inlineStr">
        <is>
          <t>29103-ET-PG1201-1</t>
        </is>
      </c>
      <c r="D149" s="9" t="inlineStr">
        <is>
          <t>29103-HTP-002 HTC-12</t>
        </is>
      </c>
      <c r="E149" s="9" t="inlineStr">
        <is>
          <t>29103-HTP-002</t>
        </is>
      </c>
      <c r="F149" s="9" t="inlineStr"/>
      <c r="G149" s="9" t="inlineStr">
        <is>
          <t>113</t>
        </is>
      </c>
      <c r="H149" s="9" t="inlineStr">
        <is>
          <t>29103-ET-PG1201-1-PWK-1.pdf</t>
        </is>
      </c>
      <c r="I149" s="4" t="str">
        <f>IF($H149&lt;&gt;"","YES","NO")</f>
        <v>YES</v>
      </c>
      <c r="J149" s="4" t="str">
        <f>IF(N($T149)&gt;0,"YES","NO")</f>
        <v>NO</v>
      </c>
      <c r="K149" s="4" t="str">
        <f>IF(OR($A149="EHT Trace"),IF(AND($U149&lt;&gt;"",$V149&lt;&gt;""),"YES","NO"),"N/A")</f>
        <v>N/A</v>
      </c>
      <c r="L149" s="4" t="str">
        <f>IF(OR($A149="EHT Trace"),IF(AND($X149&lt;&gt;"",$Y149&lt;&gt;""),"YES","NO"),"N/A")</f>
        <v>N/A</v>
      </c>
      <c r="M149" s="4" t="str">
        <f>IF(OR($A149="EHT Trace"),IF(AND($AA149&lt;&gt;"",$AB149&lt;&gt;""),"YES","NO"),"N/A")</f>
        <v>N/A</v>
      </c>
      <c r="N149" s="4" t="str">
        <f>IF(OR($A149="Power Cable"),IF(AND($AD149&lt;&gt;""),"YES","NO"),"N/A")</f>
        <v>NO</v>
      </c>
      <c r="O149" s="4" t="str">
        <f>IF(OR($A149="Power Cable",$A149="RTD Cable",$A149="Fieldbus Cable"),IF(AND($AE149&lt;&gt;""),"YES","NO"),"N/A")</f>
        <v>NO</v>
      </c>
      <c r="P149" s="4" t="str">
        <f>IF(OR($A149="RTD"),IF(AND($AH149&lt;&gt;""),"YES","NO"),"N/A")</f>
        <v>N/A</v>
      </c>
      <c r="Q149" s="4" t="str">
        <f>IF(OR($A149="RTD"),IF(AND($AI149&lt;&gt;""),"YES","NO"),"N/A")</f>
        <v>N/A</v>
      </c>
      <c r="R149" s="4" t="str">
        <f>IF(OR($AM149&lt;&gt;"",$Z149&lt;&gt;"",$AC149&lt;&gt;""),"YES","NO")</f>
        <v>NO</v>
      </c>
      <c r="S149" s="4" t="str">
        <f>IF(COUNTIF(I149:R149,"NO")=0,"YES","NO")</f>
        <v>NO</v>
      </c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inlineStr">
        <is>
          <t>Teck</t>
        </is>
      </c>
      <c r="AK149" s="9" t="inlineStr">
        <is>
          <t>10AWG</t>
        </is>
      </c>
      <c r="AL149" s="9" t="inlineStr">
        <is>
          <t>Levy Ostrup</t>
        </is>
      </c>
      <c r="AM149" s="9" t="n"/>
      <c r="AN149" s="9" t="n"/>
    </row>
    <row r="150">
      <c r="A150" s="9" t="inlineStr">
        <is>
          <t>Power Cable</t>
        </is>
      </c>
      <c r="B150" s="9" t="inlineStr">
        <is>
          <t>29103-ET-PG1201-2-PWK-1</t>
        </is>
      </c>
      <c r="C150" s="9" t="inlineStr">
        <is>
          <t>29103-ET-PG1201-2</t>
        </is>
      </c>
      <c r="D150" s="9" t="inlineStr">
        <is>
          <t>29103-HTP-002 HTC-08</t>
        </is>
      </c>
      <c r="E150" s="9" t="inlineStr">
        <is>
          <t>29103-HTP-002</t>
        </is>
      </c>
      <c r="F150" s="9" t="inlineStr"/>
      <c r="G150" s="9" t="inlineStr">
        <is>
          <t>113</t>
        </is>
      </c>
      <c r="H150" s="9" t="inlineStr">
        <is>
          <t>29103-ET-PG1201-2-PWK-1.pdf</t>
        </is>
      </c>
      <c r="I150" s="4" t="str">
        <f>IF($H150&lt;&gt;"","YES","NO")</f>
        <v>YES</v>
      </c>
      <c r="J150" s="4" t="str">
        <f>IF(N($T150)&gt;0,"YES","NO")</f>
        <v>NO</v>
      </c>
      <c r="K150" s="4" t="str">
        <f>IF(OR($A150="EHT Trace"),IF(AND($U150&lt;&gt;"",$V150&lt;&gt;""),"YES","NO"),"N/A")</f>
        <v>N/A</v>
      </c>
      <c r="L150" s="4" t="str">
        <f>IF(OR($A150="EHT Trace"),IF(AND($X150&lt;&gt;"",$Y150&lt;&gt;""),"YES","NO"),"N/A")</f>
        <v>N/A</v>
      </c>
      <c r="M150" s="4" t="str">
        <f>IF(OR($A150="EHT Trace"),IF(AND($AA150&lt;&gt;"",$AB150&lt;&gt;""),"YES","NO"),"N/A")</f>
        <v>N/A</v>
      </c>
      <c r="N150" s="4" t="str">
        <f>IF(OR($A150="Power Cable"),IF(AND($AD150&lt;&gt;""),"YES","NO"),"N/A")</f>
        <v>NO</v>
      </c>
      <c r="O150" s="4" t="str">
        <f>IF(OR($A150="Power Cable",$A150="RTD Cable",$A150="Fieldbus Cable"),IF(AND($AE150&lt;&gt;""),"YES","NO"),"N/A")</f>
        <v>NO</v>
      </c>
      <c r="P150" s="4" t="str">
        <f>IF(OR($A150="RTD"),IF(AND($AH150&lt;&gt;""),"YES","NO"),"N/A")</f>
        <v>N/A</v>
      </c>
      <c r="Q150" s="4" t="str">
        <f>IF(OR($A150="RTD"),IF(AND($AI150&lt;&gt;""),"YES","NO"),"N/A")</f>
        <v>N/A</v>
      </c>
      <c r="R150" s="4" t="str">
        <f>IF(OR($AM150&lt;&gt;"",$Z150&lt;&gt;"",$AC150&lt;&gt;""),"YES","NO")</f>
        <v>NO</v>
      </c>
      <c r="S150" s="4" t="str">
        <f>IF(COUNTIF(I150:R150,"NO")=0,"YES","NO")</f>
        <v>NO</v>
      </c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inlineStr">
        <is>
          <t>Teck</t>
        </is>
      </c>
      <c r="AK150" s="9" t="inlineStr">
        <is>
          <t>10AWG</t>
        </is>
      </c>
      <c r="AL150" s="9" t="inlineStr">
        <is>
          <t>Levy Ostrup</t>
        </is>
      </c>
      <c r="AM150" s="9" t="n"/>
      <c r="AN150" s="9" t="n"/>
    </row>
    <row r="151">
      <c r="A151" s="9" t="inlineStr">
        <is>
          <t>Power Cable</t>
        </is>
      </c>
      <c r="B151" s="9" t="inlineStr">
        <is>
          <t>29103-ET-PG1301-1-PWK-1</t>
        </is>
      </c>
      <c r="C151" s="9" t="inlineStr">
        <is>
          <t>29103-ET-PG1301-1</t>
        </is>
      </c>
      <c r="D151" s="9" t="inlineStr">
        <is>
          <t>29103-HTP-002 HTC-11</t>
        </is>
      </c>
      <c r="E151" s="9" t="inlineStr">
        <is>
          <t>29103-HTP-002</t>
        </is>
      </c>
      <c r="F151" s="9" t="inlineStr"/>
      <c r="G151" s="9" t="inlineStr">
        <is>
          <t>113</t>
        </is>
      </c>
      <c r="H151" s="9" t="inlineStr">
        <is>
          <t>29103-ET-PG1301-1-PWK-1.pdf</t>
        </is>
      </c>
      <c r="I151" s="4" t="str">
        <f>IF($H151&lt;&gt;"","YES","NO")</f>
        <v>YES</v>
      </c>
      <c r="J151" s="4" t="str">
        <f>IF(N($T151)&gt;0,"YES","NO")</f>
        <v>NO</v>
      </c>
      <c r="K151" s="4" t="str">
        <f>IF(OR($A151="EHT Trace"),IF(AND($U151&lt;&gt;"",$V151&lt;&gt;""),"YES","NO"),"N/A")</f>
        <v>N/A</v>
      </c>
      <c r="L151" s="4" t="str">
        <f>IF(OR($A151="EHT Trace"),IF(AND($X151&lt;&gt;"",$Y151&lt;&gt;""),"YES","NO"),"N/A")</f>
        <v>N/A</v>
      </c>
      <c r="M151" s="4" t="str">
        <f>IF(OR($A151="EHT Trace"),IF(AND($AA151&lt;&gt;"",$AB151&lt;&gt;""),"YES","NO"),"N/A")</f>
        <v>N/A</v>
      </c>
      <c r="N151" s="4" t="str">
        <f>IF(OR($A151="Power Cable"),IF(AND($AD151&lt;&gt;""),"YES","NO"),"N/A")</f>
        <v>NO</v>
      </c>
      <c r="O151" s="4" t="str">
        <f>IF(OR($A151="Power Cable",$A151="RTD Cable",$A151="Fieldbus Cable"),IF(AND($AE151&lt;&gt;""),"YES","NO"),"N/A")</f>
        <v>NO</v>
      </c>
      <c r="P151" s="4" t="str">
        <f>IF(OR($A151="RTD"),IF(AND($AH151&lt;&gt;""),"YES","NO"),"N/A")</f>
        <v>N/A</v>
      </c>
      <c r="Q151" s="4" t="str">
        <f>IF(OR($A151="RTD"),IF(AND($AI151&lt;&gt;""),"YES","NO"),"N/A")</f>
        <v>N/A</v>
      </c>
      <c r="R151" s="4" t="str">
        <f>IF(OR($AM151&lt;&gt;"",$Z151&lt;&gt;"",$AC151&lt;&gt;""),"YES","NO")</f>
        <v>NO</v>
      </c>
      <c r="S151" s="4" t="str">
        <f>IF(COUNTIF(I151:R151,"NO")=0,"YES","NO")</f>
        <v>NO</v>
      </c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inlineStr">
        <is>
          <t>Teck</t>
        </is>
      </c>
      <c r="AK151" s="9" t="inlineStr">
        <is>
          <t>10AWG</t>
        </is>
      </c>
      <c r="AL151" s="9" t="inlineStr">
        <is>
          <t>Levy Ostrup</t>
        </is>
      </c>
      <c r="AM151" s="9" t="n"/>
      <c r="AN151" s="9" t="n"/>
    </row>
    <row r="152">
      <c r="A152" s="9" t="inlineStr">
        <is>
          <t>Power Cable</t>
        </is>
      </c>
      <c r="B152" s="9" t="inlineStr">
        <is>
          <t>29103-ET-PG1301-2-PWK-1</t>
        </is>
      </c>
      <c r="C152" s="9" t="inlineStr">
        <is>
          <t>29103-ET-PG1301-2</t>
        </is>
      </c>
      <c r="D152" s="9" t="inlineStr">
        <is>
          <t>29103-HTP-002 HTC-13</t>
        </is>
      </c>
      <c r="E152" s="9" t="inlineStr">
        <is>
          <t>29103-HTP-002</t>
        </is>
      </c>
      <c r="F152" s="9" t="inlineStr"/>
      <c r="G152" s="9" t="inlineStr">
        <is>
          <t>113</t>
        </is>
      </c>
      <c r="H152" s="9" t="inlineStr">
        <is>
          <t>29103-ET-PG1301-2-PWK-1.pdf</t>
        </is>
      </c>
      <c r="I152" s="4" t="str">
        <f>IF($H152&lt;&gt;"","YES","NO")</f>
        <v>YES</v>
      </c>
      <c r="J152" s="4" t="str">
        <f>IF(N($T152)&gt;0,"YES","NO")</f>
        <v>NO</v>
      </c>
      <c r="K152" s="4" t="str">
        <f>IF(OR($A152="EHT Trace"),IF(AND($U152&lt;&gt;"",$V152&lt;&gt;""),"YES","NO"),"N/A")</f>
        <v>N/A</v>
      </c>
      <c r="L152" s="4" t="str">
        <f>IF(OR($A152="EHT Trace"),IF(AND($X152&lt;&gt;"",$Y152&lt;&gt;""),"YES","NO"),"N/A")</f>
        <v>N/A</v>
      </c>
      <c r="M152" s="4" t="str">
        <f>IF(OR($A152="EHT Trace"),IF(AND($AA152&lt;&gt;"",$AB152&lt;&gt;""),"YES","NO"),"N/A")</f>
        <v>N/A</v>
      </c>
      <c r="N152" s="4" t="str">
        <f>IF(OR($A152="Power Cable"),IF(AND($AD152&lt;&gt;""),"YES","NO"),"N/A")</f>
        <v>NO</v>
      </c>
      <c r="O152" s="4" t="str">
        <f>IF(OR($A152="Power Cable",$A152="RTD Cable",$A152="Fieldbus Cable"),IF(AND($AE152&lt;&gt;""),"YES","NO"),"N/A")</f>
        <v>NO</v>
      </c>
      <c r="P152" s="4" t="str">
        <f>IF(OR($A152="RTD"),IF(AND($AH152&lt;&gt;""),"YES","NO"),"N/A")</f>
        <v>N/A</v>
      </c>
      <c r="Q152" s="4" t="str">
        <f>IF(OR($A152="RTD"),IF(AND($AI152&lt;&gt;""),"YES","NO"),"N/A")</f>
        <v>N/A</v>
      </c>
      <c r="R152" s="4" t="str">
        <f>IF(OR($AM152&lt;&gt;"",$Z152&lt;&gt;"",$AC152&lt;&gt;""),"YES","NO")</f>
        <v>NO</v>
      </c>
      <c r="S152" s="4" t="str">
        <f>IF(COUNTIF(I152:R152,"NO")=0,"YES","NO")</f>
        <v>NO</v>
      </c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inlineStr">
        <is>
          <t>Teck</t>
        </is>
      </c>
      <c r="AK152" s="9" t="inlineStr">
        <is>
          <t>10AWG</t>
        </is>
      </c>
      <c r="AL152" s="9" t="inlineStr">
        <is>
          <t>Levy Ostrup</t>
        </is>
      </c>
      <c r="AM152" s="9" t="n"/>
      <c r="AN152" s="9" t="n"/>
    </row>
    <row r="153">
      <c r="A153" s="9" t="inlineStr">
        <is>
          <t>Power Cable</t>
        </is>
      </c>
      <c r="B153" s="9" t="inlineStr">
        <is>
          <t>29103-ET-SC1800-1-PWK-1</t>
        </is>
      </c>
      <c r="C153" s="9" t="inlineStr">
        <is>
          <t>29103-ET-SC1800-1</t>
        </is>
      </c>
      <c r="D153" s="9" t="inlineStr">
        <is>
          <t>29103-AMB-002</t>
        </is>
      </c>
      <c r="E153" s="9" t="inlineStr">
        <is>
          <t>29103-HTP-002</t>
        </is>
      </c>
      <c r="F153" s="9" t="inlineStr"/>
      <c r="G153" s="9" t="inlineStr">
        <is>
          <t>113</t>
        </is>
      </c>
      <c r="H153" s="9" t="inlineStr">
        <is>
          <t>29103-ET-SC1800-1-PWK-1.pdf</t>
        </is>
      </c>
      <c r="I153" s="4" t="str">
        <f>IF($H153&lt;&gt;"","YES","NO")</f>
        <v>YES</v>
      </c>
      <c r="J153" s="4" t="str">
        <f>IF(N($T153)&gt;0,"YES","NO")</f>
        <v>NO</v>
      </c>
      <c r="K153" s="4" t="str">
        <f>IF(OR($A153="EHT Trace"),IF(AND($U153&lt;&gt;"",$V153&lt;&gt;""),"YES","NO"),"N/A")</f>
        <v>N/A</v>
      </c>
      <c r="L153" s="4" t="str">
        <f>IF(OR($A153="EHT Trace"),IF(AND($X153&lt;&gt;"",$Y153&lt;&gt;""),"YES","NO"),"N/A")</f>
        <v>N/A</v>
      </c>
      <c r="M153" s="4" t="str">
        <f>IF(OR($A153="EHT Trace"),IF(AND($AA153&lt;&gt;"",$AB153&lt;&gt;""),"YES","NO"),"N/A")</f>
        <v>N/A</v>
      </c>
      <c r="N153" s="4" t="str">
        <f>IF(OR($A153="Power Cable"),IF(AND($AD153&lt;&gt;""),"YES","NO"),"N/A")</f>
        <v>NO</v>
      </c>
      <c r="O153" s="4" t="str">
        <f>IF(OR($A153="Power Cable",$A153="RTD Cable",$A153="Fieldbus Cable"),IF(AND($AE153&lt;&gt;""),"YES","NO"),"N/A")</f>
        <v>NO</v>
      </c>
      <c r="P153" s="4" t="str">
        <f>IF(OR($A153="RTD"),IF(AND($AH153&lt;&gt;""),"YES","NO"),"N/A")</f>
        <v>N/A</v>
      </c>
      <c r="Q153" s="4" t="str">
        <f>IF(OR($A153="RTD"),IF(AND($AI153&lt;&gt;""),"YES","NO"),"N/A")</f>
        <v>N/A</v>
      </c>
      <c r="R153" s="4" t="str">
        <f>IF(OR($AM153&lt;&gt;"",$Z153&lt;&gt;"",$AC153&lt;&gt;""),"YES","NO")</f>
        <v>NO</v>
      </c>
      <c r="S153" s="4" t="str">
        <f>IF(COUNTIF(I153:R153,"NO")=0,"YES","NO")</f>
        <v>NO</v>
      </c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inlineStr">
        <is>
          <t>Teck</t>
        </is>
      </c>
      <c r="AK153" s="9" t="inlineStr">
        <is>
          <t>10AWG</t>
        </is>
      </c>
      <c r="AL153" s="9" t="inlineStr">
        <is>
          <t>Levy Ostrup</t>
        </is>
      </c>
      <c r="AM153" s="9" t="n"/>
      <c r="AN153" s="9" t="n"/>
    </row>
    <row r="154">
      <c r="A154" s="9" t="inlineStr">
        <is>
          <t>Power Cable</t>
        </is>
      </c>
      <c r="B154" s="9" t="inlineStr">
        <is>
          <t>29103-ET-ST1001-1-PWK-1</t>
        </is>
      </c>
      <c r="C154" s="9" t="inlineStr">
        <is>
          <t>29103-ET-ST1001-1</t>
        </is>
      </c>
      <c r="D154" s="9" t="inlineStr">
        <is>
          <t>29103-AMB-002</t>
        </is>
      </c>
      <c r="E154" s="9" t="inlineStr">
        <is>
          <t>29103-HTP-002</t>
        </is>
      </c>
      <c r="F154" s="9" t="inlineStr"/>
      <c r="G154" s="9" t="inlineStr">
        <is>
          <t>113</t>
        </is>
      </c>
      <c r="H154" s="9" t="inlineStr">
        <is>
          <t>29103-ET-ST1001-1-PWK-1.pdf</t>
        </is>
      </c>
      <c r="I154" s="4" t="str">
        <f>IF($H154&lt;&gt;"","YES","NO")</f>
        <v>YES</v>
      </c>
      <c r="J154" s="4" t="str">
        <f>IF(N($T154)&gt;0,"YES","NO")</f>
        <v>NO</v>
      </c>
      <c r="K154" s="4" t="str">
        <f>IF(OR($A154="EHT Trace"),IF(AND($U154&lt;&gt;"",$V154&lt;&gt;""),"YES","NO"),"N/A")</f>
        <v>N/A</v>
      </c>
      <c r="L154" s="4" t="str">
        <f>IF(OR($A154="EHT Trace"),IF(AND($X154&lt;&gt;"",$Y154&lt;&gt;""),"YES","NO"),"N/A")</f>
        <v>N/A</v>
      </c>
      <c r="M154" s="4" t="str">
        <f>IF(OR($A154="EHT Trace"),IF(AND($AA154&lt;&gt;"",$AB154&lt;&gt;""),"YES","NO"),"N/A")</f>
        <v>N/A</v>
      </c>
      <c r="N154" s="4" t="str">
        <f>IF(OR($A154="Power Cable"),IF(AND($AD154&lt;&gt;""),"YES","NO"),"N/A")</f>
        <v>NO</v>
      </c>
      <c r="O154" s="4" t="str">
        <f>IF(OR($A154="Power Cable",$A154="RTD Cable",$A154="Fieldbus Cable"),IF(AND($AE154&lt;&gt;""),"YES","NO"),"N/A")</f>
        <v>NO</v>
      </c>
      <c r="P154" s="4" t="str">
        <f>IF(OR($A154="RTD"),IF(AND($AH154&lt;&gt;""),"YES","NO"),"N/A")</f>
        <v>N/A</v>
      </c>
      <c r="Q154" s="4" t="str">
        <f>IF(OR($A154="RTD"),IF(AND($AI154&lt;&gt;""),"YES","NO"),"N/A")</f>
        <v>N/A</v>
      </c>
      <c r="R154" s="4" t="str">
        <f>IF(OR($AM154&lt;&gt;"",$Z154&lt;&gt;"",$AC154&lt;&gt;""),"YES","NO")</f>
        <v>NO</v>
      </c>
      <c r="S154" s="4" t="str">
        <f>IF(COUNTIF(I154:R154,"NO")=0,"YES","NO")</f>
        <v>NO</v>
      </c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inlineStr">
        <is>
          <t>Teck</t>
        </is>
      </c>
      <c r="AK154" s="9" t="inlineStr">
        <is>
          <t>10AWG</t>
        </is>
      </c>
      <c r="AL154" s="9" t="inlineStr">
        <is>
          <t>Levy Ostrup</t>
        </is>
      </c>
      <c r="AM154" s="9" t="n"/>
      <c r="AN154" s="9" t="n"/>
    </row>
    <row r="155">
      <c r="A155" s="9" t="inlineStr">
        <is>
          <t>Power Cable</t>
        </is>
      </c>
      <c r="B155" s="9" t="inlineStr">
        <is>
          <t>29103-ET-ST1103-1-PWK-1</t>
        </is>
      </c>
      <c r="C155" s="9" t="inlineStr">
        <is>
          <t>29103-ET-ST1103-1</t>
        </is>
      </c>
      <c r="D155" s="9" t="inlineStr">
        <is>
          <t>29103-AMB-002</t>
        </is>
      </c>
      <c r="E155" s="9" t="inlineStr">
        <is>
          <t>29103-HTP-002</t>
        </is>
      </c>
      <c r="F155" s="9" t="inlineStr"/>
      <c r="G155" s="9" t="inlineStr">
        <is>
          <t>113</t>
        </is>
      </c>
      <c r="H155" s="9" t="inlineStr">
        <is>
          <t>29103-ET-ST1103-1-PWK-1.pdf</t>
        </is>
      </c>
      <c r="I155" s="4" t="str">
        <f>IF($H155&lt;&gt;"","YES","NO")</f>
        <v>YES</v>
      </c>
      <c r="J155" s="4" t="str">
        <f>IF(N($T155)&gt;0,"YES","NO")</f>
        <v>NO</v>
      </c>
      <c r="K155" s="4" t="str">
        <f>IF(OR($A155="EHT Trace"),IF(AND($U155&lt;&gt;"",$V155&lt;&gt;""),"YES","NO"),"N/A")</f>
        <v>N/A</v>
      </c>
      <c r="L155" s="4" t="str">
        <f>IF(OR($A155="EHT Trace"),IF(AND($X155&lt;&gt;"",$Y155&lt;&gt;""),"YES","NO"),"N/A")</f>
        <v>N/A</v>
      </c>
      <c r="M155" s="4" t="str">
        <f>IF(OR($A155="EHT Trace"),IF(AND($AA155&lt;&gt;"",$AB155&lt;&gt;""),"YES","NO"),"N/A")</f>
        <v>N/A</v>
      </c>
      <c r="N155" s="4" t="str">
        <f>IF(OR($A155="Power Cable"),IF(AND($AD155&lt;&gt;""),"YES","NO"),"N/A")</f>
        <v>NO</v>
      </c>
      <c r="O155" s="4" t="str">
        <f>IF(OR($A155="Power Cable",$A155="RTD Cable",$A155="Fieldbus Cable"),IF(AND($AE155&lt;&gt;""),"YES","NO"),"N/A")</f>
        <v>NO</v>
      </c>
      <c r="P155" s="4" t="str">
        <f>IF(OR($A155="RTD"),IF(AND($AH155&lt;&gt;""),"YES","NO"),"N/A")</f>
        <v>N/A</v>
      </c>
      <c r="Q155" s="4" t="str">
        <f>IF(OR($A155="RTD"),IF(AND($AI155&lt;&gt;""),"YES","NO"),"N/A")</f>
        <v>N/A</v>
      </c>
      <c r="R155" s="4" t="str">
        <f>IF(OR($AM155&lt;&gt;"",$Z155&lt;&gt;"",$AC155&lt;&gt;""),"YES","NO")</f>
        <v>NO</v>
      </c>
      <c r="S155" s="4" t="str">
        <f>IF(COUNTIF(I155:R155,"NO")=0,"YES","NO")</f>
        <v>NO</v>
      </c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inlineStr">
        <is>
          <t>Teck</t>
        </is>
      </c>
      <c r="AK155" s="9" t="inlineStr">
        <is>
          <t>10AWG</t>
        </is>
      </c>
      <c r="AL155" s="9" t="inlineStr">
        <is>
          <t>Levy Ostrup</t>
        </is>
      </c>
      <c r="AM155" s="9" t="n"/>
      <c r="AN155" s="9" t="n"/>
    </row>
    <row r="156">
      <c r="A156" s="9" t="inlineStr">
        <is>
          <t>Power Cable</t>
        </is>
      </c>
      <c r="B156" s="9" t="inlineStr">
        <is>
          <t>29103-ET-ST1203-1-PWK-1</t>
        </is>
      </c>
      <c r="C156" s="9" t="inlineStr">
        <is>
          <t>29103-ET-ST1203-1</t>
        </is>
      </c>
      <c r="D156" s="9" t="inlineStr">
        <is>
          <t>29103-AMB-002</t>
        </is>
      </c>
      <c r="E156" s="9" t="inlineStr">
        <is>
          <t>29103-HTP-002</t>
        </is>
      </c>
      <c r="F156" s="9" t="inlineStr"/>
      <c r="G156" s="9" t="inlineStr">
        <is>
          <t>113</t>
        </is>
      </c>
      <c r="H156" s="9" t="inlineStr">
        <is>
          <t>29103-ET-ST1203-1-PWK-1.pdf</t>
        </is>
      </c>
      <c r="I156" s="4" t="str">
        <f>IF($H156&lt;&gt;"","YES","NO")</f>
        <v>YES</v>
      </c>
      <c r="J156" s="4" t="str">
        <f>IF(N($T156)&gt;0,"YES","NO")</f>
        <v>NO</v>
      </c>
      <c r="K156" s="4" t="str">
        <f>IF(OR($A156="EHT Trace"),IF(AND($U156&lt;&gt;"",$V156&lt;&gt;""),"YES","NO"),"N/A")</f>
        <v>N/A</v>
      </c>
      <c r="L156" s="4" t="str">
        <f>IF(OR($A156="EHT Trace"),IF(AND($X156&lt;&gt;"",$Y156&lt;&gt;""),"YES","NO"),"N/A")</f>
        <v>N/A</v>
      </c>
      <c r="M156" s="4" t="str">
        <f>IF(OR($A156="EHT Trace"),IF(AND($AA156&lt;&gt;"",$AB156&lt;&gt;""),"YES","NO"),"N/A")</f>
        <v>N/A</v>
      </c>
      <c r="N156" s="4" t="str">
        <f>IF(OR($A156="Power Cable"),IF(AND($AD156&lt;&gt;""),"YES","NO"),"N/A")</f>
        <v>NO</v>
      </c>
      <c r="O156" s="4" t="str">
        <f>IF(OR($A156="Power Cable",$A156="RTD Cable",$A156="Fieldbus Cable"),IF(AND($AE156&lt;&gt;""),"YES","NO"),"N/A")</f>
        <v>NO</v>
      </c>
      <c r="P156" s="4" t="str">
        <f>IF(OR($A156="RTD"),IF(AND($AH156&lt;&gt;""),"YES","NO"),"N/A")</f>
        <v>N/A</v>
      </c>
      <c r="Q156" s="4" t="str">
        <f>IF(OR($A156="RTD"),IF(AND($AI156&lt;&gt;""),"YES","NO"),"N/A")</f>
        <v>N/A</v>
      </c>
      <c r="R156" s="4" t="str">
        <f>IF(OR($AM156&lt;&gt;"",$Z156&lt;&gt;"",$AC156&lt;&gt;""),"YES","NO")</f>
        <v>NO</v>
      </c>
      <c r="S156" s="4" t="str">
        <f>IF(COUNTIF(I156:R156,"NO")=0,"YES","NO")</f>
        <v>NO</v>
      </c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inlineStr">
        <is>
          <t>Teck</t>
        </is>
      </c>
      <c r="AK156" s="9" t="inlineStr">
        <is>
          <t>10AWG</t>
        </is>
      </c>
      <c r="AL156" s="9" t="inlineStr">
        <is>
          <t>Levy Ostrup</t>
        </is>
      </c>
      <c r="AM156" s="9" t="n"/>
      <c r="AN156" s="9" t="n"/>
    </row>
    <row r="157">
      <c r="A157" s="9" t="inlineStr">
        <is>
          <t>RTD</t>
        </is>
      </c>
      <c r="B157" s="9" t="inlineStr">
        <is>
          <t>29103-ET-P1101-1-R-1</t>
        </is>
      </c>
      <c r="C157" s="9" t="inlineStr">
        <is>
          <t>29103-ET-P1101-1</t>
        </is>
      </c>
      <c r="D157" s="9" t="inlineStr">
        <is>
          <t>29103-HTP-002 (TB5 / CB-37)</t>
        </is>
      </c>
      <c r="E157" s="9" t="inlineStr">
        <is>
          <t>PRODUCED EMULSION</t>
        </is>
      </c>
      <c r="F157" s="9" t="inlineStr">
        <is>
          <t>29103-ET-P1101-1</t>
        </is>
      </c>
      <c r="G157" s="9" t="inlineStr">
        <is>
          <t>13.2</t>
        </is>
      </c>
      <c r="H157" s="9" t="inlineStr">
        <is>
          <t>29103-ET-P1101-1-R-1.pdf</t>
        </is>
      </c>
      <c r="I157" s="4" t="str">
        <f>IF($H157&lt;&gt;"","YES","NO")</f>
        <v>YES</v>
      </c>
      <c r="J157" s="4" t="str">
        <f>IF(N($T157)&gt;0,"YES","NO")</f>
        <v>YES</v>
      </c>
      <c r="K157" s="4" t="str">
        <f>IF(OR($A157="EHT Trace"),IF(AND($U157&lt;&gt;"",$V157&lt;&gt;""),"YES","NO"),"N/A")</f>
        <v>N/A</v>
      </c>
      <c r="L157" s="4" t="str">
        <f>IF(OR($A157="EHT Trace"),IF(AND($X157&lt;&gt;"",$Y157&lt;&gt;""),"YES","NO"),"N/A")</f>
        <v>N/A</v>
      </c>
      <c r="M157" s="4" t="str">
        <f>IF(OR($A157="EHT Trace"),IF(AND($AA157&lt;&gt;"",$AB157&lt;&gt;""),"YES","NO"),"N/A")</f>
        <v>N/A</v>
      </c>
      <c r="N157" s="4" t="str">
        <f>IF(OR($A157="Power Cable"),IF(AND($AD157&lt;&gt;""),"YES","NO"),"N/A")</f>
        <v>N/A</v>
      </c>
      <c r="O157" s="4" t="str">
        <f>IF(OR($A157="Power Cable",$A157="RTD Cable",$A157="Fieldbus Cable"),IF(AND($AE157&lt;&gt;""),"YES","NO"),"N/A")</f>
        <v>N/A</v>
      </c>
      <c r="P157" s="4" t="str">
        <f>IF(OR($A157="RTD"),IF(AND($AH157&lt;&gt;""),"YES","NO"),"N/A")</f>
        <v>YES</v>
      </c>
      <c r="Q157" s="4" t="str">
        <f>IF(OR($A157="RTD"),IF(AND($AI157&lt;&gt;""),"YES","NO"),"N/A")</f>
        <v>YES</v>
      </c>
      <c r="R157" s="4" t="str">
        <f>IF(OR($AM157&lt;&gt;"",$Z157&lt;&gt;"",$AC157&lt;&gt;""),"YES","NO")</f>
        <v>YES</v>
      </c>
      <c r="S157" s="4" t="str">
        <f>IF(COUNTIF(I157:R157,"NO")=0,"YES","NO")</f>
        <v>YES</v>
      </c>
      <c r="T157" s="9" t="n">
        <v>9</v>
      </c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inlineStr">
        <is>
          <t>Fluke 179 70180306</t>
        </is>
      </c>
      <c r="AG157" s="9" t="inlineStr">
        <is>
          <t>100</t>
        </is>
      </c>
      <c r="AH157" s="9" t="inlineStr">
        <is>
          <t>104 / 104 / 0.2</t>
        </is>
      </c>
      <c r="AI157" s="9" t="inlineStr">
        <is>
          <t>102 Ω / 102 Ω / 0.2 Ω</t>
        </is>
      </c>
      <c r="AJ157" s="9" t="n"/>
      <c r="AK157" s="9" t="n"/>
      <c r="AL157" s="9" t="inlineStr">
        <is>
          <t>Levy Ostrup</t>
        </is>
      </c>
      <c r="AM157" s="9" t="inlineStr">
        <is>
          <t>Oct 1 2026</t>
        </is>
      </c>
      <c r="AN157" s="9" t="inlineStr">
        <is>
          <t>- Switched term points with ETP11041R1</t>
        </is>
      </c>
    </row>
    <row r="158">
      <c r="A158" s="9" t="inlineStr">
        <is>
          <t>RTD</t>
        </is>
      </c>
      <c r="B158" s="9" t="inlineStr">
        <is>
          <t>29103-ET-P1104-1-R-1</t>
        </is>
      </c>
      <c r="C158" s="9" t="inlineStr">
        <is>
          <t>29103-ET-P1104-1</t>
        </is>
      </c>
      <c r="D158" s="9" t="inlineStr">
        <is>
          <t>29103-HTP-002 (TB5 / CB-35)</t>
        </is>
      </c>
      <c r="E158" s="9" t="inlineStr">
        <is>
          <t>PRODUCED EMULSION</t>
        </is>
      </c>
      <c r="F158" s="9" t="inlineStr">
        <is>
          <t>29103-ET-P1104-1</t>
        </is>
      </c>
      <c r="G158" s="9" t="inlineStr">
        <is>
          <t>13.2</t>
        </is>
      </c>
      <c r="H158" s="9" t="inlineStr">
        <is>
          <t>29103-ET-P1104-1-R-1.pdf</t>
        </is>
      </c>
      <c r="I158" s="4" t="str">
        <f>IF($H158&lt;&gt;"","YES","NO")</f>
        <v>YES</v>
      </c>
      <c r="J158" s="4" t="str">
        <f>IF(N($T158)&gt;0,"YES","NO")</f>
        <v>YES</v>
      </c>
      <c r="K158" s="4" t="str">
        <f>IF(OR($A158="EHT Trace"),IF(AND($U158&lt;&gt;"",$V158&lt;&gt;""),"YES","NO"),"N/A")</f>
        <v>N/A</v>
      </c>
      <c r="L158" s="4" t="str">
        <f>IF(OR($A158="EHT Trace"),IF(AND($X158&lt;&gt;"",$Y158&lt;&gt;""),"YES","NO"),"N/A")</f>
        <v>N/A</v>
      </c>
      <c r="M158" s="4" t="str">
        <f>IF(OR($A158="EHT Trace"),IF(AND($AA158&lt;&gt;"",$AB158&lt;&gt;""),"YES","NO"),"N/A")</f>
        <v>N/A</v>
      </c>
      <c r="N158" s="4" t="str">
        <f>IF(OR($A158="Power Cable"),IF(AND($AD158&lt;&gt;""),"YES","NO"),"N/A")</f>
        <v>N/A</v>
      </c>
      <c r="O158" s="4" t="str">
        <f>IF(OR($A158="Power Cable",$A158="RTD Cable",$A158="Fieldbus Cable"),IF(AND($AE158&lt;&gt;""),"YES","NO"),"N/A")</f>
        <v>N/A</v>
      </c>
      <c r="P158" s="4" t="str">
        <f>IF(OR($A158="RTD"),IF(AND($AH158&lt;&gt;""),"YES","NO"),"N/A")</f>
        <v>NO</v>
      </c>
      <c r="Q158" s="4" t="str">
        <f>IF(OR($A158="RTD"),IF(AND($AI158&lt;&gt;""),"YES","NO"),"N/A")</f>
        <v>YES</v>
      </c>
      <c r="R158" s="4" t="str">
        <f>IF(OR($AM158&lt;&gt;"",$Z158&lt;&gt;"",$AC158&lt;&gt;""),"YES","NO")</f>
        <v>YES</v>
      </c>
      <c r="S158" s="4" t="str">
        <f>IF(COUNTIF(I158:R158,"NO")=0,"YES","NO")</f>
        <v>NO</v>
      </c>
      <c r="T158" s="9" t="n">
        <v>7</v>
      </c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inlineStr">
        <is>
          <t>Fluke 179 70180306</t>
        </is>
      </c>
      <c r="AG158" s="9" t="inlineStr">
        <is>
          <t>104.1</t>
        </is>
      </c>
      <c r="AH158" s="9" t="n"/>
      <c r="AI158" s="9" t="inlineStr">
        <is>
          <t>104 / 104 / 0.2</t>
        </is>
      </c>
      <c r="AJ158" s="9" t="n"/>
      <c r="AK158" s="9" t="n"/>
      <c r="AL158" s="9" t="inlineStr">
        <is>
          <t>Levy Ostrup</t>
        </is>
      </c>
      <c r="AM158" s="9" t="inlineStr">
        <is>
          <t>Sept 30 2026</t>
        </is>
      </c>
      <c r="AN158" s="9" t="inlineStr">
        <is>
          <t>- Switched termination points with ETP11011R1</t>
        </is>
      </c>
    </row>
    <row r="159">
      <c r="A159" s="9" t="inlineStr">
        <is>
          <t>RTD</t>
        </is>
      </c>
      <c r="B159" s="9" t="inlineStr">
        <is>
          <t>29103-ET-P1104-1-R-2</t>
        </is>
      </c>
      <c r="C159" s="9" t="inlineStr">
        <is>
          <t>29103-ET-P1104-1</t>
        </is>
      </c>
      <c r="D159" s="9" t="inlineStr">
        <is>
          <t>29103-HTP-002 (TB8 / I/O 2-3)</t>
        </is>
      </c>
      <c r="E159" s="9" t="inlineStr">
        <is>
          <t>PRODUCED EMULSION</t>
        </is>
      </c>
      <c r="F159" s="9" t="inlineStr">
        <is>
          <t>29103-ET-P1104-1</t>
        </is>
      </c>
      <c r="G159" s="9" t="inlineStr">
        <is>
          <t>13.2</t>
        </is>
      </c>
      <c r="H159" s="9" t="inlineStr">
        <is>
          <t>29103-ET-P1104-1-R-2.pdf</t>
        </is>
      </c>
      <c r="I159" s="4" t="str">
        <f>IF($H159&lt;&gt;"","YES","NO")</f>
        <v>YES</v>
      </c>
      <c r="J159" s="4" t="str">
        <f>IF(N($T159)&gt;0,"YES","NO")</f>
        <v>YES</v>
      </c>
      <c r="K159" s="4" t="str">
        <f>IF(OR($A159="EHT Trace"),IF(AND($U159&lt;&gt;"",$V159&lt;&gt;""),"YES","NO"),"N/A")</f>
        <v>N/A</v>
      </c>
      <c r="L159" s="4" t="str">
        <f>IF(OR($A159="EHT Trace"),IF(AND($X159&lt;&gt;"",$Y159&lt;&gt;""),"YES","NO"),"N/A")</f>
        <v>N/A</v>
      </c>
      <c r="M159" s="4" t="str">
        <f>IF(OR($A159="EHT Trace"),IF(AND($AA159&lt;&gt;"",$AB159&lt;&gt;""),"YES","NO"),"N/A")</f>
        <v>N/A</v>
      </c>
      <c r="N159" s="4" t="str">
        <f>IF(OR($A159="Power Cable"),IF(AND($AD159&lt;&gt;""),"YES","NO"),"N/A")</f>
        <v>N/A</v>
      </c>
      <c r="O159" s="4" t="str">
        <f>IF(OR($A159="Power Cable",$A159="RTD Cable",$A159="Fieldbus Cable"),IF(AND($AE159&lt;&gt;""),"YES","NO"),"N/A")</f>
        <v>N/A</v>
      </c>
      <c r="P159" s="4" t="str">
        <f>IF(OR($A159="RTD"),IF(AND($AH159&lt;&gt;""),"YES","NO"),"N/A")</f>
        <v>NO</v>
      </c>
      <c r="Q159" s="4" t="str">
        <f>IF(OR($A159="RTD"),IF(AND($AI159&lt;&gt;""),"YES","NO"),"N/A")</f>
        <v>YES</v>
      </c>
      <c r="R159" s="4" t="str">
        <f>IF(OR($AM159&lt;&gt;"",$Z159&lt;&gt;"",$AC159&lt;&gt;""),"YES","NO")</f>
        <v>YES</v>
      </c>
      <c r="S159" s="4" t="str">
        <f>IF(COUNTIF(I159:R159,"NO")=0,"YES","NO")</f>
        <v>NO</v>
      </c>
      <c r="T159" s="9" t="n">
        <v>9</v>
      </c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inlineStr">
        <is>
          <t>Fluke 179 70180306</t>
        </is>
      </c>
      <c r="AG159" s="9" t="inlineStr">
        <is>
          <t>100</t>
        </is>
      </c>
      <c r="AH159" s="9" t="n"/>
      <c r="AI159" s="9" t="inlineStr">
        <is>
          <t>104 / 104 / 0.2</t>
        </is>
      </c>
      <c r="AJ159" s="9" t="n"/>
      <c r="AK159" s="9" t="n"/>
      <c r="AL159" s="9" t="inlineStr">
        <is>
          <t>Levy Ostrup</t>
        </is>
      </c>
      <c r="AM159" s="9" t="inlineStr">
        <is>
          <t>Sept 30, 2026</t>
        </is>
      </c>
      <c r="AN159" s="9" t="n"/>
    </row>
    <row r="160">
      <c r="A160" s="9" t="inlineStr">
        <is>
          <t>RTD</t>
        </is>
      </c>
      <c r="B160" s="9" t="inlineStr">
        <is>
          <t>29103-ET-P1104-2-R-1</t>
        </is>
      </c>
      <c r="C160" s="9" t="inlineStr">
        <is>
          <t>29103-ET-P1104-2</t>
        </is>
      </c>
      <c r="D160" s="9" t="inlineStr">
        <is>
          <t>29103-HTP-002 (TB5 / CB-40)</t>
        </is>
      </c>
      <c r="E160" s="9" t="inlineStr">
        <is>
          <t>PRODUCED EMULSION</t>
        </is>
      </c>
      <c r="F160" s="9" t="inlineStr">
        <is>
          <t>29103-ET-P1104-2</t>
        </is>
      </c>
      <c r="G160" s="9" t="inlineStr">
        <is>
          <t>13.2</t>
        </is>
      </c>
      <c r="H160" s="9" t="inlineStr">
        <is>
          <t>29103-ET-P1104-2-R-1.pdf</t>
        </is>
      </c>
      <c r="I160" s="4" t="str">
        <f>IF($H160&lt;&gt;"","YES","NO")</f>
        <v>YES</v>
      </c>
      <c r="J160" s="4" t="str">
        <f>IF(N($T160)&gt;0,"YES","NO")</f>
        <v>YES</v>
      </c>
      <c r="K160" s="4" t="str">
        <f>IF(OR($A160="EHT Trace"),IF(AND($U160&lt;&gt;"",$V160&lt;&gt;""),"YES","NO"),"N/A")</f>
        <v>N/A</v>
      </c>
      <c r="L160" s="4" t="str">
        <f>IF(OR($A160="EHT Trace"),IF(AND($X160&lt;&gt;"",$Y160&lt;&gt;""),"YES","NO"),"N/A")</f>
        <v>N/A</v>
      </c>
      <c r="M160" s="4" t="str">
        <f>IF(OR($A160="EHT Trace"),IF(AND($AA160&lt;&gt;"",$AB160&lt;&gt;""),"YES","NO"),"N/A")</f>
        <v>N/A</v>
      </c>
      <c r="N160" s="4" t="str">
        <f>IF(OR($A160="Power Cable"),IF(AND($AD160&lt;&gt;""),"YES","NO"),"N/A")</f>
        <v>N/A</v>
      </c>
      <c r="O160" s="4" t="str">
        <f>IF(OR($A160="Power Cable",$A160="RTD Cable",$A160="Fieldbus Cable"),IF(AND($AE160&lt;&gt;""),"YES","NO"),"N/A")</f>
        <v>N/A</v>
      </c>
      <c r="P160" s="4" t="str">
        <f>IF(OR($A160="RTD"),IF(AND($AH160&lt;&gt;""),"YES","NO"),"N/A")</f>
        <v>NO</v>
      </c>
      <c r="Q160" s="4" t="str">
        <f>IF(OR($A160="RTD"),IF(AND($AI160&lt;&gt;""),"YES","NO"),"N/A")</f>
        <v>YES</v>
      </c>
      <c r="R160" s="4" t="str">
        <f>IF(OR($AM160&lt;&gt;"",$Z160&lt;&gt;"",$AC160&lt;&gt;""),"YES","NO")</f>
        <v>YES</v>
      </c>
      <c r="S160" s="4" t="str">
        <f>IF(COUNTIF(I160:R160,"NO")=0,"YES","NO")</f>
        <v>NO</v>
      </c>
      <c r="T160" s="9" t="n">
        <v>8</v>
      </c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inlineStr">
        <is>
          <t>Fluke 179 70180306</t>
        </is>
      </c>
      <c r="AG160" s="9" t="inlineStr">
        <is>
          <t>100</t>
        </is>
      </c>
      <c r="AH160" s="9" t="n"/>
      <c r="AI160" s="9" t="inlineStr">
        <is>
          <t>104 / 104 / 0.2</t>
        </is>
      </c>
      <c r="AJ160" s="9" t="n"/>
      <c r="AK160" s="9" t="n"/>
      <c r="AL160" s="9" t="inlineStr">
        <is>
          <t>Levy Ostrup</t>
        </is>
      </c>
      <c r="AM160" s="9" t="inlineStr">
        <is>
          <t>Sept 30 2026</t>
        </is>
      </c>
      <c r="AN160" s="9" t="inlineStr">
        <is>
          <t>- RTD sitting on trace (MI)</t>
        </is>
      </c>
    </row>
    <row r="161">
      <c r="A161" s="9" t="inlineStr">
        <is>
          <t>RTD</t>
        </is>
      </c>
      <c r="B161" s="9" t="inlineStr">
        <is>
          <t>29103-ET-P1104-2-R-2</t>
        </is>
      </c>
      <c r="C161" s="9" t="inlineStr">
        <is>
          <t>29103-ET-P1104-2</t>
        </is>
      </c>
      <c r="D161" s="9" t="inlineStr">
        <is>
          <t>29103-HTP-002 (I/O 2-4 / TB-8)</t>
        </is>
      </c>
      <c r="E161" s="9" t="inlineStr">
        <is>
          <t>PRODUCED EMULSION</t>
        </is>
      </c>
      <c r="F161" s="9" t="inlineStr">
        <is>
          <t>29103-ET-P1104-2</t>
        </is>
      </c>
      <c r="G161" s="9" t="inlineStr">
        <is>
          <t>13.2</t>
        </is>
      </c>
      <c r="H161" s="9" t="inlineStr">
        <is>
          <t>29103-ET-P1104-2-R-2.pdf</t>
        </is>
      </c>
      <c r="I161" s="4" t="str">
        <f>IF($H161&lt;&gt;"","YES","NO")</f>
        <v>YES</v>
      </c>
      <c r="J161" s="4" t="str">
        <f>IF(N($T161)&gt;0,"YES","NO")</f>
        <v>YES</v>
      </c>
      <c r="K161" s="4" t="str">
        <f>IF(OR($A161="EHT Trace"),IF(AND($U161&lt;&gt;"",$V161&lt;&gt;""),"YES","NO"),"N/A")</f>
        <v>N/A</v>
      </c>
      <c r="L161" s="4" t="str">
        <f>IF(OR($A161="EHT Trace"),IF(AND($X161&lt;&gt;"",$Y161&lt;&gt;""),"YES","NO"),"N/A")</f>
        <v>N/A</v>
      </c>
      <c r="M161" s="4" t="str">
        <f>IF(OR($A161="EHT Trace"),IF(AND($AA161&lt;&gt;"",$AB161&lt;&gt;""),"YES","NO"),"N/A")</f>
        <v>N/A</v>
      </c>
      <c r="N161" s="4" t="str">
        <f>IF(OR($A161="Power Cable"),IF(AND($AD161&lt;&gt;""),"YES","NO"),"N/A")</f>
        <v>N/A</v>
      </c>
      <c r="O161" s="4" t="str">
        <f>IF(OR($A161="Power Cable",$A161="RTD Cable",$A161="Fieldbus Cable"),IF(AND($AE161&lt;&gt;""),"YES","NO"),"N/A")</f>
        <v>N/A</v>
      </c>
      <c r="P161" s="4" t="str">
        <f>IF(OR($A161="RTD"),IF(AND($AH161&lt;&gt;""),"YES","NO"),"N/A")</f>
        <v>NO</v>
      </c>
      <c r="Q161" s="4" t="str">
        <f>IF(OR($A161="RTD"),IF(AND($AI161&lt;&gt;""),"YES","NO"),"N/A")</f>
        <v>YES</v>
      </c>
      <c r="R161" s="4" t="str">
        <f>IF(OR($AM161&lt;&gt;"",$Z161&lt;&gt;"",$AC161&lt;&gt;""),"YES","NO")</f>
        <v>YES</v>
      </c>
      <c r="S161" s="4" t="str">
        <f>IF(COUNTIF(I161:R161,"NO")=0,"YES","NO")</f>
        <v>NO</v>
      </c>
      <c r="T161" s="9" t="n">
        <v>9</v>
      </c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inlineStr">
        <is>
          <t>Fluke 179 70180306</t>
        </is>
      </c>
      <c r="AG161" s="9" t="inlineStr">
        <is>
          <t>100</t>
        </is>
      </c>
      <c r="AH161" s="9" t="n"/>
      <c r="AI161" s="9" t="inlineStr">
        <is>
          <t>104 / 104 / 0.2</t>
        </is>
      </c>
      <c r="AJ161" s="9" t="n"/>
      <c r="AK161" s="9" t="n"/>
      <c r="AL161" s="9" t="inlineStr">
        <is>
          <t>Levy Ostrup</t>
        </is>
      </c>
      <c r="AM161" s="9" t="inlineStr">
        <is>
          <t>Sept 29 2026</t>
        </is>
      </c>
      <c r="AN161" s="9" t="n"/>
    </row>
    <row r="162">
      <c r="A162" s="9" t="inlineStr">
        <is>
          <t>RTD</t>
        </is>
      </c>
      <c r="B162" s="9" t="inlineStr">
        <is>
          <t>29103-ET-P1201-1-R-1</t>
        </is>
      </c>
      <c r="C162" s="9" t="inlineStr">
        <is>
          <t>29103-ET-P1201-1</t>
        </is>
      </c>
      <c r="D162" s="9" t="inlineStr">
        <is>
          <t>29103-HTP-002 HTC-39</t>
        </is>
      </c>
      <c r="E162" s="9" t="inlineStr">
        <is>
          <t>PRODUCED EMULSION</t>
        </is>
      </c>
      <c r="F162" s="9" t="inlineStr">
        <is>
          <t>29103-65R-ET-P1201-01-01</t>
        </is>
      </c>
      <c r="G162" s="9" t="inlineStr">
        <is>
          <t>13.2</t>
        </is>
      </c>
      <c r="H162" s="9" t="inlineStr">
        <is>
          <t>29103-ET-P1201-1-R-1.pdf</t>
        </is>
      </c>
      <c r="I162" s="4" t="str">
        <f>IF($H162&lt;&gt;"","YES","NO")</f>
        <v>YES</v>
      </c>
      <c r="J162" s="4" t="str">
        <f>IF(N($T162)&gt;0,"YES","NO")</f>
        <v>NO</v>
      </c>
      <c r="K162" s="4" t="str">
        <f>IF(OR($A162="EHT Trace"),IF(AND($U162&lt;&gt;"",$V162&lt;&gt;""),"YES","NO"),"N/A")</f>
        <v>N/A</v>
      </c>
      <c r="L162" s="4" t="str">
        <f>IF(OR($A162="EHT Trace"),IF(AND($X162&lt;&gt;"",$Y162&lt;&gt;""),"YES","NO"),"N/A")</f>
        <v>N/A</v>
      </c>
      <c r="M162" s="4" t="str">
        <f>IF(OR($A162="EHT Trace"),IF(AND($AA162&lt;&gt;"",$AB162&lt;&gt;""),"YES","NO"),"N/A")</f>
        <v>N/A</v>
      </c>
      <c r="N162" s="4" t="str">
        <f>IF(OR($A162="Power Cable"),IF(AND($AD162&lt;&gt;""),"YES","NO"),"N/A")</f>
        <v>N/A</v>
      </c>
      <c r="O162" s="4" t="str">
        <f>IF(OR($A162="Power Cable",$A162="RTD Cable",$A162="Fieldbus Cable"),IF(AND($AE162&lt;&gt;""),"YES","NO"),"N/A")</f>
        <v>N/A</v>
      </c>
      <c r="P162" s="4" t="str">
        <f>IF(OR($A162="RTD"),IF(AND($AH162&lt;&gt;""),"YES","NO"),"N/A")</f>
        <v>NO</v>
      </c>
      <c r="Q162" s="4" t="str">
        <f>IF(OR($A162="RTD"),IF(AND($AI162&lt;&gt;""),"YES","NO"),"N/A")</f>
        <v>NO</v>
      </c>
      <c r="R162" s="4" t="str">
        <f>IF(OR($AM162&lt;&gt;"",$Z162&lt;&gt;"",$AC162&lt;&gt;""),"YES","NO")</f>
        <v>NO</v>
      </c>
      <c r="S162" s="4" t="str">
        <f>IF(COUNTIF(I162:R162,"NO")=0,"YES","NO")</f>
        <v>NO</v>
      </c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inlineStr">
        <is>
          <t>Levy Ostrup</t>
        </is>
      </c>
      <c r="AM162" s="9" t="n"/>
      <c r="AN162" s="9" t="n"/>
    </row>
    <row r="163">
      <c r="A163" s="9" t="inlineStr">
        <is>
          <t>RTD</t>
        </is>
      </c>
      <c r="B163" s="9" t="inlineStr">
        <is>
          <t>29103-ET-P1204-1-R-1</t>
        </is>
      </c>
      <c r="C163" s="9" t="inlineStr">
        <is>
          <t>29103-ET-P1204-1</t>
        </is>
      </c>
      <c r="D163" s="9" t="inlineStr">
        <is>
          <t>29103-HTP-002 HTC-27</t>
        </is>
      </c>
      <c r="E163" s="9" t="inlineStr">
        <is>
          <t>PRODUCED EMULSION</t>
        </is>
      </c>
      <c r="F163" s="9" t="inlineStr">
        <is>
          <t>29103-65R-ET-P1204-01-01</t>
        </is>
      </c>
      <c r="G163" s="9" t="inlineStr">
        <is>
          <t>13.2</t>
        </is>
      </c>
      <c r="H163" s="9" t="inlineStr">
        <is>
          <t>29103-ET-P1204-1-R-1.pdf</t>
        </is>
      </c>
      <c r="I163" s="4" t="str">
        <f>IF($H163&lt;&gt;"","YES","NO")</f>
        <v>YES</v>
      </c>
      <c r="J163" s="4" t="str">
        <f>IF(N($T163)&gt;0,"YES","NO")</f>
        <v>NO</v>
      </c>
      <c r="K163" s="4" t="str">
        <f>IF(OR($A163="EHT Trace"),IF(AND($U163&lt;&gt;"",$V163&lt;&gt;""),"YES","NO"),"N/A")</f>
        <v>N/A</v>
      </c>
      <c r="L163" s="4" t="str">
        <f>IF(OR($A163="EHT Trace"),IF(AND($X163&lt;&gt;"",$Y163&lt;&gt;""),"YES","NO"),"N/A")</f>
        <v>N/A</v>
      </c>
      <c r="M163" s="4" t="str">
        <f>IF(OR($A163="EHT Trace"),IF(AND($AA163&lt;&gt;"",$AB163&lt;&gt;""),"YES","NO"),"N/A")</f>
        <v>N/A</v>
      </c>
      <c r="N163" s="4" t="str">
        <f>IF(OR($A163="Power Cable"),IF(AND($AD163&lt;&gt;""),"YES","NO"),"N/A")</f>
        <v>N/A</v>
      </c>
      <c r="O163" s="4" t="str">
        <f>IF(OR($A163="Power Cable",$A163="RTD Cable",$A163="Fieldbus Cable"),IF(AND($AE163&lt;&gt;""),"YES","NO"),"N/A")</f>
        <v>N/A</v>
      </c>
      <c r="P163" s="4" t="str">
        <f>IF(OR($A163="RTD"),IF(AND($AH163&lt;&gt;""),"YES","NO"),"N/A")</f>
        <v>NO</v>
      </c>
      <c r="Q163" s="4" t="str">
        <f>IF(OR($A163="RTD"),IF(AND($AI163&lt;&gt;""),"YES","NO"),"N/A")</f>
        <v>NO</v>
      </c>
      <c r="R163" s="4" t="str">
        <f>IF(OR($AM163&lt;&gt;"",$Z163&lt;&gt;"",$AC163&lt;&gt;""),"YES","NO")</f>
        <v>NO</v>
      </c>
      <c r="S163" s="4" t="str">
        <f>IF(COUNTIF(I163:R163,"NO")=0,"YES","NO")</f>
        <v>NO</v>
      </c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inlineStr">
        <is>
          <t>Levy Ostrup</t>
        </is>
      </c>
      <c r="AM163" s="9" t="n"/>
      <c r="AN163" s="9" t="n"/>
    </row>
    <row r="164">
      <c r="A164" s="9" t="inlineStr">
        <is>
          <t>RTD</t>
        </is>
      </c>
      <c r="B164" s="9" t="inlineStr">
        <is>
          <t>29103-ET-P1204-1-R-2</t>
        </is>
      </c>
      <c r="C164" s="9" t="inlineStr">
        <is>
          <t>29103-ET-P1204-1</t>
        </is>
      </c>
      <c r="D164" s="9" t="inlineStr">
        <is>
          <t>29103-HTP-002 (TB8 / I/O 4-2)</t>
        </is>
      </c>
      <c r="E164" s="9" t="inlineStr">
        <is>
          <t>PRODUCED EMULSION</t>
        </is>
      </c>
      <c r="F164" s="9" t="inlineStr">
        <is>
          <t>29103-ET-P1204-1</t>
        </is>
      </c>
      <c r="G164" s="9" t="inlineStr">
        <is>
          <t>13.2</t>
        </is>
      </c>
      <c r="H164" s="9" t="inlineStr">
        <is>
          <t>29103-ET-P1204-1-R-2.pdf</t>
        </is>
      </c>
      <c r="I164" s="4" t="str">
        <f>IF($H164&lt;&gt;"","YES","NO")</f>
        <v>YES</v>
      </c>
      <c r="J164" s="4" t="str">
        <f>IF(N($T164)&gt;0,"YES","NO")</f>
        <v>YES</v>
      </c>
      <c r="K164" s="4" t="str">
        <f>IF(OR($A164="EHT Trace"),IF(AND($U164&lt;&gt;"",$V164&lt;&gt;""),"YES","NO"),"N/A")</f>
        <v>N/A</v>
      </c>
      <c r="L164" s="4" t="str">
        <f>IF(OR($A164="EHT Trace"),IF(AND($X164&lt;&gt;"",$Y164&lt;&gt;""),"YES","NO"),"N/A")</f>
        <v>N/A</v>
      </c>
      <c r="M164" s="4" t="str">
        <f>IF(OR($A164="EHT Trace"),IF(AND($AA164&lt;&gt;"",$AB164&lt;&gt;""),"YES","NO"),"N/A")</f>
        <v>N/A</v>
      </c>
      <c r="N164" s="4" t="str">
        <f>IF(OR($A164="Power Cable"),IF(AND($AD164&lt;&gt;""),"YES","NO"),"N/A")</f>
        <v>N/A</v>
      </c>
      <c r="O164" s="4" t="str">
        <f>IF(OR($A164="Power Cable",$A164="RTD Cable",$A164="Fieldbus Cable"),IF(AND($AE164&lt;&gt;""),"YES","NO"),"N/A")</f>
        <v>N/A</v>
      </c>
      <c r="P164" s="4" t="str">
        <f>IF(OR($A164="RTD"),IF(AND($AH164&lt;&gt;""),"YES","NO"),"N/A")</f>
        <v>NO</v>
      </c>
      <c r="Q164" s="4" t="str">
        <f>IF(OR($A164="RTD"),IF(AND($AI164&lt;&gt;""),"YES","NO"),"N/A")</f>
        <v>YES</v>
      </c>
      <c r="R164" s="4" t="str">
        <f>IF(OR($AM164&lt;&gt;"",$Z164&lt;&gt;"",$AC164&lt;&gt;""),"YES","NO")</f>
        <v>YES</v>
      </c>
      <c r="S164" s="4" t="str">
        <f>IF(COUNTIF(I164:R164,"NO")=0,"YES","NO")</f>
        <v>NO</v>
      </c>
      <c r="T164" s="9" t="n">
        <v>9</v>
      </c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inlineStr">
        <is>
          <t>Fluke 179 70180306</t>
        </is>
      </c>
      <c r="AG164" s="9" t="inlineStr">
        <is>
          <t>100</t>
        </is>
      </c>
      <c r="AH164" s="9" t="n"/>
      <c r="AI164" s="9" t="inlineStr">
        <is>
          <t>104 / 104 / 0.2</t>
        </is>
      </c>
      <c r="AJ164" s="9" t="n"/>
      <c r="AK164" s="9" t="n"/>
      <c r="AL164" s="9" t="inlineStr">
        <is>
          <t>Levy Ostrup</t>
        </is>
      </c>
      <c r="AM164" s="9" t="inlineStr">
        <is>
          <t>Sept 30, 2026</t>
        </is>
      </c>
      <c r="AN164" s="9" t="n"/>
    </row>
    <row r="165">
      <c r="A165" s="9" t="inlineStr">
        <is>
          <t>RTD</t>
        </is>
      </c>
      <c r="B165" s="9" t="inlineStr">
        <is>
          <t>29103-ET-P1204-2-R-1</t>
        </is>
      </c>
      <c r="C165" s="9" t="inlineStr">
        <is>
          <t>29103-ET-P1204-2</t>
        </is>
      </c>
      <c r="D165" s="9" t="inlineStr">
        <is>
          <t>29103-HTP-002 (TB5 / HTC-29)</t>
        </is>
      </c>
      <c r="E165" s="9" t="inlineStr">
        <is>
          <t>PRODUCED EMULSION</t>
        </is>
      </c>
      <c r="F165" s="9" t="inlineStr">
        <is>
          <t>29103-ET-P1204-2</t>
        </is>
      </c>
      <c r="G165" s="9" t="inlineStr">
        <is>
          <t>13.2</t>
        </is>
      </c>
      <c r="H165" s="9" t="inlineStr">
        <is>
          <t>29103-ET-P1204-2-R-1.pdf</t>
        </is>
      </c>
      <c r="I165" s="4" t="str">
        <f>IF($H165&lt;&gt;"","YES","NO")</f>
        <v>YES</v>
      </c>
      <c r="J165" s="4" t="str">
        <f>IF(N($T165)&gt;0,"YES","NO")</f>
        <v>YES</v>
      </c>
      <c r="K165" s="4" t="str">
        <f>IF(OR($A165="EHT Trace"),IF(AND($U165&lt;&gt;"",$V165&lt;&gt;""),"YES","NO"),"N/A")</f>
        <v>N/A</v>
      </c>
      <c r="L165" s="4" t="str">
        <f>IF(OR($A165="EHT Trace"),IF(AND($X165&lt;&gt;"",$Y165&lt;&gt;""),"YES","NO"),"N/A")</f>
        <v>N/A</v>
      </c>
      <c r="M165" s="4" t="str">
        <f>IF(OR($A165="EHT Trace"),IF(AND($AA165&lt;&gt;"",$AB165&lt;&gt;""),"YES","NO"),"N/A")</f>
        <v>N/A</v>
      </c>
      <c r="N165" s="4" t="str">
        <f>IF(OR($A165="Power Cable"),IF(AND($AD165&lt;&gt;""),"YES","NO"),"N/A")</f>
        <v>N/A</v>
      </c>
      <c r="O165" s="4" t="str">
        <f>IF(OR($A165="Power Cable",$A165="RTD Cable",$A165="Fieldbus Cable"),IF(AND($AE165&lt;&gt;""),"YES","NO"),"N/A")</f>
        <v>N/A</v>
      </c>
      <c r="P165" s="4" t="str">
        <f>IF(OR($A165="RTD"),IF(AND($AH165&lt;&gt;""),"YES","NO"),"N/A")</f>
        <v>NO</v>
      </c>
      <c r="Q165" s="4" t="str">
        <f>IF(OR($A165="RTD"),IF(AND($AI165&lt;&gt;""),"YES","NO"),"N/A")</f>
        <v>YES</v>
      </c>
      <c r="R165" s="4" t="str">
        <f>IF(OR($AM165&lt;&gt;"",$Z165&lt;&gt;"",$AC165&lt;&gt;""),"YES","NO")</f>
        <v>YES</v>
      </c>
      <c r="S165" s="4" t="str">
        <f>IF(COUNTIF(I165:R165,"NO")=0,"YES","NO")</f>
        <v>NO</v>
      </c>
      <c r="T165" s="9" t="n">
        <v>9</v>
      </c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inlineStr">
        <is>
          <t>Fluke 179 70180306</t>
        </is>
      </c>
      <c r="AG165" s="9" t="inlineStr">
        <is>
          <t>100</t>
        </is>
      </c>
      <c r="AH165" s="9" t="n"/>
      <c r="AI165" s="9" t="inlineStr">
        <is>
          <t>104 / 104 / 0.2</t>
        </is>
      </c>
      <c r="AJ165" s="9" t="n"/>
      <c r="AK165" s="9" t="n"/>
      <c r="AL165" s="9" t="inlineStr">
        <is>
          <t>Levy Ostrup</t>
        </is>
      </c>
      <c r="AM165" s="9" t="inlineStr">
        <is>
          <t>Sept 30, 2026</t>
        </is>
      </c>
      <c r="AN165" s="9" t="n"/>
    </row>
    <row r="166">
      <c r="A166" s="9" t="inlineStr">
        <is>
          <t>RTD</t>
        </is>
      </c>
      <c r="B166" s="9" t="inlineStr">
        <is>
          <t>29103-ET-P1204-2-R-2</t>
        </is>
      </c>
      <c r="C166" s="9" t="inlineStr">
        <is>
          <t>29103-ET-P1204-2</t>
        </is>
      </c>
      <c r="D166" s="9" t="inlineStr">
        <is>
          <t>29103-HTP-002 I/O-4-3</t>
        </is>
      </c>
      <c r="E166" s="9" t="inlineStr">
        <is>
          <t>PRODUCED EMULSION</t>
        </is>
      </c>
      <c r="F166" s="9" t="inlineStr">
        <is>
          <t>29103-65R-ET-P1204-02-01</t>
        </is>
      </c>
      <c r="G166" s="9" t="inlineStr">
        <is>
          <t>13.2</t>
        </is>
      </c>
      <c r="H166" s="9" t="inlineStr">
        <is>
          <t>29103-ET-P1204-2-R-2.pdf</t>
        </is>
      </c>
      <c r="I166" s="4" t="str">
        <f>IF($H166&lt;&gt;"","YES","NO")</f>
        <v>YES</v>
      </c>
      <c r="J166" s="4" t="str">
        <f>IF(N($T166)&gt;0,"YES","NO")</f>
        <v>NO</v>
      </c>
      <c r="K166" s="4" t="str">
        <f>IF(OR($A166="EHT Trace"),IF(AND($U166&lt;&gt;"",$V166&lt;&gt;""),"YES","NO"),"N/A")</f>
        <v>N/A</v>
      </c>
      <c r="L166" s="4" t="str">
        <f>IF(OR($A166="EHT Trace"),IF(AND($X166&lt;&gt;"",$Y166&lt;&gt;""),"YES","NO"),"N/A")</f>
        <v>N/A</v>
      </c>
      <c r="M166" s="4" t="str">
        <f>IF(OR($A166="EHT Trace"),IF(AND($AA166&lt;&gt;"",$AB166&lt;&gt;""),"YES","NO"),"N/A")</f>
        <v>N/A</v>
      </c>
      <c r="N166" s="4" t="str">
        <f>IF(OR($A166="Power Cable"),IF(AND($AD166&lt;&gt;""),"YES","NO"),"N/A")</f>
        <v>N/A</v>
      </c>
      <c r="O166" s="4" t="str">
        <f>IF(OR($A166="Power Cable",$A166="RTD Cable",$A166="Fieldbus Cable"),IF(AND($AE166&lt;&gt;""),"YES","NO"),"N/A")</f>
        <v>N/A</v>
      </c>
      <c r="P166" s="4" t="str">
        <f>IF(OR($A166="RTD"),IF(AND($AH166&lt;&gt;""),"YES","NO"),"N/A")</f>
        <v>NO</v>
      </c>
      <c r="Q166" s="4" t="str">
        <f>IF(OR($A166="RTD"),IF(AND($AI166&lt;&gt;""),"YES","NO"),"N/A")</f>
        <v>NO</v>
      </c>
      <c r="R166" s="4" t="str">
        <f>IF(OR($AM166&lt;&gt;"",$Z166&lt;&gt;"",$AC166&lt;&gt;""),"YES","NO")</f>
        <v>NO</v>
      </c>
      <c r="S166" s="4" t="str">
        <f>IF(COUNTIF(I166:R166,"NO")=0,"YES","NO")</f>
        <v>NO</v>
      </c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inlineStr">
        <is>
          <t>Levy Ostrup</t>
        </is>
      </c>
      <c r="AM166" s="9" t="n"/>
      <c r="AN166" s="9" t="n"/>
    </row>
    <row r="167">
      <c r="A167" s="9" t="inlineStr">
        <is>
          <t>RTD</t>
        </is>
      </c>
      <c r="B167" s="9" t="inlineStr">
        <is>
          <t>29103-ET-P1301-1-R-1</t>
        </is>
      </c>
      <c r="C167" s="9" t="inlineStr">
        <is>
          <t>29103-ET-P1301-1</t>
        </is>
      </c>
      <c r="D167" s="9" t="inlineStr">
        <is>
          <t>29103-HTP-002 HTC-38</t>
        </is>
      </c>
      <c r="E167" s="9" t="inlineStr">
        <is>
          <t>PRODUCED EMULSION</t>
        </is>
      </c>
      <c r="F167" s="9" t="inlineStr">
        <is>
          <t>29103-65R-ET-P1301-01-01</t>
        </is>
      </c>
      <c r="G167" s="9" t="inlineStr">
        <is>
          <t>13.2</t>
        </is>
      </c>
      <c r="H167" s="9" t="inlineStr">
        <is>
          <t>29103-ET-P1301-1-R-1.pdf</t>
        </is>
      </c>
      <c r="I167" s="4" t="str">
        <f>IF($H167&lt;&gt;"","YES","NO")</f>
        <v>YES</v>
      </c>
      <c r="J167" s="4" t="str">
        <f>IF(N($T167)&gt;0,"YES","NO")</f>
        <v>NO</v>
      </c>
      <c r="K167" s="4" t="str">
        <f>IF(OR($A167="EHT Trace"),IF(AND($U167&lt;&gt;"",$V167&lt;&gt;""),"YES","NO"),"N/A")</f>
        <v>N/A</v>
      </c>
      <c r="L167" s="4" t="str">
        <f>IF(OR($A167="EHT Trace"),IF(AND($X167&lt;&gt;"",$Y167&lt;&gt;""),"YES","NO"),"N/A")</f>
        <v>N/A</v>
      </c>
      <c r="M167" s="4" t="str">
        <f>IF(OR($A167="EHT Trace"),IF(AND($AA167&lt;&gt;"",$AB167&lt;&gt;""),"YES","NO"),"N/A")</f>
        <v>N/A</v>
      </c>
      <c r="N167" s="4" t="str">
        <f>IF(OR($A167="Power Cable"),IF(AND($AD167&lt;&gt;""),"YES","NO"),"N/A")</f>
        <v>N/A</v>
      </c>
      <c r="O167" s="4" t="str">
        <f>IF(OR($A167="Power Cable",$A167="RTD Cable",$A167="Fieldbus Cable"),IF(AND($AE167&lt;&gt;""),"YES","NO"),"N/A")</f>
        <v>N/A</v>
      </c>
      <c r="P167" s="4" t="str">
        <f>IF(OR($A167="RTD"),IF(AND($AH167&lt;&gt;""),"YES","NO"),"N/A")</f>
        <v>NO</v>
      </c>
      <c r="Q167" s="4" t="str">
        <f>IF(OR($A167="RTD"),IF(AND($AI167&lt;&gt;""),"YES","NO"),"N/A")</f>
        <v>NO</v>
      </c>
      <c r="R167" s="4" t="str">
        <f>IF(OR($AM167&lt;&gt;"",$Z167&lt;&gt;"",$AC167&lt;&gt;""),"YES","NO")</f>
        <v>NO</v>
      </c>
      <c r="S167" s="4" t="str">
        <f>IF(COUNTIF(I167:R167,"NO")=0,"YES","NO")</f>
        <v>NO</v>
      </c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inlineStr">
        <is>
          <t>Levy Ostrup</t>
        </is>
      </c>
      <c r="AM167" s="9" t="n"/>
      <c r="AN167" s="9" t="n"/>
    </row>
    <row r="168">
      <c r="A168" s="9" t="inlineStr">
        <is>
          <t>RTD</t>
        </is>
      </c>
      <c r="B168" s="9" t="inlineStr">
        <is>
          <t>29103-ET-P1304-1-R-1</t>
        </is>
      </c>
      <c r="C168" s="9" t="inlineStr">
        <is>
          <t>29103-ET-P1304-1</t>
        </is>
      </c>
      <c r="D168" s="9" t="inlineStr">
        <is>
          <t>29103-HTP-002 HTC-09</t>
        </is>
      </c>
      <c r="E168" s="9" t="inlineStr">
        <is>
          <t>PRODUCED EMULSION</t>
        </is>
      </c>
      <c r="F168" s="9" t="inlineStr">
        <is>
          <t>29103-65R-ET-P1304-01-01</t>
        </is>
      </c>
      <c r="G168" s="9" t="inlineStr">
        <is>
          <t>13.2</t>
        </is>
      </c>
      <c r="H168" s="9" t="inlineStr">
        <is>
          <t>29103-ET-P1304-1-R-1.pdf</t>
        </is>
      </c>
      <c r="I168" s="4" t="str">
        <f>IF($H168&lt;&gt;"","YES","NO")</f>
        <v>YES</v>
      </c>
      <c r="J168" s="4" t="str">
        <f>IF(N($T168)&gt;0,"YES","NO")</f>
        <v>NO</v>
      </c>
      <c r="K168" s="4" t="str">
        <f>IF(OR($A168="EHT Trace"),IF(AND($U168&lt;&gt;"",$V168&lt;&gt;""),"YES","NO"),"N/A")</f>
        <v>N/A</v>
      </c>
      <c r="L168" s="4" t="str">
        <f>IF(OR($A168="EHT Trace"),IF(AND($X168&lt;&gt;"",$Y168&lt;&gt;""),"YES","NO"),"N/A")</f>
        <v>N/A</v>
      </c>
      <c r="M168" s="4" t="str">
        <f>IF(OR($A168="EHT Trace"),IF(AND($AA168&lt;&gt;"",$AB168&lt;&gt;""),"YES","NO"),"N/A")</f>
        <v>N/A</v>
      </c>
      <c r="N168" s="4" t="str">
        <f>IF(OR($A168="Power Cable"),IF(AND($AD168&lt;&gt;""),"YES","NO"),"N/A")</f>
        <v>N/A</v>
      </c>
      <c r="O168" s="4" t="str">
        <f>IF(OR($A168="Power Cable",$A168="RTD Cable",$A168="Fieldbus Cable"),IF(AND($AE168&lt;&gt;""),"YES","NO"),"N/A")</f>
        <v>N/A</v>
      </c>
      <c r="P168" s="4" t="str">
        <f>IF(OR($A168="RTD"),IF(AND($AH168&lt;&gt;""),"YES","NO"),"N/A")</f>
        <v>NO</v>
      </c>
      <c r="Q168" s="4" t="str">
        <f>IF(OR($A168="RTD"),IF(AND($AI168&lt;&gt;""),"YES","NO"),"N/A")</f>
        <v>NO</v>
      </c>
      <c r="R168" s="4" t="str">
        <f>IF(OR($AM168&lt;&gt;"",$Z168&lt;&gt;"",$AC168&lt;&gt;""),"YES","NO")</f>
        <v>NO</v>
      </c>
      <c r="S168" s="4" t="str">
        <f>IF(COUNTIF(I168:R168,"NO")=0,"YES","NO")</f>
        <v>NO</v>
      </c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inlineStr">
        <is>
          <t>Levy Ostrup</t>
        </is>
      </c>
      <c r="AM168" s="9" t="n"/>
      <c r="AN168" s="9" t="n"/>
    </row>
    <row r="169">
      <c r="A169" s="9" t="inlineStr">
        <is>
          <t>RTD</t>
        </is>
      </c>
      <c r="B169" s="9" t="inlineStr">
        <is>
          <t>29103-ET-P1304-1-R-2</t>
        </is>
      </c>
      <c r="C169" s="9" t="inlineStr">
        <is>
          <t>29103-ET-P1304-1</t>
        </is>
      </c>
      <c r="D169" s="9" t="inlineStr">
        <is>
          <t>29103-HTP-002 I/O-1-3</t>
        </is>
      </c>
      <c r="E169" s="9" t="inlineStr">
        <is>
          <t>PRODUCED EMULSION</t>
        </is>
      </c>
      <c r="F169" s="9" t="inlineStr">
        <is>
          <t>29103-65R-ET-P1304-01-01</t>
        </is>
      </c>
      <c r="G169" s="9" t="inlineStr">
        <is>
          <t>13.2</t>
        </is>
      </c>
      <c r="H169" s="9" t="inlineStr">
        <is>
          <t>29103-ET-P1304-1-R-2.pdf</t>
        </is>
      </c>
      <c r="I169" s="4" t="str">
        <f>IF($H169&lt;&gt;"","YES","NO")</f>
        <v>YES</v>
      </c>
      <c r="J169" s="4" t="str">
        <f>IF(N($T169)&gt;0,"YES","NO")</f>
        <v>NO</v>
      </c>
      <c r="K169" s="4" t="str">
        <f>IF(OR($A169="EHT Trace"),IF(AND($U169&lt;&gt;"",$V169&lt;&gt;""),"YES","NO"),"N/A")</f>
        <v>N/A</v>
      </c>
      <c r="L169" s="4" t="str">
        <f>IF(OR($A169="EHT Trace"),IF(AND($X169&lt;&gt;"",$Y169&lt;&gt;""),"YES","NO"),"N/A")</f>
        <v>N/A</v>
      </c>
      <c r="M169" s="4" t="str">
        <f>IF(OR($A169="EHT Trace"),IF(AND($AA169&lt;&gt;"",$AB169&lt;&gt;""),"YES","NO"),"N/A")</f>
        <v>N/A</v>
      </c>
      <c r="N169" s="4" t="str">
        <f>IF(OR($A169="Power Cable"),IF(AND($AD169&lt;&gt;""),"YES","NO"),"N/A")</f>
        <v>N/A</v>
      </c>
      <c r="O169" s="4" t="str">
        <f>IF(OR($A169="Power Cable",$A169="RTD Cable",$A169="Fieldbus Cable"),IF(AND($AE169&lt;&gt;""),"YES","NO"),"N/A")</f>
        <v>N/A</v>
      </c>
      <c r="P169" s="4" t="str">
        <f>IF(OR($A169="RTD"),IF(AND($AH169&lt;&gt;""),"YES","NO"),"N/A")</f>
        <v>NO</v>
      </c>
      <c r="Q169" s="4" t="str">
        <f>IF(OR($A169="RTD"),IF(AND($AI169&lt;&gt;""),"YES","NO"),"N/A")</f>
        <v>NO</v>
      </c>
      <c r="R169" s="4" t="str">
        <f>IF(OR($AM169&lt;&gt;"",$Z169&lt;&gt;"",$AC169&lt;&gt;""),"YES","NO")</f>
        <v>NO</v>
      </c>
      <c r="S169" s="4" t="str">
        <f>IF(COUNTIF(I169:R169,"NO")=0,"YES","NO")</f>
        <v>NO</v>
      </c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inlineStr">
        <is>
          <t>Levy Ostrup</t>
        </is>
      </c>
      <c r="AM169" s="9" t="n"/>
      <c r="AN169" s="9" t="n"/>
    </row>
    <row r="170">
      <c r="A170" s="9" t="inlineStr">
        <is>
          <t>RTD</t>
        </is>
      </c>
      <c r="B170" s="9" t="inlineStr">
        <is>
          <t>29103-ET-P1304-2-R-1</t>
        </is>
      </c>
      <c r="C170" s="9" t="inlineStr">
        <is>
          <t>29103-ET-P1304-2</t>
        </is>
      </c>
      <c r="D170" s="9" t="inlineStr">
        <is>
          <t>29103-HTP-002 HTC-19</t>
        </is>
      </c>
      <c r="E170" s="9" t="inlineStr">
        <is>
          <t>PRODUCED EMULSION</t>
        </is>
      </c>
      <c r="F170" s="9" t="inlineStr">
        <is>
          <t>29103-65R-ET-P1304-02-01</t>
        </is>
      </c>
      <c r="G170" s="9" t="inlineStr">
        <is>
          <t>13.2</t>
        </is>
      </c>
      <c r="H170" s="9" t="inlineStr">
        <is>
          <t>29103-ET-P1304-2-R-1.pdf</t>
        </is>
      </c>
      <c r="I170" s="4" t="str">
        <f>IF($H170&lt;&gt;"","YES","NO")</f>
        <v>YES</v>
      </c>
      <c r="J170" s="4" t="str">
        <f>IF(N($T170)&gt;0,"YES","NO")</f>
        <v>NO</v>
      </c>
      <c r="K170" s="4" t="str">
        <f>IF(OR($A170="EHT Trace"),IF(AND($U170&lt;&gt;"",$V170&lt;&gt;""),"YES","NO"),"N/A")</f>
        <v>N/A</v>
      </c>
      <c r="L170" s="4" t="str">
        <f>IF(OR($A170="EHT Trace"),IF(AND($X170&lt;&gt;"",$Y170&lt;&gt;""),"YES","NO"),"N/A")</f>
        <v>N/A</v>
      </c>
      <c r="M170" s="4" t="str">
        <f>IF(OR($A170="EHT Trace"),IF(AND($AA170&lt;&gt;"",$AB170&lt;&gt;""),"YES","NO"),"N/A")</f>
        <v>N/A</v>
      </c>
      <c r="N170" s="4" t="str">
        <f>IF(OR($A170="Power Cable"),IF(AND($AD170&lt;&gt;""),"YES","NO"),"N/A")</f>
        <v>N/A</v>
      </c>
      <c r="O170" s="4" t="str">
        <f>IF(OR($A170="Power Cable",$A170="RTD Cable",$A170="Fieldbus Cable"),IF(AND($AE170&lt;&gt;""),"YES","NO"),"N/A")</f>
        <v>N/A</v>
      </c>
      <c r="P170" s="4" t="str">
        <f>IF(OR($A170="RTD"),IF(AND($AH170&lt;&gt;""),"YES","NO"),"N/A")</f>
        <v>NO</v>
      </c>
      <c r="Q170" s="4" t="str">
        <f>IF(OR($A170="RTD"),IF(AND($AI170&lt;&gt;""),"YES","NO"),"N/A")</f>
        <v>NO</v>
      </c>
      <c r="R170" s="4" t="str">
        <f>IF(OR($AM170&lt;&gt;"",$Z170&lt;&gt;"",$AC170&lt;&gt;""),"YES","NO")</f>
        <v>NO</v>
      </c>
      <c r="S170" s="4" t="str">
        <f>IF(COUNTIF(I170:R170,"NO")=0,"YES","NO")</f>
        <v>NO</v>
      </c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inlineStr">
        <is>
          <t>Levy Ostrup</t>
        </is>
      </c>
      <c r="AM170" s="9" t="n"/>
      <c r="AN170" s="9" t="n"/>
    </row>
    <row r="171">
      <c r="A171" s="9" t="inlineStr">
        <is>
          <t>RTD</t>
        </is>
      </c>
      <c r="B171" s="9" t="inlineStr">
        <is>
          <t>29103-ET-P1304-2-R-2</t>
        </is>
      </c>
      <c r="C171" s="9" t="inlineStr">
        <is>
          <t>29103-ET-P1304-2</t>
        </is>
      </c>
      <c r="D171" s="9" t="inlineStr">
        <is>
          <t>29103-HTP-002 I/O-3-3</t>
        </is>
      </c>
      <c r="E171" s="9" t="inlineStr">
        <is>
          <t>PRODUCED EMULSION</t>
        </is>
      </c>
      <c r="F171" s="9" t="inlineStr">
        <is>
          <t>29103-65R-ET-P1304-02-01</t>
        </is>
      </c>
      <c r="G171" s="9" t="inlineStr">
        <is>
          <t>13.2</t>
        </is>
      </c>
      <c r="H171" s="9" t="inlineStr">
        <is>
          <t>29103-ET-P1304-2-R-2.pdf</t>
        </is>
      </c>
      <c r="I171" s="4" t="str">
        <f>IF($H171&lt;&gt;"","YES","NO")</f>
        <v>YES</v>
      </c>
      <c r="J171" s="4" t="str">
        <f>IF(N($T171)&gt;0,"YES","NO")</f>
        <v>NO</v>
      </c>
      <c r="K171" s="4" t="str">
        <f>IF(OR($A171="EHT Trace"),IF(AND($U171&lt;&gt;"",$V171&lt;&gt;""),"YES","NO"),"N/A")</f>
        <v>N/A</v>
      </c>
      <c r="L171" s="4" t="str">
        <f>IF(OR($A171="EHT Trace"),IF(AND($X171&lt;&gt;"",$Y171&lt;&gt;""),"YES","NO"),"N/A")</f>
        <v>N/A</v>
      </c>
      <c r="M171" s="4" t="str">
        <f>IF(OR($A171="EHT Trace"),IF(AND($AA171&lt;&gt;"",$AB171&lt;&gt;""),"YES","NO"),"N/A")</f>
        <v>N/A</v>
      </c>
      <c r="N171" s="4" t="str">
        <f>IF(OR($A171="Power Cable"),IF(AND($AD171&lt;&gt;""),"YES","NO"),"N/A")</f>
        <v>N/A</v>
      </c>
      <c r="O171" s="4" t="str">
        <f>IF(OR($A171="Power Cable",$A171="RTD Cable",$A171="Fieldbus Cable"),IF(AND($AE171&lt;&gt;""),"YES","NO"),"N/A")</f>
        <v>N/A</v>
      </c>
      <c r="P171" s="4" t="str">
        <f>IF(OR($A171="RTD"),IF(AND($AH171&lt;&gt;""),"YES","NO"),"N/A")</f>
        <v>NO</v>
      </c>
      <c r="Q171" s="4" t="str">
        <f>IF(OR($A171="RTD"),IF(AND($AI171&lt;&gt;""),"YES","NO"),"N/A")</f>
        <v>NO</v>
      </c>
      <c r="R171" s="4" t="str">
        <f>IF(OR($AM171&lt;&gt;"",$Z171&lt;&gt;"",$AC171&lt;&gt;""),"YES","NO")</f>
        <v>NO</v>
      </c>
      <c r="S171" s="4" t="str">
        <f>IF(COUNTIF(I171:R171,"NO")=0,"YES","NO")</f>
        <v>NO</v>
      </c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inlineStr">
        <is>
          <t>Levy Ostrup</t>
        </is>
      </c>
      <c r="AM171" s="9" t="n"/>
      <c r="AN171" s="9" t="n"/>
    </row>
    <row r="172">
      <c r="A172" s="9" t="inlineStr">
        <is>
          <t>RTD</t>
        </is>
      </c>
      <c r="B172" s="9" t="inlineStr">
        <is>
          <t>29103-ET-P1401-1-R-1</t>
        </is>
      </c>
      <c r="C172" s="9" t="inlineStr">
        <is>
          <t>29103-ET-P1401-1</t>
        </is>
      </c>
      <c r="D172" s="9" t="inlineStr">
        <is>
          <t>29103-HTP-002 HTC-05</t>
        </is>
      </c>
      <c r="E172" s="9" t="inlineStr">
        <is>
          <t>PRODUCED EMULSION</t>
        </is>
      </c>
      <c r="F172" s="9" t="inlineStr">
        <is>
          <t>29103-65R-ET-P1401-01-01</t>
        </is>
      </c>
      <c r="G172" s="9" t="inlineStr">
        <is>
          <t>13.2</t>
        </is>
      </c>
      <c r="H172" s="9" t="inlineStr">
        <is>
          <t>29103-ET-P1401-1-R-1.pdf</t>
        </is>
      </c>
      <c r="I172" s="4" t="str">
        <f>IF($H172&lt;&gt;"","YES","NO")</f>
        <v>YES</v>
      </c>
      <c r="J172" s="4" t="str">
        <f>IF(N($T172)&gt;0,"YES","NO")</f>
        <v>NO</v>
      </c>
      <c r="K172" s="4" t="str">
        <f>IF(OR($A172="EHT Trace"),IF(AND($U172&lt;&gt;"",$V172&lt;&gt;""),"YES","NO"),"N/A")</f>
        <v>N/A</v>
      </c>
      <c r="L172" s="4" t="str">
        <f>IF(OR($A172="EHT Trace"),IF(AND($X172&lt;&gt;"",$Y172&lt;&gt;""),"YES","NO"),"N/A")</f>
        <v>N/A</v>
      </c>
      <c r="M172" s="4" t="str">
        <f>IF(OR($A172="EHT Trace"),IF(AND($AA172&lt;&gt;"",$AB172&lt;&gt;""),"YES","NO"),"N/A")</f>
        <v>N/A</v>
      </c>
      <c r="N172" s="4" t="str">
        <f>IF(OR($A172="Power Cable"),IF(AND($AD172&lt;&gt;""),"YES","NO"),"N/A")</f>
        <v>N/A</v>
      </c>
      <c r="O172" s="4" t="str">
        <f>IF(OR($A172="Power Cable",$A172="RTD Cable",$A172="Fieldbus Cable"),IF(AND($AE172&lt;&gt;""),"YES","NO"),"N/A")</f>
        <v>N/A</v>
      </c>
      <c r="P172" s="4" t="str">
        <f>IF(OR($A172="RTD"),IF(AND($AH172&lt;&gt;""),"YES","NO"),"N/A")</f>
        <v>NO</v>
      </c>
      <c r="Q172" s="4" t="str">
        <f>IF(OR($A172="RTD"),IF(AND($AI172&lt;&gt;""),"YES","NO"),"N/A")</f>
        <v>NO</v>
      </c>
      <c r="R172" s="4" t="str">
        <f>IF(OR($AM172&lt;&gt;"",$Z172&lt;&gt;"",$AC172&lt;&gt;""),"YES","NO")</f>
        <v>NO</v>
      </c>
      <c r="S172" s="4" t="str">
        <f>IF(COUNTIF(I172:R172,"NO")=0,"YES","NO")</f>
        <v>NO</v>
      </c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inlineStr">
        <is>
          <t>Levy Ostrup</t>
        </is>
      </c>
      <c r="AM172" s="9" t="n"/>
      <c r="AN172" s="9" t="n"/>
    </row>
    <row r="173">
      <c r="A173" s="9" t="inlineStr">
        <is>
          <t>RTD</t>
        </is>
      </c>
      <c r="B173" s="9" t="inlineStr">
        <is>
          <t>29103-ET-P1800-1-R-1</t>
        </is>
      </c>
      <c r="C173" s="9" t="inlineStr">
        <is>
          <t>29103-ET-P1800-1</t>
        </is>
      </c>
      <c r="D173" s="9" t="inlineStr">
        <is>
          <t>29103-HTP-002 (TB-5 / CB-26)</t>
        </is>
      </c>
      <c r="E173" s="9" t="inlineStr">
        <is>
          <t>PRODUCED EMULSION</t>
        </is>
      </c>
      <c r="F173" s="9" t="inlineStr">
        <is>
          <t>29103-ET-P1800-1</t>
        </is>
      </c>
      <c r="G173" s="9" t="inlineStr">
        <is>
          <t>13.2</t>
        </is>
      </c>
      <c r="H173" s="9" t="inlineStr">
        <is>
          <t>29103-ET-P1800-1-R-1.pdf</t>
        </is>
      </c>
      <c r="I173" s="4" t="str">
        <f>IF($H173&lt;&gt;"","YES","NO")</f>
        <v>YES</v>
      </c>
      <c r="J173" s="4" t="str">
        <f>IF(N($T173)&gt;0,"YES","NO")</f>
        <v>NO</v>
      </c>
      <c r="K173" s="4" t="str">
        <f>IF(OR($A173="EHT Trace"),IF(AND($U173&lt;&gt;"",$V173&lt;&gt;""),"YES","NO"),"N/A")</f>
        <v>N/A</v>
      </c>
      <c r="L173" s="4" t="str">
        <f>IF(OR($A173="EHT Trace"),IF(AND($X173&lt;&gt;"",$Y173&lt;&gt;""),"YES","NO"),"N/A")</f>
        <v>N/A</v>
      </c>
      <c r="M173" s="4" t="str">
        <f>IF(OR($A173="EHT Trace"),IF(AND($AA173&lt;&gt;"",$AB173&lt;&gt;""),"YES","NO"),"N/A")</f>
        <v>N/A</v>
      </c>
      <c r="N173" s="4" t="str">
        <f>IF(OR($A173="Power Cable"),IF(AND($AD173&lt;&gt;""),"YES","NO"),"N/A")</f>
        <v>N/A</v>
      </c>
      <c r="O173" s="4" t="str">
        <f>IF(OR($A173="Power Cable",$A173="RTD Cable",$A173="Fieldbus Cable"),IF(AND($AE173&lt;&gt;""),"YES","NO"),"N/A")</f>
        <v>N/A</v>
      </c>
      <c r="P173" s="4" t="str">
        <f>IF(OR($A173="RTD"),IF(AND($AH173&lt;&gt;""),"YES","NO"),"N/A")</f>
        <v>NO</v>
      </c>
      <c r="Q173" s="4" t="str">
        <f>IF(OR($A173="RTD"),IF(AND($AI173&lt;&gt;""),"YES","NO"),"N/A")</f>
        <v>YES</v>
      </c>
      <c r="R173" s="4" t="str">
        <f>IF(OR($AM173&lt;&gt;"",$Z173&lt;&gt;"",$AC173&lt;&gt;""),"YES","NO")</f>
        <v>YES</v>
      </c>
      <c r="S173" s="4" t="str">
        <f>IF(COUNTIF(I173:R173,"NO")=0,"YES","NO")</f>
        <v>NO</v>
      </c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inlineStr">
        <is>
          <t>Fluke 179 70180306</t>
        </is>
      </c>
      <c r="AG173" s="9" t="n"/>
      <c r="AH173" s="9" t="n"/>
      <c r="AI173" s="9" t="inlineStr">
        <is>
          <t>104 / 104 / 0.2</t>
        </is>
      </c>
      <c r="AJ173" s="9" t="n"/>
      <c r="AK173" s="9" t="n"/>
      <c r="AL173" s="9" t="inlineStr">
        <is>
          <t>Levy Ostrup</t>
        </is>
      </c>
      <c r="AM173" s="9" t="inlineStr">
        <is>
          <t>Sept 29 2026</t>
        </is>
      </c>
      <c r="AN173" s="9" t="n"/>
    </row>
    <row r="174">
      <c r="A174" s="9" t="inlineStr">
        <is>
          <t>RTD</t>
        </is>
      </c>
      <c r="B174" s="9" t="inlineStr">
        <is>
          <t>29103-ET-P1800-2-R-1</t>
        </is>
      </c>
      <c r="C174" s="9" t="inlineStr">
        <is>
          <t>29103-ET-P1800-2</t>
        </is>
      </c>
      <c r="D174" s="9" t="inlineStr">
        <is>
          <t>29103-HTP-002 HTC-16</t>
        </is>
      </c>
      <c r="E174" s="9" t="inlineStr">
        <is>
          <t>PRODUCED EMULSION</t>
        </is>
      </c>
      <c r="F174" s="9" t="inlineStr">
        <is>
          <t>29103-65R-ET-P1800-02-01</t>
        </is>
      </c>
      <c r="G174" s="9" t="inlineStr">
        <is>
          <t>13.2</t>
        </is>
      </c>
      <c r="H174" s="9" t="inlineStr">
        <is>
          <t>29103-ET-P1800-2-R-1.pdf</t>
        </is>
      </c>
      <c r="I174" s="4" t="str">
        <f>IF($H174&lt;&gt;"","YES","NO")</f>
        <v>YES</v>
      </c>
      <c r="J174" s="4" t="str">
        <f>IF(N($T174)&gt;0,"YES","NO")</f>
        <v>NO</v>
      </c>
      <c r="K174" s="4" t="str">
        <f>IF(OR($A174="EHT Trace"),IF(AND($U174&lt;&gt;"",$V174&lt;&gt;""),"YES","NO"),"N/A")</f>
        <v>N/A</v>
      </c>
      <c r="L174" s="4" t="str">
        <f>IF(OR($A174="EHT Trace"),IF(AND($X174&lt;&gt;"",$Y174&lt;&gt;""),"YES","NO"),"N/A")</f>
        <v>N/A</v>
      </c>
      <c r="M174" s="4" t="str">
        <f>IF(OR($A174="EHT Trace"),IF(AND($AA174&lt;&gt;"",$AB174&lt;&gt;""),"YES","NO"),"N/A")</f>
        <v>N/A</v>
      </c>
      <c r="N174" s="4" t="str">
        <f>IF(OR($A174="Power Cable"),IF(AND($AD174&lt;&gt;""),"YES","NO"),"N/A")</f>
        <v>N/A</v>
      </c>
      <c r="O174" s="4" t="str">
        <f>IF(OR($A174="Power Cable",$A174="RTD Cable",$A174="Fieldbus Cable"),IF(AND($AE174&lt;&gt;""),"YES","NO"),"N/A")</f>
        <v>N/A</v>
      </c>
      <c r="P174" s="4" t="str">
        <f>IF(OR($A174="RTD"),IF(AND($AH174&lt;&gt;""),"YES","NO"),"N/A")</f>
        <v>NO</v>
      </c>
      <c r="Q174" s="4" t="str">
        <f>IF(OR($A174="RTD"),IF(AND($AI174&lt;&gt;""),"YES","NO"),"N/A")</f>
        <v>NO</v>
      </c>
      <c r="R174" s="4" t="str">
        <f>IF(OR($AM174&lt;&gt;"",$Z174&lt;&gt;"",$AC174&lt;&gt;""),"YES","NO")</f>
        <v>NO</v>
      </c>
      <c r="S174" s="4" t="str">
        <f>IF(COUNTIF(I174:R174,"NO")=0,"YES","NO")</f>
        <v>NO</v>
      </c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inlineStr">
        <is>
          <t>Levy Ostrup</t>
        </is>
      </c>
      <c r="AM174" s="9" t="n"/>
      <c r="AN174" s="9" t="n"/>
    </row>
    <row r="175">
      <c r="A175" s="9" t="inlineStr">
        <is>
          <t>RTD</t>
        </is>
      </c>
      <c r="B175" s="9" t="inlineStr">
        <is>
          <t>29103-ET-PE1101-1-R-1</t>
        </is>
      </c>
      <c r="C175" s="9" t="inlineStr">
        <is>
          <t>29103-ET-PE1101-1</t>
        </is>
      </c>
      <c r="D175" s="9" t="inlineStr">
        <is>
          <t>29103-HTP-002 (TB-5 / CB-25)</t>
        </is>
      </c>
      <c r="E175" s="9" t="inlineStr">
        <is>
          <t>PRODUCED EMULSION</t>
        </is>
      </c>
      <c r="F175" s="9" t="inlineStr">
        <is>
          <t>29103-ET-PE1101-1</t>
        </is>
      </c>
      <c r="G175" s="9" t="inlineStr">
        <is>
          <t>13.2</t>
        </is>
      </c>
      <c r="H175" s="9" t="inlineStr">
        <is>
          <t>29103-ET-PE1101-1-R-1.pdf</t>
        </is>
      </c>
      <c r="I175" s="4" t="str">
        <f>IF($H175&lt;&gt;"","YES","NO")</f>
        <v>YES</v>
      </c>
      <c r="J175" s="4" t="str">
        <f>IF(N($T175)&gt;0,"YES","NO")</f>
        <v>YES</v>
      </c>
      <c r="K175" s="4" t="str">
        <f>IF(OR($A175="EHT Trace"),IF(AND($U175&lt;&gt;"",$V175&lt;&gt;""),"YES","NO"),"N/A")</f>
        <v>N/A</v>
      </c>
      <c r="L175" s="4" t="str">
        <f>IF(OR($A175="EHT Trace"),IF(AND($X175&lt;&gt;"",$Y175&lt;&gt;""),"YES","NO"),"N/A")</f>
        <v>N/A</v>
      </c>
      <c r="M175" s="4" t="str">
        <f>IF(OR($A175="EHT Trace"),IF(AND($AA175&lt;&gt;"",$AB175&lt;&gt;""),"YES","NO"),"N/A")</f>
        <v>N/A</v>
      </c>
      <c r="N175" s="4" t="str">
        <f>IF(OR($A175="Power Cable"),IF(AND($AD175&lt;&gt;""),"YES","NO"),"N/A")</f>
        <v>N/A</v>
      </c>
      <c r="O175" s="4" t="str">
        <f>IF(OR($A175="Power Cable",$A175="RTD Cable",$A175="Fieldbus Cable"),IF(AND($AE175&lt;&gt;""),"YES","NO"),"N/A")</f>
        <v>N/A</v>
      </c>
      <c r="P175" s="4" t="str">
        <f>IF(OR($A175="RTD"),IF(AND($AH175&lt;&gt;""),"YES","NO"),"N/A")</f>
        <v>NO</v>
      </c>
      <c r="Q175" s="4" t="str">
        <f>IF(OR($A175="RTD"),IF(AND($AI175&lt;&gt;""),"YES","NO"),"N/A")</f>
        <v>YES</v>
      </c>
      <c r="R175" s="4" t="str">
        <f>IF(OR($AM175&lt;&gt;"",$Z175&lt;&gt;"",$AC175&lt;&gt;""),"YES","NO")</f>
        <v>YES</v>
      </c>
      <c r="S175" s="4" t="str">
        <f>IF(COUNTIF(I175:R175,"NO")=0,"YES","NO")</f>
        <v>NO</v>
      </c>
      <c r="T175" s="9" t="n">
        <v>9</v>
      </c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inlineStr">
        <is>
          <t>Fluke 179 70180306</t>
        </is>
      </c>
      <c r="AG175" s="9" t="n"/>
      <c r="AH175" s="9" t="n"/>
      <c r="AI175" s="9" t="inlineStr">
        <is>
          <t>104 / 104 / 0.2</t>
        </is>
      </c>
      <c r="AJ175" s="9" t="n"/>
      <c r="AK175" s="9" t="n"/>
      <c r="AL175" s="9" t="inlineStr">
        <is>
          <t>Levy Ostrup</t>
        </is>
      </c>
      <c r="AM175" s="9" t="inlineStr">
        <is>
          <t>Sept 29 2026</t>
        </is>
      </c>
      <c r="AN175" s="9" t="n"/>
    </row>
    <row r="176">
      <c r="A176" s="9" t="inlineStr">
        <is>
          <t>RTD</t>
        </is>
      </c>
      <c r="B176" s="9" t="inlineStr">
        <is>
          <t>29103-ET-PE1101-2-R-1</t>
        </is>
      </c>
      <c r="C176" s="9" t="inlineStr">
        <is>
          <t>29103-ET-PE1101-2</t>
        </is>
      </c>
      <c r="D176" s="9" t="inlineStr">
        <is>
          <t>29103-HTP-002 (I/O 1-4 / TB-8)</t>
        </is>
      </c>
      <c r="E176" s="9" t="inlineStr">
        <is>
          <t>PRODUCED EMULSION</t>
        </is>
      </c>
      <c r="F176" s="9" t="inlineStr">
        <is>
          <t>29103-ET-PE1101-2</t>
        </is>
      </c>
      <c r="G176" s="9" t="inlineStr">
        <is>
          <t>13.2</t>
        </is>
      </c>
      <c r="H176" s="9" t="inlineStr">
        <is>
          <t>29103-ET-PE1101-2-R-1.pdf</t>
        </is>
      </c>
      <c r="I176" s="4" t="str">
        <f>IF($H176&lt;&gt;"","YES","NO")</f>
        <v>YES</v>
      </c>
      <c r="J176" s="4" t="str">
        <f>IF(N($T176)&gt;0,"YES","NO")</f>
        <v>YES</v>
      </c>
      <c r="K176" s="4" t="str">
        <f>IF(OR($A176="EHT Trace"),IF(AND($U176&lt;&gt;"",$V176&lt;&gt;""),"YES","NO"),"N/A")</f>
        <v>N/A</v>
      </c>
      <c r="L176" s="4" t="str">
        <f>IF(OR($A176="EHT Trace"),IF(AND($X176&lt;&gt;"",$Y176&lt;&gt;""),"YES","NO"),"N/A")</f>
        <v>N/A</v>
      </c>
      <c r="M176" s="4" t="str">
        <f>IF(OR($A176="EHT Trace"),IF(AND($AA176&lt;&gt;"",$AB176&lt;&gt;""),"YES","NO"),"N/A")</f>
        <v>N/A</v>
      </c>
      <c r="N176" s="4" t="str">
        <f>IF(OR($A176="Power Cable"),IF(AND($AD176&lt;&gt;""),"YES","NO"),"N/A")</f>
        <v>N/A</v>
      </c>
      <c r="O176" s="4" t="str">
        <f>IF(OR($A176="Power Cable",$A176="RTD Cable",$A176="Fieldbus Cable"),IF(AND($AE176&lt;&gt;""),"YES","NO"),"N/A")</f>
        <v>N/A</v>
      </c>
      <c r="P176" s="4" t="str">
        <f>IF(OR($A176="RTD"),IF(AND($AH176&lt;&gt;""),"YES","NO"),"N/A")</f>
        <v>NO</v>
      </c>
      <c r="Q176" s="4" t="str">
        <f>IF(OR($A176="RTD"),IF(AND($AI176&lt;&gt;""),"YES","NO"),"N/A")</f>
        <v>YES</v>
      </c>
      <c r="R176" s="4" t="str">
        <f>IF(OR($AM176&lt;&gt;"",$Z176&lt;&gt;"",$AC176&lt;&gt;""),"YES","NO")</f>
        <v>YES</v>
      </c>
      <c r="S176" s="4" t="str">
        <f>IF(COUNTIF(I176:R176,"NO")=0,"YES","NO")</f>
        <v>NO</v>
      </c>
      <c r="T176" s="9" t="n">
        <v>9</v>
      </c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inlineStr">
        <is>
          <t>Fluke 179 70180306</t>
        </is>
      </c>
      <c r="AG176" s="9" t="inlineStr">
        <is>
          <t>100</t>
        </is>
      </c>
      <c r="AH176" s="9" t="n"/>
      <c r="AI176" s="9" t="inlineStr">
        <is>
          <t>104 / 104 / 0.2</t>
        </is>
      </c>
      <c r="AJ176" s="9" t="n"/>
      <c r="AK176" s="9" t="n"/>
      <c r="AL176" s="9" t="inlineStr">
        <is>
          <t>Levy Ostrup</t>
        </is>
      </c>
      <c r="AM176" s="9" t="inlineStr">
        <is>
          <t>Sept 30 2026</t>
        </is>
      </c>
      <c r="AN176" s="9" t="n"/>
    </row>
    <row r="177">
      <c r="A177" s="9" t="inlineStr">
        <is>
          <t>RTD</t>
        </is>
      </c>
      <c r="B177" s="9" t="inlineStr">
        <is>
          <t>29103-ET-PE1101-2-R-2</t>
        </is>
      </c>
      <c r="C177" s="9" t="inlineStr">
        <is>
          <t>29103-ET-PE1101-2</t>
        </is>
      </c>
      <c r="D177" s="9" t="inlineStr">
        <is>
          <t>29103-HTP-002 (I/O 1-4 / TB-8)</t>
        </is>
      </c>
      <c r="E177" s="9" t="inlineStr">
        <is>
          <t>PRODUCED EMULSION</t>
        </is>
      </c>
      <c r="F177" s="9" t="inlineStr">
        <is>
          <t>29103-ET-PE1101-2</t>
        </is>
      </c>
      <c r="G177" s="9" t="inlineStr">
        <is>
          <t>13.2</t>
        </is>
      </c>
      <c r="H177" s="9" t="inlineStr">
        <is>
          <t>29103-ET-PE1101-2-R-2.pdf</t>
        </is>
      </c>
      <c r="I177" s="4" t="str">
        <f>IF($H177&lt;&gt;"","YES","NO")</f>
        <v>YES</v>
      </c>
      <c r="J177" s="4" t="str">
        <f>IF(N($T177)&gt;0,"YES","NO")</f>
        <v>YES</v>
      </c>
      <c r="K177" s="4" t="str">
        <f>IF(OR($A177="EHT Trace"),IF(AND($U177&lt;&gt;"",$V177&lt;&gt;""),"YES","NO"),"N/A")</f>
        <v>N/A</v>
      </c>
      <c r="L177" s="4" t="str">
        <f>IF(OR($A177="EHT Trace"),IF(AND($X177&lt;&gt;"",$Y177&lt;&gt;""),"YES","NO"),"N/A")</f>
        <v>N/A</v>
      </c>
      <c r="M177" s="4" t="str">
        <f>IF(OR($A177="EHT Trace"),IF(AND($AA177&lt;&gt;"",$AB177&lt;&gt;""),"YES","NO"),"N/A")</f>
        <v>N/A</v>
      </c>
      <c r="N177" s="4" t="str">
        <f>IF(OR($A177="Power Cable"),IF(AND($AD177&lt;&gt;""),"YES","NO"),"N/A")</f>
        <v>N/A</v>
      </c>
      <c r="O177" s="4" t="str">
        <f>IF(OR($A177="Power Cable",$A177="RTD Cable",$A177="Fieldbus Cable"),IF(AND($AE177&lt;&gt;""),"YES","NO"),"N/A")</f>
        <v>N/A</v>
      </c>
      <c r="P177" s="4" t="str">
        <f>IF(OR($A177="RTD"),IF(AND($AH177&lt;&gt;""),"YES","NO"),"N/A")</f>
        <v>NO</v>
      </c>
      <c r="Q177" s="4" t="str">
        <f>IF(OR($A177="RTD"),IF(AND($AI177&lt;&gt;""),"YES","NO"),"N/A")</f>
        <v>YES</v>
      </c>
      <c r="R177" s="4" t="str">
        <f>IF(OR($AM177&lt;&gt;"",$Z177&lt;&gt;"",$AC177&lt;&gt;""),"YES","NO")</f>
        <v>YES</v>
      </c>
      <c r="S177" s="4" t="str">
        <f>IF(COUNTIF(I177:R177,"NO")=0,"YES","NO")</f>
        <v>NO</v>
      </c>
      <c r="T177" s="9" t="n">
        <v>9</v>
      </c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inlineStr">
        <is>
          <t>Fluke 179 70180306</t>
        </is>
      </c>
      <c r="AG177" s="9" t="inlineStr">
        <is>
          <t>100</t>
        </is>
      </c>
      <c r="AH177" s="9" t="n"/>
      <c r="AI177" s="9" t="inlineStr">
        <is>
          <t>104 Ω / 104 Ω / 0.2 Ω</t>
        </is>
      </c>
      <c r="AJ177" s="9" t="n"/>
      <c r="AK177" s="9" t="n"/>
      <c r="AL177" s="9" t="inlineStr">
        <is>
          <t>Levy Ostrup</t>
        </is>
      </c>
      <c r="AM177" s="9" t="inlineStr">
        <is>
          <t>Sept 29 2026</t>
        </is>
      </c>
      <c r="AN177" s="9" t="n"/>
    </row>
    <row r="178">
      <c r="A178" s="9" t="inlineStr">
        <is>
          <t>RTD</t>
        </is>
      </c>
      <c r="B178" s="9" t="inlineStr">
        <is>
          <t>29103-ET-PE1102-1-R-1</t>
        </is>
      </c>
      <c r="C178" s="9" t="inlineStr">
        <is>
          <t>29103-ET-PE1102-1</t>
        </is>
      </c>
      <c r="D178" s="9" t="inlineStr">
        <is>
          <t>29103-HTP-002 (TB5 / CB-23)</t>
        </is>
      </c>
      <c r="E178" s="9" t="inlineStr">
        <is>
          <t>PRODUCED EMULSION</t>
        </is>
      </c>
      <c r="F178" s="9" t="inlineStr">
        <is>
          <t>29103-ET-PE1102-1</t>
        </is>
      </c>
      <c r="G178" s="9" t="inlineStr">
        <is>
          <t>13.2</t>
        </is>
      </c>
      <c r="H178" s="9" t="inlineStr">
        <is>
          <t>29103-ET-PE1102-1-R-1.pdf</t>
        </is>
      </c>
      <c r="I178" s="4" t="str">
        <f>IF($H178&lt;&gt;"","YES","NO")</f>
        <v>YES</v>
      </c>
      <c r="J178" s="4" t="str">
        <f>IF(N($T178)&gt;0,"YES","NO")</f>
        <v>YES</v>
      </c>
      <c r="K178" s="4" t="str">
        <f>IF(OR($A178="EHT Trace"),IF(AND($U178&lt;&gt;"",$V178&lt;&gt;""),"YES","NO"),"N/A")</f>
        <v>N/A</v>
      </c>
      <c r="L178" s="4" t="str">
        <f>IF(OR($A178="EHT Trace"),IF(AND($X178&lt;&gt;"",$Y178&lt;&gt;""),"YES","NO"),"N/A")</f>
        <v>N/A</v>
      </c>
      <c r="M178" s="4" t="str">
        <f>IF(OR($A178="EHT Trace"),IF(AND($AA178&lt;&gt;"",$AB178&lt;&gt;""),"YES","NO"),"N/A")</f>
        <v>N/A</v>
      </c>
      <c r="N178" s="4" t="str">
        <f>IF(OR($A178="Power Cable"),IF(AND($AD178&lt;&gt;""),"YES","NO"),"N/A")</f>
        <v>N/A</v>
      </c>
      <c r="O178" s="4" t="str">
        <f>IF(OR($A178="Power Cable",$A178="RTD Cable",$A178="Fieldbus Cable"),IF(AND($AE178&lt;&gt;""),"YES","NO"),"N/A")</f>
        <v>N/A</v>
      </c>
      <c r="P178" s="4" t="str">
        <f>IF(OR($A178="RTD"),IF(AND($AH178&lt;&gt;""),"YES","NO"),"N/A")</f>
        <v>NO</v>
      </c>
      <c r="Q178" s="4" t="str">
        <f>IF(OR($A178="RTD"),IF(AND($AI178&lt;&gt;""),"YES","NO"),"N/A")</f>
        <v>YES</v>
      </c>
      <c r="R178" s="4" t="str">
        <f>IF(OR($AM178&lt;&gt;"",$Z178&lt;&gt;"",$AC178&lt;&gt;""),"YES","NO")</f>
        <v>YES</v>
      </c>
      <c r="S178" s="4" t="str">
        <f>IF(COUNTIF(I178:R178,"NO")=0,"YES","NO")</f>
        <v>NO</v>
      </c>
      <c r="T178" s="9" t="n">
        <v>8</v>
      </c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inlineStr">
        <is>
          <t>Fluke 179 70180306</t>
        </is>
      </c>
      <c r="AG178" s="9" t="inlineStr">
        <is>
          <t>100</t>
        </is>
      </c>
      <c r="AH178" s="9" t="n"/>
      <c r="AI178" s="9" t="inlineStr">
        <is>
          <t>102 Ω / 102 Ω / 102 Ω</t>
        </is>
      </c>
      <c r="AJ178" s="9" t="n"/>
      <c r="AK178" s="9" t="n"/>
      <c r="AL178" s="9" t="inlineStr">
        <is>
          <t>Levy Ostrup</t>
        </is>
      </c>
      <c r="AM178" s="9" t="inlineStr">
        <is>
          <t>Sept 30 2026</t>
        </is>
      </c>
      <c r="AN178" s="9" t="inlineStr">
        <is>
          <t>No stainless steel tags on the JB or the RTD, also not terminated and no core markers. | No core markers for the RTD.</t>
        </is>
      </c>
    </row>
    <row r="179">
      <c r="A179" s="9" t="inlineStr">
        <is>
          <t>RTD</t>
        </is>
      </c>
      <c r="B179" s="9" t="inlineStr">
        <is>
          <t>29103-ET-PE1102-1-R-2</t>
        </is>
      </c>
      <c r="C179" s="9" t="inlineStr">
        <is>
          <t>29103-ET-PE1102-1</t>
        </is>
      </c>
      <c r="D179" s="9" t="inlineStr">
        <is>
          <t>29103-HTP-002 (TB5 / HTC-23)</t>
        </is>
      </c>
      <c r="E179" s="9" t="inlineStr">
        <is>
          <t>PRODUCED EMULSION</t>
        </is>
      </c>
      <c r="F179" s="9" t="inlineStr">
        <is>
          <t>29103-ET-PE-1102-1</t>
        </is>
      </c>
      <c r="G179" s="9" t="inlineStr">
        <is>
          <t>13.2</t>
        </is>
      </c>
      <c r="H179" s="9" t="inlineStr">
        <is>
          <t>29103-ET-PE1102-1-R-2.pdf</t>
        </is>
      </c>
      <c r="I179" s="4" t="str">
        <f>IF($H179&lt;&gt;"","YES","NO")</f>
        <v>YES</v>
      </c>
      <c r="J179" s="4" t="str">
        <f>IF(N($T179)&gt;0,"YES","NO")</f>
        <v>YES</v>
      </c>
      <c r="K179" s="4" t="str">
        <f>IF(OR($A179="EHT Trace"),IF(AND($U179&lt;&gt;"",$V179&lt;&gt;""),"YES","NO"),"N/A")</f>
        <v>N/A</v>
      </c>
      <c r="L179" s="4" t="str">
        <f>IF(OR($A179="EHT Trace"),IF(AND($X179&lt;&gt;"",$Y179&lt;&gt;""),"YES","NO"),"N/A")</f>
        <v>N/A</v>
      </c>
      <c r="M179" s="4" t="str">
        <f>IF(OR($A179="EHT Trace"),IF(AND($AA179&lt;&gt;"",$AB179&lt;&gt;""),"YES","NO"),"N/A")</f>
        <v>N/A</v>
      </c>
      <c r="N179" s="4" t="str">
        <f>IF(OR($A179="Power Cable"),IF(AND($AD179&lt;&gt;""),"YES","NO"),"N/A")</f>
        <v>N/A</v>
      </c>
      <c r="O179" s="4" t="str">
        <f>IF(OR($A179="Power Cable",$A179="RTD Cable",$A179="Fieldbus Cable"),IF(AND($AE179&lt;&gt;""),"YES","NO"),"N/A")</f>
        <v>N/A</v>
      </c>
      <c r="P179" s="4" t="str">
        <f>IF(OR($A179="RTD"),IF(AND($AH179&lt;&gt;""),"YES","NO"),"N/A")</f>
        <v>NO</v>
      </c>
      <c r="Q179" s="4" t="str">
        <f>IF(OR($A179="RTD"),IF(AND($AI179&lt;&gt;""),"YES","NO"),"N/A")</f>
        <v>YES</v>
      </c>
      <c r="R179" s="4" t="str">
        <f>IF(OR($AM179&lt;&gt;"",$Z179&lt;&gt;"",$AC179&lt;&gt;""),"YES","NO")</f>
        <v>YES</v>
      </c>
      <c r="S179" s="4" t="str">
        <f>IF(COUNTIF(I179:R179,"NO")=0,"YES","NO")</f>
        <v>NO</v>
      </c>
      <c r="T179" s="9" t="n">
        <v>9</v>
      </c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inlineStr">
        <is>
          <t>Fluke 179 70180306</t>
        </is>
      </c>
      <c r="AG179" s="9" t="inlineStr">
        <is>
          <t>100</t>
        </is>
      </c>
      <c r="AH179" s="9" t="n"/>
      <c r="AI179" s="9" t="inlineStr">
        <is>
          <t>104 Ω / 104 Ω / 0.2 Ω</t>
        </is>
      </c>
      <c r="AJ179" s="9" t="n"/>
      <c r="AK179" s="9" t="n"/>
      <c r="AL179" s="9" t="inlineStr">
        <is>
          <t>Levy Ostrup</t>
        </is>
      </c>
      <c r="AM179" s="9" t="inlineStr">
        <is>
          <t>Sept 30, 2026</t>
        </is>
      </c>
      <c r="AN179" s="9" t="inlineStr">
        <is>
          <t>No stainless steel tags on the JB or the RTD, also not terminated and no core markers. | No core markers for the RTD.</t>
        </is>
      </c>
    </row>
    <row r="180">
      <c r="A180" s="9" t="inlineStr">
        <is>
          <t>RTD</t>
        </is>
      </c>
      <c r="B180" s="9" t="inlineStr">
        <is>
          <t>29103-ET-PE1201-1-R-1</t>
        </is>
      </c>
      <c r="C180" s="9" t="inlineStr">
        <is>
          <t>29103-ET-PE1201-1</t>
        </is>
      </c>
      <c r="D180" s="9" t="inlineStr">
        <is>
          <t>29103-HTP-002</t>
        </is>
      </c>
      <c r="E180" s="9" t="inlineStr">
        <is>
          <t>PRODUCED EMULSION</t>
        </is>
      </c>
      <c r="F180" s="9" t="inlineStr">
        <is>
          <t>29103-ET-PE1201-1</t>
        </is>
      </c>
      <c r="G180" s="9" t="inlineStr">
        <is>
          <t>13.2</t>
        </is>
      </c>
      <c r="H180" s="9" t="inlineStr">
        <is>
          <t>29103-ET-PE1201-1-R-1.pdf</t>
        </is>
      </c>
      <c r="I180" s="4" t="str">
        <f>IF($H180&lt;&gt;"","YES","NO")</f>
        <v>YES</v>
      </c>
      <c r="J180" s="4" t="str">
        <f>IF(N($T180)&gt;0,"YES","NO")</f>
        <v>YES</v>
      </c>
      <c r="K180" s="4" t="str">
        <f>IF(OR($A180="EHT Trace"),IF(AND($U180&lt;&gt;"",$V180&lt;&gt;""),"YES","NO"),"N/A")</f>
        <v>N/A</v>
      </c>
      <c r="L180" s="4" t="str">
        <f>IF(OR($A180="EHT Trace"),IF(AND($X180&lt;&gt;"",$Y180&lt;&gt;""),"YES","NO"),"N/A")</f>
        <v>N/A</v>
      </c>
      <c r="M180" s="4" t="str">
        <f>IF(OR($A180="EHT Trace"),IF(AND($AA180&lt;&gt;"",$AB180&lt;&gt;""),"YES","NO"),"N/A")</f>
        <v>N/A</v>
      </c>
      <c r="N180" s="4" t="str">
        <f>IF(OR($A180="Power Cable"),IF(AND($AD180&lt;&gt;""),"YES","NO"),"N/A")</f>
        <v>N/A</v>
      </c>
      <c r="O180" s="4" t="str">
        <f>IF(OR($A180="Power Cable",$A180="RTD Cable",$A180="Fieldbus Cable"),IF(AND($AE180&lt;&gt;""),"YES","NO"),"N/A")</f>
        <v>N/A</v>
      </c>
      <c r="P180" s="4" t="str">
        <f>IF(OR($A180="RTD"),IF(AND($AH180&lt;&gt;""),"YES","NO"),"N/A")</f>
        <v>NO</v>
      </c>
      <c r="Q180" s="4" t="str">
        <f>IF(OR($A180="RTD"),IF(AND($AI180&lt;&gt;""),"YES","NO"),"N/A")</f>
        <v>YES</v>
      </c>
      <c r="R180" s="4" t="str">
        <f>IF(OR($AM180&lt;&gt;"",$Z180&lt;&gt;"",$AC180&lt;&gt;""),"YES","NO")</f>
        <v>YES</v>
      </c>
      <c r="S180" s="4" t="str">
        <f>IF(COUNTIF(I180:R180,"NO")=0,"YES","NO")</f>
        <v>NO</v>
      </c>
      <c r="T180" s="9" t="n">
        <v>9</v>
      </c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inlineStr">
        <is>
          <t>Fluke 179 70180306</t>
        </is>
      </c>
      <c r="AG180" s="9" t="inlineStr">
        <is>
          <t>100</t>
        </is>
      </c>
      <c r="AH180" s="9" t="n"/>
      <c r="AI180" s="9" t="inlineStr">
        <is>
          <t>104 / 104 / 0.2</t>
        </is>
      </c>
      <c r="AJ180" s="9" t="n"/>
      <c r="AK180" s="9" t="n"/>
      <c r="AL180" s="9" t="inlineStr">
        <is>
          <t>Levy Ostrup</t>
        </is>
      </c>
      <c r="AM180" s="9" t="inlineStr">
        <is>
          <t>Sept 30, 2026</t>
        </is>
      </c>
      <c r="AN180" s="9" t="n"/>
    </row>
    <row r="181">
      <c r="A181" s="9" t="inlineStr">
        <is>
          <t>RTD</t>
        </is>
      </c>
      <c r="B181" s="9" t="inlineStr">
        <is>
          <t>29103-ET-PE1201-2-R-2</t>
        </is>
      </c>
      <c r="C181" s="9" t="inlineStr">
        <is>
          <t>29103-ET-PE1201-2</t>
        </is>
      </c>
      <c r="D181" s="9" t="inlineStr">
        <is>
          <t>29103-HTP-002 (TB8 / I/O 3-4)</t>
        </is>
      </c>
      <c r="E181" s="9" t="inlineStr">
        <is>
          <t>PRODUCED EMULSION</t>
        </is>
      </c>
      <c r="F181" s="9" t="inlineStr">
        <is>
          <t>29103-ET-PE1201-2</t>
        </is>
      </c>
      <c r="G181" s="9" t="inlineStr">
        <is>
          <t>13.2</t>
        </is>
      </c>
      <c r="H181" s="9" t="inlineStr">
        <is>
          <t>29103-ET-PE1201-2-R-2.pdf</t>
        </is>
      </c>
      <c r="I181" s="4" t="str">
        <f>IF($H181&lt;&gt;"","YES","NO")</f>
        <v>YES</v>
      </c>
      <c r="J181" s="4" t="str">
        <f>IF(N($T181)&gt;0,"YES","NO")</f>
        <v>YES</v>
      </c>
      <c r="K181" s="4" t="str">
        <f>IF(OR($A181="EHT Trace"),IF(AND($U181&lt;&gt;"",$V181&lt;&gt;""),"YES","NO"),"N/A")</f>
        <v>N/A</v>
      </c>
      <c r="L181" s="4" t="str">
        <f>IF(OR($A181="EHT Trace"),IF(AND($X181&lt;&gt;"",$Y181&lt;&gt;""),"YES","NO"),"N/A")</f>
        <v>N/A</v>
      </c>
      <c r="M181" s="4" t="str">
        <f>IF(OR($A181="EHT Trace"),IF(AND($AA181&lt;&gt;"",$AB181&lt;&gt;""),"YES","NO"),"N/A")</f>
        <v>N/A</v>
      </c>
      <c r="N181" s="4" t="str">
        <f>IF(OR($A181="Power Cable"),IF(AND($AD181&lt;&gt;""),"YES","NO"),"N/A")</f>
        <v>N/A</v>
      </c>
      <c r="O181" s="4" t="str">
        <f>IF(OR($A181="Power Cable",$A181="RTD Cable",$A181="Fieldbus Cable"),IF(AND($AE181&lt;&gt;""),"YES","NO"),"N/A")</f>
        <v>N/A</v>
      </c>
      <c r="P181" s="4" t="str">
        <f>IF(OR($A181="RTD"),IF(AND($AH181&lt;&gt;""),"YES","NO"),"N/A")</f>
        <v>NO</v>
      </c>
      <c r="Q181" s="4" t="str">
        <f>IF(OR($A181="RTD"),IF(AND($AI181&lt;&gt;""),"YES","NO"),"N/A")</f>
        <v>YES</v>
      </c>
      <c r="R181" s="4" t="str">
        <f>IF(OR($AM181&lt;&gt;"",$Z181&lt;&gt;"",$AC181&lt;&gt;""),"YES","NO")</f>
        <v>YES</v>
      </c>
      <c r="S181" s="4" t="str">
        <f>IF(COUNTIF(I181:R181,"NO")=0,"YES","NO")</f>
        <v>NO</v>
      </c>
      <c r="T181" s="9" t="n">
        <v>9</v>
      </c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inlineStr">
        <is>
          <t>Fluke 179 70180306</t>
        </is>
      </c>
      <c r="AG181" s="9" t="inlineStr">
        <is>
          <t>100</t>
        </is>
      </c>
      <c r="AH181" s="9" t="n"/>
      <c r="AI181" s="9" t="inlineStr">
        <is>
          <t>104 / 104 / 0.2</t>
        </is>
      </c>
      <c r="AJ181" s="9" t="n"/>
      <c r="AK181" s="9" t="n"/>
      <c r="AL181" s="9" t="inlineStr">
        <is>
          <t>Levy Ostrup</t>
        </is>
      </c>
      <c r="AM181" s="9" t="inlineStr">
        <is>
          <t>Sept 30, 2026</t>
        </is>
      </c>
      <c r="AN181" s="9" t="n"/>
    </row>
    <row r="182">
      <c r="A182" s="9" t="inlineStr">
        <is>
          <t>RTD</t>
        </is>
      </c>
      <c r="B182" s="9" t="inlineStr">
        <is>
          <t>29103-ET-PE1202-1-R-1</t>
        </is>
      </c>
      <c r="C182" s="9" t="inlineStr">
        <is>
          <t>29103-ET-PE1202-1</t>
        </is>
      </c>
      <c r="D182" s="9" t="inlineStr">
        <is>
          <t>29103-HTP-002 (TB5 / HTC-18)</t>
        </is>
      </c>
      <c r="E182" s="9" t="inlineStr">
        <is>
          <t>PRODUCED EMULSION</t>
        </is>
      </c>
      <c r="F182" s="9" t="inlineStr">
        <is>
          <t>29103-ET-PE1202-1</t>
        </is>
      </c>
      <c r="G182" s="9" t="inlineStr">
        <is>
          <t>13.2</t>
        </is>
      </c>
      <c r="H182" s="9" t="inlineStr">
        <is>
          <t>29103-ET-PE1202-1-R-1.pdf</t>
        </is>
      </c>
      <c r="I182" s="4" t="str">
        <f>IF($H182&lt;&gt;"","YES","NO")</f>
        <v>YES</v>
      </c>
      <c r="J182" s="4" t="str">
        <f>IF(N($T182)&gt;0,"YES","NO")</f>
        <v>YES</v>
      </c>
      <c r="K182" s="4" t="str">
        <f>IF(OR($A182="EHT Trace"),IF(AND($U182&lt;&gt;"",$V182&lt;&gt;""),"YES","NO"),"N/A")</f>
        <v>N/A</v>
      </c>
      <c r="L182" s="4" t="str">
        <f>IF(OR($A182="EHT Trace"),IF(AND($X182&lt;&gt;"",$Y182&lt;&gt;""),"YES","NO"),"N/A")</f>
        <v>N/A</v>
      </c>
      <c r="M182" s="4" t="str">
        <f>IF(OR($A182="EHT Trace"),IF(AND($AA182&lt;&gt;"",$AB182&lt;&gt;""),"YES","NO"),"N/A")</f>
        <v>N/A</v>
      </c>
      <c r="N182" s="4" t="str">
        <f>IF(OR($A182="Power Cable"),IF(AND($AD182&lt;&gt;""),"YES","NO"),"N/A")</f>
        <v>N/A</v>
      </c>
      <c r="O182" s="4" t="str">
        <f>IF(OR($A182="Power Cable",$A182="RTD Cable",$A182="Fieldbus Cable"),IF(AND($AE182&lt;&gt;""),"YES","NO"),"N/A")</f>
        <v>N/A</v>
      </c>
      <c r="P182" s="4" t="str">
        <f>IF(OR($A182="RTD"),IF(AND($AH182&lt;&gt;""),"YES","NO"),"N/A")</f>
        <v>NO</v>
      </c>
      <c r="Q182" s="4" t="str">
        <f>IF(OR($A182="RTD"),IF(AND($AI182&lt;&gt;""),"YES","NO"),"N/A")</f>
        <v>YES</v>
      </c>
      <c r="R182" s="4" t="str">
        <f>IF(OR($AM182&lt;&gt;"",$Z182&lt;&gt;"",$AC182&lt;&gt;""),"YES","NO")</f>
        <v>YES</v>
      </c>
      <c r="S182" s="4" t="str">
        <f>IF(COUNTIF(I182:R182,"NO")=0,"YES","NO")</f>
        <v>NO</v>
      </c>
      <c r="T182" s="9" t="n">
        <v>9</v>
      </c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inlineStr">
        <is>
          <t>Fluke 179 70180306</t>
        </is>
      </c>
      <c r="AG182" s="9" t="inlineStr">
        <is>
          <t>100</t>
        </is>
      </c>
      <c r="AH182" s="9" t="n"/>
      <c r="AI182" s="9" t="inlineStr">
        <is>
          <t>104 / 104 / 0.2</t>
        </is>
      </c>
      <c r="AJ182" s="9" t="n"/>
      <c r="AK182" s="9" t="n"/>
      <c r="AL182" s="9" t="inlineStr">
        <is>
          <t>Levy Ostrup</t>
        </is>
      </c>
      <c r="AM182" s="9" t="inlineStr">
        <is>
          <t>Sept 30, 2026</t>
        </is>
      </c>
      <c r="AN182" s="9" t="inlineStr">
        <is>
          <t>Not terminated, no core markers for JB or the RTD. | No stainless steel tags for the JB or RTD.</t>
        </is>
      </c>
    </row>
    <row r="183">
      <c r="A183" s="9" t="inlineStr">
        <is>
          <t>RTD</t>
        </is>
      </c>
      <c r="B183" s="9" t="inlineStr">
        <is>
          <t>29103-ET-PE1202-1-R-2</t>
        </is>
      </c>
      <c r="C183" s="9" t="inlineStr">
        <is>
          <t>29103-ET-PE1202-1</t>
        </is>
      </c>
      <c r="D183" s="9" t="inlineStr">
        <is>
          <t>29103-HTP-002 (TB8 / I/O 4-4)</t>
        </is>
      </c>
      <c r="E183" s="9" t="inlineStr">
        <is>
          <t>PRODUCED EMULSION</t>
        </is>
      </c>
      <c r="F183" s="9" t="inlineStr">
        <is>
          <t>29103-ET-PE1202-1</t>
        </is>
      </c>
      <c r="G183" s="9" t="inlineStr">
        <is>
          <t>13.2</t>
        </is>
      </c>
      <c r="H183" s="9" t="inlineStr">
        <is>
          <t>29103-ET-PE1202-1-R-2.pdf</t>
        </is>
      </c>
      <c r="I183" s="4" t="str">
        <f>IF($H183&lt;&gt;"","YES","NO")</f>
        <v>YES</v>
      </c>
      <c r="J183" s="4" t="str">
        <f>IF(N($T183)&gt;0,"YES","NO")</f>
        <v>YES</v>
      </c>
      <c r="K183" s="4" t="str">
        <f>IF(OR($A183="EHT Trace"),IF(AND($U183&lt;&gt;"",$V183&lt;&gt;""),"YES","NO"),"N/A")</f>
        <v>N/A</v>
      </c>
      <c r="L183" s="4" t="str">
        <f>IF(OR($A183="EHT Trace"),IF(AND($X183&lt;&gt;"",$Y183&lt;&gt;""),"YES","NO"),"N/A")</f>
        <v>N/A</v>
      </c>
      <c r="M183" s="4" t="str">
        <f>IF(OR($A183="EHT Trace"),IF(AND($AA183&lt;&gt;"",$AB183&lt;&gt;""),"YES","NO"),"N/A")</f>
        <v>N/A</v>
      </c>
      <c r="N183" s="4" t="str">
        <f>IF(OR($A183="Power Cable"),IF(AND($AD183&lt;&gt;""),"YES","NO"),"N/A")</f>
        <v>N/A</v>
      </c>
      <c r="O183" s="4" t="str">
        <f>IF(OR($A183="Power Cable",$A183="RTD Cable",$A183="Fieldbus Cable"),IF(AND($AE183&lt;&gt;""),"YES","NO"),"N/A")</f>
        <v>N/A</v>
      </c>
      <c r="P183" s="4" t="str">
        <f>IF(OR($A183="RTD"),IF(AND($AH183&lt;&gt;""),"YES","NO"),"N/A")</f>
        <v>NO</v>
      </c>
      <c r="Q183" s="4" t="str">
        <f>IF(OR($A183="RTD"),IF(AND($AI183&lt;&gt;""),"YES","NO"),"N/A")</f>
        <v>YES</v>
      </c>
      <c r="R183" s="4" t="str">
        <f>IF(OR($AM183&lt;&gt;"",$Z183&lt;&gt;"",$AC183&lt;&gt;""),"YES","NO")</f>
        <v>YES</v>
      </c>
      <c r="S183" s="4" t="str">
        <f>IF(COUNTIF(I183:R183,"NO")=0,"YES","NO")</f>
        <v>NO</v>
      </c>
      <c r="T183" s="9" t="n">
        <v>6</v>
      </c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inlineStr">
        <is>
          <t>Fluke 179 70180306</t>
        </is>
      </c>
      <c r="AG183" s="9" t="inlineStr">
        <is>
          <t>100</t>
        </is>
      </c>
      <c r="AH183" s="9" t="n"/>
      <c r="AI183" s="9" t="inlineStr">
        <is>
          <t>104 / 104 / 0.2</t>
        </is>
      </c>
      <c r="AJ183" s="9" t="n"/>
      <c r="AK183" s="9" t="n"/>
      <c r="AL183" s="9" t="inlineStr">
        <is>
          <t>Levy Ostrup</t>
        </is>
      </c>
      <c r="AM183" s="9" t="inlineStr">
        <is>
          <t>Sept 30, 2026</t>
        </is>
      </c>
      <c r="AN183" s="9" t="inlineStr">
        <is>
          <t>Not terminated, no core markers for JB or the RTD. | No stainless steel tags for the JB or RTD.</t>
        </is>
      </c>
    </row>
    <row r="184">
      <c r="A184" s="9" t="inlineStr">
        <is>
          <t>RTD</t>
        </is>
      </c>
      <c r="B184" s="9" t="inlineStr">
        <is>
          <t>29103-ET-PE1301-1-R-1</t>
        </is>
      </c>
      <c r="C184" s="9" t="inlineStr">
        <is>
          <t>29103-ET-PE1301-1</t>
        </is>
      </c>
      <c r="D184" s="9" t="inlineStr">
        <is>
          <t>29103-HTP-002 HTC-10</t>
        </is>
      </c>
      <c r="E184" s="9" t="inlineStr">
        <is>
          <t>PRODUCED EMULSION</t>
        </is>
      </c>
      <c r="F184" s="9" t="inlineStr">
        <is>
          <t>29103-65R-ET-PE1301-01-01</t>
        </is>
      </c>
      <c r="G184" s="9" t="inlineStr">
        <is>
          <t>13.2</t>
        </is>
      </c>
      <c r="H184" s="9" t="inlineStr">
        <is>
          <t>29103-ET-PE1301-1-R-1.pdf</t>
        </is>
      </c>
      <c r="I184" s="4" t="str">
        <f>IF($H184&lt;&gt;"","YES","NO")</f>
        <v>YES</v>
      </c>
      <c r="J184" s="4" t="str">
        <f>IF(N($T184)&gt;0,"YES","NO")</f>
        <v>NO</v>
      </c>
      <c r="K184" s="4" t="str">
        <f>IF(OR($A184="EHT Trace"),IF(AND($U184&lt;&gt;"",$V184&lt;&gt;""),"YES","NO"),"N/A")</f>
        <v>N/A</v>
      </c>
      <c r="L184" s="4" t="str">
        <f>IF(OR($A184="EHT Trace"),IF(AND($X184&lt;&gt;"",$Y184&lt;&gt;""),"YES","NO"),"N/A")</f>
        <v>N/A</v>
      </c>
      <c r="M184" s="4" t="str">
        <f>IF(OR($A184="EHT Trace"),IF(AND($AA184&lt;&gt;"",$AB184&lt;&gt;""),"YES","NO"),"N/A")</f>
        <v>N/A</v>
      </c>
      <c r="N184" s="4" t="str">
        <f>IF(OR($A184="Power Cable"),IF(AND($AD184&lt;&gt;""),"YES","NO"),"N/A")</f>
        <v>N/A</v>
      </c>
      <c r="O184" s="4" t="str">
        <f>IF(OR($A184="Power Cable",$A184="RTD Cable",$A184="Fieldbus Cable"),IF(AND($AE184&lt;&gt;""),"YES","NO"),"N/A")</f>
        <v>N/A</v>
      </c>
      <c r="P184" s="4" t="str">
        <f>IF(OR($A184="RTD"),IF(AND($AH184&lt;&gt;""),"YES","NO"),"N/A")</f>
        <v>NO</v>
      </c>
      <c r="Q184" s="4" t="str">
        <f>IF(OR($A184="RTD"),IF(AND($AI184&lt;&gt;""),"YES","NO"),"N/A")</f>
        <v>NO</v>
      </c>
      <c r="R184" s="4" t="str">
        <f>IF(OR($AM184&lt;&gt;"",$Z184&lt;&gt;"",$AC184&lt;&gt;""),"YES","NO")</f>
        <v>NO</v>
      </c>
      <c r="S184" s="4" t="str">
        <f>IF(COUNTIF(I184:R184,"NO")=0,"YES","NO")</f>
        <v>NO</v>
      </c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inlineStr">
        <is>
          <t>Levy Ostrup</t>
        </is>
      </c>
      <c r="AM184" s="9" t="n"/>
      <c r="AN184" s="9" t="n"/>
    </row>
    <row r="185">
      <c r="A185" s="9" t="inlineStr">
        <is>
          <t>RTD</t>
        </is>
      </c>
      <c r="B185" s="9" t="inlineStr">
        <is>
          <t>29103-ET-PE1301-2-R-2</t>
        </is>
      </c>
      <c r="C185" s="9" t="inlineStr">
        <is>
          <t>29103-ET-PE1301-2</t>
        </is>
      </c>
      <c r="D185" s="9" t="inlineStr">
        <is>
          <t>29103-HTP-002 I/O-2-1</t>
        </is>
      </c>
      <c r="E185" s="9" t="inlineStr">
        <is>
          <t>PRODUCED EMULSION</t>
        </is>
      </c>
      <c r="F185" s="9" t="inlineStr">
        <is>
          <t>29103-65R-ET-PE1301-02-01</t>
        </is>
      </c>
      <c r="G185" s="9" t="inlineStr">
        <is>
          <t>13.2</t>
        </is>
      </c>
      <c r="H185" s="9" t="inlineStr">
        <is>
          <t>29103-ET-PE1301-2-R-2.pdf</t>
        </is>
      </c>
      <c r="I185" s="4" t="str">
        <f>IF($H185&lt;&gt;"","YES","NO")</f>
        <v>YES</v>
      </c>
      <c r="J185" s="4" t="str">
        <f>IF(N($T185)&gt;0,"YES","NO")</f>
        <v>NO</v>
      </c>
      <c r="K185" s="4" t="str">
        <f>IF(OR($A185="EHT Trace"),IF(AND($U185&lt;&gt;"",$V185&lt;&gt;""),"YES","NO"),"N/A")</f>
        <v>N/A</v>
      </c>
      <c r="L185" s="4" t="str">
        <f>IF(OR($A185="EHT Trace"),IF(AND($X185&lt;&gt;"",$Y185&lt;&gt;""),"YES","NO"),"N/A")</f>
        <v>N/A</v>
      </c>
      <c r="M185" s="4" t="str">
        <f>IF(OR($A185="EHT Trace"),IF(AND($AA185&lt;&gt;"",$AB185&lt;&gt;""),"YES","NO"),"N/A")</f>
        <v>N/A</v>
      </c>
      <c r="N185" s="4" t="str">
        <f>IF(OR($A185="Power Cable"),IF(AND($AD185&lt;&gt;""),"YES","NO"),"N/A")</f>
        <v>N/A</v>
      </c>
      <c r="O185" s="4" t="str">
        <f>IF(OR($A185="Power Cable",$A185="RTD Cable",$A185="Fieldbus Cable"),IF(AND($AE185&lt;&gt;""),"YES","NO"),"N/A")</f>
        <v>N/A</v>
      </c>
      <c r="P185" s="4" t="str">
        <f>IF(OR($A185="RTD"),IF(AND($AH185&lt;&gt;""),"YES","NO"),"N/A")</f>
        <v>NO</v>
      </c>
      <c r="Q185" s="4" t="str">
        <f>IF(OR($A185="RTD"),IF(AND($AI185&lt;&gt;""),"YES","NO"),"N/A")</f>
        <v>NO</v>
      </c>
      <c r="R185" s="4" t="str">
        <f>IF(OR($AM185&lt;&gt;"",$Z185&lt;&gt;"",$AC185&lt;&gt;""),"YES","NO")</f>
        <v>NO</v>
      </c>
      <c r="S185" s="4" t="str">
        <f>IF(COUNTIF(I185:R185,"NO")=0,"YES","NO")</f>
        <v>NO</v>
      </c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inlineStr">
        <is>
          <t>Levy Ostrup</t>
        </is>
      </c>
      <c r="AM185" s="9" t="n"/>
      <c r="AN185" s="9" t="n"/>
    </row>
    <row r="186">
      <c r="A186" s="9" t="inlineStr">
        <is>
          <t>RTD</t>
        </is>
      </c>
      <c r="B186" s="9" t="inlineStr">
        <is>
          <t>29103-ET-PE1302-1-R-1</t>
        </is>
      </c>
      <c r="C186" s="9" t="inlineStr">
        <is>
          <t>29103-ET-PE1302-1</t>
        </is>
      </c>
      <c r="D186" s="9" t="inlineStr">
        <is>
          <t>29103-HTP-002 I/O-2-2 / CB-06</t>
        </is>
      </c>
      <c r="E186" s="9" t="inlineStr">
        <is>
          <t>PRODUCED EMULSION</t>
        </is>
      </c>
      <c r="F186" s="9" t="inlineStr">
        <is>
          <t>29103-4"-PE-1302-DAPCO-64H-ET Rev 1A2   Trace: 29103-ET-PE1302-1-1</t>
        </is>
      </c>
      <c r="G186" s="9" t="inlineStr">
        <is>
          <t>13.2</t>
        </is>
      </c>
      <c r="H186" s="9" t="inlineStr">
        <is>
          <t>29103-ET-PE1302-1-R-1.pdf</t>
        </is>
      </c>
      <c r="I186" s="4" t="str">
        <f>IF($H186&lt;&gt;"","YES","NO")</f>
        <v>YES</v>
      </c>
      <c r="J186" s="4" t="str">
        <f>IF(N($T186)&gt;0,"YES","NO")</f>
        <v>YES</v>
      </c>
      <c r="K186" s="4" t="str">
        <f>IF(OR($A186="EHT Trace"),IF(AND($U186&lt;&gt;"",$V186&lt;&gt;""),"YES","NO"),"N/A")</f>
        <v>N/A</v>
      </c>
      <c r="L186" s="4" t="str">
        <f>IF(OR($A186="EHT Trace"),IF(AND($X186&lt;&gt;"",$Y186&lt;&gt;""),"YES","NO"),"N/A")</f>
        <v>N/A</v>
      </c>
      <c r="M186" s="4" t="str">
        <f>IF(OR($A186="EHT Trace"),IF(AND($AA186&lt;&gt;"",$AB186&lt;&gt;""),"YES","NO"),"N/A")</f>
        <v>N/A</v>
      </c>
      <c r="N186" s="4" t="str">
        <f>IF(OR($A186="Power Cable"),IF(AND($AD186&lt;&gt;""),"YES","NO"),"N/A")</f>
        <v>N/A</v>
      </c>
      <c r="O186" s="4" t="str">
        <f>IF(OR($A186="Power Cable",$A186="RTD Cable",$A186="Fieldbus Cable"),IF(AND($AE186&lt;&gt;""),"YES","NO"),"N/A")</f>
        <v>N/A</v>
      </c>
      <c r="P186" s="4" t="str">
        <f>IF(OR($A186="RTD"),IF(AND($AH186&lt;&gt;""),"YES","NO"),"N/A")</f>
        <v>NO</v>
      </c>
      <c r="Q186" s="4" t="str">
        <f>IF(OR($A186="RTD"),IF(AND($AI186&lt;&gt;""),"YES","NO"),"N/A")</f>
        <v>NO</v>
      </c>
      <c r="R186" s="4" t="str">
        <f>IF(OR($AM186&lt;&gt;"",$Z186&lt;&gt;"",$AC186&lt;&gt;""),"YES","NO")</f>
        <v>YES</v>
      </c>
      <c r="S186" s="4" t="str">
        <f>IF(COUNTIF(I186:R186,"NO")=0,"YES","NO")</f>
        <v>NO</v>
      </c>
      <c r="T186" s="9" t="n">
        <v>3</v>
      </c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inlineStr">
        <is>
          <t>Levy Ostrup</t>
        </is>
      </c>
      <c r="AM186" s="9" t="inlineStr">
        <is>
          <t>2026/08/12</t>
        </is>
      </c>
      <c r="AN186" s="9" t="inlineStr">
        <is>
          <t>No stainless steel tags on JB or RTD, and wrong core markers.</t>
        </is>
      </c>
    </row>
    <row r="187">
      <c r="A187" s="9" t="inlineStr">
        <is>
          <t>RTD</t>
        </is>
      </c>
      <c r="B187" s="9" t="inlineStr">
        <is>
          <t>29103-ET-PE1302-1-R-2</t>
        </is>
      </c>
      <c r="C187" s="9" t="inlineStr">
        <is>
          <t>29103-ET-PE1302-1</t>
        </is>
      </c>
      <c r="D187" s="9" t="inlineStr">
        <is>
          <t>29103-HTP-002 I/O-2-2 / CB-06</t>
        </is>
      </c>
      <c r="E187" s="9" t="inlineStr">
        <is>
          <t>PRODUCED EMULSION</t>
        </is>
      </c>
      <c r="F187" s="9" t="inlineStr">
        <is>
          <t>29103-4"-PE-1302-DAPCO-64H-ET Rev 1A2   Trace: 29103-ET-PE1302-1-1</t>
        </is>
      </c>
      <c r="G187" s="9" t="inlineStr">
        <is>
          <t>13.2</t>
        </is>
      </c>
      <c r="H187" s="9" t="inlineStr">
        <is>
          <t>29103-ET-PE1302-1-R-1.pdf</t>
        </is>
      </c>
      <c r="I187" s="4" t="str">
        <f>IF($H187&lt;&gt;"","YES","NO")</f>
        <v>YES</v>
      </c>
      <c r="J187" s="4" t="str">
        <f>IF(N($T187)&gt;0,"YES","NO")</f>
        <v>YES</v>
      </c>
      <c r="K187" s="4" t="str">
        <f>IF(OR($A187="EHT Trace"),IF(AND($U187&lt;&gt;"",$V187&lt;&gt;""),"YES","NO"),"N/A")</f>
        <v>N/A</v>
      </c>
      <c r="L187" s="4" t="str">
        <f>IF(OR($A187="EHT Trace"),IF(AND($X187&lt;&gt;"",$Y187&lt;&gt;""),"YES","NO"),"N/A")</f>
        <v>N/A</v>
      </c>
      <c r="M187" s="4" t="str">
        <f>IF(OR($A187="EHT Trace"),IF(AND($AA187&lt;&gt;"",$AB187&lt;&gt;""),"YES","NO"),"N/A")</f>
        <v>N/A</v>
      </c>
      <c r="N187" s="4" t="str">
        <f>IF(OR($A187="Power Cable"),IF(AND($AD187&lt;&gt;""),"YES","NO"),"N/A")</f>
        <v>N/A</v>
      </c>
      <c r="O187" s="4" t="str">
        <f>IF(OR($A187="Power Cable",$A187="RTD Cable",$A187="Fieldbus Cable"),IF(AND($AE187&lt;&gt;""),"YES","NO"),"N/A")</f>
        <v>N/A</v>
      </c>
      <c r="P187" s="4" t="str">
        <f>IF(OR($A187="RTD"),IF(AND($AH187&lt;&gt;""),"YES","NO"),"N/A")</f>
        <v>NO</v>
      </c>
      <c r="Q187" s="4" t="str">
        <f>IF(OR($A187="RTD"),IF(AND($AI187&lt;&gt;""),"YES","NO"),"N/A")</f>
        <v>NO</v>
      </c>
      <c r="R187" s="4" t="str">
        <f>IF(OR($AM187&lt;&gt;"",$Z187&lt;&gt;"",$AC187&lt;&gt;""),"YES","NO")</f>
        <v>YES</v>
      </c>
      <c r="S187" s="4" t="str">
        <f>IF(COUNTIF(I187:R187,"NO")=0,"YES","NO")</f>
        <v>NO</v>
      </c>
      <c r="T187" s="9" t="n">
        <v>3</v>
      </c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inlineStr">
        <is>
          <t>Levy Ostrup</t>
        </is>
      </c>
      <c r="AM187" s="9" t="inlineStr">
        <is>
          <t>2026/08/12</t>
        </is>
      </c>
      <c r="AN187" s="9" t="inlineStr">
        <is>
          <t>No stainless steel tags on JB or RTD, and wrong core markers.</t>
        </is>
      </c>
    </row>
    <row r="188">
      <c r="A188" s="9" t="inlineStr">
        <is>
          <t>RTD</t>
        </is>
      </c>
      <c r="B188" s="9" t="inlineStr">
        <is>
          <t>29103-ET-PE1401-1-R-1</t>
        </is>
      </c>
      <c r="C188" s="9" t="inlineStr">
        <is>
          <t>29103-ET-PE1401-1</t>
        </is>
      </c>
      <c r="D188" s="9" t="inlineStr">
        <is>
          <t>29103-HTP-002 HTC-04</t>
        </is>
      </c>
      <c r="E188" s="9" t="inlineStr">
        <is>
          <t>PRODUCED EMULSION</t>
        </is>
      </c>
      <c r="F188" s="9" t="inlineStr">
        <is>
          <t>29103-65R-ET-PE1401-01-01</t>
        </is>
      </c>
      <c r="G188" s="9" t="inlineStr">
        <is>
          <t>13.2</t>
        </is>
      </c>
      <c r="H188" s="9" t="inlineStr">
        <is>
          <t>29103-ET-PE1401-1-R-1.pdf</t>
        </is>
      </c>
      <c r="I188" s="4" t="str">
        <f>IF($H188&lt;&gt;"","YES","NO")</f>
        <v>YES</v>
      </c>
      <c r="J188" s="4" t="str">
        <f>IF(N($T188)&gt;0,"YES","NO")</f>
        <v>NO</v>
      </c>
      <c r="K188" s="4" t="str">
        <f>IF(OR($A188="EHT Trace"),IF(AND($U188&lt;&gt;"",$V188&lt;&gt;""),"YES","NO"),"N/A")</f>
        <v>N/A</v>
      </c>
      <c r="L188" s="4" t="str">
        <f>IF(OR($A188="EHT Trace"),IF(AND($X188&lt;&gt;"",$Y188&lt;&gt;""),"YES","NO"),"N/A")</f>
        <v>N/A</v>
      </c>
      <c r="M188" s="4" t="str">
        <f>IF(OR($A188="EHT Trace"),IF(AND($AA188&lt;&gt;"",$AB188&lt;&gt;""),"YES","NO"),"N/A")</f>
        <v>N/A</v>
      </c>
      <c r="N188" s="4" t="str">
        <f>IF(OR($A188="Power Cable"),IF(AND($AD188&lt;&gt;""),"YES","NO"),"N/A")</f>
        <v>N/A</v>
      </c>
      <c r="O188" s="4" t="str">
        <f>IF(OR($A188="Power Cable",$A188="RTD Cable",$A188="Fieldbus Cable"),IF(AND($AE188&lt;&gt;""),"YES","NO"),"N/A")</f>
        <v>N/A</v>
      </c>
      <c r="P188" s="4" t="str">
        <f>IF(OR($A188="RTD"),IF(AND($AH188&lt;&gt;""),"YES","NO"),"N/A")</f>
        <v>NO</v>
      </c>
      <c r="Q188" s="4" t="str">
        <f>IF(OR($A188="RTD"),IF(AND($AI188&lt;&gt;""),"YES","NO"),"N/A")</f>
        <v>NO</v>
      </c>
      <c r="R188" s="4" t="str">
        <f>IF(OR($AM188&lt;&gt;"",$Z188&lt;&gt;"",$AC188&lt;&gt;""),"YES","NO")</f>
        <v>NO</v>
      </c>
      <c r="S188" s="4" t="str">
        <f>IF(COUNTIF(I188:R188,"NO")=0,"YES","NO")</f>
        <v>NO</v>
      </c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inlineStr">
        <is>
          <t>Levy Ostrup</t>
        </is>
      </c>
      <c r="AM188" s="9" t="n"/>
      <c r="AN188" s="9" t="n"/>
    </row>
    <row r="189">
      <c r="A189" s="9" t="inlineStr">
        <is>
          <t>RTD</t>
        </is>
      </c>
      <c r="B189" s="9" t="inlineStr">
        <is>
          <t>29103-ET-PE1802-1-R-1</t>
        </is>
      </c>
      <c r="C189" s="9" t="inlineStr">
        <is>
          <t>29103-ET-PE1802-1</t>
        </is>
      </c>
      <c r="D189" s="9" t="inlineStr">
        <is>
          <t>29103-HTP-002 (TB-05 / CB-17)</t>
        </is>
      </c>
      <c r="E189" s="9" t="inlineStr">
        <is>
          <t>PRODUCED EMULSION</t>
        </is>
      </c>
      <c r="F189" s="9" t="inlineStr">
        <is>
          <t>29103-ET-PE1802-1</t>
        </is>
      </c>
      <c r="G189" s="9" t="inlineStr">
        <is>
          <t>13.2</t>
        </is>
      </c>
      <c r="H189" s="9" t="inlineStr">
        <is>
          <t>29103-ET-PE1802-1-R-1.pdf</t>
        </is>
      </c>
      <c r="I189" s="4" t="str">
        <f>IF($H189&lt;&gt;"","YES","NO")</f>
        <v>YES</v>
      </c>
      <c r="J189" s="4" t="str">
        <f>IF(N($T189)&gt;0,"YES","NO")</f>
        <v>YES</v>
      </c>
      <c r="K189" s="4" t="str">
        <f>IF(OR($A189="EHT Trace"),IF(AND($U189&lt;&gt;"",$V189&lt;&gt;""),"YES","NO"),"N/A")</f>
        <v>N/A</v>
      </c>
      <c r="L189" s="4" t="str">
        <f>IF(OR($A189="EHT Trace"),IF(AND($X189&lt;&gt;"",$Y189&lt;&gt;""),"YES","NO"),"N/A")</f>
        <v>N/A</v>
      </c>
      <c r="M189" s="4" t="str">
        <f>IF(OR($A189="EHT Trace"),IF(AND($AA189&lt;&gt;"",$AB189&lt;&gt;""),"YES","NO"),"N/A")</f>
        <v>N/A</v>
      </c>
      <c r="N189" s="4" t="str">
        <f>IF(OR($A189="Power Cable"),IF(AND($AD189&lt;&gt;""),"YES","NO"),"N/A")</f>
        <v>N/A</v>
      </c>
      <c r="O189" s="4" t="str">
        <f>IF(OR($A189="Power Cable",$A189="RTD Cable",$A189="Fieldbus Cable"),IF(AND($AE189&lt;&gt;""),"YES","NO"),"N/A")</f>
        <v>N/A</v>
      </c>
      <c r="P189" s="4" t="str">
        <f>IF(OR($A189="RTD"),IF(AND($AH189&lt;&gt;""),"YES","NO"),"N/A")</f>
        <v>NO</v>
      </c>
      <c r="Q189" s="4" t="str">
        <f>IF(OR($A189="RTD"),IF(AND($AI189&lt;&gt;""),"YES","NO"),"N/A")</f>
        <v>YES</v>
      </c>
      <c r="R189" s="4" t="str">
        <f>IF(OR($AM189&lt;&gt;"",$Z189&lt;&gt;"",$AC189&lt;&gt;""),"YES","NO")</f>
        <v>YES</v>
      </c>
      <c r="S189" s="4" t="str">
        <f>IF(COUNTIF(I189:R189,"NO")=0,"YES","NO")</f>
        <v>NO</v>
      </c>
      <c r="T189" s="9" t="n">
        <v>9</v>
      </c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inlineStr">
        <is>
          <t>Fluke 179 70180306</t>
        </is>
      </c>
      <c r="AG189" s="9" t="inlineStr">
        <is>
          <t>100</t>
        </is>
      </c>
      <c r="AH189" s="9" t="n"/>
      <c r="AI189" s="9" t="inlineStr">
        <is>
          <t>104 / 104 / 0.2</t>
        </is>
      </c>
      <c r="AJ189" s="9" t="n"/>
      <c r="AK189" s="9" t="n"/>
      <c r="AL189" s="9" t="inlineStr">
        <is>
          <t>Levy Ostrup</t>
        </is>
      </c>
      <c r="AM189" s="9" t="inlineStr">
        <is>
          <t>Sept 30, 2026</t>
        </is>
      </c>
      <c r="AN189" s="9" t="n"/>
    </row>
    <row r="190">
      <c r="A190" s="9" t="inlineStr">
        <is>
          <t>RTD</t>
        </is>
      </c>
      <c r="B190" s="9" t="inlineStr">
        <is>
          <t>29103-ET-PE1803-1-R-1</t>
        </is>
      </c>
      <c r="C190" s="9" t="inlineStr">
        <is>
          <t>29103-ET-PE1803-1</t>
        </is>
      </c>
      <c r="D190" s="9" t="inlineStr">
        <is>
          <t>29103-HTP-002 (TB5 / HTC-21)</t>
        </is>
      </c>
      <c r="E190" s="9" t="inlineStr">
        <is>
          <t>PRODUCED EMULSION</t>
        </is>
      </c>
      <c r="F190" s="9" t="inlineStr">
        <is>
          <t>29103-ET-PE1803-1</t>
        </is>
      </c>
      <c r="G190" s="9" t="inlineStr">
        <is>
          <t>13.2</t>
        </is>
      </c>
      <c r="H190" s="9" t="inlineStr">
        <is>
          <t>29103-ET-PE1803-1-R-1.pdf</t>
        </is>
      </c>
      <c r="I190" s="4" t="str">
        <f>IF($H190&lt;&gt;"","YES","NO")</f>
        <v>YES</v>
      </c>
      <c r="J190" s="4" t="str">
        <f>IF(N($T190)&gt;0,"YES","NO")</f>
        <v>YES</v>
      </c>
      <c r="K190" s="4" t="str">
        <f>IF(OR($A190="EHT Trace"),IF(AND($U190&lt;&gt;"",$V190&lt;&gt;""),"YES","NO"),"N/A")</f>
        <v>N/A</v>
      </c>
      <c r="L190" s="4" t="str">
        <f>IF(OR($A190="EHT Trace"),IF(AND($X190&lt;&gt;"",$Y190&lt;&gt;""),"YES","NO"),"N/A")</f>
        <v>N/A</v>
      </c>
      <c r="M190" s="4" t="str">
        <f>IF(OR($A190="EHT Trace"),IF(AND($AA190&lt;&gt;"",$AB190&lt;&gt;""),"YES","NO"),"N/A")</f>
        <v>N/A</v>
      </c>
      <c r="N190" s="4" t="str">
        <f>IF(OR($A190="Power Cable"),IF(AND($AD190&lt;&gt;""),"YES","NO"),"N/A")</f>
        <v>N/A</v>
      </c>
      <c r="O190" s="4" t="str">
        <f>IF(OR($A190="Power Cable",$A190="RTD Cable",$A190="Fieldbus Cable"),IF(AND($AE190&lt;&gt;""),"YES","NO"),"N/A")</f>
        <v>N/A</v>
      </c>
      <c r="P190" s="4" t="str">
        <f>IF(OR($A190="RTD"),IF(AND($AH190&lt;&gt;""),"YES","NO"),"N/A")</f>
        <v>NO</v>
      </c>
      <c r="Q190" s="4" t="str">
        <f>IF(OR($A190="RTD"),IF(AND($AI190&lt;&gt;""),"YES","NO"),"N/A")</f>
        <v>YES</v>
      </c>
      <c r="R190" s="4" t="str">
        <f>IF(OR($AM190&lt;&gt;"",$Z190&lt;&gt;"",$AC190&lt;&gt;""),"YES","NO")</f>
        <v>NO</v>
      </c>
      <c r="S190" s="4" t="str">
        <f>IF(COUNTIF(I190:R190,"NO")=0,"YES","NO")</f>
        <v>NO</v>
      </c>
      <c r="T190" s="9" t="n">
        <v>5</v>
      </c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inlineStr">
        <is>
          <t>Fluke 179 70180306</t>
        </is>
      </c>
      <c r="AG190" s="9" t="n"/>
      <c r="AH190" s="9" t="n"/>
      <c r="AI190" s="9" t="inlineStr">
        <is>
          <t>104 / 104 / 0.2</t>
        </is>
      </c>
      <c r="AJ190" s="9" t="n"/>
      <c r="AK190" s="9" t="n"/>
      <c r="AL190" s="9" t="inlineStr">
        <is>
          <t>Levy Ostrup</t>
        </is>
      </c>
      <c r="AM190" s="9" t="n"/>
      <c r="AN190" s="9" t="n"/>
    </row>
    <row r="191">
      <c r="A191" s="9" t="inlineStr">
        <is>
          <t>RTD</t>
        </is>
      </c>
      <c r="B191" s="9" t="inlineStr">
        <is>
          <t>29103-ET-PE1803-1-R-2</t>
        </is>
      </c>
      <c r="C191" s="9" t="inlineStr">
        <is>
          <t>29103-ET-PE1803-1</t>
        </is>
      </c>
      <c r="D191" s="9" t="inlineStr">
        <is>
          <t>29103-HTP-002 (TB5 / HTC 21)</t>
        </is>
      </c>
      <c r="E191" s="9" t="inlineStr">
        <is>
          <t>PRODUCED EMULSION</t>
        </is>
      </c>
      <c r="F191" s="9" t="inlineStr">
        <is>
          <t>29103-ET-PE1803-1</t>
        </is>
      </c>
      <c r="G191" s="9" t="inlineStr">
        <is>
          <t>13.2</t>
        </is>
      </c>
      <c r="H191" s="9" t="inlineStr">
        <is>
          <t>29103-ET-PE1803-1-R-2.pdf</t>
        </is>
      </c>
      <c r="I191" s="4" t="str">
        <f>IF($H191&lt;&gt;"","YES","NO")</f>
        <v>YES</v>
      </c>
      <c r="J191" s="4" t="str">
        <f>IF(N($T191)&gt;0,"YES","NO")</f>
        <v>YES</v>
      </c>
      <c r="K191" s="4" t="str">
        <f>IF(OR($A191="EHT Trace"),IF(AND($U191&lt;&gt;"",$V191&lt;&gt;""),"YES","NO"),"N/A")</f>
        <v>N/A</v>
      </c>
      <c r="L191" s="4" t="str">
        <f>IF(OR($A191="EHT Trace"),IF(AND($X191&lt;&gt;"",$Y191&lt;&gt;""),"YES","NO"),"N/A")</f>
        <v>N/A</v>
      </c>
      <c r="M191" s="4" t="str">
        <f>IF(OR($A191="EHT Trace"),IF(AND($AA191&lt;&gt;"",$AB191&lt;&gt;""),"YES","NO"),"N/A")</f>
        <v>N/A</v>
      </c>
      <c r="N191" s="4" t="str">
        <f>IF(OR($A191="Power Cable"),IF(AND($AD191&lt;&gt;""),"YES","NO"),"N/A")</f>
        <v>N/A</v>
      </c>
      <c r="O191" s="4" t="str">
        <f>IF(OR($A191="Power Cable",$A191="RTD Cable",$A191="Fieldbus Cable"),IF(AND($AE191&lt;&gt;""),"YES","NO"),"N/A")</f>
        <v>N/A</v>
      </c>
      <c r="P191" s="4" t="str">
        <f>IF(OR($A191="RTD"),IF(AND($AH191&lt;&gt;""),"YES","NO"),"N/A")</f>
        <v>NO</v>
      </c>
      <c r="Q191" s="4" t="str">
        <f>IF(OR($A191="RTD"),IF(AND($AI191&lt;&gt;""),"YES","NO"),"N/A")</f>
        <v>YES</v>
      </c>
      <c r="R191" s="4" t="str">
        <f>IF(OR($AM191&lt;&gt;"",$Z191&lt;&gt;"",$AC191&lt;&gt;""),"YES","NO")</f>
        <v>YES</v>
      </c>
      <c r="S191" s="4" t="str">
        <f>IF(COUNTIF(I191:R191,"NO")=0,"YES","NO")</f>
        <v>NO</v>
      </c>
      <c r="T191" s="9" t="n">
        <v>9</v>
      </c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inlineStr">
        <is>
          <t>Fluke 179 70180306</t>
        </is>
      </c>
      <c r="AG191" s="9" t="inlineStr">
        <is>
          <t>100</t>
        </is>
      </c>
      <c r="AH191" s="9" t="n"/>
      <c r="AI191" s="9" t="inlineStr">
        <is>
          <t>104 Ω / 104 Ω / 0.2 Ω</t>
        </is>
      </c>
      <c r="AJ191" s="9" t="n"/>
      <c r="AK191" s="9" t="n"/>
      <c r="AL191" s="9" t="inlineStr">
        <is>
          <t>Levy Ostrup</t>
        </is>
      </c>
      <c r="AM191" s="9" t="inlineStr">
        <is>
          <t>Sept 30 2026</t>
        </is>
      </c>
      <c r="AN191" s="9" t="n"/>
    </row>
    <row r="192">
      <c r="A192" s="9" t="inlineStr">
        <is>
          <t>RTD</t>
        </is>
      </c>
      <c r="B192" s="9" t="inlineStr">
        <is>
          <t>29103-ET-PG1101-1-R-1</t>
        </is>
      </c>
      <c r="C192" s="9" t="inlineStr">
        <is>
          <t>29103-ET-PG1101-1</t>
        </is>
      </c>
      <c r="D192" s="9" t="inlineStr">
        <is>
          <t>29103-HTP-002 (TB-5 / CB-15)</t>
        </is>
      </c>
      <c r="E192" s="9" t="inlineStr">
        <is>
          <t>PRODUCED GAS</t>
        </is>
      </c>
      <c r="F192" s="9" t="inlineStr">
        <is>
          <t>29103-ET-PG1101-1</t>
        </is>
      </c>
      <c r="G192" s="9" t="inlineStr">
        <is>
          <t>13.2</t>
        </is>
      </c>
      <c r="H192" s="9" t="inlineStr">
        <is>
          <t>29103-ET-PG1101-1-R-1.pdf</t>
        </is>
      </c>
      <c r="I192" s="4" t="str">
        <f>IF($H192&lt;&gt;"","YES","NO")</f>
        <v>YES</v>
      </c>
      <c r="J192" s="4" t="str">
        <f>IF(N($T192)&gt;0,"YES","NO")</f>
        <v>YES</v>
      </c>
      <c r="K192" s="4" t="str">
        <f>IF(OR($A192="EHT Trace"),IF(AND($U192&lt;&gt;"",$V192&lt;&gt;""),"YES","NO"),"N/A")</f>
        <v>N/A</v>
      </c>
      <c r="L192" s="4" t="str">
        <f>IF(OR($A192="EHT Trace"),IF(AND($X192&lt;&gt;"",$Y192&lt;&gt;""),"YES","NO"),"N/A")</f>
        <v>N/A</v>
      </c>
      <c r="M192" s="4" t="str">
        <f>IF(OR($A192="EHT Trace"),IF(AND($AA192&lt;&gt;"",$AB192&lt;&gt;""),"YES","NO"),"N/A")</f>
        <v>N/A</v>
      </c>
      <c r="N192" s="4" t="str">
        <f>IF(OR($A192="Power Cable"),IF(AND($AD192&lt;&gt;""),"YES","NO"),"N/A")</f>
        <v>N/A</v>
      </c>
      <c r="O192" s="4" t="str">
        <f>IF(OR($A192="Power Cable",$A192="RTD Cable",$A192="Fieldbus Cable"),IF(AND($AE192&lt;&gt;""),"YES","NO"),"N/A")</f>
        <v>N/A</v>
      </c>
      <c r="P192" s="4" t="str">
        <f>IF(OR($A192="RTD"),IF(AND($AH192&lt;&gt;""),"YES","NO"),"N/A")</f>
        <v>NO</v>
      </c>
      <c r="Q192" s="4" t="str">
        <f>IF(OR($A192="RTD"),IF(AND($AI192&lt;&gt;""),"YES","NO"),"N/A")</f>
        <v>NO</v>
      </c>
      <c r="R192" s="4" t="str">
        <f>IF(OR($AM192&lt;&gt;"",$Z192&lt;&gt;"",$AC192&lt;&gt;""),"YES","NO")</f>
        <v>YES</v>
      </c>
      <c r="S192" s="4" t="str">
        <f>IF(COUNTIF(I192:R192,"NO")=0,"YES","NO")</f>
        <v>NO</v>
      </c>
      <c r="T192" s="9" t="n">
        <v>9</v>
      </c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inlineStr">
        <is>
          <t>Fluke 179 70180306</t>
        </is>
      </c>
      <c r="AG192" s="9" t="inlineStr">
        <is>
          <t>100</t>
        </is>
      </c>
      <c r="AH192" s="9" t="n"/>
      <c r="AI192" s="9" t="n"/>
      <c r="AJ192" s="9" t="n"/>
      <c r="AK192" s="9" t="n"/>
      <c r="AL192" s="9" t="inlineStr">
        <is>
          <t>Levy Ostrup</t>
        </is>
      </c>
      <c r="AM192" s="9" t="inlineStr">
        <is>
          <t>Sept 29 2026</t>
        </is>
      </c>
      <c r="AN192" s="9" t="n"/>
    </row>
    <row r="193">
      <c r="A193" s="9" t="inlineStr">
        <is>
          <t>RTD</t>
        </is>
      </c>
      <c r="B193" s="9" t="inlineStr">
        <is>
          <t>29103-ET-PG1101-1-R-2</t>
        </is>
      </c>
      <c r="C193" s="9" t="inlineStr">
        <is>
          <t>29103-ET-PG1101-1</t>
        </is>
      </c>
      <c r="D193" s="9" t="inlineStr">
        <is>
          <t>29103-HTP-002 (TB-5 / CB15)</t>
        </is>
      </c>
      <c r="E193" s="9" t="inlineStr">
        <is>
          <t>PRODUCED GAS</t>
        </is>
      </c>
      <c r="F193" s="9" t="inlineStr">
        <is>
          <t>29103-ET-PG1101-1</t>
        </is>
      </c>
      <c r="G193" s="9" t="inlineStr">
        <is>
          <t>13.2</t>
        </is>
      </c>
      <c r="H193" s="9" t="inlineStr">
        <is>
          <t>29103-ET-PG1101-1-R-2.pdf</t>
        </is>
      </c>
      <c r="I193" s="4" t="str">
        <f>IF($H193&lt;&gt;"","YES","NO")</f>
        <v>YES</v>
      </c>
      <c r="J193" s="4" t="str">
        <f>IF(N($T193)&gt;0,"YES","NO")</f>
        <v>YES</v>
      </c>
      <c r="K193" s="4" t="str">
        <f>IF(OR($A193="EHT Trace"),IF(AND($U193&lt;&gt;"",$V193&lt;&gt;""),"YES","NO"),"N/A")</f>
        <v>N/A</v>
      </c>
      <c r="L193" s="4" t="str">
        <f>IF(OR($A193="EHT Trace"),IF(AND($X193&lt;&gt;"",$Y193&lt;&gt;""),"YES","NO"),"N/A")</f>
        <v>N/A</v>
      </c>
      <c r="M193" s="4" t="str">
        <f>IF(OR($A193="EHT Trace"),IF(AND($AA193&lt;&gt;"",$AB193&lt;&gt;""),"YES","NO"),"N/A")</f>
        <v>N/A</v>
      </c>
      <c r="N193" s="4" t="str">
        <f>IF(OR($A193="Power Cable"),IF(AND($AD193&lt;&gt;""),"YES","NO"),"N/A")</f>
        <v>N/A</v>
      </c>
      <c r="O193" s="4" t="str">
        <f>IF(OR($A193="Power Cable",$A193="RTD Cable",$A193="Fieldbus Cable"),IF(AND($AE193&lt;&gt;""),"YES","NO"),"N/A")</f>
        <v>N/A</v>
      </c>
      <c r="P193" s="4" t="str">
        <f>IF(OR($A193="RTD"),IF(AND($AH193&lt;&gt;""),"YES","NO"),"N/A")</f>
        <v>NO</v>
      </c>
      <c r="Q193" s="4" t="str">
        <f>IF(OR($A193="RTD"),IF(AND($AI193&lt;&gt;""),"YES","NO"),"N/A")</f>
        <v>YES</v>
      </c>
      <c r="R193" s="4" t="str">
        <f>IF(OR($AM193&lt;&gt;"",$Z193&lt;&gt;"",$AC193&lt;&gt;""),"YES","NO")</f>
        <v>YES</v>
      </c>
      <c r="S193" s="4" t="str">
        <f>IF(COUNTIF(I193:R193,"NO")=0,"YES","NO")</f>
        <v>NO</v>
      </c>
      <c r="T193" s="9" t="n">
        <v>9</v>
      </c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inlineStr">
        <is>
          <t>Fluke 179 70180306</t>
        </is>
      </c>
      <c r="AG193" s="9" t="inlineStr">
        <is>
          <t>100</t>
        </is>
      </c>
      <c r="AH193" s="9" t="n"/>
      <c r="AI193" s="9" t="inlineStr">
        <is>
          <t>104 / 104 / 0.2</t>
        </is>
      </c>
      <c r="AJ193" s="9" t="n"/>
      <c r="AK193" s="9" t="n"/>
      <c r="AL193" s="9" t="inlineStr">
        <is>
          <t>Levy Ostrup</t>
        </is>
      </c>
      <c r="AM193" s="9" t="inlineStr">
        <is>
          <t>Sept 29 2026</t>
        </is>
      </c>
      <c r="AN193" s="9" t="n"/>
    </row>
    <row r="194">
      <c r="A194" s="9" t="inlineStr">
        <is>
          <t>RTD</t>
        </is>
      </c>
      <c r="B194" s="9" t="inlineStr">
        <is>
          <t>29103-ET-PG1101-2-R-1</t>
        </is>
      </c>
      <c r="C194" s="9" t="inlineStr">
        <is>
          <t>29103-ET-PG1101-2</t>
        </is>
      </c>
      <c r="D194" s="9" t="inlineStr">
        <is>
          <t>29103-HTP-002 (TB-5 / CB-14)</t>
        </is>
      </c>
      <c r="E194" s="9" t="inlineStr">
        <is>
          <t>PRODUCED GAS</t>
        </is>
      </c>
      <c r="F194" s="9" t="inlineStr">
        <is>
          <t>29103-ET-PG1101-2</t>
        </is>
      </c>
      <c r="G194" s="9" t="inlineStr">
        <is>
          <t>13.2</t>
        </is>
      </c>
      <c r="H194" s="9" t="inlineStr">
        <is>
          <t>29103-ET-PG1101-2-R-1.pdf</t>
        </is>
      </c>
      <c r="I194" s="4" t="str">
        <f>IF($H194&lt;&gt;"","YES","NO")</f>
        <v>YES</v>
      </c>
      <c r="J194" s="4" t="str">
        <f>IF(N($T194)&gt;0,"YES","NO")</f>
        <v>NO</v>
      </c>
      <c r="K194" s="4" t="str">
        <f>IF(OR($A194="EHT Trace"),IF(AND($U194&lt;&gt;"",$V194&lt;&gt;""),"YES","NO"),"N/A")</f>
        <v>N/A</v>
      </c>
      <c r="L194" s="4" t="str">
        <f>IF(OR($A194="EHT Trace"),IF(AND($X194&lt;&gt;"",$Y194&lt;&gt;""),"YES","NO"),"N/A")</f>
        <v>N/A</v>
      </c>
      <c r="M194" s="4" t="str">
        <f>IF(OR($A194="EHT Trace"),IF(AND($AA194&lt;&gt;"",$AB194&lt;&gt;""),"YES","NO"),"N/A")</f>
        <v>N/A</v>
      </c>
      <c r="N194" s="4" t="str">
        <f>IF(OR($A194="Power Cable"),IF(AND($AD194&lt;&gt;""),"YES","NO"),"N/A")</f>
        <v>N/A</v>
      </c>
      <c r="O194" s="4" t="str">
        <f>IF(OR($A194="Power Cable",$A194="RTD Cable",$A194="Fieldbus Cable"),IF(AND($AE194&lt;&gt;""),"YES","NO"),"N/A")</f>
        <v>N/A</v>
      </c>
      <c r="P194" s="4" t="str">
        <f>IF(OR($A194="RTD"),IF(AND($AH194&lt;&gt;""),"YES","NO"),"N/A")</f>
        <v>NO</v>
      </c>
      <c r="Q194" s="4" t="str">
        <f>IF(OR($A194="RTD"),IF(AND($AI194&lt;&gt;""),"YES","NO"),"N/A")</f>
        <v>YES</v>
      </c>
      <c r="R194" s="4" t="str">
        <f>IF(OR($AM194&lt;&gt;"",$Z194&lt;&gt;"",$AC194&lt;&gt;""),"YES","NO")</f>
        <v>YES</v>
      </c>
      <c r="S194" s="4" t="str">
        <f>IF(COUNTIF(I194:R194,"NO")=0,"YES","NO")</f>
        <v>NO</v>
      </c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inlineStr">
        <is>
          <t>Fluke 179 70180306</t>
        </is>
      </c>
      <c r="AG194" s="9" t="n"/>
      <c r="AH194" s="9" t="n"/>
      <c r="AI194" s="9" t="inlineStr">
        <is>
          <t>104 / 104 / 0.2</t>
        </is>
      </c>
      <c r="AJ194" s="9" t="n"/>
      <c r="AK194" s="9" t="n"/>
      <c r="AL194" s="9" t="inlineStr">
        <is>
          <t>Levy Ostrup</t>
        </is>
      </c>
      <c r="AM194" s="9" t="inlineStr">
        <is>
          <t>Sept 29 2026</t>
        </is>
      </c>
      <c r="AN194" s="9" t="n"/>
    </row>
    <row r="195">
      <c r="A195" s="9" t="inlineStr">
        <is>
          <t>RTD</t>
        </is>
      </c>
      <c r="B195" s="9" t="inlineStr">
        <is>
          <t>29103-ET-PG1201-1-R-1</t>
        </is>
      </c>
      <c r="C195" s="9" t="inlineStr">
        <is>
          <t>29103-ET-PG1201-1</t>
        </is>
      </c>
      <c r="D195" s="9" t="inlineStr">
        <is>
          <t>29103-HTP-002 HTC-12</t>
        </is>
      </c>
      <c r="E195" s="9" t="inlineStr">
        <is>
          <t>PRODUCED GAS</t>
        </is>
      </c>
      <c r="F195" s="9" t="inlineStr">
        <is>
          <t>29103-65R-ET-PG1201-01-01</t>
        </is>
      </c>
      <c r="G195" s="9" t="inlineStr">
        <is>
          <t>13.2</t>
        </is>
      </c>
      <c r="H195" s="9" t="inlineStr">
        <is>
          <t>29103-ET-PG1201-1-R-1.pdf</t>
        </is>
      </c>
      <c r="I195" s="4" t="str">
        <f>IF($H195&lt;&gt;"","YES","NO")</f>
        <v>YES</v>
      </c>
      <c r="J195" s="4" t="str">
        <f>IF(N($T195)&gt;0,"YES","NO")</f>
        <v>NO</v>
      </c>
      <c r="K195" s="4" t="str">
        <f>IF(OR($A195="EHT Trace"),IF(AND($U195&lt;&gt;"",$V195&lt;&gt;""),"YES","NO"),"N/A")</f>
        <v>N/A</v>
      </c>
      <c r="L195" s="4" t="str">
        <f>IF(OR($A195="EHT Trace"),IF(AND($X195&lt;&gt;"",$Y195&lt;&gt;""),"YES","NO"),"N/A")</f>
        <v>N/A</v>
      </c>
      <c r="M195" s="4" t="str">
        <f>IF(OR($A195="EHT Trace"),IF(AND($AA195&lt;&gt;"",$AB195&lt;&gt;""),"YES","NO"),"N/A")</f>
        <v>N/A</v>
      </c>
      <c r="N195" s="4" t="str">
        <f>IF(OR($A195="Power Cable"),IF(AND($AD195&lt;&gt;""),"YES","NO"),"N/A")</f>
        <v>N/A</v>
      </c>
      <c r="O195" s="4" t="str">
        <f>IF(OR($A195="Power Cable",$A195="RTD Cable",$A195="Fieldbus Cable"),IF(AND($AE195&lt;&gt;""),"YES","NO"),"N/A")</f>
        <v>N/A</v>
      </c>
      <c r="P195" s="4" t="str">
        <f>IF(OR($A195="RTD"),IF(AND($AH195&lt;&gt;""),"YES","NO"),"N/A")</f>
        <v>NO</v>
      </c>
      <c r="Q195" s="4" t="str">
        <f>IF(OR($A195="RTD"),IF(AND($AI195&lt;&gt;""),"YES","NO"),"N/A")</f>
        <v>NO</v>
      </c>
      <c r="R195" s="4" t="str">
        <f>IF(OR($AM195&lt;&gt;"",$Z195&lt;&gt;"",$AC195&lt;&gt;""),"YES","NO")</f>
        <v>NO</v>
      </c>
      <c r="S195" s="4" t="str">
        <f>IF(COUNTIF(I195:R195,"NO")=0,"YES","NO")</f>
        <v>NO</v>
      </c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inlineStr">
        <is>
          <t>Levy Ostrup</t>
        </is>
      </c>
      <c r="AM195" s="9" t="n"/>
      <c r="AN195" s="9" t="n"/>
    </row>
    <row r="196">
      <c r="A196" s="9" t="inlineStr">
        <is>
          <t>RTD</t>
        </is>
      </c>
      <c r="B196" s="9" t="inlineStr">
        <is>
          <t>29103-ET-PG1201-1-R-2</t>
        </is>
      </c>
      <c r="C196" s="9" t="inlineStr">
        <is>
          <t>29103-ET-PG1201-1</t>
        </is>
      </c>
      <c r="D196" s="9" t="inlineStr">
        <is>
          <t>29103-HTP-002 HTC-02</t>
        </is>
      </c>
      <c r="E196" s="9" t="inlineStr">
        <is>
          <t>PRODUCED GAS</t>
        </is>
      </c>
      <c r="F196" s="9" t="inlineStr">
        <is>
          <t>29103-65R-ET-PG1201-01-01</t>
        </is>
      </c>
      <c r="G196" s="9" t="inlineStr">
        <is>
          <t>13.2</t>
        </is>
      </c>
      <c r="H196" s="9" t="inlineStr">
        <is>
          <t>29103-ET-PG1201-1-R-2.pdf</t>
        </is>
      </c>
      <c r="I196" s="4" t="str">
        <f>IF($H196&lt;&gt;"","YES","NO")</f>
        <v>YES</v>
      </c>
      <c r="J196" s="4" t="str">
        <f>IF(N($T196)&gt;0,"YES","NO")</f>
        <v>NO</v>
      </c>
      <c r="K196" s="4" t="str">
        <f>IF(OR($A196="EHT Trace"),IF(AND($U196&lt;&gt;"",$V196&lt;&gt;""),"YES","NO"),"N/A")</f>
        <v>N/A</v>
      </c>
      <c r="L196" s="4" t="str">
        <f>IF(OR($A196="EHT Trace"),IF(AND($X196&lt;&gt;"",$Y196&lt;&gt;""),"YES","NO"),"N/A")</f>
        <v>N/A</v>
      </c>
      <c r="M196" s="4" t="str">
        <f>IF(OR($A196="EHT Trace"),IF(AND($AA196&lt;&gt;"",$AB196&lt;&gt;""),"YES","NO"),"N/A")</f>
        <v>N/A</v>
      </c>
      <c r="N196" s="4" t="str">
        <f>IF(OR($A196="Power Cable"),IF(AND($AD196&lt;&gt;""),"YES","NO"),"N/A")</f>
        <v>N/A</v>
      </c>
      <c r="O196" s="4" t="str">
        <f>IF(OR($A196="Power Cable",$A196="RTD Cable",$A196="Fieldbus Cable"),IF(AND($AE196&lt;&gt;""),"YES","NO"),"N/A")</f>
        <v>N/A</v>
      </c>
      <c r="P196" s="4" t="str">
        <f>IF(OR($A196="RTD"),IF(AND($AH196&lt;&gt;""),"YES","NO"),"N/A")</f>
        <v>NO</v>
      </c>
      <c r="Q196" s="4" t="str">
        <f>IF(OR($A196="RTD"),IF(AND($AI196&lt;&gt;""),"YES","NO"),"N/A")</f>
        <v>NO</v>
      </c>
      <c r="R196" s="4" t="str">
        <f>IF(OR($AM196&lt;&gt;"",$Z196&lt;&gt;"",$AC196&lt;&gt;""),"YES","NO")</f>
        <v>NO</v>
      </c>
      <c r="S196" s="4" t="str">
        <f>IF(COUNTIF(I196:R196,"NO")=0,"YES","NO")</f>
        <v>NO</v>
      </c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inlineStr">
        <is>
          <t>Levy Ostrup</t>
        </is>
      </c>
      <c r="AM196" s="9" t="n"/>
      <c r="AN196" s="9" t="n"/>
    </row>
    <row r="197">
      <c r="A197" s="9" t="inlineStr">
        <is>
          <t>RTD</t>
        </is>
      </c>
      <c r="B197" s="9" t="inlineStr">
        <is>
          <t>29103-ET-PG1201-2-R-1</t>
        </is>
      </c>
      <c r="C197" s="9" t="inlineStr">
        <is>
          <t>29103-ET-PG1201-2</t>
        </is>
      </c>
      <c r="D197" s="9" t="inlineStr">
        <is>
          <t>29103-HTP-002</t>
        </is>
      </c>
      <c r="E197" s="9" t="inlineStr">
        <is>
          <t>PRODUCED GAS</t>
        </is>
      </c>
      <c r="F197" s="9" t="inlineStr">
        <is>
          <t>29103-ET-PG1201-2</t>
        </is>
      </c>
      <c r="G197" s="9" t="inlineStr">
        <is>
          <t>13.2</t>
        </is>
      </c>
      <c r="H197" s="9" t="inlineStr">
        <is>
          <t>29103-ET-PG1201-2-R-1.pdf</t>
        </is>
      </c>
      <c r="I197" s="4" t="str">
        <f>IF($H197&lt;&gt;"","YES","NO")</f>
        <v>YES</v>
      </c>
      <c r="J197" s="4" t="str">
        <f>IF(N($T197)&gt;0,"YES","NO")</f>
        <v>YES</v>
      </c>
      <c r="K197" s="4" t="str">
        <f>IF(OR($A197="EHT Trace"),IF(AND($U197&lt;&gt;"",$V197&lt;&gt;""),"YES","NO"),"N/A")</f>
        <v>N/A</v>
      </c>
      <c r="L197" s="4" t="str">
        <f>IF(OR($A197="EHT Trace"),IF(AND($X197&lt;&gt;"",$Y197&lt;&gt;""),"YES","NO"),"N/A")</f>
        <v>N/A</v>
      </c>
      <c r="M197" s="4" t="str">
        <f>IF(OR($A197="EHT Trace"),IF(AND($AA197&lt;&gt;"",$AB197&lt;&gt;""),"YES","NO"),"N/A")</f>
        <v>N/A</v>
      </c>
      <c r="N197" s="4" t="str">
        <f>IF(OR($A197="Power Cable"),IF(AND($AD197&lt;&gt;""),"YES","NO"),"N/A")</f>
        <v>N/A</v>
      </c>
      <c r="O197" s="4" t="str">
        <f>IF(OR($A197="Power Cable",$A197="RTD Cable",$A197="Fieldbus Cable"),IF(AND($AE197&lt;&gt;""),"YES","NO"),"N/A")</f>
        <v>N/A</v>
      </c>
      <c r="P197" s="4" t="str">
        <f>IF(OR($A197="RTD"),IF(AND($AH197&lt;&gt;""),"YES","NO"),"N/A")</f>
        <v>NO</v>
      </c>
      <c r="Q197" s="4" t="str">
        <f>IF(OR($A197="RTD"),IF(AND($AI197&lt;&gt;""),"YES","NO"),"N/A")</f>
        <v>YES</v>
      </c>
      <c r="R197" s="4" t="str">
        <f>IF(OR($AM197&lt;&gt;"",$Z197&lt;&gt;"",$AC197&lt;&gt;""),"YES","NO")</f>
        <v>YES</v>
      </c>
      <c r="S197" s="4" t="str">
        <f>IF(COUNTIF(I197:R197,"NO")=0,"YES","NO")</f>
        <v>NO</v>
      </c>
      <c r="T197" s="9" t="n">
        <v>8</v>
      </c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inlineStr">
        <is>
          <t>Fluke 179 70180306</t>
        </is>
      </c>
      <c r="AG197" s="9" t="inlineStr">
        <is>
          <t>100</t>
        </is>
      </c>
      <c r="AH197" s="9" t="n"/>
      <c r="AI197" s="9" t="inlineStr">
        <is>
          <t>104 / 104 / 0.2</t>
        </is>
      </c>
      <c r="AJ197" s="9" t="n"/>
      <c r="AK197" s="9" t="n"/>
      <c r="AL197" s="9" t="inlineStr">
        <is>
          <t>Levy Ostrup</t>
        </is>
      </c>
      <c r="AM197" s="9" t="inlineStr">
        <is>
          <t>Sept 30, 2026</t>
        </is>
      </c>
      <c r="AN197" s="9" t="n"/>
    </row>
    <row r="198">
      <c r="A198" s="9" t="inlineStr">
        <is>
          <t>RTD</t>
        </is>
      </c>
      <c r="B198" s="9" t="inlineStr">
        <is>
          <t>29103-ET-PG1301-1-R-1</t>
        </is>
      </c>
      <c r="C198" s="9" t="inlineStr">
        <is>
          <t>29103-ET-PG1301-1</t>
        </is>
      </c>
      <c r="D198" s="9" t="inlineStr">
        <is>
          <t>29103-HTP-002 HTC-11</t>
        </is>
      </c>
      <c r="E198" s="9" t="inlineStr">
        <is>
          <t>PRODUCED GAS</t>
        </is>
      </c>
      <c r="F198" s="9" t="inlineStr">
        <is>
          <t>29103-65R-ET-PG1301-01-01</t>
        </is>
      </c>
      <c r="G198" s="9" t="inlineStr">
        <is>
          <t>13.2</t>
        </is>
      </c>
      <c r="H198" s="9" t="inlineStr">
        <is>
          <t>29103-ET-PG1301-1-R-1.pdf</t>
        </is>
      </c>
      <c r="I198" s="4" t="str">
        <f>IF($H198&lt;&gt;"","YES","NO")</f>
        <v>YES</v>
      </c>
      <c r="J198" s="4" t="str">
        <f>IF(N($T198)&gt;0,"YES","NO")</f>
        <v>NO</v>
      </c>
      <c r="K198" s="4" t="str">
        <f>IF(OR($A198="EHT Trace"),IF(AND($U198&lt;&gt;"",$V198&lt;&gt;""),"YES","NO"),"N/A")</f>
        <v>N/A</v>
      </c>
      <c r="L198" s="4" t="str">
        <f>IF(OR($A198="EHT Trace"),IF(AND($X198&lt;&gt;"",$Y198&lt;&gt;""),"YES","NO"),"N/A")</f>
        <v>N/A</v>
      </c>
      <c r="M198" s="4" t="str">
        <f>IF(OR($A198="EHT Trace"),IF(AND($AA198&lt;&gt;"",$AB198&lt;&gt;""),"YES","NO"),"N/A")</f>
        <v>N/A</v>
      </c>
      <c r="N198" s="4" t="str">
        <f>IF(OR($A198="Power Cable"),IF(AND($AD198&lt;&gt;""),"YES","NO"),"N/A")</f>
        <v>N/A</v>
      </c>
      <c r="O198" s="4" t="str">
        <f>IF(OR($A198="Power Cable",$A198="RTD Cable",$A198="Fieldbus Cable"),IF(AND($AE198&lt;&gt;""),"YES","NO"),"N/A")</f>
        <v>N/A</v>
      </c>
      <c r="P198" s="4" t="str">
        <f>IF(OR($A198="RTD"),IF(AND($AH198&lt;&gt;""),"YES","NO"),"N/A")</f>
        <v>NO</v>
      </c>
      <c r="Q198" s="4" t="str">
        <f>IF(OR($A198="RTD"),IF(AND($AI198&lt;&gt;""),"YES","NO"),"N/A")</f>
        <v>NO</v>
      </c>
      <c r="R198" s="4" t="str">
        <f>IF(OR($AM198&lt;&gt;"",$Z198&lt;&gt;"",$AC198&lt;&gt;""),"YES","NO")</f>
        <v>NO</v>
      </c>
      <c r="S198" s="4" t="str">
        <f>IF(COUNTIF(I198:R198,"NO")=0,"YES","NO")</f>
        <v>NO</v>
      </c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inlineStr">
        <is>
          <t>Levy Ostrup</t>
        </is>
      </c>
      <c r="AM198" s="9" t="n"/>
      <c r="AN198" s="9" t="n"/>
    </row>
    <row r="199">
      <c r="A199" s="9" t="inlineStr">
        <is>
          <t>RTD</t>
        </is>
      </c>
      <c r="B199" s="9" t="inlineStr">
        <is>
          <t>29103-ET-PG1301-1-R-2</t>
        </is>
      </c>
      <c r="C199" s="9" t="inlineStr">
        <is>
          <t>29103-ET-PG1301-1</t>
        </is>
      </c>
      <c r="D199" s="9" t="inlineStr">
        <is>
          <t>29103-HTP-002 I/O-3-1</t>
        </is>
      </c>
      <c r="E199" s="9" t="inlineStr">
        <is>
          <t>PRODUCED GAS</t>
        </is>
      </c>
      <c r="F199" s="9" t="inlineStr">
        <is>
          <t>29103-65R-ET-PG1301-01-01</t>
        </is>
      </c>
      <c r="G199" s="9" t="inlineStr">
        <is>
          <t>13.2</t>
        </is>
      </c>
      <c r="H199" s="9" t="inlineStr">
        <is>
          <t>29103-ET-PG1301-1-R-2.pdf</t>
        </is>
      </c>
      <c r="I199" s="4" t="str">
        <f>IF($H199&lt;&gt;"","YES","NO")</f>
        <v>YES</v>
      </c>
      <c r="J199" s="4" t="str">
        <f>IF(N($T199)&gt;0,"YES","NO")</f>
        <v>NO</v>
      </c>
      <c r="K199" s="4" t="str">
        <f>IF(OR($A199="EHT Trace"),IF(AND($U199&lt;&gt;"",$V199&lt;&gt;""),"YES","NO"),"N/A")</f>
        <v>N/A</v>
      </c>
      <c r="L199" s="4" t="str">
        <f>IF(OR($A199="EHT Trace"),IF(AND($X199&lt;&gt;"",$Y199&lt;&gt;""),"YES","NO"),"N/A")</f>
        <v>N/A</v>
      </c>
      <c r="M199" s="4" t="str">
        <f>IF(OR($A199="EHT Trace"),IF(AND($AA199&lt;&gt;"",$AB199&lt;&gt;""),"YES","NO"),"N/A")</f>
        <v>N/A</v>
      </c>
      <c r="N199" s="4" t="str">
        <f>IF(OR($A199="Power Cable"),IF(AND($AD199&lt;&gt;""),"YES","NO"),"N/A")</f>
        <v>N/A</v>
      </c>
      <c r="O199" s="4" t="str">
        <f>IF(OR($A199="Power Cable",$A199="RTD Cable",$A199="Fieldbus Cable"),IF(AND($AE199&lt;&gt;""),"YES","NO"),"N/A")</f>
        <v>N/A</v>
      </c>
      <c r="P199" s="4" t="str">
        <f>IF(OR($A199="RTD"),IF(AND($AH199&lt;&gt;""),"YES","NO"),"N/A")</f>
        <v>NO</v>
      </c>
      <c r="Q199" s="4" t="str">
        <f>IF(OR($A199="RTD"),IF(AND($AI199&lt;&gt;""),"YES","NO"),"N/A")</f>
        <v>NO</v>
      </c>
      <c r="R199" s="4" t="str">
        <f>IF(OR($AM199&lt;&gt;"",$Z199&lt;&gt;"",$AC199&lt;&gt;""),"YES","NO")</f>
        <v>NO</v>
      </c>
      <c r="S199" s="4" t="str">
        <f>IF(COUNTIF(I199:R199,"NO")=0,"YES","NO")</f>
        <v>NO</v>
      </c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inlineStr">
        <is>
          <t>Levy Ostrup</t>
        </is>
      </c>
      <c r="AM199" s="9" t="n"/>
      <c r="AN199" s="9" t="n"/>
    </row>
    <row r="200">
      <c r="A200" s="9" t="inlineStr">
        <is>
          <t>RTD</t>
        </is>
      </c>
      <c r="B200" s="9" t="inlineStr">
        <is>
          <t>29103-ET-PG1301-2-R-1</t>
        </is>
      </c>
      <c r="C200" s="9" t="inlineStr">
        <is>
          <t>29103-ET-PG1301-2</t>
        </is>
      </c>
      <c r="D200" s="9" t="inlineStr">
        <is>
          <t>29103-HTP-002 HTC-13</t>
        </is>
      </c>
      <c r="E200" s="9" t="inlineStr">
        <is>
          <t>PRODUCED GAS</t>
        </is>
      </c>
      <c r="F200" s="9" t="inlineStr">
        <is>
          <t>29103-65R-ET-PG1301-02-01</t>
        </is>
      </c>
      <c r="G200" s="9" t="inlineStr">
        <is>
          <t>13.2</t>
        </is>
      </c>
      <c r="H200" s="9" t="inlineStr">
        <is>
          <t>29103-ET-PG1301-2-R-1.pdf</t>
        </is>
      </c>
      <c r="I200" s="4" t="str">
        <f>IF($H200&lt;&gt;"","YES","NO")</f>
        <v>YES</v>
      </c>
      <c r="J200" s="4" t="str">
        <f>IF(N($T200)&gt;0,"YES","NO")</f>
        <v>NO</v>
      </c>
      <c r="K200" s="4" t="str">
        <f>IF(OR($A200="EHT Trace"),IF(AND($U200&lt;&gt;"",$V200&lt;&gt;""),"YES","NO"),"N/A")</f>
        <v>N/A</v>
      </c>
      <c r="L200" s="4" t="str">
        <f>IF(OR($A200="EHT Trace"),IF(AND($X200&lt;&gt;"",$Y200&lt;&gt;""),"YES","NO"),"N/A")</f>
        <v>N/A</v>
      </c>
      <c r="M200" s="4" t="str">
        <f>IF(OR($A200="EHT Trace"),IF(AND($AA200&lt;&gt;"",$AB200&lt;&gt;""),"YES","NO"),"N/A")</f>
        <v>N/A</v>
      </c>
      <c r="N200" s="4" t="str">
        <f>IF(OR($A200="Power Cable"),IF(AND($AD200&lt;&gt;""),"YES","NO"),"N/A")</f>
        <v>N/A</v>
      </c>
      <c r="O200" s="4" t="str">
        <f>IF(OR($A200="Power Cable",$A200="RTD Cable",$A200="Fieldbus Cable"),IF(AND($AE200&lt;&gt;""),"YES","NO"),"N/A")</f>
        <v>N/A</v>
      </c>
      <c r="P200" s="4" t="str">
        <f>IF(OR($A200="RTD"),IF(AND($AH200&lt;&gt;""),"YES","NO"),"N/A")</f>
        <v>NO</v>
      </c>
      <c r="Q200" s="4" t="str">
        <f>IF(OR($A200="RTD"),IF(AND($AI200&lt;&gt;""),"YES","NO"),"N/A")</f>
        <v>NO</v>
      </c>
      <c r="R200" s="4" t="str">
        <f>IF(OR($AM200&lt;&gt;"",$Z200&lt;&gt;"",$AC200&lt;&gt;""),"YES","NO")</f>
        <v>NO</v>
      </c>
      <c r="S200" s="4" t="str">
        <f>IF(COUNTIF(I200:R200,"NO")=0,"YES","NO")</f>
        <v>NO</v>
      </c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inlineStr">
        <is>
          <t>Levy Ostrup</t>
        </is>
      </c>
      <c r="AM200" s="9" t="n"/>
      <c r="AN200" s="9" t="n"/>
    </row>
    <row r="201">
      <c r="A201" s="9" t="inlineStr">
        <is>
          <t>RTD Cable</t>
        </is>
      </c>
      <c r="B201" s="9" t="inlineStr">
        <is>
          <t>29103-ET-P1101-1-R-1</t>
        </is>
      </c>
      <c r="C201" s="9" t="inlineStr">
        <is>
          <t>29103-ET-P1101-1</t>
        </is>
      </c>
      <c r="D201" s="9" t="inlineStr">
        <is>
          <t>29103-HTP-002 HTC-37</t>
        </is>
      </c>
      <c r="E201" s="9" t="inlineStr">
        <is>
          <t>29103-HTP-002</t>
        </is>
      </c>
      <c r="F201" s="9" t="inlineStr"/>
      <c r="G201" s="9" t="inlineStr">
        <is>
          <t>113</t>
        </is>
      </c>
      <c r="H201" s="9" t="inlineStr">
        <is>
          <t>29103-ET-P1101-1-R-1.pdf</t>
        </is>
      </c>
      <c r="I201" s="4" t="str">
        <f>IF($H201&lt;&gt;"","YES","NO")</f>
        <v>YES</v>
      </c>
      <c r="J201" s="4" t="str">
        <f>IF(N($T201)&gt;0,"YES","NO")</f>
        <v>YES</v>
      </c>
      <c r="K201" s="4" t="str">
        <f>IF(OR($A201="EHT Trace"),IF(AND($U201&lt;&gt;"",$V201&lt;&gt;""),"YES","NO"),"N/A")</f>
        <v>N/A</v>
      </c>
      <c r="L201" s="4" t="str">
        <f>IF(OR($A201="EHT Trace"),IF(AND($X201&lt;&gt;"",$Y201&lt;&gt;""),"YES","NO"),"N/A")</f>
        <v>N/A</v>
      </c>
      <c r="M201" s="4" t="str">
        <f>IF(OR($A201="EHT Trace"),IF(AND($AA201&lt;&gt;"",$AB201&lt;&gt;""),"YES","NO"),"N/A")</f>
        <v>N/A</v>
      </c>
      <c r="N201" s="4" t="str">
        <f>IF(OR($A201="Power Cable"),IF(AND($AD201&lt;&gt;""),"YES","NO"),"N/A")</f>
        <v>N/A</v>
      </c>
      <c r="O201" s="4" t="str">
        <f>IF(OR($A201="Power Cable",$A201="RTD Cable",$A201="Fieldbus Cable"),IF(AND($AE201&lt;&gt;""),"YES","NO"),"N/A")</f>
        <v>YES</v>
      </c>
      <c r="P201" s="4" t="str">
        <f>IF(OR($A201="RTD"),IF(AND($AH201&lt;&gt;""),"YES","NO"),"N/A")</f>
        <v>N/A</v>
      </c>
      <c r="Q201" s="4" t="str">
        <f>IF(OR($A201="RTD"),IF(AND($AI201&lt;&gt;""),"YES","NO"),"N/A")</f>
        <v>N/A</v>
      </c>
      <c r="R201" s="4" t="str">
        <f>IF(OR($AM201&lt;&gt;"",$Z201&lt;&gt;"",$AC201&lt;&gt;""),"YES","NO")</f>
        <v>YES</v>
      </c>
      <c r="S201" s="4" t="str">
        <f>IF(COUNTIF(I201:R201,"NO")=0,"YES","NO")</f>
        <v>YES</v>
      </c>
      <c r="T201" s="9" t="n">
        <v>9</v>
      </c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inlineStr">
        <is>
          <t>N/A / N/A / N/A</t>
        </is>
      </c>
      <c r="AE201" s="9" t="inlineStr">
        <is>
          <t>1.2 / OL / OL</t>
        </is>
      </c>
      <c r="AF201" s="9" t="inlineStr">
        <is>
          <t>Fluke 1587 FC 72300003</t>
        </is>
      </c>
      <c r="AG201" s="9" t="n"/>
      <c r="AH201" s="9" t="n"/>
      <c r="AI201" s="9" t="n"/>
      <c r="AJ201" s="9" t="inlineStr">
        <is>
          <t>ACIC</t>
        </is>
      </c>
      <c r="AK201" s="9" t="inlineStr">
        <is>
          <t>16 AWG</t>
        </is>
      </c>
      <c r="AL201" s="9" t="inlineStr">
        <is>
          <t>Levy Ostrup</t>
        </is>
      </c>
      <c r="AM201" s="9" t="inlineStr">
        <is>
          <t>Sept 30 2026</t>
        </is>
      </c>
      <c r="AN201" s="9" t="inlineStr">
        <is>
          <t>- ETP11011R1 swapped termination points with ETP11041R1</t>
        </is>
      </c>
    </row>
    <row r="202">
      <c r="A202" s="9" t="inlineStr">
        <is>
          <t>RTD Cable</t>
        </is>
      </c>
      <c r="B202" s="9" t="inlineStr">
        <is>
          <t>29103-ET-P1104-1-R-1</t>
        </is>
      </c>
      <c r="C202" s="9" t="inlineStr">
        <is>
          <t>29103-ET-P1104-1</t>
        </is>
      </c>
      <c r="D202" s="9" t="inlineStr">
        <is>
          <t>29103-HTP-002 HTC-35</t>
        </is>
      </c>
      <c r="E202" s="9" t="inlineStr">
        <is>
          <t>29103-HTP-002</t>
        </is>
      </c>
      <c r="F202" s="9" t="inlineStr"/>
      <c r="G202" s="9" t="inlineStr">
        <is>
          <t>113</t>
        </is>
      </c>
      <c r="H202" s="9" t="inlineStr">
        <is>
          <t>29103-ET-P1104-1-R-1.pdf</t>
        </is>
      </c>
      <c r="I202" s="4" t="str">
        <f>IF($H202&lt;&gt;"","YES","NO")</f>
        <v>YES</v>
      </c>
      <c r="J202" s="4" t="str">
        <f>IF(N($T202)&gt;0,"YES","NO")</f>
        <v>YES</v>
      </c>
      <c r="K202" s="4" t="str">
        <f>IF(OR($A202="EHT Trace"),IF(AND($U202&lt;&gt;"",$V202&lt;&gt;""),"YES","NO"),"N/A")</f>
        <v>N/A</v>
      </c>
      <c r="L202" s="4" t="str">
        <f>IF(OR($A202="EHT Trace"),IF(AND($X202&lt;&gt;"",$Y202&lt;&gt;""),"YES","NO"),"N/A")</f>
        <v>N/A</v>
      </c>
      <c r="M202" s="4" t="str">
        <f>IF(OR($A202="EHT Trace"),IF(AND($AA202&lt;&gt;"",$AB202&lt;&gt;""),"YES","NO"),"N/A")</f>
        <v>N/A</v>
      </c>
      <c r="N202" s="4" t="str">
        <f>IF(OR($A202="Power Cable"),IF(AND($AD202&lt;&gt;""),"YES","NO"),"N/A")</f>
        <v>N/A</v>
      </c>
      <c r="O202" s="4" t="str">
        <f>IF(OR($A202="Power Cable",$A202="RTD Cable",$A202="Fieldbus Cable"),IF(AND($AE202&lt;&gt;""),"YES","NO"),"N/A")</f>
        <v>YES</v>
      </c>
      <c r="P202" s="4" t="str">
        <f>IF(OR($A202="RTD"),IF(AND($AH202&lt;&gt;""),"YES","NO"),"N/A")</f>
        <v>N/A</v>
      </c>
      <c r="Q202" s="4" t="str">
        <f>IF(OR($A202="RTD"),IF(AND($AI202&lt;&gt;""),"YES","NO"),"N/A")</f>
        <v>N/A</v>
      </c>
      <c r="R202" s="4" t="str">
        <f>IF(OR($AM202&lt;&gt;"",$Z202&lt;&gt;"",$AC202&lt;&gt;""),"YES","NO")</f>
        <v>YES</v>
      </c>
      <c r="S202" s="4" t="str">
        <f>IF(COUNTIF(I202:R202,"NO")=0,"YES","NO")</f>
        <v>YES</v>
      </c>
      <c r="T202" s="9" t="n">
        <v>9</v>
      </c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inlineStr">
        <is>
          <t>N/A / N/A / N/A</t>
        </is>
      </c>
      <c r="AE202" s="9" t="inlineStr">
        <is>
          <t>1.2 / OL / OL</t>
        </is>
      </c>
      <c r="AF202" s="9" t="inlineStr">
        <is>
          <t>Fluke 1587 FC 72300003</t>
        </is>
      </c>
      <c r="AG202" s="9" t="n"/>
      <c r="AH202" s="9" t="n"/>
      <c r="AI202" s="9" t="n"/>
      <c r="AJ202" s="9" t="inlineStr">
        <is>
          <t>ACIC</t>
        </is>
      </c>
      <c r="AK202" s="9" t="inlineStr">
        <is>
          <t>16 AWG</t>
        </is>
      </c>
      <c r="AL202" s="9" t="inlineStr">
        <is>
          <t>Levy Ostrup</t>
        </is>
      </c>
      <c r="AM202" s="9" t="inlineStr">
        <is>
          <t>Sept 30, 2026</t>
        </is>
      </c>
      <c r="AN202" s="9" t="inlineStr">
        <is>
          <t>- ETP11041R1 swapped terminations with ETP11011R1 inside panel</t>
        </is>
      </c>
    </row>
    <row r="203">
      <c r="A203" s="9" t="inlineStr">
        <is>
          <t>RTD Cable</t>
        </is>
      </c>
      <c r="B203" s="9" t="inlineStr">
        <is>
          <t>29103-ET-P1104-1-R-2</t>
        </is>
      </c>
      <c r="C203" s="9" t="inlineStr">
        <is>
          <t>29103-ET-P1104-1</t>
        </is>
      </c>
      <c r="D203" s="9" t="inlineStr">
        <is>
          <t>29103-HTP-002 I/O-2-3</t>
        </is>
      </c>
      <c r="E203" s="9" t="inlineStr">
        <is>
          <t>29103-HTP-002</t>
        </is>
      </c>
      <c r="F203" s="9" t="inlineStr"/>
      <c r="G203" s="9" t="inlineStr">
        <is>
          <t>113</t>
        </is>
      </c>
      <c r="H203" s="9" t="inlineStr">
        <is>
          <t>29103-ET-P1104-1-R-2.pdf</t>
        </is>
      </c>
      <c r="I203" s="4" t="str">
        <f>IF($H203&lt;&gt;"","YES","NO")</f>
        <v>YES</v>
      </c>
      <c r="J203" s="4" t="str">
        <f>IF(N($T203)&gt;0,"YES","NO")</f>
        <v>YES</v>
      </c>
      <c r="K203" s="4" t="str">
        <f>IF(OR($A203="EHT Trace"),IF(AND($U203&lt;&gt;"",$V203&lt;&gt;""),"YES","NO"),"N/A")</f>
        <v>N/A</v>
      </c>
      <c r="L203" s="4" t="str">
        <f>IF(OR($A203="EHT Trace"),IF(AND($X203&lt;&gt;"",$Y203&lt;&gt;""),"YES","NO"),"N/A")</f>
        <v>N/A</v>
      </c>
      <c r="M203" s="4" t="str">
        <f>IF(OR($A203="EHT Trace"),IF(AND($AA203&lt;&gt;"",$AB203&lt;&gt;""),"YES","NO"),"N/A")</f>
        <v>N/A</v>
      </c>
      <c r="N203" s="4" t="str">
        <f>IF(OR($A203="Power Cable"),IF(AND($AD203&lt;&gt;""),"YES","NO"),"N/A")</f>
        <v>N/A</v>
      </c>
      <c r="O203" s="4" t="str">
        <f>IF(OR($A203="Power Cable",$A203="RTD Cable",$A203="Fieldbus Cable"),IF(AND($AE203&lt;&gt;""),"YES","NO"),"N/A")</f>
        <v>YES</v>
      </c>
      <c r="P203" s="4" t="str">
        <f>IF(OR($A203="RTD"),IF(AND($AH203&lt;&gt;""),"YES","NO"),"N/A")</f>
        <v>N/A</v>
      </c>
      <c r="Q203" s="4" t="str">
        <f>IF(OR($A203="RTD"),IF(AND($AI203&lt;&gt;""),"YES","NO"),"N/A")</f>
        <v>N/A</v>
      </c>
      <c r="R203" s="4" t="str">
        <f>IF(OR($AM203&lt;&gt;"",$Z203&lt;&gt;"",$AC203&lt;&gt;""),"YES","NO")</f>
        <v>YES</v>
      </c>
      <c r="S203" s="4" t="str">
        <f>IF(COUNTIF(I203:R203,"NO")=0,"YES","NO")</f>
        <v>YES</v>
      </c>
      <c r="T203" s="9" t="n">
        <v>9</v>
      </c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inlineStr">
        <is>
          <t>N/A / N/A / N/A</t>
        </is>
      </c>
      <c r="AE203" s="9" t="inlineStr">
        <is>
          <t>1.2 / OL / OL</t>
        </is>
      </c>
      <c r="AF203" s="9" t="inlineStr">
        <is>
          <t>Fluke 1587 FC 72300003</t>
        </is>
      </c>
      <c r="AG203" s="9" t="n"/>
      <c r="AH203" s="9" t="n"/>
      <c r="AI203" s="9" t="n"/>
      <c r="AJ203" s="9" t="inlineStr">
        <is>
          <t>ACIC</t>
        </is>
      </c>
      <c r="AK203" s="9" t="inlineStr">
        <is>
          <t>16 AWG</t>
        </is>
      </c>
      <c r="AL203" s="9" t="inlineStr">
        <is>
          <t>Levy Ostrup</t>
        </is>
      </c>
      <c r="AM203" s="9" t="inlineStr">
        <is>
          <t>Sept 30 2026</t>
        </is>
      </c>
      <c r="AN203" s="9" t="inlineStr">
        <is>
          <t>Needs cable tags</t>
        </is>
      </c>
    </row>
    <row r="204">
      <c r="A204" s="9" t="inlineStr">
        <is>
          <t>RTD Cable</t>
        </is>
      </c>
      <c r="B204" s="9" t="inlineStr">
        <is>
          <t>29103-ET-P1104-2-R-1</t>
        </is>
      </c>
      <c r="C204" s="9" t="inlineStr">
        <is>
          <t>29103-ET-P1104-2</t>
        </is>
      </c>
      <c r="D204" s="9" t="inlineStr">
        <is>
          <t>29103-HTP-002 HTC-40</t>
        </is>
      </c>
      <c r="E204" s="9" t="inlineStr">
        <is>
          <t>29103-HTP-002</t>
        </is>
      </c>
      <c r="F204" s="9" t="inlineStr"/>
      <c r="G204" s="9" t="inlineStr">
        <is>
          <t>113</t>
        </is>
      </c>
      <c r="H204" s="9" t="inlineStr">
        <is>
          <t>29103-ET-P1104-2-R-1.pdf</t>
        </is>
      </c>
      <c r="I204" s="4" t="str">
        <f>IF($H204&lt;&gt;"","YES","NO")</f>
        <v>YES</v>
      </c>
      <c r="J204" s="4" t="str">
        <f>IF(N($T204)&gt;0,"YES","NO")</f>
        <v>YES</v>
      </c>
      <c r="K204" s="4" t="str">
        <f>IF(OR($A204="EHT Trace"),IF(AND($U204&lt;&gt;"",$V204&lt;&gt;""),"YES","NO"),"N/A")</f>
        <v>N/A</v>
      </c>
      <c r="L204" s="4" t="str">
        <f>IF(OR($A204="EHT Trace"),IF(AND($X204&lt;&gt;"",$Y204&lt;&gt;""),"YES","NO"),"N/A")</f>
        <v>N/A</v>
      </c>
      <c r="M204" s="4" t="str">
        <f>IF(OR($A204="EHT Trace"),IF(AND($AA204&lt;&gt;"",$AB204&lt;&gt;""),"YES","NO"),"N/A")</f>
        <v>N/A</v>
      </c>
      <c r="N204" s="4" t="str">
        <f>IF(OR($A204="Power Cable"),IF(AND($AD204&lt;&gt;""),"YES","NO"),"N/A")</f>
        <v>N/A</v>
      </c>
      <c r="O204" s="4" t="str">
        <f>IF(OR($A204="Power Cable",$A204="RTD Cable",$A204="Fieldbus Cable"),IF(AND($AE204&lt;&gt;""),"YES","NO"),"N/A")</f>
        <v>YES</v>
      </c>
      <c r="P204" s="4" t="str">
        <f>IF(OR($A204="RTD"),IF(AND($AH204&lt;&gt;""),"YES","NO"),"N/A")</f>
        <v>N/A</v>
      </c>
      <c r="Q204" s="4" t="str">
        <f>IF(OR($A204="RTD"),IF(AND($AI204&lt;&gt;""),"YES","NO"),"N/A")</f>
        <v>N/A</v>
      </c>
      <c r="R204" s="4" t="str">
        <f>IF(OR($AM204&lt;&gt;"",$Z204&lt;&gt;"",$AC204&lt;&gt;""),"YES","NO")</f>
        <v>YES</v>
      </c>
      <c r="S204" s="4" t="str">
        <f>IF(COUNTIF(I204:R204,"NO")=0,"YES","NO")</f>
        <v>YES</v>
      </c>
      <c r="T204" s="9" t="n">
        <v>9</v>
      </c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inlineStr">
        <is>
          <t>N/A / N/A / N/A</t>
        </is>
      </c>
      <c r="AE204" s="9" t="inlineStr">
        <is>
          <t>1.0 / OL / OL</t>
        </is>
      </c>
      <c r="AF204" s="9" t="inlineStr">
        <is>
          <t>Fluke 1587 FC 72300003</t>
        </is>
      </c>
      <c r="AG204" s="9" t="n"/>
      <c r="AH204" s="9" t="n"/>
      <c r="AI204" s="9" t="n"/>
      <c r="AJ204" s="9" t="inlineStr">
        <is>
          <t>ACIC</t>
        </is>
      </c>
      <c r="AK204" s="9" t="inlineStr">
        <is>
          <t>16 AWG</t>
        </is>
      </c>
      <c r="AL204" s="9" t="inlineStr">
        <is>
          <t>Levy Ostrup</t>
        </is>
      </c>
      <c r="AM204" s="9" t="inlineStr">
        <is>
          <t>Sept 30 2026</t>
        </is>
      </c>
      <c r="AN204" s="9" t="n"/>
    </row>
    <row r="205">
      <c r="A205" s="9" t="inlineStr">
        <is>
          <t>RTD Cable</t>
        </is>
      </c>
      <c r="B205" s="9" t="inlineStr">
        <is>
          <t>29103-ET-P1104-2-R-2</t>
        </is>
      </c>
      <c r="C205" s="9" t="inlineStr">
        <is>
          <t>29103-ET-P1104-2</t>
        </is>
      </c>
      <c r="D205" s="9" t="inlineStr">
        <is>
          <t>29103-HTP-002 I/O-2-4</t>
        </is>
      </c>
      <c r="E205" s="9" t="inlineStr">
        <is>
          <t>29103-HTP-002</t>
        </is>
      </c>
      <c r="F205" s="9" t="inlineStr"/>
      <c r="G205" s="9" t="inlineStr">
        <is>
          <t>113</t>
        </is>
      </c>
      <c r="H205" s="9" t="inlineStr">
        <is>
          <t>29103-ET-P1104-2-R-2.pdf</t>
        </is>
      </c>
      <c r="I205" s="4" t="str">
        <f>IF($H205&lt;&gt;"","YES","NO")</f>
        <v>YES</v>
      </c>
      <c r="J205" s="4" t="str">
        <f>IF(N($T205)&gt;0,"YES","NO")</f>
        <v>YES</v>
      </c>
      <c r="K205" s="4" t="str">
        <f>IF(OR($A205="EHT Trace"),IF(AND($U205&lt;&gt;"",$V205&lt;&gt;""),"YES","NO"),"N/A")</f>
        <v>N/A</v>
      </c>
      <c r="L205" s="4" t="str">
        <f>IF(OR($A205="EHT Trace"),IF(AND($X205&lt;&gt;"",$Y205&lt;&gt;""),"YES","NO"),"N/A")</f>
        <v>N/A</v>
      </c>
      <c r="M205" s="4" t="str">
        <f>IF(OR($A205="EHT Trace"),IF(AND($AA205&lt;&gt;"",$AB205&lt;&gt;""),"YES","NO"),"N/A")</f>
        <v>N/A</v>
      </c>
      <c r="N205" s="4" t="str">
        <f>IF(OR($A205="Power Cable"),IF(AND($AD205&lt;&gt;""),"YES","NO"),"N/A")</f>
        <v>N/A</v>
      </c>
      <c r="O205" s="4" t="str">
        <f>IF(OR($A205="Power Cable",$A205="RTD Cable",$A205="Fieldbus Cable"),IF(AND($AE205&lt;&gt;""),"YES","NO"),"N/A")</f>
        <v>YES</v>
      </c>
      <c r="P205" s="4" t="str">
        <f>IF(OR($A205="RTD"),IF(AND($AH205&lt;&gt;""),"YES","NO"),"N/A")</f>
        <v>N/A</v>
      </c>
      <c r="Q205" s="4" t="str">
        <f>IF(OR($A205="RTD"),IF(AND($AI205&lt;&gt;""),"YES","NO"),"N/A")</f>
        <v>N/A</v>
      </c>
      <c r="R205" s="4" t="str">
        <f>IF(OR($AM205&lt;&gt;"",$Z205&lt;&gt;"",$AC205&lt;&gt;""),"YES","NO")</f>
        <v>YES</v>
      </c>
      <c r="S205" s="4" t="str">
        <f>IF(COUNTIF(I205:R205,"NO")=0,"YES","NO")</f>
        <v>YES</v>
      </c>
      <c r="T205" s="9" t="n">
        <v>9</v>
      </c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inlineStr">
        <is>
          <t>N/A / N/A / N/A</t>
        </is>
      </c>
      <c r="AE205" s="9" t="inlineStr">
        <is>
          <t>1.1 / OL / OL</t>
        </is>
      </c>
      <c r="AF205" s="9" t="inlineStr">
        <is>
          <t>Fluke 1587 FC 72300003</t>
        </is>
      </c>
      <c r="AG205" s="9" t="n"/>
      <c r="AH205" s="9" t="n"/>
      <c r="AI205" s="9" t="n"/>
      <c r="AJ205" s="9" t="inlineStr">
        <is>
          <t>ACIC</t>
        </is>
      </c>
      <c r="AK205" s="9" t="inlineStr">
        <is>
          <t>16 AWG</t>
        </is>
      </c>
      <c r="AL205" s="9" t="inlineStr">
        <is>
          <t>Levy Ostrup</t>
        </is>
      </c>
      <c r="AM205" s="9" t="inlineStr">
        <is>
          <t>Sept 30, 2026</t>
        </is>
      </c>
      <c r="AN205" s="9" t="inlineStr">
        <is>
          <t>Needs cable tags</t>
        </is>
      </c>
    </row>
    <row r="206">
      <c r="A206" s="9" t="inlineStr">
        <is>
          <t>RTD Cable</t>
        </is>
      </c>
      <c r="B206" s="9" t="inlineStr">
        <is>
          <t>29103-ET-P1201-1-R-1</t>
        </is>
      </c>
      <c r="C206" s="9" t="inlineStr">
        <is>
          <t>29103-ET-P1201-1</t>
        </is>
      </c>
      <c r="D206" s="9" t="inlineStr">
        <is>
          <t>29103-HTP-002 HTC-39</t>
        </is>
      </c>
      <c r="E206" s="9" t="inlineStr">
        <is>
          <t>29103-HTP-002</t>
        </is>
      </c>
      <c r="F206" s="9" t="inlineStr"/>
      <c r="G206" s="9" t="inlineStr">
        <is>
          <t>113</t>
        </is>
      </c>
      <c r="H206" s="9" t="inlineStr">
        <is>
          <t>29103-ET-P1201-1-R-1.pdf</t>
        </is>
      </c>
      <c r="I206" s="4" t="str">
        <f>IF($H206&lt;&gt;"","YES","NO")</f>
        <v>YES</v>
      </c>
      <c r="J206" s="4" t="str">
        <f>IF(N($T206)&gt;0,"YES","NO")</f>
        <v>NO</v>
      </c>
      <c r="K206" s="4" t="str">
        <f>IF(OR($A206="EHT Trace"),IF(AND($U206&lt;&gt;"",$V206&lt;&gt;""),"YES","NO"),"N/A")</f>
        <v>N/A</v>
      </c>
      <c r="L206" s="4" t="str">
        <f>IF(OR($A206="EHT Trace"),IF(AND($X206&lt;&gt;"",$Y206&lt;&gt;""),"YES","NO"),"N/A")</f>
        <v>N/A</v>
      </c>
      <c r="M206" s="4" t="str">
        <f>IF(OR($A206="EHT Trace"),IF(AND($AA206&lt;&gt;"",$AB206&lt;&gt;""),"YES","NO"),"N/A")</f>
        <v>N/A</v>
      </c>
      <c r="N206" s="4" t="str">
        <f>IF(OR($A206="Power Cable"),IF(AND($AD206&lt;&gt;""),"YES","NO"),"N/A")</f>
        <v>N/A</v>
      </c>
      <c r="O206" s="4" t="str">
        <f>IF(OR($A206="Power Cable",$A206="RTD Cable",$A206="Fieldbus Cable"),IF(AND($AE206&lt;&gt;""),"YES","NO"),"N/A")</f>
        <v>NO</v>
      </c>
      <c r="P206" s="4" t="str">
        <f>IF(OR($A206="RTD"),IF(AND($AH206&lt;&gt;""),"YES","NO"),"N/A")</f>
        <v>N/A</v>
      </c>
      <c r="Q206" s="4" t="str">
        <f>IF(OR($A206="RTD"),IF(AND($AI206&lt;&gt;""),"YES","NO"),"N/A")</f>
        <v>N/A</v>
      </c>
      <c r="R206" s="4" t="str">
        <f>IF(OR($AM206&lt;&gt;"",$Z206&lt;&gt;"",$AC206&lt;&gt;""),"YES","NO")</f>
        <v>NO</v>
      </c>
      <c r="S206" s="4" t="str">
        <f>IF(COUNTIF(I206:R206,"NO")=0,"YES","NO")</f>
        <v>NO</v>
      </c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inlineStr">
        <is>
          <t>ACIC</t>
        </is>
      </c>
      <c r="AK206" s="9" t="inlineStr">
        <is>
          <t>16AWG</t>
        </is>
      </c>
      <c r="AL206" s="9" t="inlineStr">
        <is>
          <t>Levy Ostrup</t>
        </is>
      </c>
      <c r="AM206" s="9" t="n"/>
      <c r="AN206" s="9" t="n"/>
    </row>
    <row r="207">
      <c r="A207" s="9" t="inlineStr">
        <is>
          <t>RTD Cable</t>
        </is>
      </c>
      <c r="B207" s="9" t="inlineStr">
        <is>
          <t>29103-ET-P1204-1-R-1</t>
        </is>
      </c>
      <c r="C207" s="9" t="inlineStr">
        <is>
          <t>29103-ET-P1204-1</t>
        </is>
      </c>
      <c r="D207" s="9" t="inlineStr">
        <is>
          <t>29103-HTP-002 HTC-27</t>
        </is>
      </c>
      <c r="E207" s="9" t="inlineStr">
        <is>
          <t>29103-HTP-002</t>
        </is>
      </c>
      <c r="F207" s="9" t="inlineStr"/>
      <c r="G207" s="9" t="inlineStr">
        <is>
          <t>113</t>
        </is>
      </c>
      <c r="H207" s="9" t="inlineStr">
        <is>
          <t>29103-ET-P1204-1-R-1.pdf</t>
        </is>
      </c>
      <c r="I207" s="4" t="str">
        <f>IF($H207&lt;&gt;"","YES","NO")</f>
        <v>YES</v>
      </c>
      <c r="J207" s="4" t="str">
        <f>IF(N($T207)&gt;0,"YES","NO")</f>
        <v>NO</v>
      </c>
      <c r="K207" s="4" t="str">
        <f>IF(OR($A207="EHT Trace"),IF(AND($U207&lt;&gt;"",$V207&lt;&gt;""),"YES","NO"),"N/A")</f>
        <v>N/A</v>
      </c>
      <c r="L207" s="4" t="str">
        <f>IF(OR($A207="EHT Trace"),IF(AND($X207&lt;&gt;"",$Y207&lt;&gt;""),"YES","NO"),"N/A")</f>
        <v>N/A</v>
      </c>
      <c r="M207" s="4" t="str">
        <f>IF(OR($A207="EHT Trace"),IF(AND($AA207&lt;&gt;"",$AB207&lt;&gt;""),"YES","NO"),"N/A")</f>
        <v>N/A</v>
      </c>
      <c r="N207" s="4" t="str">
        <f>IF(OR($A207="Power Cable"),IF(AND($AD207&lt;&gt;""),"YES","NO"),"N/A")</f>
        <v>N/A</v>
      </c>
      <c r="O207" s="4" t="str">
        <f>IF(OR($A207="Power Cable",$A207="RTD Cable",$A207="Fieldbus Cable"),IF(AND($AE207&lt;&gt;""),"YES","NO"),"N/A")</f>
        <v>NO</v>
      </c>
      <c r="P207" s="4" t="str">
        <f>IF(OR($A207="RTD"),IF(AND($AH207&lt;&gt;""),"YES","NO"),"N/A")</f>
        <v>N/A</v>
      </c>
      <c r="Q207" s="4" t="str">
        <f>IF(OR($A207="RTD"),IF(AND($AI207&lt;&gt;""),"YES","NO"),"N/A")</f>
        <v>N/A</v>
      </c>
      <c r="R207" s="4" t="str">
        <f>IF(OR($AM207&lt;&gt;"",$Z207&lt;&gt;"",$AC207&lt;&gt;""),"YES","NO")</f>
        <v>NO</v>
      </c>
      <c r="S207" s="4" t="str">
        <f>IF(COUNTIF(I207:R207,"NO")=0,"YES","NO")</f>
        <v>NO</v>
      </c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inlineStr">
        <is>
          <t>ACIC</t>
        </is>
      </c>
      <c r="AK207" s="9" t="inlineStr">
        <is>
          <t>16AWG</t>
        </is>
      </c>
      <c r="AL207" s="9" t="inlineStr">
        <is>
          <t>Levy Ostrup</t>
        </is>
      </c>
      <c r="AM207" s="9" t="n"/>
      <c r="AN207" s="9" t="n"/>
    </row>
    <row r="208">
      <c r="A208" s="9" t="inlineStr">
        <is>
          <t>RTD Cable</t>
        </is>
      </c>
      <c r="B208" s="9" t="inlineStr">
        <is>
          <t>29103-ET-P1204-1-R-2</t>
        </is>
      </c>
      <c r="C208" s="9" t="inlineStr">
        <is>
          <t>29103-ET-P1204-1</t>
        </is>
      </c>
      <c r="D208" s="9" t="inlineStr">
        <is>
          <t>29103-HTP-002 I/O-4-2</t>
        </is>
      </c>
      <c r="E208" s="9" t="inlineStr">
        <is>
          <t>29103-HTP-002</t>
        </is>
      </c>
      <c r="F208" s="9" t="inlineStr"/>
      <c r="G208" s="9" t="inlineStr">
        <is>
          <t>113</t>
        </is>
      </c>
      <c r="H208" s="9" t="inlineStr">
        <is>
          <t>29103-ET-P1204-1-R-2.pdf</t>
        </is>
      </c>
      <c r="I208" s="4" t="str">
        <f>IF($H208&lt;&gt;"","YES","NO")</f>
        <v>YES</v>
      </c>
      <c r="J208" s="4" t="str">
        <f>IF(N($T208)&gt;0,"YES","NO")</f>
        <v>YES</v>
      </c>
      <c r="K208" s="4" t="str">
        <f>IF(OR($A208="EHT Trace"),IF(AND($U208&lt;&gt;"",$V208&lt;&gt;""),"YES","NO"),"N/A")</f>
        <v>N/A</v>
      </c>
      <c r="L208" s="4" t="str">
        <f>IF(OR($A208="EHT Trace"),IF(AND($X208&lt;&gt;"",$Y208&lt;&gt;""),"YES","NO"),"N/A")</f>
        <v>N/A</v>
      </c>
      <c r="M208" s="4" t="str">
        <f>IF(OR($A208="EHT Trace"),IF(AND($AA208&lt;&gt;"",$AB208&lt;&gt;""),"YES","NO"),"N/A")</f>
        <v>N/A</v>
      </c>
      <c r="N208" s="4" t="str">
        <f>IF(OR($A208="Power Cable"),IF(AND($AD208&lt;&gt;""),"YES","NO"),"N/A")</f>
        <v>N/A</v>
      </c>
      <c r="O208" s="4" t="str">
        <f>IF(OR($A208="Power Cable",$A208="RTD Cable",$A208="Fieldbus Cable"),IF(AND($AE208&lt;&gt;""),"YES","NO"),"N/A")</f>
        <v>YES</v>
      </c>
      <c r="P208" s="4" t="str">
        <f>IF(OR($A208="RTD"),IF(AND($AH208&lt;&gt;""),"YES","NO"),"N/A")</f>
        <v>N/A</v>
      </c>
      <c r="Q208" s="4" t="str">
        <f>IF(OR($A208="RTD"),IF(AND($AI208&lt;&gt;""),"YES","NO"),"N/A")</f>
        <v>N/A</v>
      </c>
      <c r="R208" s="4" t="str">
        <f>IF(OR($AM208&lt;&gt;"",$Z208&lt;&gt;"",$AC208&lt;&gt;""),"YES","NO")</f>
        <v>YES</v>
      </c>
      <c r="S208" s="4" t="str">
        <f>IF(COUNTIF(I208:R208,"NO")=0,"YES","NO")</f>
        <v>YES</v>
      </c>
      <c r="T208" s="9" t="n">
        <v>9</v>
      </c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inlineStr">
        <is>
          <t>0.9 / OL / OL</t>
        </is>
      </c>
      <c r="AF208" s="9" t="inlineStr">
        <is>
          <t>Fluke 1587 FC 72300003</t>
        </is>
      </c>
      <c r="AG208" s="9" t="n"/>
      <c r="AH208" s="9" t="n"/>
      <c r="AI208" s="9" t="n"/>
      <c r="AJ208" s="9" t="inlineStr">
        <is>
          <t>ACIC</t>
        </is>
      </c>
      <c r="AK208" s="9" t="inlineStr">
        <is>
          <t>16 AWG</t>
        </is>
      </c>
      <c r="AL208" s="9" t="inlineStr">
        <is>
          <t>Levy Ostrup</t>
        </is>
      </c>
      <c r="AM208" s="9" t="inlineStr">
        <is>
          <t>Sept 30, 2026</t>
        </is>
      </c>
      <c r="AN208" s="9" t="inlineStr">
        <is>
          <t>Needs cable tags</t>
        </is>
      </c>
    </row>
    <row r="209">
      <c r="A209" s="9" t="inlineStr">
        <is>
          <t>RTD Cable</t>
        </is>
      </c>
      <c r="B209" s="9" t="inlineStr">
        <is>
          <t>29103-ET-P1204-2-R-1</t>
        </is>
      </c>
      <c r="C209" s="9" t="inlineStr">
        <is>
          <t>29103-ET-P1204-2</t>
        </is>
      </c>
      <c r="D209" s="9" t="inlineStr">
        <is>
          <t>29103-HTP-002 HTC-29</t>
        </is>
      </c>
      <c r="E209" s="9" t="inlineStr">
        <is>
          <t>29103-HTP-002</t>
        </is>
      </c>
      <c r="F209" s="9" t="inlineStr"/>
      <c r="G209" s="9" t="inlineStr">
        <is>
          <t>113</t>
        </is>
      </c>
      <c r="H209" s="9" t="inlineStr">
        <is>
          <t>29103-ET-P1204-2-R-1.pdf</t>
        </is>
      </c>
      <c r="I209" s="4" t="str">
        <f>IF($H209&lt;&gt;"","YES","NO")</f>
        <v>YES</v>
      </c>
      <c r="J209" s="4" t="str">
        <f>IF(N($T209)&gt;0,"YES","NO")</f>
        <v>YES</v>
      </c>
      <c r="K209" s="4" t="str">
        <f>IF(OR($A209="EHT Trace"),IF(AND($U209&lt;&gt;"",$V209&lt;&gt;""),"YES","NO"),"N/A")</f>
        <v>N/A</v>
      </c>
      <c r="L209" s="4" t="str">
        <f>IF(OR($A209="EHT Trace"),IF(AND($X209&lt;&gt;"",$Y209&lt;&gt;""),"YES","NO"),"N/A")</f>
        <v>N/A</v>
      </c>
      <c r="M209" s="4" t="str">
        <f>IF(OR($A209="EHT Trace"),IF(AND($AA209&lt;&gt;"",$AB209&lt;&gt;""),"YES","NO"),"N/A")</f>
        <v>N/A</v>
      </c>
      <c r="N209" s="4" t="str">
        <f>IF(OR($A209="Power Cable"),IF(AND($AD209&lt;&gt;""),"YES","NO"),"N/A")</f>
        <v>N/A</v>
      </c>
      <c r="O209" s="4" t="str">
        <f>IF(OR($A209="Power Cable",$A209="RTD Cable",$A209="Fieldbus Cable"),IF(AND($AE209&lt;&gt;""),"YES","NO"),"N/A")</f>
        <v>YES</v>
      </c>
      <c r="P209" s="4" t="str">
        <f>IF(OR($A209="RTD"),IF(AND($AH209&lt;&gt;""),"YES","NO"),"N/A")</f>
        <v>N/A</v>
      </c>
      <c r="Q209" s="4" t="str">
        <f>IF(OR($A209="RTD"),IF(AND($AI209&lt;&gt;""),"YES","NO"),"N/A")</f>
        <v>N/A</v>
      </c>
      <c r="R209" s="4" t="str">
        <f>IF(OR($AM209&lt;&gt;"",$Z209&lt;&gt;"",$AC209&lt;&gt;""),"YES","NO")</f>
        <v>YES</v>
      </c>
      <c r="S209" s="4" t="str">
        <f>IF(COUNTIF(I209:R209,"NO")=0,"YES","NO")</f>
        <v>YES</v>
      </c>
      <c r="T209" s="9" t="n">
        <v>9</v>
      </c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inlineStr">
        <is>
          <t>0.9 / OL / OL</t>
        </is>
      </c>
      <c r="AF209" s="9" t="inlineStr">
        <is>
          <t>Fluke 1587 FC 72300003</t>
        </is>
      </c>
      <c r="AG209" s="9" t="n"/>
      <c r="AH209" s="9" t="n"/>
      <c r="AI209" s="9" t="n"/>
      <c r="AJ209" s="9" t="inlineStr">
        <is>
          <t>ACIC</t>
        </is>
      </c>
      <c r="AK209" s="9" t="inlineStr">
        <is>
          <t>16 AWG</t>
        </is>
      </c>
      <c r="AL209" s="9" t="inlineStr">
        <is>
          <t>Levy Ostrup</t>
        </is>
      </c>
      <c r="AM209" s="9" t="inlineStr">
        <is>
          <t>Sept 30, 2026</t>
        </is>
      </c>
      <c r="AN209" s="9" t="inlineStr">
        <is>
          <t>Needs cable tags</t>
        </is>
      </c>
    </row>
    <row r="210">
      <c r="A210" s="9" t="inlineStr">
        <is>
          <t>RTD Cable</t>
        </is>
      </c>
      <c r="B210" s="9" t="inlineStr">
        <is>
          <t>29103-ET-P1204-2-R-2</t>
        </is>
      </c>
      <c r="C210" s="9" t="inlineStr">
        <is>
          <t>29103-ET-P1204-2</t>
        </is>
      </c>
      <c r="D210" s="9" t="inlineStr">
        <is>
          <t>29103-HTP-002 I/O-4-3</t>
        </is>
      </c>
      <c r="E210" s="9" t="inlineStr">
        <is>
          <t>29103-HTP-002</t>
        </is>
      </c>
      <c r="F210" s="9" t="inlineStr"/>
      <c r="G210" s="9" t="inlineStr">
        <is>
          <t>113</t>
        </is>
      </c>
      <c r="H210" s="9" t="inlineStr">
        <is>
          <t>29103-ET-P1204-2-R-2.pdf</t>
        </is>
      </c>
      <c r="I210" s="4" t="str">
        <f>IF($H210&lt;&gt;"","YES","NO")</f>
        <v>YES</v>
      </c>
      <c r="J210" s="4" t="str">
        <f>IF(N($T210)&gt;0,"YES","NO")</f>
        <v>NO</v>
      </c>
      <c r="K210" s="4" t="str">
        <f>IF(OR($A210="EHT Trace"),IF(AND($U210&lt;&gt;"",$V210&lt;&gt;""),"YES","NO"),"N/A")</f>
        <v>N/A</v>
      </c>
      <c r="L210" s="4" t="str">
        <f>IF(OR($A210="EHT Trace"),IF(AND($X210&lt;&gt;"",$Y210&lt;&gt;""),"YES","NO"),"N/A")</f>
        <v>N/A</v>
      </c>
      <c r="M210" s="4" t="str">
        <f>IF(OR($A210="EHT Trace"),IF(AND($AA210&lt;&gt;"",$AB210&lt;&gt;""),"YES","NO"),"N/A")</f>
        <v>N/A</v>
      </c>
      <c r="N210" s="4" t="str">
        <f>IF(OR($A210="Power Cable"),IF(AND($AD210&lt;&gt;""),"YES","NO"),"N/A")</f>
        <v>N/A</v>
      </c>
      <c r="O210" s="4" t="str">
        <f>IF(OR($A210="Power Cable",$A210="RTD Cable",$A210="Fieldbus Cable"),IF(AND($AE210&lt;&gt;""),"YES","NO"),"N/A")</f>
        <v>NO</v>
      </c>
      <c r="P210" s="4" t="str">
        <f>IF(OR($A210="RTD"),IF(AND($AH210&lt;&gt;""),"YES","NO"),"N/A")</f>
        <v>N/A</v>
      </c>
      <c r="Q210" s="4" t="str">
        <f>IF(OR($A210="RTD"),IF(AND($AI210&lt;&gt;""),"YES","NO"),"N/A")</f>
        <v>N/A</v>
      </c>
      <c r="R210" s="4" t="str">
        <f>IF(OR($AM210&lt;&gt;"",$Z210&lt;&gt;"",$AC210&lt;&gt;""),"YES","NO")</f>
        <v>NO</v>
      </c>
      <c r="S210" s="4" t="str">
        <f>IF(COUNTIF(I210:R210,"NO")=0,"YES","NO")</f>
        <v>NO</v>
      </c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inlineStr">
        <is>
          <t>ACIC</t>
        </is>
      </c>
      <c r="AK210" s="9" t="inlineStr">
        <is>
          <t>16AWG</t>
        </is>
      </c>
      <c r="AL210" s="9" t="inlineStr">
        <is>
          <t>Levy Ostrup</t>
        </is>
      </c>
      <c r="AM210" s="9" t="n"/>
      <c r="AN210" s="9" t="n"/>
    </row>
    <row r="211">
      <c r="A211" s="9" t="inlineStr">
        <is>
          <t>RTD Cable</t>
        </is>
      </c>
      <c r="B211" s="9" t="inlineStr">
        <is>
          <t>29103-ET-P1301-1-R-1</t>
        </is>
      </c>
      <c r="C211" s="9" t="inlineStr">
        <is>
          <t>29103-ET-P1301-1</t>
        </is>
      </c>
      <c r="D211" s="9" t="inlineStr">
        <is>
          <t>29103-HTP-002 HTC-38</t>
        </is>
      </c>
      <c r="E211" s="9" t="inlineStr">
        <is>
          <t>29103-HTP-002</t>
        </is>
      </c>
      <c r="F211" s="9" t="inlineStr"/>
      <c r="G211" s="9" t="inlineStr">
        <is>
          <t>113</t>
        </is>
      </c>
      <c r="H211" s="9" t="inlineStr">
        <is>
          <t>29103-ET-P1301-1-R-1.pdf</t>
        </is>
      </c>
      <c r="I211" s="4" t="str">
        <f>IF($H211&lt;&gt;"","YES","NO")</f>
        <v>YES</v>
      </c>
      <c r="J211" s="4" t="str">
        <f>IF(N($T211)&gt;0,"YES","NO")</f>
        <v>NO</v>
      </c>
      <c r="K211" s="4" t="str">
        <f>IF(OR($A211="EHT Trace"),IF(AND($U211&lt;&gt;"",$V211&lt;&gt;""),"YES","NO"),"N/A")</f>
        <v>N/A</v>
      </c>
      <c r="L211" s="4" t="str">
        <f>IF(OR($A211="EHT Trace"),IF(AND($X211&lt;&gt;"",$Y211&lt;&gt;""),"YES","NO"),"N/A")</f>
        <v>N/A</v>
      </c>
      <c r="M211" s="4" t="str">
        <f>IF(OR($A211="EHT Trace"),IF(AND($AA211&lt;&gt;"",$AB211&lt;&gt;""),"YES","NO"),"N/A")</f>
        <v>N/A</v>
      </c>
      <c r="N211" s="4" t="str">
        <f>IF(OR($A211="Power Cable"),IF(AND($AD211&lt;&gt;""),"YES","NO"),"N/A")</f>
        <v>N/A</v>
      </c>
      <c r="O211" s="4" t="str">
        <f>IF(OR($A211="Power Cable",$A211="RTD Cable",$A211="Fieldbus Cable"),IF(AND($AE211&lt;&gt;""),"YES","NO"),"N/A")</f>
        <v>NO</v>
      </c>
      <c r="P211" s="4" t="str">
        <f>IF(OR($A211="RTD"),IF(AND($AH211&lt;&gt;""),"YES","NO"),"N/A")</f>
        <v>N/A</v>
      </c>
      <c r="Q211" s="4" t="str">
        <f>IF(OR($A211="RTD"),IF(AND($AI211&lt;&gt;""),"YES","NO"),"N/A")</f>
        <v>N/A</v>
      </c>
      <c r="R211" s="4" t="str">
        <f>IF(OR($AM211&lt;&gt;"",$Z211&lt;&gt;"",$AC211&lt;&gt;""),"YES","NO")</f>
        <v>NO</v>
      </c>
      <c r="S211" s="4" t="str">
        <f>IF(COUNTIF(I211:R211,"NO")=0,"YES","NO")</f>
        <v>NO</v>
      </c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inlineStr">
        <is>
          <t>ACIC</t>
        </is>
      </c>
      <c r="AK211" s="9" t="inlineStr">
        <is>
          <t>16AWG</t>
        </is>
      </c>
      <c r="AL211" s="9" t="inlineStr">
        <is>
          <t>Levy Ostrup</t>
        </is>
      </c>
      <c r="AM211" s="9" t="n"/>
      <c r="AN211" s="9" t="n"/>
    </row>
    <row r="212">
      <c r="A212" s="9" t="inlineStr">
        <is>
          <t>RTD Cable</t>
        </is>
      </c>
      <c r="B212" s="9" t="inlineStr">
        <is>
          <t>29103-ET-P1304-1-R-1</t>
        </is>
      </c>
      <c r="C212" s="9" t="inlineStr">
        <is>
          <t>29103-ET-P1304-1</t>
        </is>
      </c>
      <c r="D212" s="9" t="inlineStr">
        <is>
          <t>29103-HTP-002 HTC-09</t>
        </is>
      </c>
      <c r="E212" s="9" t="inlineStr">
        <is>
          <t>29103-HTP-002</t>
        </is>
      </c>
      <c r="F212" s="9" t="inlineStr"/>
      <c r="G212" s="9" t="inlineStr">
        <is>
          <t>113</t>
        </is>
      </c>
      <c r="H212" s="9" t="inlineStr">
        <is>
          <t>29103-ET-P1304-1-R-1.pdf</t>
        </is>
      </c>
      <c r="I212" s="4" t="str">
        <f>IF($H212&lt;&gt;"","YES","NO")</f>
        <v>YES</v>
      </c>
      <c r="J212" s="4" t="str">
        <f>IF(N($T212)&gt;0,"YES","NO")</f>
        <v>NO</v>
      </c>
      <c r="K212" s="4" t="str">
        <f>IF(OR($A212="EHT Trace"),IF(AND($U212&lt;&gt;"",$V212&lt;&gt;""),"YES","NO"),"N/A")</f>
        <v>N/A</v>
      </c>
      <c r="L212" s="4" t="str">
        <f>IF(OR($A212="EHT Trace"),IF(AND($X212&lt;&gt;"",$Y212&lt;&gt;""),"YES","NO"),"N/A")</f>
        <v>N/A</v>
      </c>
      <c r="M212" s="4" t="str">
        <f>IF(OR($A212="EHT Trace"),IF(AND($AA212&lt;&gt;"",$AB212&lt;&gt;""),"YES","NO"),"N/A")</f>
        <v>N/A</v>
      </c>
      <c r="N212" s="4" t="str">
        <f>IF(OR($A212="Power Cable"),IF(AND($AD212&lt;&gt;""),"YES","NO"),"N/A")</f>
        <v>N/A</v>
      </c>
      <c r="O212" s="4" t="str">
        <f>IF(OR($A212="Power Cable",$A212="RTD Cable",$A212="Fieldbus Cable"),IF(AND($AE212&lt;&gt;""),"YES","NO"),"N/A")</f>
        <v>NO</v>
      </c>
      <c r="P212" s="4" t="str">
        <f>IF(OR($A212="RTD"),IF(AND($AH212&lt;&gt;""),"YES","NO"),"N/A")</f>
        <v>N/A</v>
      </c>
      <c r="Q212" s="4" t="str">
        <f>IF(OR($A212="RTD"),IF(AND($AI212&lt;&gt;""),"YES","NO"),"N/A")</f>
        <v>N/A</v>
      </c>
      <c r="R212" s="4" t="str">
        <f>IF(OR($AM212&lt;&gt;"",$Z212&lt;&gt;"",$AC212&lt;&gt;""),"YES","NO")</f>
        <v>NO</v>
      </c>
      <c r="S212" s="4" t="str">
        <f>IF(COUNTIF(I212:R212,"NO")=0,"YES","NO")</f>
        <v>NO</v>
      </c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inlineStr">
        <is>
          <t>ACIC</t>
        </is>
      </c>
      <c r="AK212" s="9" t="inlineStr">
        <is>
          <t>16AWG</t>
        </is>
      </c>
      <c r="AL212" s="9" t="inlineStr">
        <is>
          <t>Levy Ostrup</t>
        </is>
      </c>
      <c r="AM212" s="9" t="n"/>
      <c r="AN212" s="9" t="n"/>
    </row>
    <row r="213">
      <c r="A213" s="9" t="inlineStr">
        <is>
          <t>RTD Cable</t>
        </is>
      </c>
      <c r="B213" s="9" t="inlineStr">
        <is>
          <t>29103-ET-P1304-1-R-2</t>
        </is>
      </c>
      <c r="C213" s="9" t="inlineStr">
        <is>
          <t>29103-ET-P1304-1</t>
        </is>
      </c>
      <c r="D213" s="9" t="inlineStr">
        <is>
          <t>29103-HTP-002 I/O-1-3</t>
        </is>
      </c>
      <c r="E213" s="9" t="inlineStr">
        <is>
          <t>29103-HTP-002</t>
        </is>
      </c>
      <c r="F213" s="9" t="inlineStr"/>
      <c r="G213" s="9" t="inlineStr">
        <is>
          <t>113</t>
        </is>
      </c>
      <c r="H213" s="9" t="inlineStr">
        <is>
          <t>29103-ET-P1304-1-R-2.pdf</t>
        </is>
      </c>
      <c r="I213" s="4" t="str">
        <f>IF($H213&lt;&gt;"","YES","NO")</f>
        <v>YES</v>
      </c>
      <c r="J213" s="4" t="str">
        <f>IF(N($T213)&gt;0,"YES","NO")</f>
        <v>NO</v>
      </c>
      <c r="K213" s="4" t="str">
        <f>IF(OR($A213="EHT Trace"),IF(AND($U213&lt;&gt;"",$V213&lt;&gt;""),"YES","NO"),"N/A")</f>
        <v>N/A</v>
      </c>
      <c r="L213" s="4" t="str">
        <f>IF(OR($A213="EHT Trace"),IF(AND($X213&lt;&gt;"",$Y213&lt;&gt;""),"YES","NO"),"N/A")</f>
        <v>N/A</v>
      </c>
      <c r="M213" s="4" t="str">
        <f>IF(OR($A213="EHT Trace"),IF(AND($AA213&lt;&gt;"",$AB213&lt;&gt;""),"YES","NO"),"N/A")</f>
        <v>N/A</v>
      </c>
      <c r="N213" s="4" t="str">
        <f>IF(OR($A213="Power Cable"),IF(AND($AD213&lt;&gt;""),"YES","NO"),"N/A")</f>
        <v>N/A</v>
      </c>
      <c r="O213" s="4" t="str">
        <f>IF(OR($A213="Power Cable",$A213="RTD Cable",$A213="Fieldbus Cable"),IF(AND($AE213&lt;&gt;""),"YES","NO"),"N/A")</f>
        <v>NO</v>
      </c>
      <c r="P213" s="4" t="str">
        <f>IF(OR($A213="RTD"),IF(AND($AH213&lt;&gt;""),"YES","NO"),"N/A")</f>
        <v>N/A</v>
      </c>
      <c r="Q213" s="4" t="str">
        <f>IF(OR($A213="RTD"),IF(AND($AI213&lt;&gt;""),"YES","NO"),"N/A")</f>
        <v>N/A</v>
      </c>
      <c r="R213" s="4" t="str">
        <f>IF(OR($AM213&lt;&gt;"",$Z213&lt;&gt;"",$AC213&lt;&gt;""),"YES","NO")</f>
        <v>NO</v>
      </c>
      <c r="S213" s="4" t="str">
        <f>IF(COUNTIF(I213:R213,"NO")=0,"YES","NO")</f>
        <v>NO</v>
      </c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inlineStr">
        <is>
          <t>ACIC</t>
        </is>
      </c>
      <c r="AK213" s="9" t="inlineStr">
        <is>
          <t>16AWG</t>
        </is>
      </c>
      <c r="AL213" s="9" t="inlineStr">
        <is>
          <t>Levy Ostrup</t>
        </is>
      </c>
      <c r="AM213" s="9" t="n"/>
      <c r="AN213" s="9" t="n"/>
    </row>
    <row r="214">
      <c r="A214" s="9" t="inlineStr">
        <is>
          <t>RTD Cable</t>
        </is>
      </c>
      <c r="B214" s="9" t="inlineStr">
        <is>
          <t>29103-ET-P1304-2-R-1</t>
        </is>
      </c>
      <c r="C214" s="9" t="inlineStr">
        <is>
          <t>29103-ET-P1304-2</t>
        </is>
      </c>
      <c r="D214" s="9" t="inlineStr">
        <is>
          <t>29103-HTP-002 HTC-19</t>
        </is>
      </c>
      <c r="E214" s="9" t="inlineStr">
        <is>
          <t>29103-HTP-002</t>
        </is>
      </c>
      <c r="F214" s="9" t="inlineStr"/>
      <c r="G214" s="9" t="inlineStr">
        <is>
          <t>113</t>
        </is>
      </c>
      <c r="H214" s="9" t="inlineStr">
        <is>
          <t>29103-ET-P1304-2-R-1.pdf</t>
        </is>
      </c>
      <c r="I214" s="4" t="str">
        <f>IF($H214&lt;&gt;"","YES","NO")</f>
        <v>YES</v>
      </c>
      <c r="J214" s="4" t="str">
        <f>IF(N($T214)&gt;0,"YES","NO")</f>
        <v>NO</v>
      </c>
      <c r="K214" s="4" t="str">
        <f>IF(OR($A214="EHT Trace"),IF(AND($U214&lt;&gt;"",$V214&lt;&gt;""),"YES","NO"),"N/A")</f>
        <v>N/A</v>
      </c>
      <c r="L214" s="4" t="str">
        <f>IF(OR($A214="EHT Trace"),IF(AND($X214&lt;&gt;"",$Y214&lt;&gt;""),"YES","NO"),"N/A")</f>
        <v>N/A</v>
      </c>
      <c r="M214" s="4" t="str">
        <f>IF(OR($A214="EHT Trace"),IF(AND($AA214&lt;&gt;"",$AB214&lt;&gt;""),"YES","NO"),"N/A")</f>
        <v>N/A</v>
      </c>
      <c r="N214" s="4" t="str">
        <f>IF(OR($A214="Power Cable"),IF(AND($AD214&lt;&gt;""),"YES","NO"),"N/A")</f>
        <v>N/A</v>
      </c>
      <c r="O214" s="4" t="str">
        <f>IF(OR($A214="Power Cable",$A214="RTD Cable",$A214="Fieldbus Cable"),IF(AND($AE214&lt;&gt;""),"YES","NO"),"N/A")</f>
        <v>NO</v>
      </c>
      <c r="P214" s="4" t="str">
        <f>IF(OR($A214="RTD"),IF(AND($AH214&lt;&gt;""),"YES","NO"),"N/A")</f>
        <v>N/A</v>
      </c>
      <c r="Q214" s="4" t="str">
        <f>IF(OR($A214="RTD"),IF(AND($AI214&lt;&gt;""),"YES","NO"),"N/A")</f>
        <v>N/A</v>
      </c>
      <c r="R214" s="4" t="str">
        <f>IF(OR($AM214&lt;&gt;"",$Z214&lt;&gt;"",$AC214&lt;&gt;""),"YES","NO")</f>
        <v>NO</v>
      </c>
      <c r="S214" s="4" t="str">
        <f>IF(COUNTIF(I214:R214,"NO")=0,"YES","NO")</f>
        <v>NO</v>
      </c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inlineStr">
        <is>
          <t>ACIC</t>
        </is>
      </c>
      <c r="AK214" s="9" t="inlineStr">
        <is>
          <t>16AWG</t>
        </is>
      </c>
      <c r="AL214" s="9" t="inlineStr">
        <is>
          <t>Levy Ostrup</t>
        </is>
      </c>
      <c r="AM214" s="9" t="n"/>
      <c r="AN214" s="9" t="n"/>
    </row>
    <row r="215">
      <c r="A215" s="9" t="inlineStr">
        <is>
          <t>RTD Cable</t>
        </is>
      </c>
      <c r="B215" s="9" t="inlineStr">
        <is>
          <t>29103-ET-P1304-2-R-2</t>
        </is>
      </c>
      <c r="C215" s="9" t="inlineStr">
        <is>
          <t>29103-ET-P1304-2</t>
        </is>
      </c>
      <c r="D215" s="9" t="inlineStr">
        <is>
          <t>29103-HTP-002 I/O-3-3</t>
        </is>
      </c>
      <c r="E215" s="9" t="inlineStr">
        <is>
          <t>29103-HTP-002</t>
        </is>
      </c>
      <c r="F215" s="9" t="inlineStr"/>
      <c r="G215" s="9" t="inlineStr">
        <is>
          <t>113</t>
        </is>
      </c>
      <c r="H215" s="9" t="inlineStr">
        <is>
          <t>29103-ET-P1304-2-R-2.pdf</t>
        </is>
      </c>
      <c r="I215" s="4" t="str">
        <f>IF($H215&lt;&gt;"","YES","NO")</f>
        <v>YES</v>
      </c>
      <c r="J215" s="4" t="str">
        <f>IF(N($T215)&gt;0,"YES","NO")</f>
        <v>NO</v>
      </c>
      <c r="K215" s="4" t="str">
        <f>IF(OR($A215="EHT Trace"),IF(AND($U215&lt;&gt;"",$V215&lt;&gt;""),"YES","NO"),"N/A")</f>
        <v>N/A</v>
      </c>
      <c r="L215" s="4" t="str">
        <f>IF(OR($A215="EHT Trace"),IF(AND($X215&lt;&gt;"",$Y215&lt;&gt;""),"YES","NO"),"N/A")</f>
        <v>N/A</v>
      </c>
      <c r="M215" s="4" t="str">
        <f>IF(OR($A215="EHT Trace"),IF(AND($AA215&lt;&gt;"",$AB215&lt;&gt;""),"YES","NO"),"N/A")</f>
        <v>N/A</v>
      </c>
      <c r="N215" s="4" t="str">
        <f>IF(OR($A215="Power Cable"),IF(AND($AD215&lt;&gt;""),"YES","NO"),"N/A")</f>
        <v>N/A</v>
      </c>
      <c r="O215" s="4" t="str">
        <f>IF(OR($A215="Power Cable",$A215="RTD Cable",$A215="Fieldbus Cable"),IF(AND($AE215&lt;&gt;""),"YES","NO"),"N/A")</f>
        <v>NO</v>
      </c>
      <c r="P215" s="4" t="str">
        <f>IF(OR($A215="RTD"),IF(AND($AH215&lt;&gt;""),"YES","NO"),"N/A")</f>
        <v>N/A</v>
      </c>
      <c r="Q215" s="4" t="str">
        <f>IF(OR($A215="RTD"),IF(AND($AI215&lt;&gt;""),"YES","NO"),"N/A")</f>
        <v>N/A</v>
      </c>
      <c r="R215" s="4" t="str">
        <f>IF(OR($AM215&lt;&gt;"",$Z215&lt;&gt;"",$AC215&lt;&gt;""),"YES","NO")</f>
        <v>NO</v>
      </c>
      <c r="S215" s="4" t="str">
        <f>IF(COUNTIF(I215:R215,"NO")=0,"YES","NO")</f>
        <v>NO</v>
      </c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inlineStr">
        <is>
          <t>ACIC</t>
        </is>
      </c>
      <c r="AK215" s="9" t="inlineStr">
        <is>
          <t>16AWG</t>
        </is>
      </c>
      <c r="AL215" s="9" t="inlineStr">
        <is>
          <t>Levy Ostrup</t>
        </is>
      </c>
      <c r="AM215" s="9" t="n"/>
      <c r="AN215" s="9" t="n"/>
    </row>
    <row r="216">
      <c r="A216" s="9" t="inlineStr">
        <is>
          <t>RTD Cable</t>
        </is>
      </c>
      <c r="B216" s="9" t="inlineStr">
        <is>
          <t>29103-ET-P1401-1-R-1</t>
        </is>
      </c>
      <c r="C216" s="9" t="inlineStr">
        <is>
          <t>29103-ET-P1401-1</t>
        </is>
      </c>
      <c r="D216" s="9" t="inlineStr">
        <is>
          <t>29103-HTP-002 HTC-05</t>
        </is>
      </c>
      <c r="E216" s="9" t="inlineStr">
        <is>
          <t>29103-HTP-002</t>
        </is>
      </c>
      <c r="F216" s="9" t="inlineStr"/>
      <c r="G216" s="9" t="inlineStr">
        <is>
          <t>113</t>
        </is>
      </c>
      <c r="H216" s="9" t="inlineStr">
        <is>
          <t>29103-ET-P1401-1-R-1.pdf</t>
        </is>
      </c>
      <c r="I216" s="4" t="str">
        <f>IF($H216&lt;&gt;"","YES","NO")</f>
        <v>YES</v>
      </c>
      <c r="J216" s="4" t="str">
        <f>IF(N($T216)&gt;0,"YES","NO")</f>
        <v>NO</v>
      </c>
      <c r="K216" s="4" t="str">
        <f>IF(OR($A216="EHT Trace"),IF(AND($U216&lt;&gt;"",$V216&lt;&gt;""),"YES","NO"),"N/A")</f>
        <v>N/A</v>
      </c>
      <c r="L216" s="4" t="str">
        <f>IF(OR($A216="EHT Trace"),IF(AND($X216&lt;&gt;"",$Y216&lt;&gt;""),"YES","NO"),"N/A")</f>
        <v>N/A</v>
      </c>
      <c r="M216" s="4" t="str">
        <f>IF(OR($A216="EHT Trace"),IF(AND($AA216&lt;&gt;"",$AB216&lt;&gt;""),"YES","NO"),"N/A")</f>
        <v>N/A</v>
      </c>
      <c r="N216" s="4" t="str">
        <f>IF(OR($A216="Power Cable"),IF(AND($AD216&lt;&gt;""),"YES","NO"),"N/A")</f>
        <v>N/A</v>
      </c>
      <c r="O216" s="4" t="str">
        <f>IF(OR($A216="Power Cable",$A216="RTD Cable",$A216="Fieldbus Cable"),IF(AND($AE216&lt;&gt;""),"YES","NO"),"N/A")</f>
        <v>NO</v>
      </c>
      <c r="P216" s="4" t="str">
        <f>IF(OR($A216="RTD"),IF(AND($AH216&lt;&gt;""),"YES","NO"),"N/A")</f>
        <v>N/A</v>
      </c>
      <c r="Q216" s="4" t="str">
        <f>IF(OR($A216="RTD"),IF(AND($AI216&lt;&gt;""),"YES","NO"),"N/A")</f>
        <v>N/A</v>
      </c>
      <c r="R216" s="4" t="str">
        <f>IF(OR($AM216&lt;&gt;"",$Z216&lt;&gt;"",$AC216&lt;&gt;""),"YES","NO")</f>
        <v>NO</v>
      </c>
      <c r="S216" s="4" t="str">
        <f>IF(COUNTIF(I216:R216,"NO")=0,"YES","NO")</f>
        <v>NO</v>
      </c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inlineStr">
        <is>
          <t>ACIC</t>
        </is>
      </c>
      <c r="AK216" s="9" t="inlineStr">
        <is>
          <t>16AWG</t>
        </is>
      </c>
      <c r="AL216" s="9" t="inlineStr">
        <is>
          <t>Levy Ostrup</t>
        </is>
      </c>
      <c r="AM216" s="9" t="n"/>
      <c r="AN216" s="9" t="n"/>
    </row>
    <row r="217">
      <c r="A217" s="9" t="inlineStr">
        <is>
          <t>RTD Cable</t>
        </is>
      </c>
      <c r="B217" s="9" t="inlineStr">
        <is>
          <t>29103-ET-P1800-1-R-1</t>
        </is>
      </c>
      <c r="C217" s="9" t="inlineStr">
        <is>
          <t>29103-ET-P1800-1</t>
        </is>
      </c>
      <c r="D217" s="9" t="inlineStr">
        <is>
          <t>29103-HTP-002 HTC-26</t>
        </is>
      </c>
      <c r="E217" s="9" t="inlineStr">
        <is>
          <t>29103-HTP-002</t>
        </is>
      </c>
      <c r="F217" s="9" t="inlineStr"/>
      <c r="G217" s="9" t="inlineStr">
        <is>
          <t>113</t>
        </is>
      </c>
      <c r="H217" s="9" t="inlineStr">
        <is>
          <t>29103-ET-P1800-1-R-1.pdf</t>
        </is>
      </c>
      <c r="I217" s="4" t="str">
        <f>IF($H217&lt;&gt;"","YES","NO")</f>
        <v>YES</v>
      </c>
      <c r="J217" s="4" t="str">
        <f>IF(N($T217)&gt;0,"YES","NO")</f>
        <v>YES</v>
      </c>
      <c r="K217" s="4" t="str">
        <f>IF(OR($A217="EHT Trace"),IF(AND($U217&lt;&gt;"",$V217&lt;&gt;""),"YES","NO"),"N/A")</f>
        <v>N/A</v>
      </c>
      <c r="L217" s="4" t="str">
        <f>IF(OR($A217="EHT Trace"),IF(AND($X217&lt;&gt;"",$Y217&lt;&gt;""),"YES","NO"),"N/A")</f>
        <v>N/A</v>
      </c>
      <c r="M217" s="4" t="str">
        <f>IF(OR($A217="EHT Trace"),IF(AND($AA217&lt;&gt;"",$AB217&lt;&gt;""),"YES","NO"),"N/A")</f>
        <v>N/A</v>
      </c>
      <c r="N217" s="4" t="str">
        <f>IF(OR($A217="Power Cable"),IF(AND($AD217&lt;&gt;""),"YES","NO"),"N/A")</f>
        <v>N/A</v>
      </c>
      <c r="O217" s="4" t="str">
        <f>IF(OR($A217="Power Cable",$A217="RTD Cable",$A217="Fieldbus Cable"),IF(AND($AE217&lt;&gt;""),"YES","NO"),"N/A")</f>
        <v>YES</v>
      </c>
      <c r="P217" s="4" t="str">
        <f>IF(OR($A217="RTD"),IF(AND($AH217&lt;&gt;""),"YES","NO"),"N/A")</f>
        <v>N/A</v>
      </c>
      <c r="Q217" s="4" t="str">
        <f>IF(OR($A217="RTD"),IF(AND($AI217&lt;&gt;""),"YES","NO"),"N/A")</f>
        <v>N/A</v>
      </c>
      <c r="R217" s="4" t="str">
        <f>IF(OR($AM217&lt;&gt;"",$Z217&lt;&gt;"",$AC217&lt;&gt;""),"YES","NO")</f>
        <v>YES</v>
      </c>
      <c r="S217" s="4" t="str">
        <f>IF(COUNTIF(I217:R217,"NO")=0,"YES","NO")</f>
        <v>YES</v>
      </c>
      <c r="T217" s="9" t="n">
        <v>9</v>
      </c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inlineStr">
        <is>
          <t>N/A / N/A / N/A</t>
        </is>
      </c>
      <c r="AE217" s="9" t="inlineStr">
        <is>
          <t>1.1 / OL / OL</t>
        </is>
      </c>
      <c r="AF217" s="9" t="inlineStr">
        <is>
          <t>Fluke 1587 FC 72300003</t>
        </is>
      </c>
      <c r="AG217" s="9" t="n"/>
      <c r="AH217" s="9" t="n"/>
      <c r="AI217" s="9" t="n"/>
      <c r="AJ217" s="9" t="inlineStr">
        <is>
          <t>ACIC</t>
        </is>
      </c>
      <c r="AK217" s="9" t="inlineStr">
        <is>
          <t>16 AWG</t>
        </is>
      </c>
      <c r="AL217" s="9" t="inlineStr">
        <is>
          <t>Levy Ostrup</t>
        </is>
      </c>
      <c r="AM217" s="9" t="inlineStr">
        <is>
          <t>Sept 30, 2026</t>
        </is>
      </c>
      <c r="AN217" s="9" t="n"/>
    </row>
    <row r="218">
      <c r="A218" s="9" t="inlineStr">
        <is>
          <t>RTD Cable</t>
        </is>
      </c>
      <c r="B218" s="9" t="inlineStr">
        <is>
          <t>29103-ET-P1800-2-R-1</t>
        </is>
      </c>
      <c r="C218" s="9" t="inlineStr">
        <is>
          <t>29103-ET-P1800-2</t>
        </is>
      </c>
      <c r="D218" s="9" t="inlineStr">
        <is>
          <t>29103-HTP-002 HTC-16</t>
        </is>
      </c>
      <c r="E218" s="9" t="inlineStr">
        <is>
          <t>29103-HTP-002</t>
        </is>
      </c>
      <c r="F218" s="9" t="inlineStr"/>
      <c r="G218" s="9" t="inlineStr">
        <is>
          <t>113</t>
        </is>
      </c>
      <c r="H218" s="9" t="inlineStr">
        <is>
          <t>29103-ET-P1800-2-R-1.pdf</t>
        </is>
      </c>
      <c r="I218" s="4" t="str">
        <f>IF($H218&lt;&gt;"","YES","NO")</f>
        <v>YES</v>
      </c>
      <c r="J218" s="4" t="str">
        <f>IF(N($T218)&gt;0,"YES","NO")</f>
        <v>NO</v>
      </c>
      <c r="K218" s="4" t="str">
        <f>IF(OR($A218="EHT Trace"),IF(AND($U218&lt;&gt;"",$V218&lt;&gt;""),"YES","NO"),"N/A")</f>
        <v>N/A</v>
      </c>
      <c r="L218" s="4" t="str">
        <f>IF(OR($A218="EHT Trace"),IF(AND($X218&lt;&gt;"",$Y218&lt;&gt;""),"YES","NO"),"N/A")</f>
        <v>N/A</v>
      </c>
      <c r="M218" s="4" t="str">
        <f>IF(OR($A218="EHT Trace"),IF(AND($AA218&lt;&gt;"",$AB218&lt;&gt;""),"YES","NO"),"N/A")</f>
        <v>N/A</v>
      </c>
      <c r="N218" s="4" t="str">
        <f>IF(OR($A218="Power Cable"),IF(AND($AD218&lt;&gt;""),"YES","NO"),"N/A")</f>
        <v>N/A</v>
      </c>
      <c r="O218" s="4" t="str">
        <f>IF(OR($A218="Power Cable",$A218="RTD Cable",$A218="Fieldbus Cable"),IF(AND($AE218&lt;&gt;""),"YES","NO"),"N/A")</f>
        <v>NO</v>
      </c>
      <c r="P218" s="4" t="str">
        <f>IF(OR($A218="RTD"),IF(AND($AH218&lt;&gt;""),"YES","NO"),"N/A")</f>
        <v>N/A</v>
      </c>
      <c r="Q218" s="4" t="str">
        <f>IF(OR($A218="RTD"),IF(AND($AI218&lt;&gt;""),"YES","NO"),"N/A")</f>
        <v>N/A</v>
      </c>
      <c r="R218" s="4" t="str">
        <f>IF(OR($AM218&lt;&gt;"",$Z218&lt;&gt;"",$AC218&lt;&gt;""),"YES","NO")</f>
        <v>NO</v>
      </c>
      <c r="S218" s="4" t="str">
        <f>IF(COUNTIF(I218:R218,"NO")=0,"YES","NO")</f>
        <v>NO</v>
      </c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inlineStr">
        <is>
          <t>ACIC</t>
        </is>
      </c>
      <c r="AK218" s="9" t="inlineStr">
        <is>
          <t>16AWG</t>
        </is>
      </c>
      <c r="AL218" s="9" t="inlineStr">
        <is>
          <t>Levy Ostrup</t>
        </is>
      </c>
      <c r="AM218" s="9" t="n"/>
      <c r="AN218" s="9" t="n"/>
    </row>
    <row r="219">
      <c r="A219" s="9" t="inlineStr">
        <is>
          <t>RTD Cable</t>
        </is>
      </c>
      <c r="B219" s="9" t="inlineStr">
        <is>
          <t>29103-ET-PE1101-1-R-1</t>
        </is>
      </c>
      <c r="C219" s="9" t="inlineStr">
        <is>
          <t>29103-ET-PE1101-1</t>
        </is>
      </c>
      <c r="D219" s="9" t="inlineStr">
        <is>
          <t>29103-HTP-002 HTC-25</t>
        </is>
      </c>
      <c r="E219" s="9" t="inlineStr">
        <is>
          <t>29103-HTP-002</t>
        </is>
      </c>
      <c r="F219" s="9" t="inlineStr"/>
      <c r="G219" s="9" t="inlineStr">
        <is>
          <t>113</t>
        </is>
      </c>
      <c r="H219" s="9" t="inlineStr">
        <is>
          <t>29103-ET-PE1101-1-R-1.pdf</t>
        </is>
      </c>
      <c r="I219" s="4" t="str">
        <f>IF($H219&lt;&gt;"","YES","NO")</f>
        <v>YES</v>
      </c>
      <c r="J219" s="4" t="str">
        <f>IF(N($T219)&gt;0,"YES","NO")</f>
        <v>YES</v>
      </c>
      <c r="K219" s="4" t="str">
        <f>IF(OR($A219="EHT Trace"),IF(AND($U219&lt;&gt;"",$V219&lt;&gt;""),"YES","NO"),"N/A")</f>
        <v>N/A</v>
      </c>
      <c r="L219" s="4" t="str">
        <f>IF(OR($A219="EHT Trace"),IF(AND($X219&lt;&gt;"",$Y219&lt;&gt;""),"YES","NO"),"N/A")</f>
        <v>N/A</v>
      </c>
      <c r="M219" s="4" t="str">
        <f>IF(OR($A219="EHT Trace"),IF(AND($AA219&lt;&gt;"",$AB219&lt;&gt;""),"YES","NO"),"N/A")</f>
        <v>N/A</v>
      </c>
      <c r="N219" s="4" t="str">
        <f>IF(OR($A219="Power Cable"),IF(AND($AD219&lt;&gt;""),"YES","NO"),"N/A")</f>
        <v>N/A</v>
      </c>
      <c r="O219" s="4" t="str">
        <f>IF(OR($A219="Power Cable",$A219="RTD Cable",$A219="Fieldbus Cable"),IF(AND($AE219&lt;&gt;""),"YES","NO"),"N/A")</f>
        <v>YES</v>
      </c>
      <c r="P219" s="4" t="str">
        <f>IF(OR($A219="RTD"),IF(AND($AH219&lt;&gt;""),"YES","NO"),"N/A")</f>
        <v>N/A</v>
      </c>
      <c r="Q219" s="4" t="str">
        <f>IF(OR($A219="RTD"),IF(AND($AI219&lt;&gt;""),"YES","NO"),"N/A")</f>
        <v>N/A</v>
      </c>
      <c r="R219" s="4" t="str">
        <f>IF(OR($AM219&lt;&gt;"",$Z219&lt;&gt;"",$AC219&lt;&gt;""),"YES","NO")</f>
        <v>YES</v>
      </c>
      <c r="S219" s="4" t="str">
        <f>IF(COUNTIF(I219:R219,"NO")=0,"YES","NO")</f>
        <v>YES</v>
      </c>
      <c r="T219" s="9" t="n">
        <v>9</v>
      </c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inlineStr">
        <is>
          <t>N/A / N/A / N/A</t>
        </is>
      </c>
      <c r="AE219" s="9" t="inlineStr">
        <is>
          <t>1.1 / OL / OL</t>
        </is>
      </c>
      <c r="AF219" s="9" t="inlineStr">
        <is>
          <t>Fluke 1587 FC 72300003</t>
        </is>
      </c>
      <c r="AG219" s="9" t="n"/>
      <c r="AH219" s="9" t="n"/>
      <c r="AI219" s="9" t="n"/>
      <c r="AJ219" s="9" t="inlineStr">
        <is>
          <t>ACIC</t>
        </is>
      </c>
      <c r="AK219" s="9" t="inlineStr">
        <is>
          <t>16 AWG</t>
        </is>
      </c>
      <c r="AL219" s="9" t="inlineStr">
        <is>
          <t>Levy Ostrup</t>
        </is>
      </c>
      <c r="AM219" s="9" t="inlineStr">
        <is>
          <t>Sept 30, 2026</t>
        </is>
      </c>
      <c r="AN219" s="9" t="inlineStr">
        <is>
          <t>Needs cable tags</t>
        </is>
      </c>
    </row>
    <row r="220">
      <c r="A220" s="9" t="inlineStr">
        <is>
          <t>RTD Cable</t>
        </is>
      </c>
      <c r="B220" s="9" t="inlineStr">
        <is>
          <t>29103-ET-PE1101-2-R-1</t>
        </is>
      </c>
      <c r="C220" s="9" t="inlineStr">
        <is>
          <t>29103-ET-PE1101-2</t>
        </is>
      </c>
      <c r="D220" s="9" t="inlineStr">
        <is>
          <t>29103-HTP-002 HTC-24</t>
        </is>
      </c>
      <c r="E220" s="9" t="inlineStr">
        <is>
          <t>29103-HTP-002</t>
        </is>
      </c>
      <c r="F220" s="9" t="inlineStr"/>
      <c r="G220" s="9" t="inlineStr">
        <is>
          <t>113</t>
        </is>
      </c>
      <c r="H220" s="9" t="inlineStr">
        <is>
          <t>29103-ET-PE1101-2-R-1.pdf</t>
        </is>
      </c>
      <c r="I220" s="4" t="str">
        <f>IF($H220&lt;&gt;"","YES","NO")</f>
        <v>YES</v>
      </c>
      <c r="J220" s="4" t="str">
        <f>IF(N($T220)&gt;0,"YES","NO")</f>
        <v>YES</v>
      </c>
      <c r="K220" s="4" t="str">
        <f>IF(OR($A220="EHT Trace"),IF(AND($U220&lt;&gt;"",$V220&lt;&gt;""),"YES","NO"),"N/A")</f>
        <v>N/A</v>
      </c>
      <c r="L220" s="4" t="str">
        <f>IF(OR($A220="EHT Trace"),IF(AND($X220&lt;&gt;"",$Y220&lt;&gt;""),"YES","NO"),"N/A")</f>
        <v>N/A</v>
      </c>
      <c r="M220" s="4" t="str">
        <f>IF(OR($A220="EHT Trace"),IF(AND($AA220&lt;&gt;"",$AB220&lt;&gt;""),"YES","NO"),"N/A")</f>
        <v>N/A</v>
      </c>
      <c r="N220" s="4" t="str">
        <f>IF(OR($A220="Power Cable"),IF(AND($AD220&lt;&gt;""),"YES","NO"),"N/A")</f>
        <v>N/A</v>
      </c>
      <c r="O220" s="4" t="str">
        <f>IF(OR($A220="Power Cable",$A220="RTD Cable",$A220="Fieldbus Cable"),IF(AND($AE220&lt;&gt;""),"YES","NO"),"N/A")</f>
        <v>YES</v>
      </c>
      <c r="P220" s="4" t="str">
        <f>IF(OR($A220="RTD"),IF(AND($AH220&lt;&gt;""),"YES","NO"),"N/A")</f>
        <v>N/A</v>
      </c>
      <c r="Q220" s="4" t="str">
        <f>IF(OR($A220="RTD"),IF(AND($AI220&lt;&gt;""),"YES","NO"),"N/A")</f>
        <v>N/A</v>
      </c>
      <c r="R220" s="4" t="str">
        <f>IF(OR($AM220&lt;&gt;"",$Z220&lt;&gt;"",$AC220&lt;&gt;""),"YES","NO")</f>
        <v>YES</v>
      </c>
      <c r="S220" s="4" t="str">
        <f>IF(COUNTIF(I220:R220,"NO")=0,"YES","NO")</f>
        <v>YES</v>
      </c>
      <c r="T220" s="9" t="n">
        <v>10</v>
      </c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inlineStr">
        <is>
          <t>N/A / N/A / N/A</t>
        </is>
      </c>
      <c r="AE220" s="9" t="inlineStr">
        <is>
          <t>1.0 / OL / OL</t>
        </is>
      </c>
      <c r="AF220" s="9" t="inlineStr">
        <is>
          <t>Fluke 1587 FC 72300003</t>
        </is>
      </c>
      <c r="AG220" s="9" t="n"/>
      <c r="AH220" s="9" t="n"/>
      <c r="AI220" s="9" t="n"/>
      <c r="AJ220" s="9" t="inlineStr">
        <is>
          <t>ACIC</t>
        </is>
      </c>
      <c r="AK220" s="9" t="inlineStr">
        <is>
          <t>16 AWG</t>
        </is>
      </c>
      <c r="AL220" s="9" t="inlineStr">
        <is>
          <t>Levy Ostrup</t>
        </is>
      </c>
      <c r="AM220" s="9" t="inlineStr">
        <is>
          <t>Sept 30, 2026</t>
        </is>
      </c>
      <c r="AN220" s="9" t="n"/>
    </row>
    <row r="221">
      <c r="A221" s="9" t="inlineStr">
        <is>
          <t>RTD Cable</t>
        </is>
      </c>
      <c r="B221" s="9" t="inlineStr">
        <is>
          <t>29103-ET-PE1101-2-R-2</t>
        </is>
      </c>
      <c r="C221" s="9" t="inlineStr">
        <is>
          <t>29103-ET-PE1101-2</t>
        </is>
      </c>
      <c r="D221" s="9" t="inlineStr">
        <is>
          <t>29103-HTP-002 I/O-1-4</t>
        </is>
      </c>
      <c r="E221" s="9" t="inlineStr">
        <is>
          <t>29103-HTP-002</t>
        </is>
      </c>
      <c r="F221" s="9" t="inlineStr"/>
      <c r="G221" s="9" t="inlineStr">
        <is>
          <t>113</t>
        </is>
      </c>
      <c r="H221" s="9" t="inlineStr">
        <is>
          <t>29103-ET-PE1101-2-R-2.pdf</t>
        </is>
      </c>
      <c r="I221" s="4" t="str">
        <f>IF($H221&lt;&gt;"","YES","NO")</f>
        <v>YES</v>
      </c>
      <c r="J221" s="4" t="str">
        <f>IF(N($T221)&gt;0,"YES","NO")</f>
        <v>NO</v>
      </c>
      <c r="K221" s="4" t="str">
        <f>IF(OR($A221="EHT Trace"),IF(AND($U221&lt;&gt;"",$V221&lt;&gt;""),"YES","NO"),"N/A")</f>
        <v>N/A</v>
      </c>
      <c r="L221" s="4" t="str">
        <f>IF(OR($A221="EHT Trace"),IF(AND($X221&lt;&gt;"",$Y221&lt;&gt;""),"YES","NO"),"N/A")</f>
        <v>N/A</v>
      </c>
      <c r="M221" s="4" t="str">
        <f>IF(OR($A221="EHT Trace"),IF(AND($AA221&lt;&gt;"",$AB221&lt;&gt;""),"YES","NO"),"N/A")</f>
        <v>N/A</v>
      </c>
      <c r="N221" s="4" t="str">
        <f>IF(OR($A221="Power Cable"),IF(AND($AD221&lt;&gt;""),"YES","NO"),"N/A")</f>
        <v>N/A</v>
      </c>
      <c r="O221" s="4" t="str">
        <f>IF(OR($A221="Power Cable",$A221="RTD Cable",$A221="Fieldbus Cable"),IF(AND($AE221&lt;&gt;""),"YES","NO"),"N/A")</f>
        <v>NO</v>
      </c>
      <c r="P221" s="4" t="str">
        <f>IF(OR($A221="RTD"),IF(AND($AH221&lt;&gt;""),"YES","NO"),"N/A")</f>
        <v>N/A</v>
      </c>
      <c r="Q221" s="4" t="str">
        <f>IF(OR($A221="RTD"),IF(AND($AI221&lt;&gt;""),"YES","NO"),"N/A")</f>
        <v>N/A</v>
      </c>
      <c r="R221" s="4" t="str">
        <f>IF(OR($AM221&lt;&gt;"",$Z221&lt;&gt;"",$AC221&lt;&gt;""),"YES","NO")</f>
        <v>YES</v>
      </c>
      <c r="S221" s="4" t="str">
        <f>IF(COUNTIF(I221:R221,"NO")=0,"YES","NO")</f>
        <v>NO</v>
      </c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inlineStr">
        <is>
          <t>ACIC</t>
        </is>
      </c>
      <c r="AK221" s="9" t="inlineStr">
        <is>
          <t>16 AWG</t>
        </is>
      </c>
      <c r="AL221" s="9" t="inlineStr">
        <is>
          <t>Levy Ostrup</t>
        </is>
      </c>
      <c r="AM221" s="9" t="inlineStr">
        <is>
          <t>Sept 29 2026</t>
        </is>
      </c>
      <c r="AN221" s="9" t="inlineStr">
        <is>
          <t>- No cable pulled</t>
        </is>
      </c>
    </row>
    <row r="222">
      <c r="A222" s="9" t="inlineStr">
        <is>
          <t>RTD Cable</t>
        </is>
      </c>
      <c r="B222" s="9" t="inlineStr">
        <is>
          <t>29103-ET-PE1102-1-R-1</t>
        </is>
      </c>
      <c r="C222" s="9" t="inlineStr">
        <is>
          <t>29103-ET-PE1102-1</t>
        </is>
      </c>
      <c r="D222" s="9" t="inlineStr">
        <is>
          <t>29103-HTP-002 HTC-23</t>
        </is>
      </c>
      <c r="E222" s="9" t="inlineStr">
        <is>
          <t>29103-HTP-002</t>
        </is>
      </c>
      <c r="F222" s="9" t="inlineStr"/>
      <c r="G222" s="9" t="inlineStr">
        <is>
          <t>113</t>
        </is>
      </c>
      <c r="H222" s="9" t="inlineStr">
        <is>
          <t>29103-ET-PE1102-1-R-1.pdf</t>
        </is>
      </c>
      <c r="I222" s="4" t="str">
        <f>IF($H222&lt;&gt;"","YES","NO")</f>
        <v>YES</v>
      </c>
      <c r="J222" s="4" t="str">
        <f>IF(N($T222)&gt;0,"YES","NO")</f>
        <v>YES</v>
      </c>
      <c r="K222" s="4" t="str">
        <f>IF(OR($A222="EHT Trace"),IF(AND($U222&lt;&gt;"",$V222&lt;&gt;""),"YES","NO"),"N/A")</f>
        <v>N/A</v>
      </c>
      <c r="L222" s="4" t="str">
        <f>IF(OR($A222="EHT Trace"),IF(AND($X222&lt;&gt;"",$Y222&lt;&gt;""),"YES","NO"),"N/A")</f>
        <v>N/A</v>
      </c>
      <c r="M222" s="4" t="str">
        <f>IF(OR($A222="EHT Trace"),IF(AND($AA222&lt;&gt;"",$AB222&lt;&gt;""),"YES","NO"),"N/A")</f>
        <v>N/A</v>
      </c>
      <c r="N222" s="4" t="str">
        <f>IF(OR($A222="Power Cable"),IF(AND($AD222&lt;&gt;""),"YES","NO"),"N/A")</f>
        <v>N/A</v>
      </c>
      <c r="O222" s="4" t="str">
        <f>IF(OR($A222="Power Cable",$A222="RTD Cable",$A222="Fieldbus Cable"),IF(AND($AE222&lt;&gt;""),"YES","NO"),"N/A")</f>
        <v>YES</v>
      </c>
      <c r="P222" s="4" t="str">
        <f>IF(OR($A222="RTD"),IF(AND($AH222&lt;&gt;""),"YES","NO"),"N/A")</f>
        <v>N/A</v>
      </c>
      <c r="Q222" s="4" t="str">
        <f>IF(OR($A222="RTD"),IF(AND($AI222&lt;&gt;""),"YES","NO"),"N/A")</f>
        <v>N/A</v>
      </c>
      <c r="R222" s="4" t="str">
        <f>IF(OR($AM222&lt;&gt;"",$Z222&lt;&gt;"",$AC222&lt;&gt;""),"YES","NO")</f>
        <v>YES</v>
      </c>
      <c r="S222" s="4" t="str">
        <f>IF(COUNTIF(I222:R222,"NO")=0,"YES","NO")</f>
        <v>YES</v>
      </c>
      <c r="T222" s="9" t="n">
        <v>9</v>
      </c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inlineStr">
        <is>
          <t>N/A / N/A / N/A</t>
        </is>
      </c>
      <c r="AE222" s="9" t="inlineStr">
        <is>
          <t>1.1 / OL / OL</t>
        </is>
      </c>
      <c r="AF222" s="9" t="inlineStr">
        <is>
          <t>Fluke 1587 FC 72300003</t>
        </is>
      </c>
      <c r="AG222" s="9" t="n"/>
      <c r="AH222" s="9" t="n"/>
      <c r="AI222" s="9" t="n"/>
      <c r="AJ222" s="9" t="inlineStr">
        <is>
          <t>ACIC</t>
        </is>
      </c>
      <c r="AK222" s="9" t="inlineStr">
        <is>
          <t>16 AWG</t>
        </is>
      </c>
      <c r="AL222" s="9" t="inlineStr">
        <is>
          <t>Levy Ostrup</t>
        </is>
      </c>
      <c r="AM222" s="9" t="inlineStr">
        <is>
          <t>Sept 29 2026</t>
        </is>
      </c>
      <c r="AN222" s="9" t="inlineStr">
        <is>
          <t>- No cable tag</t>
        </is>
      </c>
    </row>
    <row r="223">
      <c r="A223" s="9" t="inlineStr">
        <is>
          <t>RTD Cable</t>
        </is>
      </c>
      <c r="B223" s="9" t="inlineStr">
        <is>
          <t>29103-ET-PE1102-1-R-2</t>
        </is>
      </c>
      <c r="C223" s="9" t="inlineStr">
        <is>
          <t>29103-ET-PE1102-1</t>
        </is>
      </c>
      <c r="D223" s="9" t="inlineStr">
        <is>
          <t>29103-HTP-002 I/O-3-2</t>
        </is>
      </c>
      <c r="E223" s="9" t="inlineStr">
        <is>
          <t>29103-HTP-002</t>
        </is>
      </c>
      <c r="F223" s="9" t="inlineStr"/>
      <c r="G223" s="9" t="inlineStr">
        <is>
          <t>113</t>
        </is>
      </c>
      <c r="H223" s="9" t="inlineStr">
        <is>
          <t>29103-ET-PE1102-1-R-2.pdf</t>
        </is>
      </c>
      <c r="I223" s="4" t="str">
        <f>IF($H223&lt;&gt;"","YES","NO")</f>
        <v>YES</v>
      </c>
      <c r="J223" s="4" t="str">
        <f>IF(N($T223)&gt;0,"YES","NO")</f>
        <v>YES</v>
      </c>
      <c r="K223" s="4" t="str">
        <f>IF(OR($A223="EHT Trace"),IF(AND($U223&lt;&gt;"",$V223&lt;&gt;""),"YES","NO"),"N/A")</f>
        <v>N/A</v>
      </c>
      <c r="L223" s="4" t="str">
        <f>IF(OR($A223="EHT Trace"),IF(AND($X223&lt;&gt;"",$Y223&lt;&gt;""),"YES","NO"),"N/A")</f>
        <v>N/A</v>
      </c>
      <c r="M223" s="4" t="str">
        <f>IF(OR($A223="EHT Trace"),IF(AND($AA223&lt;&gt;"",$AB223&lt;&gt;""),"YES","NO"),"N/A")</f>
        <v>N/A</v>
      </c>
      <c r="N223" s="4" t="str">
        <f>IF(OR($A223="Power Cable"),IF(AND($AD223&lt;&gt;""),"YES","NO"),"N/A")</f>
        <v>N/A</v>
      </c>
      <c r="O223" s="4" t="str">
        <f>IF(OR($A223="Power Cable",$A223="RTD Cable",$A223="Fieldbus Cable"),IF(AND($AE223&lt;&gt;""),"YES","NO"),"N/A")</f>
        <v>YES</v>
      </c>
      <c r="P223" s="4" t="str">
        <f>IF(OR($A223="RTD"),IF(AND($AH223&lt;&gt;""),"YES","NO"),"N/A")</f>
        <v>N/A</v>
      </c>
      <c r="Q223" s="4" t="str">
        <f>IF(OR($A223="RTD"),IF(AND($AI223&lt;&gt;""),"YES","NO"),"N/A")</f>
        <v>N/A</v>
      </c>
      <c r="R223" s="4" t="str">
        <f>IF(OR($AM223&lt;&gt;"",$Z223&lt;&gt;"",$AC223&lt;&gt;""),"YES","NO")</f>
        <v>YES</v>
      </c>
      <c r="S223" s="4" t="str">
        <f>IF(COUNTIF(I223:R223,"NO")=0,"YES","NO")</f>
        <v>YES</v>
      </c>
      <c r="T223" s="9" t="n">
        <v>9</v>
      </c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inlineStr">
        <is>
          <t>N/A / N/A / N/A</t>
        </is>
      </c>
      <c r="AE223" s="9" t="inlineStr">
        <is>
          <t>1.1 / 1.1 / 1.2 / OL / OL</t>
        </is>
      </c>
      <c r="AF223" s="9" t="inlineStr">
        <is>
          <t>Fluke 1587 FC 72300003</t>
        </is>
      </c>
      <c r="AG223" s="9" t="n"/>
      <c r="AH223" s="9" t="n"/>
      <c r="AI223" s="9" t="n"/>
      <c r="AJ223" s="9" t="inlineStr">
        <is>
          <t>ACIC</t>
        </is>
      </c>
      <c r="AK223" s="9" t="inlineStr">
        <is>
          <t>16 AWG</t>
        </is>
      </c>
      <c r="AL223" s="9" t="inlineStr">
        <is>
          <t>Levy Ostrup</t>
        </is>
      </c>
      <c r="AM223" s="9" t="inlineStr">
        <is>
          <t>Sept 29 2026</t>
        </is>
      </c>
      <c r="AN223" s="9" t="inlineStr">
        <is>
          <t>- No cable tag</t>
        </is>
      </c>
    </row>
    <row r="224">
      <c r="A224" s="9" t="inlineStr">
        <is>
          <t>RTD Cable</t>
        </is>
      </c>
      <c r="B224" s="9" t="inlineStr">
        <is>
          <t>29103-ET-PE1201-1-R-1</t>
        </is>
      </c>
      <c r="C224" s="9" t="inlineStr">
        <is>
          <t>29103-ET-PE1201-1</t>
        </is>
      </c>
      <c r="D224" s="9" t="inlineStr">
        <is>
          <t>29103-HTP-002 HTC-22</t>
        </is>
      </c>
      <c r="E224" s="9" t="inlineStr">
        <is>
          <t>29103-HTP-002</t>
        </is>
      </c>
      <c r="F224" s="9" t="inlineStr"/>
      <c r="G224" s="9" t="inlineStr">
        <is>
          <t>113</t>
        </is>
      </c>
      <c r="H224" s="9" t="inlineStr">
        <is>
          <t>29103-ET-PE1201-1-R-1.pdf</t>
        </is>
      </c>
      <c r="I224" s="4" t="str">
        <f>IF($H224&lt;&gt;"","YES","NO")</f>
        <v>YES</v>
      </c>
      <c r="J224" s="4" t="str">
        <f>IF(N($T224)&gt;0,"YES","NO")</f>
        <v>YES</v>
      </c>
      <c r="K224" s="4" t="str">
        <f>IF(OR($A224="EHT Trace"),IF(AND($U224&lt;&gt;"",$V224&lt;&gt;""),"YES","NO"),"N/A")</f>
        <v>N/A</v>
      </c>
      <c r="L224" s="4" t="str">
        <f>IF(OR($A224="EHT Trace"),IF(AND($X224&lt;&gt;"",$Y224&lt;&gt;""),"YES","NO"),"N/A")</f>
        <v>N/A</v>
      </c>
      <c r="M224" s="4" t="str">
        <f>IF(OR($A224="EHT Trace"),IF(AND($AA224&lt;&gt;"",$AB224&lt;&gt;""),"YES","NO"),"N/A")</f>
        <v>N/A</v>
      </c>
      <c r="N224" s="4" t="str">
        <f>IF(OR($A224="Power Cable"),IF(AND($AD224&lt;&gt;""),"YES","NO"),"N/A")</f>
        <v>N/A</v>
      </c>
      <c r="O224" s="4" t="str">
        <f>IF(OR($A224="Power Cable",$A224="RTD Cable",$A224="Fieldbus Cable"),IF(AND($AE224&lt;&gt;""),"YES","NO"),"N/A")</f>
        <v>YES</v>
      </c>
      <c r="P224" s="4" t="str">
        <f>IF(OR($A224="RTD"),IF(AND($AH224&lt;&gt;""),"YES","NO"),"N/A")</f>
        <v>N/A</v>
      </c>
      <c r="Q224" s="4" t="str">
        <f>IF(OR($A224="RTD"),IF(AND($AI224&lt;&gt;""),"YES","NO"),"N/A")</f>
        <v>N/A</v>
      </c>
      <c r="R224" s="4" t="str">
        <f>IF(OR($AM224&lt;&gt;"",$Z224&lt;&gt;"",$AC224&lt;&gt;""),"YES","NO")</f>
        <v>YES</v>
      </c>
      <c r="S224" s="4" t="str">
        <f>IF(COUNTIF(I224:R224,"NO")=0,"YES","NO")</f>
        <v>YES</v>
      </c>
      <c r="T224" s="9" t="n">
        <v>9</v>
      </c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inlineStr">
        <is>
          <t>0.8 / OL / OL</t>
        </is>
      </c>
      <c r="AF224" s="9" t="inlineStr">
        <is>
          <t>Fluke 1587 FC 72300003</t>
        </is>
      </c>
      <c r="AG224" s="9" t="n"/>
      <c r="AH224" s="9" t="n"/>
      <c r="AI224" s="9" t="n"/>
      <c r="AJ224" s="9" t="inlineStr">
        <is>
          <t>ACIC</t>
        </is>
      </c>
      <c r="AK224" s="9" t="inlineStr">
        <is>
          <t>16 AWG</t>
        </is>
      </c>
      <c r="AL224" s="9" t="inlineStr">
        <is>
          <t>Levy Ostrup</t>
        </is>
      </c>
      <c r="AM224" s="9" t="inlineStr">
        <is>
          <t>Sept 30, 2026</t>
        </is>
      </c>
      <c r="AN224" s="9" t="inlineStr">
        <is>
          <t>Missing cable tags</t>
        </is>
      </c>
    </row>
    <row r="225">
      <c r="A225" s="9" t="inlineStr">
        <is>
          <t>RTD Cable</t>
        </is>
      </c>
      <c r="B225" s="9" t="inlineStr">
        <is>
          <t>29103-ET-PE1201-2-R-2</t>
        </is>
      </c>
      <c r="C225" s="9" t="inlineStr">
        <is>
          <t>29103-ET-PE1201-2</t>
        </is>
      </c>
      <c r="D225" s="9" t="inlineStr">
        <is>
          <t>29103-HTP-002 I/O-3-4</t>
        </is>
      </c>
      <c r="E225" s="9" t="inlineStr">
        <is>
          <t>29103-HTP-002</t>
        </is>
      </c>
      <c r="F225" s="9" t="inlineStr"/>
      <c r="G225" s="9" t="inlineStr">
        <is>
          <t>113</t>
        </is>
      </c>
      <c r="H225" s="9" t="inlineStr">
        <is>
          <t>29103-ET-PE1201-2-R-2.pdf</t>
        </is>
      </c>
      <c r="I225" s="4" t="str">
        <f>IF($H225&lt;&gt;"","YES","NO")</f>
        <v>YES</v>
      </c>
      <c r="J225" s="4" t="str">
        <f>IF(N($T225)&gt;0,"YES","NO")</f>
        <v>YES</v>
      </c>
      <c r="K225" s="4" t="str">
        <f>IF(OR($A225="EHT Trace"),IF(AND($U225&lt;&gt;"",$V225&lt;&gt;""),"YES","NO"),"N/A")</f>
        <v>N/A</v>
      </c>
      <c r="L225" s="4" t="str">
        <f>IF(OR($A225="EHT Trace"),IF(AND($X225&lt;&gt;"",$Y225&lt;&gt;""),"YES","NO"),"N/A")</f>
        <v>N/A</v>
      </c>
      <c r="M225" s="4" t="str">
        <f>IF(OR($A225="EHT Trace"),IF(AND($AA225&lt;&gt;"",$AB225&lt;&gt;""),"YES","NO"),"N/A")</f>
        <v>N/A</v>
      </c>
      <c r="N225" s="4" t="str">
        <f>IF(OR($A225="Power Cable"),IF(AND($AD225&lt;&gt;""),"YES","NO"),"N/A")</f>
        <v>N/A</v>
      </c>
      <c r="O225" s="4" t="str">
        <f>IF(OR($A225="Power Cable",$A225="RTD Cable",$A225="Fieldbus Cable"),IF(AND($AE225&lt;&gt;""),"YES","NO"),"N/A")</f>
        <v>YES</v>
      </c>
      <c r="P225" s="4" t="str">
        <f>IF(OR($A225="RTD"),IF(AND($AH225&lt;&gt;""),"YES","NO"),"N/A")</f>
        <v>N/A</v>
      </c>
      <c r="Q225" s="4" t="str">
        <f>IF(OR($A225="RTD"),IF(AND($AI225&lt;&gt;""),"YES","NO"),"N/A")</f>
        <v>N/A</v>
      </c>
      <c r="R225" s="4" t="str">
        <f>IF(OR($AM225&lt;&gt;"",$Z225&lt;&gt;"",$AC225&lt;&gt;""),"YES","NO")</f>
        <v>YES</v>
      </c>
      <c r="S225" s="4" t="str">
        <f>IF(COUNTIF(I225:R225,"NO")=0,"YES","NO")</f>
        <v>YES</v>
      </c>
      <c r="T225" s="9" t="n">
        <v>9</v>
      </c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inlineStr">
        <is>
          <t>1.2 / OL / OL</t>
        </is>
      </c>
      <c r="AF225" s="9" t="inlineStr">
        <is>
          <t>Fluke 1587 FC 72300003</t>
        </is>
      </c>
      <c r="AG225" s="9" t="n"/>
      <c r="AH225" s="9" t="n"/>
      <c r="AI225" s="9" t="n"/>
      <c r="AJ225" s="9" t="inlineStr">
        <is>
          <t>ACIC</t>
        </is>
      </c>
      <c r="AK225" s="9" t="inlineStr">
        <is>
          <t>16 AWG</t>
        </is>
      </c>
      <c r="AL225" s="9" t="inlineStr">
        <is>
          <t>Levy Ostrup</t>
        </is>
      </c>
      <c r="AM225" s="9" t="inlineStr">
        <is>
          <t>Sept 30, 2026</t>
        </is>
      </c>
      <c r="AN225" s="9" t="n"/>
    </row>
    <row r="226">
      <c r="A226" s="9" t="inlineStr">
        <is>
          <t>RTD Cable</t>
        </is>
      </c>
      <c r="B226" s="9" t="inlineStr">
        <is>
          <t>29103-ET-PE1202-1-R-1</t>
        </is>
      </c>
      <c r="C226" s="9" t="inlineStr">
        <is>
          <t>29103-ET-PE1202-1</t>
        </is>
      </c>
      <c r="D226" s="9" t="inlineStr">
        <is>
          <t>29103-HTP-002 HTC-18</t>
        </is>
      </c>
      <c r="E226" s="9" t="inlineStr">
        <is>
          <t>29103-HTP-002</t>
        </is>
      </c>
      <c r="F226" s="9" t="inlineStr"/>
      <c r="G226" s="9" t="inlineStr">
        <is>
          <t>113</t>
        </is>
      </c>
      <c r="H226" s="9" t="inlineStr">
        <is>
          <t>29103-ET-PE1202-1-R-1.pdf</t>
        </is>
      </c>
      <c r="I226" s="4" t="str">
        <f>IF($H226&lt;&gt;"","YES","NO")</f>
        <v>YES</v>
      </c>
      <c r="J226" s="4" t="str">
        <f>IF(N($T226)&gt;0,"YES","NO")</f>
        <v>YES</v>
      </c>
      <c r="K226" s="4" t="str">
        <f>IF(OR($A226="EHT Trace"),IF(AND($U226&lt;&gt;"",$V226&lt;&gt;""),"YES","NO"),"N/A")</f>
        <v>N/A</v>
      </c>
      <c r="L226" s="4" t="str">
        <f>IF(OR($A226="EHT Trace"),IF(AND($X226&lt;&gt;"",$Y226&lt;&gt;""),"YES","NO"),"N/A")</f>
        <v>N/A</v>
      </c>
      <c r="M226" s="4" t="str">
        <f>IF(OR($A226="EHT Trace"),IF(AND($AA226&lt;&gt;"",$AB226&lt;&gt;""),"YES","NO"),"N/A")</f>
        <v>N/A</v>
      </c>
      <c r="N226" s="4" t="str">
        <f>IF(OR($A226="Power Cable"),IF(AND($AD226&lt;&gt;""),"YES","NO"),"N/A")</f>
        <v>N/A</v>
      </c>
      <c r="O226" s="4" t="str">
        <f>IF(OR($A226="Power Cable",$A226="RTD Cable",$A226="Fieldbus Cable"),IF(AND($AE226&lt;&gt;""),"YES","NO"),"N/A")</f>
        <v>YES</v>
      </c>
      <c r="P226" s="4" t="str">
        <f>IF(OR($A226="RTD"),IF(AND($AH226&lt;&gt;""),"YES","NO"),"N/A")</f>
        <v>N/A</v>
      </c>
      <c r="Q226" s="4" t="str">
        <f>IF(OR($A226="RTD"),IF(AND($AI226&lt;&gt;""),"YES","NO"),"N/A")</f>
        <v>N/A</v>
      </c>
      <c r="R226" s="4" t="str">
        <f>IF(OR($AM226&lt;&gt;"",$Z226&lt;&gt;"",$AC226&lt;&gt;""),"YES","NO")</f>
        <v>YES</v>
      </c>
      <c r="S226" s="4" t="str">
        <f>IF(COUNTIF(I226:R226,"NO")=0,"YES","NO")</f>
        <v>YES</v>
      </c>
      <c r="T226" s="9" t="n">
        <v>10</v>
      </c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inlineStr">
        <is>
          <t>0.7 / OL / OL</t>
        </is>
      </c>
      <c r="AF226" s="9" t="inlineStr">
        <is>
          <t>Fluke 1587 FC 72300003</t>
        </is>
      </c>
      <c r="AG226" s="9" t="n"/>
      <c r="AH226" s="9" t="n"/>
      <c r="AI226" s="9" t="n"/>
      <c r="AJ226" s="9" t="inlineStr">
        <is>
          <t>ACIC</t>
        </is>
      </c>
      <c r="AK226" s="9" t="inlineStr">
        <is>
          <t>16 AWG</t>
        </is>
      </c>
      <c r="AL226" s="9" t="inlineStr">
        <is>
          <t>Levy Ostrup</t>
        </is>
      </c>
      <c r="AM226" s="9" t="inlineStr">
        <is>
          <t>Sept 30 2026</t>
        </is>
      </c>
      <c r="AN226" s="9" t="n"/>
    </row>
    <row r="227">
      <c r="A227" s="9" t="inlineStr">
        <is>
          <t>RTD Cable</t>
        </is>
      </c>
      <c r="B227" s="9" t="inlineStr">
        <is>
          <t>29103-ET-PE1202-1-R-2</t>
        </is>
      </c>
      <c r="C227" s="9" t="inlineStr">
        <is>
          <t>29103-ET-PE1202-1</t>
        </is>
      </c>
      <c r="D227" s="9" t="inlineStr">
        <is>
          <t>29103-HTP-002 I/O-4-4</t>
        </is>
      </c>
      <c r="E227" s="9" t="inlineStr">
        <is>
          <t>29103-HTP-002</t>
        </is>
      </c>
      <c r="F227" s="9" t="inlineStr"/>
      <c r="G227" s="9" t="inlineStr">
        <is>
          <t>113</t>
        </is>
      </c>
      <c r="H227" s="9" t="inlineStr">
        <is>
          <t>29103-ET-PE1202-1-R-2.pdf</t>
        </is>
      </c>
      <c r="I227" s="4" t="str">
        <f>IF($H227&lt;&gt;"","YES","NO")</f>
        <v>YES</v>
      </c>
      <c r="J227" s="4" t="str">
        <f>IF(N($T227)&gt;0,"YES","NO")</f>
        <v>YES</v>
      </c>
      <c r="K227" s="4" t="str">
        <f>IF(OR($A227="EHT Trace"),IF(AND($U227&lt;&gt;"",$V227&lt;&gt;""),"YES","NO"),"N/A")</f>
        <v>N/A</v>
      </c>
      <c r="L227" s="4" t="str">
        <f>IF(OR($A227="EHT Trace"),IF(AND($X227&lt;&gt;"",$Y227&lt;&gt;""),"YES","NO"),"N/A")</f>
        <v>N/A</v>
      </c>
      <c r="M227" s="4" t="str">
        <f>IF(OR($A227="EHT Trace"),IF(AND($AA227&lt;&gt;"",$AB227&lt;&gt;""),"YES","NO"),"N/A")</f>
        <v>N/A</v>
      </c>
      <c r="N227" s="4" t="str">
        <f>IF(OR($A227="Power Cable"),IF(AND($AD227&lt;&gt;""),"YES","NO"),"N/A")</f>
        <v>N/A</v>
      </c>
      <c r="O227" s="4" t="str">
        <f>IF(OR($A227="Power Cable",$A227="RTD Cable",$A227="Fieldbus Cable"),IF(AND($AE227&lt;&gt;""),"YES","NO"),"N/A")</f>
        <v>YES</v>
      </c>
      <c r="P227" s="4" t="str">
        <f>IF(OR($A227="RTD"),IF(AND($AH227&lt;&gt;""),"YES","NO"),"N/A")</f>
        <v>N/A</v>
      </c>
      <c r="Q227" s="4" t="str">
        <f>IF(OR($A227="RTD"),IF(AND($AI227&lt;&gt;""),"YES","NO"),"N/A")</f>
        <v>N/A</v>
      </c>
      <c r="R227" s="4" t="str">
        <f>IF(OR($AM227&lt;&gt;"",$Z227&lt;&gt;"",$AC227&lt;&gt;""),"YES","NO")</f>
        <v>YES</v>
      </c>
      <c r="S227" s="4" t="str">
        <f>IF(COUNTIF(I227:R227,"NO")=0,"YES","NO")</f>
        <v>YES</v>
      </c>
      <c r="T227" s="9" t="n">
        <v>6</v>
      </c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inlineStr">
        <is>
          <t>0.7 / OL / OL</t>
        </is>
      </c>
      <c r="AF227" s="9" t="inlineStr">
        <is>
          <t>Fluke 1587 FC 72300003</t>
        </is>
      </c>
      <c r="AG227" s="9" t="n"/>
      <c r="AH227" s="9" t="n"/>
      <c r="AI227" s="9" t="n"/>
      <c r="AJ227" s="9" t="inlineStr">
        <is>
          <t>ACIC</t>
        </is>
      </c>
      <c r="AK227" s="9" t="inlineStr">
        <is>
          <t>16 AWG</t>
        </is>
      </c>
      <c r="AL227" s="9" t="inlineStr">
        <is>
          <t>Levy Ostrup</t>
        </is>
      </c>
      <c r="AM227" s="9" t="inlineStr">
        <is>
          <t>Sept 30, 2026</t>
        </is>
      </c>
      <c r="AN227" s="9" t="inlineStr">
        <is>
          <t>Not terminated, needs core markers, cable tags</t>
        </is>
      </c>
    </row>
    <row r="228">
      <c r="A228" s="9" t="inlineStr">
        <is>
          <t>RTD Cable</t>
        </is>
      </c>
      <c r="B228" s="9" t="inlineStr">
        <is>
          <t>29103-ET-PE1301-1-R-1</t>
        </is>
      </c>
      <c r="C228" s="9" t="inlineStr">
        <is>
          <t>29103-ET-PE1301-1</t>
        </is>
      </c>
      <c r="D228" s="9" t="inlineStr">
        <is>
          <t>29103-HTP-002 HTC-10</t>
        </is>
      </c>
      <c r="E228" s="9" t="inlineStr">
        <is>
          <t>29103-HTP-002</t>
        </is>
      </c>
      <c r="F228" s="9" t="inlineStr"/>
      <c r="G228" s="9" t="inlineStr">
        <is>
          <t>113</t>
        </is>
      </c>
      <c r="H228" s="9" t="inlineStr">
        <is>
          <t>29103-ET-PE1301-1-R-1.pdf</t>
        </is>
      </c>
      <c r="I228" s="4" t="str">
        <f>IF($H228&lt;&gt;"","YES","NO")</f>
        <v>YES</v>
      </c>
      <c r="J228" s="4" t="str">
        <f>IF(N($T228)&gt;0,"YES","NO")</f>
        <v>NO</v>
      </c>
      <c r="K228" s="4" t="str">
        <f>IF(OR($A228="EHT Trace"),IF(AND($U228&lt;&gt;"",$V228&lt;&gt;""),"YES","NO"),"N/A")</f>
        <v>N/A</v>
      </c>
      <c r="L228" s="4" t="str">
        <f>IF(OR($A228="EHT Trace"),IF(AND($X228&lt;&gt;"",$Y228&lt;&gt;""),"YES","NO"),"N/A")</f>
        <v>N/A</v>
      </c>
      <c r="M228" s="4" t="str">
        <f>IF(OR($A228="EHT Trace"),IF(AND($AA228&lt;&gt;"",$AB228&lt;&gt;""),"YES","NO"),"N/A")</f>
        <v>N/A</v>
      </c>
      <c r="N228" s="4" t="str">
        <f>IF(OR($A228="Power Cable"),IF(AND($AD228&lt;&gt;""),"YES","NO"),"N/A")</f>
        <v>N/A</v>
      </c>
      <c r="O228" s="4" t="str">
        <f>IF(OR($A228="Power Cable",$A228="RTD Cable",$A228="Fieldbus Cable"),IF(AND($AE228&lt;&gt;""),"YES","NO"),"N/A")</f>
        <v>NO</v>
      </c>
      <c r="P228" s="4" t="str">
        <f>IF(OR($A228="RTD"),IF(AND($AH228&lt;&gt;""),"YES","NO"),"N/A")</f>
        <v>N/A</v>
      </c>
      <c r="Q228" s="4" t="str">
        <f>IF(OR($A228="RTD"),IF(AND($AI228&lt;&gt;""),"YES","NO"),"N/A")</f>
        <v>N/A</v>
      </c>
      <c r="R228" s="4" t="str">
        <f>IF(OR($AM228&lt;&gt;"",$Z228&lt;&gt;"",$AC228&lt;&gt;""),"YES","NO")</f>
        <v>NO</v>
      </c>
      <c r="S228" s="4" t="str">
        <f>IF(COUNTIF(I228:R228,"NO")=0,"YES","NO")</f>
        <v>NO</v>
      </c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inlineStr">
        <is>
          <t>ACIC</t>
        </is>
      </c>
      <c r="AK228" s="9" t="inlineStr">
        <is>
          <t>16AWG</t>
        </is>
      </c>
      <c r="AL228" s="9" t="inlineStr">
        <is>
          <t>Levy Ostrup</t>
        </is>
      </c>
      <c r="AM228" s="9" t="n"/>
      <c r="AN228" s="9" t="n"/>
    </row>
    <row r="229">
      <c r="A229" s="9" t="inlineStr">
        <is>
          <t>RTD Cable</t>
        </is>
      </c>
      <c r="B229" s="9" t="inlineStr">
        <is>
          <t>29103-ET-PE1301-2-R-2</t>
        </is>
      </c>
      <c r="C229" s="9" t="inlineStr">
        <is>
          <t>29103-ET-PE1301-2</t>
        </is>
      </c>
      <c r="D229" s="9" t="inlineStr">
        <is>
          <t>29103-HTP-002 I/O-2-1</t>
        </is>
      </c>
      <c r="E229" s="9" t="inlineStr">
        <is>
          <t>29103-HTP-002</t>
        </is>
      </c>
      <c r="F229" s="9" t="inlineStr"/>
      <c r="G229" s="9" t="inlineStr">
        <is>
          <t>113</t>
        </is>
      </c>
      <c r="H229" s="9" t="inlineStr">
        <is>
          <t>29103-ET-PE1301-2-R-2.pdf</t>
        </is>
      </c>
      <c r="I229" s="4" t="str">
        <f>IF($H229&lt;&gt;"","YES","NO")</f>
        <v>YES</v>
      </c>
      <c r="J229" s="4" t="str">
        <f>IF(N($T229)&gt;0,"YES","NO")</f>
        <v>NO</v>
      </c>
      <c r="K229" s="4" t="str">
        <f>IF(OR($A229="EHT Trace"),IF(AND($U229&lt;&gt;"",$V229&lt;&gt;""),"YES","NO"),"N/A")</f>
        <v>N/A</v>
      </c>
      <c r="L229" s="4" t="str">
        <f>IF(OR($A229="EHT Trace"),IF(AND($X229&lt;&gt;"",$Y229&lt;&gt;""),"YES","NO"),"N/A")</f>
        <v>N/A</v>
      </c>
      <c r="M229" s="4" t="str">
        <f>IF(OR($A229="EHT Trace"),IF(AND($AA229&lt;&gt;"",$AB229&lt;&gt;""),"YES","NO"),"N/A")</f>
        <v>N/A</v>
      </c>
      <c r="N229" s="4" t="str">
        <f>IF(OR($A229="Power Cable"),IF(AND($AD229&lt;&gt;""),"YES","NO"),"N/A")</f>
        <v>N/A</v>
      </c>
      <c r="O229" s="4" t="str">
        <f>IF(OR($A229="Power Cable",$A229="RTD Cable",$A229="Fieldbus Cable"),IF(AND($AE229&lt;&gt;""),"YES","NO"),"N/A")</f>
        <v>NO</v>
      </c>
      <c r="P229" s="4" t="str">
        <f>IF(OR($A229="RTD"),IF(AND($AH229&lt;&gt;""),"YES","NO"),"N/A")</f>
        <v>N/A</v>
      </c>
      <c r="Q229" s="4" t="str">
        <f>IF(OR($A229="RTD"),IF(AND($AI229&lt;&gt;""),"YES","NO"),"N/A")</f>
        <v>N/A</v>
      </c>
      <c r="R229" s="4" t="str">
        <f>IF(OR($AM229&lt;&gt;"",$Z229&lt;&gt;"",$AC229&lt;&gt;""),"YES","NO")</f>
        <v>NO</v>
      </c>
      <c r="S229" s="4" t="str">
        <f>IF(COUNTIF(I229:R229,"NO")=0,"YES","NO")</f>
        <v>NO</v>
      </c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inlineStr">
        <is>
          <t>ACIC</t>
        </is>
      </c>
      <c r="AK229" s="9" t="inlineStr">
        <is>
          <t>16AWG</t>
        </is>
      </c>
      <c r="AL229" s="9" t="inlineStr">
        <is>
          <t>Levy Ostrup</t>
        </is>
      </c>
      <c r="AM229" s="9" t="n"/>
      <c r="AN229" s="9" t="n"/>
    </row>
    <row r="230">
      <c r="A230" s="9" t="inlineStr">
        <is>
          <t>RTD Cable</t>
        </is>
      </c>
      <c r="B230" s="9" t="inlineStr">
        <is>
          <t>29103-ET-PE1302-1-R-1</t>
        </is>
      </c>
      <c r="C230" s="9" t="inlineStr">
        <is>
          <t>29103-ET-PE1302-1</t>
        </is>
      </c>
      <c r="D230" s="9" t="inlineStr">
        <is>
          <t>29103-HTP-002 HTC-06</t>
        </is>
      </c>
      <c r="E230" s="9" t="inlineStr">
        <is>
          <t>29103-HTP-002</t>
        </is>
      </c>
      <c r="F230" s="9" t="inlineStr"/>
      <c r="G230" s="9" t="inlineStr">
        <is>
          <t>113</t>
        </is>
      </c>
      <c r="H230" s="9" t="inlineStr">
        <is>
          <t>29103-ET-PE1302-1-R-1.pdf</t>
        </is>
      </c>
      <c r="I230" s="4" t="str">
        <f>IF($H230&lt;&gt;"","YES","NO")</f>
        <v>YES</v>
      </c>
      <c r="J230" s="4" t="str">
        <f>IF(N($T230)&gt;0,"YES","NO")</f>
        <v>NO</v>
      </c>
      <c r="K230" s="4" t="str">
        <f>IF(OR($A230="EHT Trace"),IF(AND($U230&lt;&gt;"",$V230&lt;&gt;""),"YES","NO"),"N/A")</f>
        <v>N/A</v>
      </c>
      <c r="L230" s="4" t="str">
        <f>IF(OR($A230="EHT Trace"),IF(AND($X230&lt;&gt;"",$Y230&lt;&gt;""),"YES","NO"),"N/A")</f>
        <v>N/A</v>
      </c>
      <c r="M230" s="4" t="str">
        <f>IF(OR($A230="EHT Trace"),IF(AND($AA230&lt;&gt;"",$AB230&lt;&gt;""),"YES","NO"),"N/A")</f>
        <v>N/A</v>
      </c>
      <c r="N230" s="4" t="str">
        <f>IF(OR($A230="Power Cable"),IF(AND($AD230&lt;&gt;""),"YES","NO"),"N/A")</f>
        <v>N/A</v>
      </c>
      <c r="O230" s="4" t="str">
        <f>IF(OR($A230="Power Cable",$A230="RTD Cable",$A230="Fieldbus Cable"),IF(AND($AE230&lt;&gt;""),"YES","NO"),"N/A")</f>
        <v>NO</v>
      </c>
      <c r="P230" s="4" t="str">
        <f>IF(OR($A230="RTD"),IF(AND($AH230&lt;&gt;""),"YES","NO"),"N/A")</f>
        <v>N/A</v>
      </c>
      <c r="Q230" s="4" t="str">
        <f>IF(OR($A230="RTD"),IF(AND($AI230&lt;&gt;""),"YES","NO"),"N/A")</f>
        <v>N/A</v>
      </c>
      <c r="R230" s="4" t="str">
        <f>IF(OR($AM230&lt;&gt;"",$Z230&lt;&gt;"",$AC230&lt;&gt;""),"YES","NO")</f>
        <v>NO</v>
      </c>
      <c r="S230" s="4" t="str">
        <f>IF(COUNTIF(I230:R230,"NO")=0,"YES","NO")</f>
        <v>NO</v>
      </c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inlineStr">
        <is>
          <t>ACIC</t>
        </is>
      </c>
      <c r="AK230" s="9" t="inlineStr">
        <is>
          <t>16AWG</t>
        </is>
      </c>
      <c r="AL230" s="9" t="inlineStr">
        <is>
          <t>Levy Ostrup</t>
        </is>
      </c>
      <c r="AM230" s="9" t="n"/>
      <c r="AN230" s="9" t="n"/>
    </row>
    <row r="231">
      <c r="A231" s="9" t="inlineStr">
        <is>
          <t>RTD Cable</t>
        </is>
      </c>
      <c r="B231" s="9" t="inlineStr">
        <is>
          <t>29103-ET-PE1302-1-R-2</t>
        </is>
      </c>
      <c r="C231" s="9" t="inlineStr">
        <is>
          <t>29103-ET-PE1302-1</t>
        </is>
      </c>
      <c r="D231" s="9" t="inlineStr">
        <is>
          <t>29103-HTP-002 I/O-2-2</t>
        </is>
      </c>
      <c r="E231" s="9" t="inlineStr">
        <is>
          <t>29103-HTP-002</t>
        </is>
      </c>
      <c r="F231" s="9" t="inlineStr"/>
      <c r="G231" s="9" t="inlineStr">
        <is>
          <t>113</t>
        </is>
      </c>
      <c r="H231" s="9" t="inlineStr">
        <is>
          <t>29103-ET-PE1302-1-R-2.pdf</t>
        </is>
      </c>
      <c r="I231" s="4" t="str">
        <f>IF($H231&lt;&gt;"","YES","NO")</f>
        <v>YES</v>
      </c>
      <c r="J231" s="4" t="str">
        <f>IF(N($T231)&gt;0,"YES","NO")</f>
        <v>NO</v>
      </c>
      <c r="K231" s="4" t="str">
        <f>IF(OR($A231="EHT Trace"),IF(AND($U231&lt;&gt;"",$V231&lt;&gt;""),"YES","NO"),"N/A")</f>
        <v>N/A</v>
      </c>
      <c r="L231" s="4" t="str">
        <f>IF(OR($A231="EHT Trace"),IF(AND($X231&lt;&gt;"",$Y231&lt;&gt;""),"YES","NO"),"N/A")</f>
        <v>N/A</v>
      </c>
      <c r="M231" s="4" t="str">
        <f>IF(OR($A231="EHT Trace"),IF(AND($AA231&lt;&gt;"",$AB231&lt;&gt;""),"YES","NO"),"N/A")</f>
        <v>N/A</v>
      </c>
      <c r="N231" s="4" t="str">
        <f>IF(OR($A231="Power Cable"),IF(AND($AD231&lt;&gt;""),"YES","NO"),"N/A")</f>
        <v>N/A</v>
      </c>
      <c r="O231" s="4" t="str">
        <f>IF(OR($A231="Power Cable",$A231="RTD Cable",$A231="Fieldbus Cable"),IF(AND($AE231&lt;&gt;""),"YES","NO"),"N/A")</f>
        <v>NO</v>
      </c>
      <c r="P231" s="4" t="str">
        <f>IF(OR($A231="RTD"),IF(AND($AH231&lt;&gt;""),"YES","NO"),"N/A")</f>
        <v>N/A</v>
      </c>
      <c r="Q231" s="4" t="str">
        <f>IF(OR($A231="RTD"),IF(AND($AI231&lt;&gt;""),"YES","NO"),"N/A")</f>
        <v>N/A</v>
      </c>
      <c r="R231" s="4" t="str">
        <f>IF(OR($AM231&lt;&gt;"",$Z231&lt;&gt;"",$AC231&lt;&gt;""),"YES","NO")</f>
        <v>NO</v>
      </c>
      <c r="S231" s="4" t="str">
        <f>IF(COUNTIF(I231:R231,"NO")=0,"YES","NO")</f>
        <v>NO</v>
      </c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inlineStr">
        <is>
          <t>ACIC</t>
        </is>
      </c>
      <c r="AK231" s="9" t="inlineStr">
        <is>
          <t>16AWG</t>
        </is>
      </c>
      <c r="AL231" s="9" t="inlineStr">
        <is>
          <t>Levy Ostrup</t>
        </is>
      </c>
      <c r="AM231" s="9" t="n"/>
      <c r="AN231" s="9" t="n"/>
    </row>
    <row r="232">
      <c r="A232" s="9" t="inlineStr">
        <is>
          <t>RTD Cable</t>
        </is>
      </c>
      <c r="B232" s="9" t="inlineStr">
        <is>
          <t>29103-ET-PE1401-1-R-1</t>
        </is>
      </c>
      <c r="C232" s="9" t="inlineStr">
        <is>
          <t>29103-ET-PE1401-1</t>
        </is>
      </c>
      <c r="D232" s="9" t="inlineStr">
        <is>
          <t>29103-HTP-002 HTC-04</t>
        </is>
      </c>
      <c r="E232" s="9" t="inlineStr">
        <is>
          <t>29103-HTP-002</t>
        </is>
      </c>
      <c r="F232" s="9" t="inlineStr"/>
      <c r="G232" s="9" t="inlineStr">
        <is>
          <t>113</t>
        </is>
      </c>
      <c r="H232" s="9" t="inlineStr">
        <is>
          <t>29103-ET-PE1401-1-R-1.pdf</t>
        </is>
      </c>
      <c r="I232" s="4" t="str">
        <f>IF($H232&lt;&gt;"","YES","NO")</f>
        <v>YES</v>
      </c>
      <c r="J232" s="4" t="str">
        <f>IF(N($T232)&gt;0,"YES","NO")</f>
        <v>NO</v>
      </c>
      <c r="K232" s="4" t="str">
        <f>IF(OR($A232="EHT Trace"),IF(AND($U232&lt;&gt;"",$V232&lt;&gt;""),"YES","NO"),"N/A")</f>
        <v>N/A</v>
      </c>
      <c r="L232" s="4" t="str">
        <f>IF(OR($A232="EHT Trace"),IF(AND($X232&lt;&gt;"",$Y232&lt;&gt;""),"YES","NO"),"N/A")</f>
        <v>N/A</v>
      </c>
      <c r="M232" s="4" t="str">
        <f>IF(OR($A232="EHT Trace"),IF(AND($AA232&lt;&gt;"",$AB232&lt;&gt;""),"YES","NO"),"N/A")</f>
        <v>N/A</v>
      </c>
      <c r="N232" s="4" t="str">
        <f>IF(OR($A232="Power Cable"),IF(AND($AD232&lt;&gt;""),"YES","NO"),"N/A")</f>
        <v>N/A</v>
      </c>
      <c r="O232" s="4" t="str">
        <f>IF(OR($A232="Power Cable",$A232="RTD Cable",$A232="Fieldbus Cable"),IF(AND($AE232&lt;&gt;""),"YES","NO"),"N/A")</f>
        <v>NO</v>
      </c>
      <c r="P232" s="4" t="str">
        <f>IF(OR($A232="RTD"),IF(AND($AH232&lt;&gt;""),"YES","NO"),"N/A")</f>
        <v>N/A</v>
      </c>
      <c r="Q232" s="4" t="str">
        <f>IF(OR($A232="RTD"),IF(AND($AI232&lt;&gt;""),"YES","NO"),"N/A")</f>
        <v>N/A</v>
      </c>
      <c r="R232" s="4" t="str">
        <f>IF(OR($AM232&lt;&gt;"",$Z232&lt;&gt;"",$AC232&lt;&gt;""),"YES","NO")</f>
        <v>NO</v>
      </c>
      <c r="S232" s="4" t="str">
        <f>IF(COUNTIF(I232:R232,"NO")=0,"YES","NO")</f>
        <v>NO</v>
      </c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inlineStr">
        <is>
          <t>ACIC</t>
        </is>
      </c>
      <c r="AK232" s="9" t="inlineStr">
        <is>
          <t>16AWG</t>
        </is>
      </c>
      <c r="AL232" s="9" t="inlineStr">
        <is>
          <t>Levy Ostrup</t>
        </is>
      </c>
      <c r="AM232" s="9" t="n"/>
      <c r="AN232" s="9" t="n"/>
    </row>
    <row r="233">
      <c r="A233" s="9" t="inlineStr">
        <is>
          <t>RTD Cable</t>
        </is>
      </c>
      <c r="B233" s="9" t="inlineStr">
        <is>
          <t>29103-ET-PE1802-1-R-1</t>
        </is>
      </c>
      <c r="C233" s="9" t="inlineStr">
        <is>
          <t>29103-ET-PE1802-1</t>
        </is>
      </c>
      <c r="D233" s="9" t="inlineStr">
        <is>
          <t>29103-HTP-002 HTC-17</t>
        </is>
      </c>
      <c r="E233" s="9" t="inlineStr">
        <is>
          <t>29103-HTP-002</t>
        </is>
      </c>
      <c r="F233" s="9" t="inlineStr"/>
      <c r="G233" s="9" t="inlineStr">
        <is>
          <t>113</t>
        </is>
      </c>
      <c r="H233" s="9" t="inlineStr">
        <is>
          <t>29103-ET-PE1802-1-R-1.pdf</t>
        </is>
      </c>
      <c r="I233" s="4" t="str">
        <f>IF($H233&lt;&gt;"","YES","NO")</f>
        <v>YES</v>
      </c>
      <c r="J233" s="4" t="str">
        <f>IF(N($T233)&gt;0,"YES","NO")</f>
        <v>YES</v>
      </c>
      <c r="K233" s="4" t="str">
        <f>IF(OR($A233="EHT Trace"),IF(AND($U233&lt;&gt;"",$V233&lt;&gt;""),"YES","NO"),"N/A")</f>
        <v>N/A</v>
      </c>
      <c r="L233" s="4" t="str">
        <f>IF(OR($A233="EHT Trace"),IF(AND($X233&lt;&gt;"",$Y233&lt;&gt;""),"YES","NO"),"N/A")</f>
        <v>N/A</v>
      </c>
      <c r="M233" s="4" t="str">
        <f>IF(OR($A233="EHT Trace"),IF(AND($AA233&lt;&gt;"",$AB233&lt;&gt;""),"YES","NO"),"N/A")</f>
        <v>N/A</v>
      </c>
      <c r="N233" s="4" t="str">
        <f>IF(OR($A233="Power Cable"),IF(AND($AD233&lt;&gt;""),"YES","NO"),"N/A")</f>
        <v>N/A</v>
      </c>
      <c r="O233" s="4" t="str">
        <f>IF(OR($A233="Power Cable",$A233="RTD Cable",$A233="Fieldbus Cable"),IF(AND($AE233&lt;&gt;""),"YES","NO"),"N/A")</f>
        <v>YES</v>
      </c>
      <c r="P233" s="4" t="str">
        <f>IF(OR($A233="RTD"),IF(AND($AH233&lt;&gt;""),"YES","NO"),"N/A")</f>
        <v>N/A</v>
      </c>
      <c r="Q233" s="4" t="str">
        <f>IF(OR($A233="RTD"),IF(AND($AI233&lt;&gt;""),"YES","NO"),"N/A")</f>
        <v>N/A</v>
      </c>
      <c r="R233" s="4" t="str">
        <f>IF(OR($AM233&lt;&gt;"",$Z233&lt;&gt;"",$AC233&lt;&gt;""),"YES","NO")</f>
        <v>YES</v>
      </c>
      <c r="S233" s="4" t="str">
        <f>IF(COUNTIF(I233:R233,"NO")=0,"YES","NO")</f>
        <v>YES</v>
      </c>
      <c r="T233" s="9" t="n">
        <v>8</v>
      </c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inlineStr">
        <is>
          <t>N/A / N/A / N/A</t>
        </is>
      </c>
      <c r="AE233" s="9" t="inlineStr">
        <is>
          <t>1.2 / 1.1 / 1.2 / OL / OL</t>
        </is>
      </c>
      <c r="AF233" s="9" t="inlineStr">
        <is>
          <t>Fluke 1587 FC 72300003</t>
        </is>
      </c>
      <c r="AG233" s="9" t="n"/>
      <c r="AH233" s="9" t="n"/>
      <c r="AI233" s="9" t="n"/>
      <c r="AJ233" s="9" t="inlineStr">
        <is>
          <t>ACIC</t>
        </is>
      </c>
      <c r="AK233" s="9" t="inlineStr">
        <is>
          <t>16 AWG</t>
        </is>
      </c>
      <c r="AL233" s="9" t="inlineStr">
        <is>
          <t>Levy Ostrup</t>
        </is>
      </c>
      <c r="AM233" s="9" t="inlineStr">
        <is>
          <t>Sept 29 2026</t>
        </is>
      </c>
      <c r="AN233" s="9" t="inlineStr">
        <is>
          <t>- Missing core markers; missing boot</t>
        </is>
      </c>
    </row>
    <row r="234">
      <c r="A234" s="9" t="inlineStr">
        <is>
          <t>RTD Cable</t>
        </is>
      </c>
      <c r="B234" s="9" t="inlineStr">
        <is>
          <t>29103-ET-PE1803-1-R-1</t>
        </is>
      </c>
      <c r="C234" s="9" t="inlineStr">
        <is>
          <t>29103-ET-PE1803-1</t>
        </is>
      </c>
      <c r="D234" s="9" t="inlineStr">
        <is>
          <t>29103-HTP-002 HTC-21</t>
        </is>
      </c>
      <c r="E234" s="9" t="inlineStr">
        <is>
          <t>29103-HTP-002</t>
        </is>
      </c>
      <c r="F234" s="9" t="inlineStr"/>
      <c r="G234" s="9" t="inlineStr">
        <is>
          <t>113</t>
        </is>
      </c>
      <c r="H234" s="9" t="inlineStr">
        <is>
          <t>29103-ET-PE1803-1-R-1.pdf</t>
        </is>
      </c>
      <c r="I234" s="4" t="str">
        <f>IF($H234&lt;&gt;"","YES","NO")</f>
        <v>YES</v>
      </c>
      <c r="J234" s="4" t="str">
        <f>IF(N($T234)&gt;0,"YES","NO")</f>
        <v>YES</v>
      </c>
      <c r="K234" s="4" t="str">
        <f>IF(OR($A234="EHT Trace"),IF(AND($U234&lt;&gt;"",$V234&lt;&gt;""),"YES","NO"),"N/A")</f>
        <v>N/A</v>
      </c>
      <c r="L234" s="4" t="str">
        <f>IF(OR($A234="EHT Trace"),IF(AND($X234&lt;&gt;"",$Y234&lt;&gt;""),"YES","NO"),"N/A")</f>
        <v>N/A</v>
      </c>
      <c r="M234" s="4" t="str">
        <f>IF(OR($A234="EHT Trace"),IF(AND($AA234&lt;&gt;"",$AB234&lt;&gt;""),"YES","NO"),"N/A")</f>
        <v>N/A</v>
      </c>
      <c r="N234" s="4" t="str">
        <f>IF(OR($A234="Power Cable"),IF(AND($AD234&lt;&gt;""),"YES","NO"),"N/A")</f>
        <v>N/A</v>
      </c>
      <c r="O234" s="4" t="str">
        <f>IF(OR($A234="Power Cable",$A234="RTD Cable",$A234="Fieldbus Cable"),IF(AND($AE234&lt;&gt;""),"YES","NO"),"N/A")</f>
        <v>YES</v>
      </c>
      <c r="P234" s="4" t="str">
        <f>IF(OR($A234="RTD"),IF(AND($AH234&lt;&gt;""),"YES","NO"),"N/A")</f>
        <v>N/A</v>
      </c>
      <c r="Q234" s="4" t="str">
        <f>IF(OR($A234="RTD"),IF(AND($AI234&lt;&gt;""),"YES","NO"),"N/A")</f>
        <v>N/A</v>
      </c>
      <c r="R234" s="4" t="str">
        <f>IF(OR($AM234&lt;&gt;"",$Z234&lt;&gt;"",$AC234&lt;&gt;""),"YES","NO")</f>
        <v>YES</v>
      </c>
      <c r="S234" s="4" t="str">
        <f>IF(COUNTIF(I234:R234,"NO")=0,"YES","NO")</f>
        <v>YES</v>
      </c>
      <c r="T234" s="9" t="n">
        <v>6</v>
      </c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inlineStr">
        <is>
          <t>0.7 / OL / OL</t>
        </is>
      </c>
      <c r="AF234" s="9" t="inlineStr">
        <is>
          <t>Fluke 1587 FC 72300003</t>
        </is>
      </c>
      <c r="AG234" s="9" t="n"/>
      <c r="AH234" s="9" t="n"/>
      <c r="AI234" s="9" t="n"/>
      <c r="AJ234" s="9" t="inlineStr">
        <is>
          <t>ACIC</t>
        </is>
      </c>
      <c r="AK234" s="9" t="inlineStr">
        <is>
          <t>16 AWG</t>
        </is>
      </c>
      <c r="AL234" s="9" t="inlineStr">
        <is>
          <t>Levy Ostrup</t>
        </is>
      </c>
      <c r="AM234" s="9" t="inlineStr">
        <is>
          <t>Sept 30, 2026</t>
        </is>
      </c>
      <c r="AN234" s="9" t="inlineStr">
        <is>
          <t>Not terminated, missing cable tag / core markers</t>
        </is>
      </c>
    </row>
    <row r="235">
      <c r="A235" s="9" t="inlineStr">
        <is>
          <t>RTD Cable</t>
        </is>
      </c>
      <c r="B235" s="9" t="inlineStr">
        <is>
          <t>29103-ET-PE1803-1-R-2</t>
        </is>
      </c>
      <c r="C235" s="9" t="inlineStr">
        <is>
          <t>29103-ET-PE1803-1</t>
        </is>
      </c>
      <c r="D235" s="9" t="inlineStr">
        <is>
          <t>29103-HTP-002 I/O-4-1</t>
        </is>
      </c>
      <c r="E235" s="9" t="inlineStr">
        <is>
          <t>29103-HTP-002</t>
        </is>
      </c>
      <c r="F235" s="9" t="inlineStr"/>
      <c r="G235" s="9" t="inlineStr">
        <is>
          <t>113</t>
        </is>
      </c>
      <c r="H235" s="9" t="inlineStr">
        <is>
          <t>29103-ET-PE1803-1-R-2.pdf</t>
        </is>
      </c>
      <c r="I235" s="4" t="str">
        <f>IF($H235&lt;&gt;"","YES","NO")</f>
        <v>YES</v>
      </c>
      <c r="J235" s="4" t="str">
        <f>IF(N($T235)&gt;0,"YES","NO")</f>
        <v>YES</v>
      </c>
      <c r="K235" s="4" t="str">
        <f>IF(OR($A235="EHT Trace"),IF(AND($U235&lt;&gt;"",$V235&lt;&gt;""),"YES","NO"),"N/A")</f>
        <v>N/A</v>
      </c>
      <c r="L235" s="4" t="str">
        <f>IF(OR($A235="EHT Trace"),IF(AND($X235&lt;&gt;"",$Y235&lt;&gt;""),"YES","NO"),"N/A")</f>
        <v>N/A</v>
      </c>
      <c r="M235" s="4" t="str">
        <f>IF(OR($A235="EHT Trace"),IF(AND($AA235&lt;&gt;"",$AB235&lt;&gt;""),"YES","NO"),"N/A")</f>
        <v>N/A</v>
      </c>
      <c r="N235" s="4" t="str">
        <f>IF(OR($A235="Power Cable"),IF(AND($AD235&lt;&gt;""),"YES","NO"),"N/A")</f>
        <v>N/A</v>
      </c>
      <c r="O235" s="4" t="str">
        <f>IF(OR($A235="Power Cable",$A235="RTD Cable",$A235="Fieldbus Cable"),IF(AND($AE235&lt;&gt;""),"YES","NO"),"N/A")</f>
        <v>YES</v>
      </c>
      <c r="P235" s="4" t="str">
        <f>IF(OR($A235="RTD"),IF(AND($AH235&lt;&gt;""),"YES","NO"),"N/A")</f>
        <v>N/A</v>
      </c>
      <c r="Q235" s="4" t="str">
        <f>IF(OR($A235="RTD"),IF(AND($AI235&lt;&gt;""),"YES","NO"),"N/A")</f>
        <v>N/A</v>
      </c>
      <c r="R235" s="4" t="str">
        <f>IF(OR($AM235&lt;&gt;"",$Z235&lt;&gt;"",$AC235&lt;&gt;""),"YES","NO")</f>
        <v>YES</v>
      </c>
      <c r="S235" s="4" t="str">
        <f>IF(COUNTIF(I235:R235,"NO")=0,"YES","NO")</f>
        <v>YES</v>
      </c>
      <c r="T235" s="9" t="n">
        <v>9</v>
      </c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inlineStr">
        <is>
          <t>N/A / N/A / N/A</t>
        </is>
      </c>
      <c r="AE235" s="9" t="inlineStr">
        <is>
          <t>1.1 / OL / OL</t>
        </is>
      </c>
      <c r="AF235" s="9" t="inlineStr">
        <is>
          <t>Fluke 1587 FC 72300003</t>
        </is>
      </c>
      <c r="AG235" s="9" t="n"/>
      <c r="AH235" s="9" t="n"/>
      <c r="AI235" s="9" t="n"/>
      <c r="AJ235" s="9" t="inlineStr">
        <is>
          <t>ACIC</t>
        </is>
      </c>
      <c r="AK235" s="9" t="inlineStr">
        <is>
          <t>16 AWG</t>
        </is>
      </c>
      <c r="AL235" s="9" t="inlineStr">
        <is>
          <t>Levy Ostrup</t>
        </is>
      </c>
      <c r="AM235" s="9" t="inlineStr">
        <is>
          <t>Sept 29 2026</t>
        </is>
      </c>
      <c r="AN235" s="9" t="inlineStr">
        <is>
          <t>- No cable tag</t>
        </is>
      </c>
    </row>
    <row r="236">
      <c r="A236" s="9" t="inlineStr">
        <is>
          <t>RTD Cable</t>
        </is>
      </c>
      <c r="B236" s="9" t="inlineStr">
        <is>
          <t>29103-ET-PG1101-1-R-1</t>
        </is>
      </c>
      <c r="C236" s="9" t="inlineStr">
        <is>
          <t>29103-ET-PG1101-1</t>
        </is>
      </c>
      <c r="D236" s="9" t="inlineStr">
        <is>
          <t>29103-HTP-002 HTC-15</t>
        </is>
      </c>
      <c r="E236" s="9" t="inlineStr">
        <is>
          <t>29103-HTP-002</t>
        </is>
      </c>
      <c r="F236" s="9" t="inlineStr"/>
      <c r="G236" s="9" t="inlineStr">
        <is>
          <t>113</t>
        </is>
      </c>
      <c r="H236" s="9" t="inlineStr">
        <is>
          <t>29103-ET-PG1101-1-R-1.pdf</t>
        </is>
      </c>
      <c r="I236" s="4" t="str">
        <f>IF($H236&lt;&gt;"","YES","NO")</f>
        <v>YES</v>
      </c>
      <c r="J236" s="4" t="str">
        <f>IF(N($T236)&gt;0,"YES","NO")</f>
        <v>YES</v>
      </c>
      <c r="K236" s="4" t="str">
        <f>IF(OR($A236="EHT Trace"),IF(AND($U236&lt;&gt;"",$V236&lt;&gt;""),"YES","NO"),"N/A")</f>
        <v>N/A</v>
      </c>
      <c r="L236" s="4" t="str">
        <f>IF(OR($A236="EHT Trace"),IF(AND($X236&lt;&gt;"",$Y236&lt;&gt;""),"YES","NO"),"N/A")</f>
        <v>N/A</v>
      </c>
      <c r="M236" s="4" t="str">
        <f>IF(OR($A236="EHT Trace"),IF(AND($AA236&lt;&gt;"",$AB236&lt;&gt;""),"YES","NO"),"N/A")</f>
        <v>N/A</v>
      </c>
      <c r="N236" s="4" t="str">
        <f>IF(OR($A236="Power Cable"),IF(AND($AD236&lt;&gt;""),"YES","NO"),"N/A")</f>
        <v>N/A</v>
      </c>
      <c r="O236" s="4" t="str">
        <f>IF(OR($A236="Power Cable",$A236="RTD Cable",$A236="Fieldbus Cable"),IF(AND($AE236&lt;&gt;""),"YES","NO"),"N/A")</f>
        <v>YES</v>
      </c>
      <c r="P236" s="4" t="str">
        <f>IF(OR($A236="RTD"),IF(AND($AH236&lt;&gt;""),"YES","NO"),"N/A")</f>
        <v>N/A</v>
      </c>
      <c r="Q236" s="4" t="str">
        <f>IF(OR($A236="RTD"),IF(AND($AI236&lt;&gt;""),"YES","NO"),"N/A")</f>
        <v>N/A</v>
      </c>
      <c r="R236" s="4" t="str">
        <f>IF(OR($AM236&lt;&gt;"",$Z236&lt;&gt;"",$AC236&lt;&gt;""),"YES","NO")</f>
        <v>YES</v>
      </c>
      <c r="S236" s="4" t="str">
        <f>IF(COUNTIF(I236:R236,"NO")=0,"YES","NO")</f>
        <v>YES</v>
      </c>
      <c r="T236" s="9" t="n">
        <v>9</v>
      </c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inlineStr">
        <is>
          <t>N/A / N/A / N/A</t>
        </is>
      </c>
      <c r="AE236" s="9" t="inlineStr">
        <is>
          <t>1.0 / OL / OL</t>
        </is>
      </c>
      <c r="AF236" s="9" t="inlineStr">
        <is>
          <t>Fluke 1587 FC 72300003</t>
        </is>
      </c>
      <c r="AG236" s="9" t="n"/>
      <c r="AH236" s="9" t="n"/>
      <c r="AI236" s="9" t="n"/>
      <c r="AJ236" s="9" t="inlineStr">
        <is>
          <t>ACIC</t>
        </is>
      </c>
      <c r="AK236" s="9" t="inlineStr">
        <is>
          <t>16 AWG</t>
        </is>
      </c>
      <c r="AL236" s="9" t="inlineStr">
        <is>
          <t>Levy Ostrup</t>
        </is>
      </c>
      <c r="AM236" s="9" t="inlineStr">
        <is>
          <t>Sept 29 2026</t>
        </is>
      </c>
      <c r="AN236" s="9" t="inlineStr">
        <is>
          <t>- No terms, boot, shrink or core markers</t>
        </is>
      </c>
    </row>
    <row r="237">
      <c r="A237" s="9" t="inlineStr">
        <is>
          <t>RTD Cable</t>
        </is>
      </c>
      <c r="B237" s="9" t="inlineStr">
        <is>
          <t>29103-ET-PG1101-1-R-2</t>
        </is>
      </c>
      <c r="C237" s="9" t="inlineStr">
        <is>
          <t>29103-ET-PG1101-1</t>
        </is>
      </c>
      <c r="D237" s="9" t="inlineStr">
        <is>
          <t>29103-HTP-002 HTC-01</t>
        </is>
      </c>
      <c r="E237" s="9" t="inlineStr">
        <is>
          <t>29103-HTP-002</t>
        </is>
      </c>
      <c r="F237" s="9" t="inlineStr"/>
      <c r="G237" s="9" t="inlineStr">
        <is>
          <t>113</t>
        </is>
      </c>
      <c r="H237" s="9" t="inlineStr">
        <is>
          <t>29103-ET-PG1101-1-R-2.pdf</t>
        </is>
      </c>
      <c r="I237" s="4" t="str">
        <f>IF($H237&lt;&gt;"","YES","NO")</f>
        <v>YES</v>
      </c>
      <c r="J237" s="4" t="str">
        <f>IF(N($T237)&gt;0,"YES","NO")</f>
        <v>YES</v>
      </c>
      <c r="K237" s="4" t="str">
        <f>IF(OR($A237="EHT Trace"),IF(AND($U237&lt;&gt;"",$V237&lt;&gt;""),"YES","NO"),"N/A")</f>
        <v>N/A</v>
      </c>
      <c r="L237" s="4" t="str">
        <f>IF(OR($A237="EHT Trace"),IF(AND($X237&lt;&gt;"",$Y237&lt;&gt;""),"YES","NO"),"N/A")</f>
        <v>N/A</v>
      </c>
      <c r="M237" s="4" t="str">
        <f>IF(OR($A237="EHT Trace"),IF(AND($AA237&lt;&gt;"",$AB237&lt;&gt;""),"YES","NO"),"N/A")</f>
        <v>N/A</v>
      </c>
      <c r="N237" s="4" t="str">
        <f>IF(OR($A237="Power Cable"),IF(AND($AD237&lt;&gt;""),"YES","NO"),"N/A")</f>
        <v>N/A</v>
      </c>
      <c r="O237" s="4" t="str">
        <f>IF(OR($A237="Power Cable",$A237="RTD Cable",$A237="Fieldbus Cable"),IF(AND($AE237&lt;&gt;""),"YES","NO"),"N/A")</f>
        <v>YES</v>
      </c>
      <c r="P237" s="4" t="str">
        <f>IF(OR($A237="RTD"),IF(AND($AH237&lt;&gt;""),"YES","NO"),"N/A")</f>
        <v>N/A</v>
      </c>
      <c r="Q237" s="4" t="str">
        <f>IF(OR($A237="RTD"),IF(AND($AI237&lt;&gt;""),"YES","NO"),"N/A")</f>
        <v>N/A</v>
      </c>
      <c r="R237" s="4" t="str">
        <f>IF(OR($AM237&lt;&gt;"",$Z237&lt;&gt;"",$AC237&lt;&gt;""),"YES","NO")</f>
        <v>YES</v>
      </c>
      <c r="S237" s="4" t="str">
        <f>IF(COUNTIF(I237:R237,"NO")=0,"YES","NO")</f>
        <v>YES</v>
      </c>
      <c r="T237" s="9" t="n">
        <v>9</v>
      </c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inlineStr">
        <is>
          <t>N/A / N/A / N/A</t>
        </is>
      </c>
      <c r="AE237" s="9" t="inlineStr">
        <is>
          <t>1.3 / OL / OL</t>
        </is>
      </c>
      <c r="AF237" s="9" t="inlineStr">
        <is>
          <t>Fluke 1587 FC 72300003</t>
        </is>
      </c>
      <c r="AG237" s="9" t="n"/>
      <c r="AH237" s="9" t="n"/>
      <c r="AI237" s="9" t="n"/>
      <c r="AJ237" s="9" t="inlineStr">
        <is>
          <t>ACIC</t>
        </is>
      </c>
      <c r="AK237" s="9" t="inlineStr">
        <is>
          <t>16 AWG</t>
        </is>
      </c>
      <c r="AL237" s="9" t="inlineStr">
        <is>
          <t>Levy Ostrup</t>
        </is>
      </c>
      <c r="AM237" s="9" t="inlineStr">
        <is>
          <t>Sept 29 2026</t>
        </is>
      </c>
      <c r="AN237" s="9" t="inlineStr">
        <is>
          <t>- No cable tag</t>
        </is>
      </c>
    </row>
    <row r="238">
      <c r="A238" s="9" t="inlineStr">
        <is>
          <t>RTD Cable</t>
        </is>
      </c>
      <c r="B238" s="9" t="inlineStr">
        <is>
          <t>29103-ET-PG1101-2-R-1</t>
        </is>
      </c>
      <c r="C238" s="9" t="inlineStr">
        <is>
          <t>29103-ET-PG1101-2</t>
        </is>
      </c>
      <c r="D238" s="9" t="inlineStr">
        <is>
          <t>29103-HTP-002 HTC-14</t>
        </is>
      </c>
      <c r="E238" s="9" t="inlineStr">
        <is>
          <t>29103-HTP-002</t>
        </is>
      </c>
      <c r="F238" s="9" t="inlineStr"/>
      <c r="G238" s="9" t="inlineStr">
        <is>
          <t>113</t>
        </is>
      </c>
      <c r="H238" s="9" t="inlineStr">
        <is>
          <t>29103-ET-PG1101-2-R-1.pdf</t>
        </is>
      </c>
      <c r="I238" s="4" t="str">
        <f>IF($H238&lt;&gt;"","YES","NO")</f>
        <v>YES</v>
      </c>
      <c r="J238" s="4" t="str">
        <f>IF(N($T238)&gt;0,"YES","NO")</f>
        <v>YES</v>
      </c>
      <c r="K238" s="4" t="str">
        <f>IF(OR($A238="EHT Trace"),IF(AND($U238&lt;&gt;"",$V238&lt;&gt;""),"YES","NO"),"N/A")</f>
        <v>N/A</v>
      </c>
      <c r="L238" s="4" t="str">
        <f>IF(OR($A238="EHT Trace"),IF(AND($X238&lt;&gt;"",$Y238&lt;&gt;""),"YES","NO"),"N/A")</f>
        <v>N/A</v>
      </c>
      <c r="M238" s="4" t="str">
        <f>IF(OR($A238="EHT Trace"),IF(AND($AA238&lt;&gt;"",$AB238&lt;&gt;""),"YES","NO"),"N/A")</f>
        <v>N/A</v>
      </c>
      <c r="N238" s="4" t="str">
        <f>IF(OR($A238="Power Cable"),IF(AND($AD238&lt;&gt;""),"YES","NO"),"N/A")</f>
        <v>N/A</v>
      </c>
      <c r="O238" s="4" t="str">
        <f>IF(OR($A238="Power Cable",$A238="RTD Cable",$A238="Fieldbus Cable"),IF(AND($AE238&lt;&gt;""),"YES","NO"),"N/A")</f>
        <v>YES</v>
      </c>
      <c r="P238" s="4" t="str">
        <f>IF(OR($A238="RTD"),IF(AND($AH238&lt;&gt;""),"YES","NO"),"N/A")</f>
        <v>N/A</v>
      </c>
      <c r="Q238" s="4" t="str">
        <f>IF(OR($A238="RTD"),IF(AND($AI238&lt;&gt;""),"YES","NO"),"N/A")</f>
        <v>N/A</v>
      </c>
      <c r="R238" s="4" t="str">
        <f>IF(OR($AM238&lt;&gt;"",$Z238&lt;&gt;"",$AC238&lt;&gt;""),"YES","NO")</f>
        <v>YES</v>
      </c>
      <c r="S238" s="4" t="str">
        <f>IF(COUNTIF(I238:R238,"NO")=0,"YES","NO")</f>
        <v>YES</v>
      </c>
      <c r="T238" s="9" t="n">
        <v>9</v>
      </c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inlineStr">
        <is>
          <t>N/A / N/A / N/A</t>
        </is>
      </c>
      <c r="AE238" s="9" t="inlineStr">
        <is>
          <t>1.2 / OL / OL</t>
        </is>
      </c>
      <c r="AF238" s="9" t="inlineStr">
        <is>
          <t>Fluke 1587 FC 72300003</t>
        </is>
      </c>
      <c r="AG238" s="9" t="n"/>
      <c r="AH238" s="9" t="n"/>
      <c r="AI238" s="9" t="n"/>
      <c r="AJ238" s="9" t="inlineStr">
        <is>
          <t>ACIC</t>
        </is>
      </c>
      <c r="AK238" s="9" t="inlineStr">
        <is>
          <t>16 AWG</t>
        </is>
      </c>
      <c r="AL238" s="9" t="inlineStr">
        <is>
          <t>Levy Ostrup</t>
        </is>
      </c>
      <c r="AM238" s="9" t="inlineStr">
        <is>
          <t>Sept 30, 2026</t>
        </is>
      </c>
      <c r="AN238" s="9" t="inlineStr">
        <is>
          <t>No cable tag</t>
        </is>
      </c>
    </row>
    <row r="239">
      <c r="A239" s="9" t="inlineStr">
        <is>
          <t>RTD Cable</t>
        </is>
      </c>
      <c r="B239" s="9" t="inlineStr">
        <is>
          <t>29103-ET-PG1201-1-R-1</t>
        </is>
      </c>
      <c r="C239" s="9" t="inlineStr">
        <is>
          <t>29103-ET-PG1201-1</t>
        </is>
      </c>
      <c r="D239" s="9" t="inlineStr">
        <is>
          <t>29103-HTP-002 HTC-12</t>
        </is>
      </c>
      <c r="E239" s="9" t="inlineStr">
        <is>
          <t>29103-HTP-002</t>
        </is>
      </c>
      <c r="F239" s="9" t="inlineStr"/>
      <c r="G239" s="9" t="inlineStr">
        <is>
          <t>113</t>
        </is>
      </c>
      <c r="H239" s="9" t="inlineStr">
        <is>
          <t>29103-ET-PG1201-1-R-1.pdf</t>
        </is>
      </c>
      <c r="I239" s="4" t="str">
        <f>IF($H239&lt;&gt;"","YES","NO")</f>
        <v>YES</v>
      </c>
      <c r="J239" s="4" t="str">
        <f>IF(N($T239)&gt;0,"YES","NO")</f>
        <v>NO</v>
      </c>
      <c r="K239" s="4" t="str">
        <f>IF(OR($A239="EHT Trace"),IF(AND($U239&lt;&gt;"",$V239&lt;&gt;""),"YES","NO"),"N/A")</f>
        <v>N/A</v>
      </c>
      <c r="L239" s="4" t="str">
        <f>IF(OR($A239="EHT Trace"),IF(AND($X239&lt;&gt;"",$Y239&lt;&gt;""),"YES","NO"),"N/A")</f>
        <v>N/A</v>
      </c>
      <c r="M239" s="4" t="str">
        <f>IF(OR($A239="EHT Trace"),IF(AND($AA239&lt;&gt;"",$AB239&lt;&gt;""),"YES","NO"),"N/A")</f>
        <v>N/A</v>
      </c>
      <c r="N239" s="4" t="str">
        <f>IF(OR($A239="Power Cable"),IF(AND($AD239&lt;&gt;""),"YES","NO"),"N/A")</f>
        <v>N/A</v>
      </c>
      <c r="O239" s="4" t="str">
        <f>IF(OR($A239="Power Cable",$A239="RTD Cable",$A239="Fieldbus Cable"),IF(AND($AE239&lt;&gt;""),"YES","NO"),"N/A")</f>
        <v>NO</v>
      </c>
      <c r="P239" s="4" t="str">
        <f>IF(OR($A239="RTD"),IF(AND($AH239&lt;&gt;""),"YES","NO"),"N/A")</f>
        <v>N/A</v>
      </c>
      <c r="Q239" s="4" t="str">
        <f>IF(OR($A239="RTD"),IF(AND($AI239&lt;&gt;""),"YES","NO"),"N/A")</f>
        <v>N/A</v>
      </c>
      <c r="R239" s="4" t="str">
        <f>IF(OR($AM239&lt;&gt;"",$Z239&lt;&gt;"",$AC239&lt;&gt;""),"YES","NO")</f>
        <v>NO</v>
      </c>
      <c r="S239" s="4" t="str">
        <f>IF(COUNTIF(I239:R239,"NO")=0,"YES","NO")</f>
        <v>NO</v>
      </c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inlineStr">
        <is>
          <t>ACIC</t>
        </is>
      </c>
      <c r="AK239" s="9" t="inlineStr">
        <is>
          <t>16AWG</t>
        </is>
      </c>
      <c r="AL239" s="9" t="inlineStr">
        <is>
          <t>Levy Ostrup</t>
        </is>
      </c>
      <c r="AM239" s="9" t="n"/>
      <c r="AN239" s="9" t="n"/>
    </row>
    <row r="240">
      <c r="A240" s="9" t="inlineStr">
        <is>
          <t>RTD Cable</t>
        </is>
      </c>
      <c r="B240" s="9" t="inlineStr">
        <is>
          <t>29103-ET-PG1201-1-R-2</t>
        </is>
      </c>
      <c r="C240" s="9" t="inlineStr">
        <is>
          <t>29103-ET-PG1201-1</t>
        </is>
      </c>
      <c r="D240" s="9" t="inlineStr">
        <is>
          <t>29103-HTP-002 HTC-02</t>
        </is>
      </c>
      <c r="E240" s="9" t="inlineStr">
        <is>
          <t>29103-HTP-002</t>
        </is>
      </c>
      <c r="F240" s="9" t="inlineStr"/>
      <c r="G240" s="9" t="inlineStr">
        <is>
          <t>113</t>
        </is>
      </c>
      <c r="H240" s="9" t="inlineStr">
        <is>
          <t>29103-ET-PG1201-1-R-2.pdf</t>
        </is>
      </c>
      <c r="I240" s="4" t="str">
        <f>IF($H240&lt;&gt;"","YES","NO")</f>
        <v>YES</v>
      </c>
      <c r="J240" s="4" t="str">
        <f>IF(N($T240)&gt;0,"YES","NO")</f>
        <v>NO</v>
      </c>
      <c r="K240" s="4" t="str">
        <f>IF(OR($A240="EHT Trace"),IF(AND($U240&lt;&gt;"",$V240&lt;&gt;""),"YES","NO"),"N/A")</f>
        <v>N/A</v>
      </c>
      <c r="L240" s="4" t="str">
        <f>IF(OR($A240="EHT Trace"),IF(AND($X240&lt;&gt;"",$Y240&lt;&gt;""),"YES","NO"),"N/A")</f>
        <v>N/A</v>
      </c>
      <c r="M240" s="4" t="str">
        <f>IF(OR($A240="EHT Trace"),IF(AND($AA240&lt;&gt;"",$AB240&lt;&gt;""),"YES","NO"),"N/A")</f>
        <v>N/A</v>
      </c>
      <c r="N240" s="4" t="str">
        <f>IF(OR($A240="Power Cable"),IF(AND($AD240&lt;&gt;""),"YES","NO"),"N/A")</f>
        <v>N/A</v>
      </c>
      <c r="O240" s="4" t="str">
        <f>IF(OR($A240="Power Cable",$A240="RTD Cable",$A240="Fieldbus Cable"),IF(AND($AE240&lt;&gt;""),"YES","NO"),"N/A")</f>
        <v>NO</v>
      </c>
      <c r="P240" s="4" t="str">
        <f>IF(OR($A240="RTD"),IF(AND($AH240&lt;&gt;""),"YES","NO"),"N/A")</f>
        <v>N/A</v>
      </c>
      <c r="Q240" s="4" t="str">
        <f>IF(OR($A240="RTD"),IF(AND($AI240&lt;&gt;""),"YES","NO"),"N/A")</f>
        <v>N/A</v>
      </c>
      <c r="R240" s="4" t="str">
        <f>IF(OR($AM240&lt;&gt;"",$Z240&lt;&gt;"",$AC240&lt;&gt;""),"YES","NO")</f>
        <v>NO</v>
      </c>
      <c r="S240" s="4" t="str">
        <f>IF(COUNTIF(I240:R240,"NO")=0,"YES","NO")</f>
        <v>NO</v>
      </c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inlineStr">
        <is>
          <t>ACIC</t>
        </is>
      </c>
      <c r="AK240" s="9" t="inlineStr">
        <is>
          <t>16AWG</t>
        </is>
      </c>
      <c r="AL240" s="9" t="inlineStr">
        <is>
          <t>Levy Ostrup</t>
        </is>
      </c>
      <c r="AM240" s="9" t="n"/>
      <c r="AN240" s="9" t="n"/>
    </row>
    <row r="241">
      <c r="A241" s="9" t="inlineStr">
        <is>
          <t>RTD Cable</t>
        </is>
      </c>
      <c r="B241" s="9" t="inlineStr">
        <is>
          <t>29103-ET-PG1201-2-R-1</t>
        </is>
      </c>
      <c r="C241" s="9" t="inlineStr">
        <is>
          <t>29103-ET-PG1201-2</t>
        </is>
      </c>
      <c r="D241" s="9" t="inlineStr">
        <is>
          <t>29103-HTP-002 HTC-08</t>
        </is>
      </c>
      <c r="E241" s="9" t="inlineStr">
        <is>
          <t>29103-HTP-002</t>
        </is>
      </c>
      <c r="F241" s="9" t="inlineStr"/>
      <c r="G241" s="9" t="inlineStr">
        <is>
          <t>113</t>
        </is>
      </c>
      <c r="H241" s="9" t="inlineStr">
        <is>
          <t>29103-ET-PG1201-2-R-1.pdf</t>
        </is>
      </c>
      <c r="I241" s="4" t="str">
        <f>IF($H241&lt;&gt;"","YES","NO")</f>
        <v>YES</v>
      </c>
      <c r="J241" s="4" t="str">
        <f>IF(N($T241)&gt;0,"YES","NO")</f>
        <v>YES</v>
      </c>
      <c r="K241" s="4" t="str">
        <f>IF(OR($A241="EHT Trace"),IF(AND($U241&lt;&gt;"",$V241&lt;&gt;""),"YES","NO"),"N/A")</f>
        <v>N/A</v>
      </c>
      <c r="L241" s="4" t="str">
        <f>IF(OR($A241="EHT Trace"),IF(AND($X241&lt;&gt;"",$Y241&lt;&gt;""),"YES","NO"),"N/A")</f>
        <v>N/A</v>
      </c>
      <c r="M241" s="4" t="str">
        <f>IF(OR($A241="EHT Trace"),IF(AND($AA241&lt;&gt;"",$AB241&lt;&gt;""),"YES","NO"),"N/A")</f>
        <v>N/A</v>
      </c>
      <c r="N241" s="4" t="str">
        <f>IF(OR($A241="Power Cable"),IF(AND($AD241&lt;&gt;""),"YES","NO"),"N/A")</f>
        <v>N/A</v>
      </c>
      <c r="O241" s="4" t="str">
        <f>IF(OR($A241="Power Cable",$A241="RTD Cable",$A241="Fieldbus Cable"),IF(AND($AE241&lt;&gt;""),"YES","NO"),"N/A")</f>
        <v>YES</v>
      </c>
      <c r="P241" s="4" t="str">
        <f>IF(OR($A241="RTD"),IF(AND($AH241&lt;&gt;""),"YES","NO"),"N/A")</f>
        <v>N/A</v>
      </c>
      <c r="Q241" s="4" t="str">
        <f>IF(OR($A241="RTD"),IF(AND($AI241&lt;&gt;""),"YES","NO"),"N/A")</f>
        <v>N/A</v>
      </c>
      <c r="R241" s="4" t="str">
        <f>IF(OR($AM241&lt;&gt;"",$Z241&lt;&gt;"",$AC241&lt;&gt;""),"YES","NO")</f>
        <v>YES</v>
      </c>
      <c r="S241" s="4" t="str">
        <f>IF(COUNTIF(I241:R241,"NO")=0,"YES","NO")</f>
        <v>YES</v>
      </c>
      <c r="T241" s="9" t="n">
        <v>9</v>
      </c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inlineStr">
        <is>
          <t>0.8 / OL / OL</t>
        </is>
      </c>
      <c r="AF241" s="9" t="inlineStr">
        <is>
          <t>Fluke 1587 FC 72300003</t>
        </is>
      </c>
      <c r="AG241" s="9" t="n"/>
      <c r="AH241" s="9" t="n"/>
      <c r="AI241" s="9" t="n"/>
      <c r="AJ241" s="9" t="inlineStr">
        <is>
          <t>ACIC</t>
        </is>
      </c>
      <c r="AK241" s="9" t="inlineStr">
        <is>
          <t>16 AWG</t>
        </is>
      </c>
      <c r="AL241" s="9" t="inlineStr">
        <is>
          <t>Levy Ostrup</t>
        </is>
      </c>
      <c r="AM241" s="9" t="inlineStr">
        <is>
          <t>Sept 30, 2026</t>
        </is>
      </c>
      <c r="AN241" s="9" t="inlineStr">
        <is>
          <t>Missing cable tags</t>
        </is>
      </c>
    </row>
    <row r="242">
      <c r="A242" s="9" t="inlineStr">
        <is>
          <t>RTD Cable</t>
        </is>
      </c>
      <c r="B242" s="9" t="inlineStr">
        <is>
          <t>29103-ET-PG1301-1-R-1</t>
        </is>
      </c>
      <c r="C242" s="9" t="inlineStr">
        <is>
          <t>29103-ET-PG1301-1</t>
        </is>
      </c>
      <c r="D242" s="9" t="inlineStr">
        <is>
          <t>29103-HTP-002 HTC-11</t>
        </is>
      </c>
      <c r="E242" s="9" t="inlineStr">
        <is>
          <t>29103-HTP-002</t>
        </is>
      </c>
      <c r="F242" s="9" t="inlineStr"/>
      <c r="G242" s="9" t="inlineStr">
        <is>
          <t>113</t>
        </is>
      </c>
      <c r="H242" s="9" t="inlineStr">
        <is>
          <t>29103-ET-PG1301-1-R-1.pdf</t>
        </is>
      </c>
      <c r="I242" s="4" t="str">
        <f>IF($H242&lt;&gt;"","YES","NO")</f>
        <v>YES</v>
      </c>
      <c r="J242" s="4" t="str">
        <f>IF(N($T242)&gt;0,"YES","NO")</f>
        <v>NO</v>
      </c>
      <c r="K242" s="4" t="str">
        <f>IF(OR($A242="EHT Trace"),IF(AND($U242&lt;&gt;"",$V242&lt;&gt;""),"YES","NO"),"N/A")</f>
        <v>N/A</v>
      </c>
      <c r="L242" s="4" t="str">
        <f>IF(OR($A242="EHT Trace"),IF(AND($X242&lt;&gt;"",$Y242&lt;&gt;""),"YES","NO"),"N/A")</f>
        <v>N/A</v>
      </c>
      <c r="M242" s="4" t="str">
        <f>IF(OR($A242="EHT Trace"),IF(AND($AA242&lt;&gt;"",$AB242&lt;&gt;""),"YES","NO"),"N/A")</f>
        <v>N/A</v>
      </c>
      <c r="N242" s="4" t="str">
        <f>IF(OR($A242="Power Cable"),IF(AND($AD242&lt;&gt;""),"YES","NO"),"N/A")</f>
        <v>N/A</v>
      </c>
      <c r="O242" s="4" t="str">
        <f>IF(OR($A242="Power Cable",$A242="RTD Cable",$A242="Fieldbus Cable"),IF(AND($AE242&lt;&gt;""),"YES","NO"),"N/A")</f>
        <v>NO</v>
      </c>
      <c r="P242" s="4" t="str">
        <f>IF(OR($A242="RTD"),IF(AND($AH242&lt;&gt;""),"YES","NO"),"N/A")</f>
        <v>N/A</v>
      </c>
      <c r="Q242" s="4" t="str">
        <f>IF(OR($A242="RTD"),IF(AND($AI242&lt;&gt;""),"YES","NO"),"N/A")</f>
        <v>N/A</v>
      </c>
      <c r="R242" s="4" t="str">
        <f>IF(OR($AM242&lt;&gt;"",$Z242&lt;&gt;"",$AC242&lt;&gt;""),"YES","NO")</f>
        <v>NO</v>
      </c>
      <c r="S242" s="4" t="str">
        <f>IF(COUNTIF(I242:R242,"NO")=0,"YES","NO")</f>
        <v>NO</v>
      </c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inlineStr">
        <is>
          <t>ACIC</t>
        </is>
      </c>
      <c r="AK242" s="9" t="inlineStr">
        <is>
          <t>16AWG</t>
        </is>
      </c>
      <c r="AL242" s="9" t="inlineStr">
        <is>
          <t>Levy Ostrup</t>
        </is>
      </c>
      <c r="AM242" s="9" t="n"/>
      <c r="AN242" s="9" t="n"/>
    </row>
    <row r="243">
      <c r="A243" s="9" t="inlineStr">
        <is>
          <t>RTD Cable</t>
        </is>
      </c>
      <c r="B243" s="9" t="inlineStr">
        <is>
          <t>29103-ET-PG1301-1-R-2</t>
        </is>
      </c>
      <c r="C243" s="9" t="inlineStr">
        <is>
          <t>29103-ET-PG1301-1</t>
        </is>
      </c>
      <c r="D243" s="9" t="inlineStr">
        <is>
          <t>29103-HTP-002 I/O-3-1</t>
        </is>
      </c>
      <c r="E243" s="9" t="inlineStr">
        <is>
          <t>29103-HTP-002</t>
        </is>
      </c>
      <c r="F243" s="9" t="inlineStr"/>
      <c r="G243" s="9" t="inlineStr">
        <is>
          <t>113</t>
        </is>
      </c>
      <c r="H243" s="9" t="inlineStr">
        <is>
          <t>29103-ET-PG1301-1-R-2.pdf</t>
        </is>
      </c>
      <c r="I243" s="4" t="str">
        <f>IF($H243&lt;&gt;"","YES","NO")</f>
        <v>YES</v>
      </c>
      <c r="J243" s="4" t="str">
        <f>IF(N($T243)&gt;0,"YES","NO")</f>
        <v>NO</v>
      </c>
      <c r="K243" s="4" t="str">
        <f>IF(OR($A243="EHT Trace"),IF(AND($U243&lt;&gt;"",$V243&lt;&gt;""),"YES","NO"),"N/A")</f>
        <v>N/A</v>
      </c>
      <c r="L243" s="4" t="str">
        <f>IF(OR($A243="EHT Trace"),IF(AND($X243&lt;&gt;"",$Y243&lt;&gt;""),"YES","NO"),"N/A")</f>
        <v>N/A</v>
      </c>
      <c r="M243" s="4" t="str">
        <f>IF(OR($A243="EHT Trace"),IF(AND($AA243&lt;&gt;"",$AB243&lt;&gt;""),"YES","NO"),"N/A")</f>
        <v>N/A</v>
      </c>
      <c r="N243" s="4" t="str">
        <f>IF(OR($A243="Power Cable"),IF(AND($AD243&lt;&gt;""),"YES","NO"),"N/A")</f>
        <v>N/A</v>
      </c>
      <c r="O243" s="4" t="str">
        <f>IF(OR($A243="Power Cable",$A243="RTD Cable",$A243="Fieldbus Cable"),IF(AND($AE243&lt;&gt;""),"YES","NO"),"N/A")</f>
        <v>NO</v>
      </c>
      <c r="P243" s="4" t="str">
        <f>IF(OR($A243="RTD"),IF(AND($AH243&lt;&gt;""),"YES","NO"),"N/A")</f>
        <v>N/A</v>
      </c>
      <c r="Q243" s="4" t="str">
        <f>IF(OR($A243="RTD"),IF(AND($AI243&lt;&gt;""),"YES","NO"),"N/A")</f>
        <v>N/A</v>
      </c>
      <c r="R243" s="4" t="str">
        <f>IF(OR($AM243&lt;&gt;"",$Z243&lt;&gt;"",$AC243&lt;&gt;""),"YES","NO")</f>
        <v>NO</v>
      </c>
      <c r="S243" s="4" t="str">
        <f>IF(COUNTIF(I243:R243,"NO")=0,"YES","NO")</f>
        <v>NO</v>
      </c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inlineStr">
        <is>
          <t>ACIC</t>
        </is>
      </c>
      <c r="AK243" s="9" t="inlineStr">
        <is>
          <t>16AWG</t>
        </is>
      </c>
      <c r="AL243" s="9" t="inlineStr">
        <is>
          <t>Levy Ostrup</t>
        </is>
      </c>
      <c r="AM243" s="9" t="n"/>
      <c r="AN243" s="9" t="n"/>
    </row>
    <row r="244">
      <c r="A244" s="9" t="inlineStr">
        <is>
          <t>RTD Cable</t>
        </is>
      </c>
      <c r="B244" s="9" t="inlineStr">
        <is>
          <t>29103-ET-PG1301-2-R-1</t>
        </is>
      </c>
      <c r="C244" s="9" t="inlineStr">
        <is>
          <t>29103-ET-PG1301-2</t>
        </is>
      </c>
      <c r="D244" s="9" t="inlineStr">
        <is>
          <t>29103-HTP-002 HTC-13</t>
        </is>
      </c>
      <c r="E244" s="9" t="inlineStr">
        <is>
          <t>29103-HTP-002</t>
        </is>
      </c>
      <c r="F244" s="9" t="inlineStr"/>
      <c r="G244" s="9" t="inlineStr">
        <is>
          <t>113</t>
        </is>
      </c>
      <c r="H244" s="9" t="inlineStr">
        <is>
          <t>29103-ET-PG1301-2-R-1.pdf</t>
        </is>
      </c>
      <c r="I244" s="4" t="str">
        <f>IF($H244&lt;&gt;"","YES","NO")</f>
        <v>YES</v>
      </c>
      <c r="J244" s="4" t="str">
        <f>IF(N($T244)&gt;0,"YES","NO")</f>
        <v>NO</v>
      </c>
      <c r="K244" s="4" t="str">
        <f>IF(OR($A244="EHT Trace"),IF(AND($U244&lt;&gt;"",$V244&lt;&gt;""),"YES","NO"),"N/A")</f>
        <v>N/A</v>
      </c>
      <c r="L244" s="4" t="str">
        <f>IF(OR($A244="EHT Trace"),IF(AND($X244&lt;&gt;"",$Y244&lt;&gt;""),"YES","NO"),"N/A")</f>
        <v>N/A</v>
      </c>
      <c r="M244" s="4" t="str">
        <f>IF(OR($A244="EHT Trace"),IF(AND($AA244&lt;&gt;"",$AB244&lt;&gt;""),"YES","NO"),"N/A")</f>
        <v>N/A</v>
      </c>
      <c r="N244" s="4" t="str">
        <f>IF(OR($A244="Power Cable"),IF(AND($AD244&lt;&gt;""),"YES","NO"),"N/A")</f>
        <v>N/A</v>
      </c>
      <c r="O244" s="4" t="str">
        <f>IF(OR($A244="Power Cable",$A244="RTD Cable",$A244="Fieldbus Cable"),IF(AND($AE244&lt;&gt;""),"YES","NO"),"N/A")</f>
        <v>NO</v>
      </c>
      <c r="P244" s="4" t="str">
        <f>IF(OR($A244="RTD"),IF(AND($AH244&lt;&gt;""),"YES","NO"),"N/A")</f>
        <v>N/A</v>
      </c>
      <c r="Q244" s="4" t="str">
        <f>IF(OR($A244="RTD"),IF(AND($AI244&lt;&gt;""),"YES","NO"),"N/A")</f>
        <v>N/A</v>
      </c>
      <c r="R244" s="4" t="str">
        <f>IF(OR($AM244&lt;&gt;"",$Z244&lt;&gt;"",$AC244&lt;&gt;""),"YES","NO")</f>
        <v>NO</v>
      </c>
      <c r="S244" s="4" t="str">
        <f>IF(COUNTIF(I244:R244,"NO")=0,"YES","NO")</f>
        <v>NO</v>
      </c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inlineStr">
        <is>
          <t>ACIC</t>
        </is>
      </c>
      <c r="AK244" s="9" t="inlineStr">
        <is>
          <t>16AWG</t>
        </is>
      </c>
      <c r="AL244" s="9" t="inlineStr">
        <is>
          <t>Levy Ostrup</t>
        </is>
      </c>
      <c r="AM244" s="9" t="n"/>
      <c r="AN244" s="9" t="n"/>
    </row>
    <row r="245">
      <c r="A245" s="9" t="inlineStr">
        <is>
          <t>RTD Cable</t>
        </is>
      </c>
      <c r="B245" s="9" t="inlineStr">
        <is>
          <t>29103-RJB-002</t>
        </is>
      </c>
      <c r="C245" s="9" t="inlineStr"/>
      <c r="D245" s="9" t="inlineStr">
        <is>
          <t>29103-HTP-002 HTC-20</t>
        </is>
      </c>
      <c r="E245" s="9" t="inlineStr">
        <is>
          <t>29103-HTP-002</t>
        </is>
      </c>
      <c r="F245" s="9" t="inlineStr"/>
      <c r="G245" s="9" t="inlineStr">
        <is>
          <t>113</t>
        </is>
      </c>
      <c r="H245" s="9" t="inlineStr">
        <is>
          <t>29103-RJB-002.pdf</t>
        </is>
      </c>
      <c r="I245" s="4" t="str">
        <f>IF($H245&lt;&gt;"","YES","NO")</f>
        <v>YES</v>
      </c>
      <c r="J245" s="4" t="str">
        <f>IF(N($T245)&gt;0,"YES","NO")</f>
        <v>NO</v>
      </c>
      <c r="K245" s="4" t="str">
        <f>IF(OR($A245="EHT Trace"),IF(AND($U245&lt;&gt;"",$V245&lt;&gt;""),"YES","NO"),"N/A")</f>
        <v>N/A</v>
      </c>
      <c r="L245" s="4" t="str">
        <f>IF(OR($A245="EHT Trace"),IF(AND($X245&lt;&gt;"",$Y245&lt;&gt;""),"YES","NO"),"N/A")</f>
        <v>N/A</v>
      </c>
      <c r="M245" s="4" t="str">
        <f>IF(OR($A245="EHT Trace"),IF(AND($AA245&lt;&gt;"",$AB245&lt;&gt;""),"YES","NO"),"N/A")</f>
        <v>N/A</v>
      </c>
      <c r="N245" s="4" t="str">
        <f>IF(OR($A245="Power Cable"),IF(AND($AD245&lt;&gt;""),"YES","NO"),"N/A")</f>
        <v>N/A</v>
      </c>
      <c r="O245" s="4" t="str">
        <f>IF(OR($A245="Power Cable",$A245="RTD Cable",$A245="Fieldbus Cable"),IF(AND($AE245&lt;&gt;""),"YES","NO"),"N/A")</f>
        <v>NO</v>
      </c>
      <c r="P245" s="4" t="str">
        <f>IF(OR($A245="RTD"),IF(AND($AH245&lt;&gt;""),"YES","NO"),"N/A")</f>
        <v>N/A</v>
      </c>
      <c r="Q245" s="4" t="str">
        <f>IF(OR($A245="RTD"),IF(AND($AI245&lt;&gt;""),"YES","NO"),"N/A")</f>
        <v>N/A</v>
      </c>
      <c r="R245" s="4" t="str">
        <f>IF(OR($AM245&lt;&gt;"",$Z245&lt;&gt;"",$AC245&lt;&gt;""),"YES","NO")</f>
        <v>NO</v>
      </c>
      <c r="S245" s="4" t="str">
        <f>IF(COUNTIF(I245:R245,"NO")=0,"YES","NO")</f>
        <v>NO</v>
      </c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inlineStr">
        <is>
          <t>ACIC</t>
        </is>
      </c>
      <c r="AK245" s="9" t="inlineStr">
        <is>
          <t>16AWG</t>
        </is>
      </c>
      <c r="AL245" s="9" t="inlineStr">
        <is>
          <t>Levy Ostrup</t>
        </is>
      </c>
      <c r="AM245" s="9" t="n"/>
      <c r="AN245" s="9" t="n"/>
    </row>
    <row r="246">
      <c r="A246" s="9" t="inlineStr">
        <is>
          <t>RTD Cable</t>
        </is>
      </c>
      <c r="B246" s="9" t="inlineStr">
        <is>
          <t>29103-RJB-003</t>
        </is>
      </c>
      <c r="C246" s="9" t="inlineStr"/>
      <c r="D246" s="9" t="inlineStr">
        <is>
          <t>29103-HTP-002 HTC-07</t>
        </is>
      </c>
      <c r="E246" s="9" t="inlineStr">
        <is>
          <t>29103-HTP-002</t>
        </is>
      </c>
      <c r="F246" s="9" t="inlineStr"/>
      <c r="G246" s="9" t="inlineStr">
        <is>
          <t>113</t>
        </is>
      </c>
      <c r="H246" s="9" t="inlineStr">
        <is>
          <t>29103-RJB-003.pdf</t>
        </is>
      </c>
      <c r="I246" s="4" t="str">
        <f>IF($H246&lt;&gt;"","YES","NO")</f>
        <v>YES</v>
      </c>
      <c r="J246" s="4" t="str">
        <f>IF(N($T246)&gt;0,"YES","NO")</f>
        <v>NO</v>
      </c>
      <c r="K246" s="4" t="str">
        <f>IF(OR($A246="EHT Trace"),IF(AND($U246&lt;&gt;"",$V246&lt;&gt;""),"YES","NO"),"N/A")</f>
        <v>N/A</v>
      </c>
      <c r="L246" s="4" t="str">
        <f>IF(OR($A246="EHT Trace"),IF(AND($X246&lt;&gt;"",$Y246&lt;&gt;""),"YES","NO"),"N/A")</f>
        <v>N/A</v>
      </c>
      <c r="M246" s="4" t="str">
        <f>IF(OR($A246="EHT Trace"),IF(AND($AA246&lt;&gt;"",$AB246&lt;&gt;""),"YES","NO"),"N/A")</f>
        <v>N/A</v>
      </c>
      <c r="N246" s="4" t="str">
        <f>IF(OR($A246="Power Cable"),IF(AND($AD246&lt;&gt;""),"YES","NO"),"N/A")</f>
        <v>N/A</v>
      </c>
      <c r="O246" s="4" t="str">
        <f>IF(OR($A246="Power Cable",$A246="RTD Cable",$A246="Fieldbus Cable"),IF(AND($AE246&lt;&gt;""),"YES","NO"),"N/A")</f>
        <v>NO</v>
      </c>
      <c r="P246" s="4" t="str">
        <f>IF(OR($A246="RTD"),IF(AND($AH246&lt;&gt;""),"YES","NO"),"N/A")</f>
        <v>N/A</v>
      </c>
      <c r="Q246" s="4" t="str">
        <f>IF(OR($A246="RTD"),IF(AND($AI246&lt;&gt;""),"YES","NO"),"N/A")</f>
        <v>N/A</v>
      </c>
      <c r="R246" s="4" t="str">
        <f>IF(OR($AM246&lt;&gt;"",$Z246&lt;&gt;"",$AC246&lt;&gt;""),"YES","NO")</f>
        <v>NO</v>
      </c>
      <c r="S246" s="4" t="str">
        <f>IF(COUNTIF(I246:R246,"NO")=0,"YES","NO")</f>
        <v>NO</v>
      </c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inlineStr">
        <is>
          <t>ACIC</t>
        </is>
      </c>
      <c r="AK246" s="9" t="inlineStr">
        <is>
          <t>16AWG</t>
        </is>
      </c>
      <c r="AL246" s="9" t="inlineStr">
        <is>
          <t>Levy Ostrup</t>
        </is>
      </c>
      <c r="AM246" s="9" t="n"/>
      <c r="AN246" s="9" t="n"/>
    </row>
  </sheetData>
  <autoFilter ref="A4:AN246"/>
  <mergeCells count="3">
    <mergeCell ref="A3:H3"/>
    <mergeCell ref="I3:S3"/>
    <mergeCell ref="T3:AN3"/>
  </mergeCells>
  <conditionalFormatting sqref="I5:S246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"N/A"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2" customWidth="1" min="4" max="4"/>
    <col width="20" customWidth="1" min="5" max="5"/>
    <col width="27" customWidth="1" min="6" max="6"/>
    <col width="6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24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60" customWidth="1" min="40" max="40"/>
  </cols>
  <sheetData>
    <row r="1">
      <c r="A1" s="1" t="inlineStr">
        <is>
          <t>29151-HTP-001</t>
        </is>
      </c>
    </row>
    <row r="3">
      <c r="A3" s="6" t="n"/>
      <c r="I3" s="7" t="inlineStr">
        <is>
          <t>CHECKSHEETS</t>
        </is>
      </c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7" t="inlineStr">
        <is>
          <t>TEST RESULTS</t>
        </is>
      </c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</row>
    <row r="4" ht="30" customHeight="1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9" t="inlineStr">
        <is>
          <t>EHT Trace</t>
        </is>
      </c>
      <c r="B5" s="9" t="inlineStr">
        <is>
          <t>29151-ET-DR4100-1-1</t>
        </is>
      </c>
      <c r="C5" s="9" t="inlineStr">
        <is>
          <t>29151-ET-DR4100-1</t>
        </is>
      </c>
      <c r="D5" s="9" t="inlineStr"/>
      <c r="E5" s="9" t="inlineStr">
        <is>
          <t>29151-DR-4100</t>
        </is>
      </c>
      <c r="F5" s="9" t="inlineStr">
        <is>
          <t>29151-65R-ET-DR4100-01-01</t>
        </is>
      </c>
      <c r="G5" s="9" t="inlineStr">
        <is>
          <t>13.1</t>
        </is>
      </c>
      <c r="H5" s="9" t="inlineStr">
        <is>
          <t>29151-ET-DR4100-1-1.pdf</t>
        </is>
      </c>
      <c r="I5" s="4" t="str">
        <f>IF($H5&lt;&gt;"","YES","NO")</f>
        <v>YES</v>
      </c>
      <c r="J5" s="4" t="str">
        <f>IF(N($T5)&gt;0,"YES","NO")</f>
        <v>NO</v>
      </c>
      <c r="K5" s="4" t="str">
        <f>IF(OR($A5="EHT Trace"),IF(AND($U5&lt;&gt;"",$V5&lt;&gt;""),"YES","NO"),"N/A")</f>
        <v>NO</v>
      </c>
      <c r="L5" s="4" t="str">
        <f>IF(OR($A5="EHT Trace"),IF(AND($X5&lt;&gt;"",$Y5&lt;&gt;""),"YES","NO"),"N/A")</f>
        <v>NO</v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NO</v>
      </c>
      <c r="S5" s="4" t="str">
        <f>IF(COUNTIF(I5:R5,"NO")=0,"YES","NO")</f>
        <v>NO</v>
      </c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inlineStr">
        <is>
          <t>20XTVR1-CT</t>
        </is>
      </c>
      <c r="AK5" s="9" t="inlineStr">
        <is>
          <t>7.3 m m</t>
        </is>
      </c>
      <c r="AL5" s="9" t="inlineStr">
        <is>
          <t>Levy Ostrup</t>
        </is>
      </c>
      <c r="AM5" s="9" t="n"/>
      <c r="AN5" s="9" t="n"/>
    </row>
    <row r="6">
      <c r="A6" s="9" t="inlineStr">
        <is>
          <t>EHT Trace</t>
        </is>
      </c>
      <c r="B6" s="9" t="inlineStr">
        <is>
          <t>29151-ET-FG4102-1-1</t>
        </is>
      </c>
      <c r="C6" s="9" t="inlineStr">
        <is>
          <t>29151-ET-FG4102-1</t>
        </is>
      </c>
      <c r="D6" s="9" t="inlineStr"/>
      <c r="E6" s="9" t="inlineStr">
        <is>
          <t>29151-FG-4102, 29151-FG-4101, 29151-FG-4100</t>
        </is>
      </c>
      <c r="F6" s="9" t="inlineStr">
        <is>
          <t>29151-65R-ET-FG4102-01-01</t>
        </is>
      </c>
      <c r="G6" s="9" t="inlineStr">
        <is>
          <t>13.1</t>
        </is>
      </c>
      <c r="H6" s="9" t="inlineStr">
        <is>
          <t>29151-ET-FG4102-1-1.pdf</t>
        </is>
      </c>
      <c r="I6" s="4" t="str">
        <f>IF($H6&lt;&gt;"","YES","NO")</f>
        <v>YES</v>
      </c>
      <c r="J6" s="4" t="str">
        <f>IF(N($T6)&gt;0,"YES","NO")</f>
        <v>NO</v>
      </c>
      <c r="K6" s="4" t="str">
        <f>IF(OR($A6="EHT Trace"),IF(AND($U6&lt;&gt;"",$V6&lt;&gt;""),"YES","NO"),"N/A")</f>
        <v>NO</v>
      </c>
      <c r="L6" s="4" t="str">
        <f>IF(OR($A6="EHT Trace"),IF(AND($X6&lt;&gt;"",$Y6&lt;&gt;""),"YES","NO"),"N/A")</f>
        <v>NO</v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inlineStr">
        <is>
          <t>8HTV1-CT</t>
        </is>
      </c>
      <c r="AK6" s="9" t="inlineStr">
        <is>
          <t>11.4 m m</t>
        </is>
      </c>
      <c r="AL6" s="9" t="inlineStr">
        <is>
          <t>Levy Ostrup</t>
        </is>
      </c>
      <c r="AM6" s="9" t="n"/>
      <c r="AN6" s="9" t="n"/>
    </row>
    <row r="7">
      <c r="A7" s="9" t="inlineStr">
        <is>
          <t>EHT Trace</t>
        </is>
      </c>
      <c r="B7" s="9" t="inlineStr">
        <is>
          <t>29151-ET-FG4102-1-2</t>
        </is>
      </c>
      <c r="C7" s="9" t="inlineStr">
        <is>
          <t>29151-ET-FG4102-1</t>
        </is>
      </c>
      <c r="D7" s="9" t="inlineStr"/>
      <c r="E7" s="9" t="inlineStr">
        <is>
          <t>29151-FG-4103, 29151-FG-4102</t>
        </is>
      </c>
      <c r="F7" s="9" t="inlineStr">
        <is>
          <t>29151-65R-ET-FG4102-01-01</t>
        </is>
      </c>
      <c r="G7" s="9" t="inlineStr">
        <is>
          <t>13.1</t>
        </is>
      </c>
      <c r="H7" s="9" t="inlineStr">
        <is>
          <t>29151-ET-FG4102-1-2.pdf</t>
        </is>
      </c>
      <c r="I7" s="4" t="str">
        <f>IF($H7&lt;&gt;"","YES","NO")</f>
        <v>YES</v>
      </c>
      <c r="J7" s="4" t="str">
        <f>IF(N($T7)&gt;0,"YES","NO")</f>
        <v>NO</v>
      </c>
      <c r="K7" s="4" t="str">
        <f>IF(OR($A7="EHT Trace"),IF(AND($U7&lt;&gt;"",$V7&lt;&gt;""),"YES","NO"),"N/A")</f>
        <v>NO</v>
      </c>
      <c r="L7" s="4" t="str">
        <f>IF(OR($A7="EHT Trace"),IF(AND($X7&lt;&gt;"",$Y7&lt;&gt;""),"YES","NO"),"N/A")</f>
        <v>NO</v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inlineStr">
        <is>
          <t>8HTV1-CT</t>
        </is>
      </c>
      <c r="AK7" s="9" t="inlineStr">
        <is>
          <t>8.7 m m</t>
        </is>
      </c>
      <c r="AL7" s="9" t="inlineStr">
        <is>
          <t>Levy Ostrup</t>
        </is>
      </c>
      <c r="AM7" s="9" t="n"/>
      <c r="AN7" s="9" t="n"/>
    </row>
    <row r="8">
      <c r="A8" s="9" t="inlineStr">
        <is>
          <t>EHT Trace</t>
        </is>
      </c>
      <c r="B8" s="9" t="inlineStr">
        <is>
          <t>29151-ET-HC4102-1-1</t>
        </is>
      </c>
      <c r="C8" s="9" t="inlineStr">
        <is>
          <t>29151-ET-HC4102-1</t>
        </is>
      </c>
      <c r="D8" s="9" t="inlineStr"/>
      <c r="E8" s="9" t="inlineStr">
        <is>
          <t>29151-HC-4102</t>
        </is>
      </c>
      <c r="F8" s="9" t="inlineStr">
        <is>
          <t>29151-65R-ET-HC4102-01-01</t>
        </is>
      </c>
      <c r="G8" s="9" t="inlineStr">
        <is>
          <t>13.1</t>
        </is>
      </c>
      <c r="H8" s="9" t="inlineStr">
        <is>
          <t>29151-ET-HC4102-1-1.pdf</t>
        </is>
      </c>
      <c r="I8" s="4" t="str">
        <f>IF($H8&lt;&gt;"","YES","NO")</f>
        <v>YES</v>
      </c>
      <c r="J8" s="4" t="str">
        <f>IF(N($T8)&gt;0,"YES","NO")</f>
        <v>NO</v>
      </c>
      <c r="K8" s="4" t="str">
        <f>IF(OR($A8="EHT Trace"),IF(AND($U8&lt;&gt;"",$V8&lt;&gt;""),"YES","NO"),"N/A")</f>
        <v>NO</v>
      </c>
      <c r="L8" s="4" t="str">
        <f>IF(OR($A8="EHT Trace"),IF(AND($X8&lt;&gt;"",$Y8&lt;&gt;""),"YES","NO"),"N/A")</f>
        <v>NO</v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NO</v>
      </c>
      <c r="S8" s="4" t="str">
        <f>IF(COUNTIF(I8:R8,"NO")=0,"YES","NO")</f>
        <v>NO</v>
      </c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inlineStr">
        <is>
          <t>5HTV1-CT</t>
        </is>
      </c>
      <c r="AK8" s="9" t="inlineStr">
        <is>
          <t>39.9 m m</t>
        </is>
      </c>
      <c r="AL8" s="9" t="inlineStr">
        <is>
          <t>Levy Ostrup</t>
        </is>
      </c>
      <c r="AM8" s="9" t="n"/>
      <c r="AN8" s="9" t="n"/>
    </row>
    <row r="9">
      <c r="A9" s="9" t="inlineStr">
        <is>
          <t>EHT Trace</t>
        </is>
      </c>
      <c r="B9" s="9" t="inlineStr">
        <is>
          <t>29151-ET-MT0001-1-1</t>
        </is>
      </c>
      <c r="C9" s="9" t="inlineStr">
        <is>
          <t>29151-ET-MT0001-1</t>
        </is>
      </c>
      <c r="D9" s="9" t="inlineStr"/>
      <c r="E9" s="9" t="inlineStr">
        <is>
          <t>29151-MT-0001</t>
        </is>
      </c>
      <c r="F9" s="9" t="inlineStr">
        <is>
          <t>29151-65R-ET-MT0001-01-01</t>
        </is>
      </c>
      <c r="G9" s="9" t="inlineStr">
        <is>
          <t>13.1</t>
        </is>
      </c>
      <c r="H9" s="9" t="inlineStr">
        <is>
          <t>29151-ET-MT0001-1-1.pdf</t>
        </is>
      </c>
      <c r="I9" s="4" t="str">
        <f>IF($H9&lt;&gt;"","YES","NO")</f>
        <v>YES</v>
      </c>
      <c r="J9" s="4" t="str">
        <f>IF(N($T9)&gt;0,"YES","NO")</f>
        <v>NO</v>
      </c>
      <c r="K9" s="4" t="str">
        <f>IF(OR($A9="EHT Trace"),IF(AND($U9&lt;&gt;"",$V9&lt;&gt;""),"YES","NO"),"N/A")</f>
        <v>NO</v>
      </c>
      <c r="L9" s="4" t="str">
        <f>IF(OR($A9="EHT Trace"),IF(AND($X9&lt;&gt;"",$Y9&lt;&gt;""),"YES","NO"),"N/A")</f>
        <v>NO</v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NO</v>
      </c>
      <c r="S9" s="4" t="str">
        <f>IF(COUNTIF(I9:R9,"NO")=0,"YES","NO")</f>
        <v>NO</v>
      </c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inlineStr">
        <is>
          <t>5XTVR1-CT</t>
        </is>
      </c>
      <c r="AK9" s="9" t="inlineStr">
        <is>
          <t>2.6 m m</t>
        </is>
      </c>
      <c r="AL9" s="9" t="inlineStr">
        <is>
          <t>Levy Ostrup</t>
        </is>
      </c>
      <c r="AM9" s="9" t="n"/>
      <c r="AN9" s="9" t="n"/>
    </row>
    <row r="10">
      <c r="A10" s="9" t="inlineStr">
        <is>
          <t>EHT Trace</t>
        </is>
      </c>
      <c r="B10" s="9" t="inlineStr">
        <is>
          <t>29151-ET-MT0002-1-1</t>
        </is>
      </c>
      <c r="C10" s="9" t="inlineStr">
        <is>
          <t>29151-ET-MT0002-1</t>
        </is>
      </c>
      <c r="D10" s="9" t="inlineStr"/>
      <c r="E10" s="9" t="inlineStr">
        <is>
          <t>29151-MT-0002</t>
        </is>
      </c>
      <c r="F10" s="9" t="inlineStr">
        <is>
          <t>29151-65R-ET-MT0002-01-01</t>
        </is>
      </c>
      <c r="G10" s="9" t="inlineStr">
        <is>
          <t>13.1</t>
        </is>
      </c>
      <c r="H10" s="9" t="inlineStr">
        <is>
          <t>29151-ET-MT0002-1-1.pdf</t>
        </is>
      </c>
      <c r="I10" s="4" t="str">
        <f>IF($H10&lt;&gt;"","YES","NO")</f>
        <v>YES</v>
      </c>
      <c r="J10" s="4" t="str">
        <f>IF(N($T10)&gt;0,"YES","NO")</f>
        <v>NO</v>
      </c>
      <c r="K10" s="4" t="str">
        <f>IF(OR($A10="EHT Trace"),IF(AND($U10&lt;&gt;"",$V10&lt;&gt;""),"YES","NO"),"N/A")</f>
        <v>NO</v>
      </c>
      <c r="L10" s="4" t="str">
        <f>IF(OR($A10="EHT Trace"),IF(AND($X10&lt;&gt;"",$Y10&lt;&gt;""),"YES","NO"),"N/A")</f>
        <v>NO</v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inlineStr">
        <is>
          <t>12HTV1-CT</t>
        </is>
      </c>
      <c r="AK10" s="9" t="inlineStr">
        <is>
          <t>3.6 m m</t>
        </is>
      </c>
      <c r="AL10" s="9" t="inlineStr">
        <is>
          <t>Levy Ostrup</t>
        </is>
      </c>
      <c r="AM10" s="9" t="n"/>
      <c r="AN10" s="9" t="n"/>
    </row>
    <row r="11">
      <c r="A11" s="9" t="inlineStr">
        <is>
          <t>EHT Trace</t>
        </is>
      </c>
      <c r="B11" s="9" t="inlineStr">
        <is>
          <t>29151-ET-MT0002-1-2</t>
        </is>
      </c>
      <c r="C11" s="9" t="inlineStr">
        <is>
          <t>29151-ET-MT0002-1</t>
        </is>
      </c>
      <c r="D11" s="9" t="inlineStr"/>
      <c r="E11" s="9" t="inlineStr">
        <is>
          <t>29151-MT-0002</t>
        </is>
      </c>
      <c r="F11" s="9" t="inlineStr">
        <is>
          <t>29151-65R-ET-MT0002-01-01</t>
        </is>
      </c>
      <c r="G11" s="9" t="inlineStr">
        <is>
          <t>13.1</t>
        </is>
      </c>
      <c r="H11" s="9" t="inlineStr">
        <is>
          <t>29151-ET-MT0002-1-2.pdf</t>
        </is>
      </c>
      <c r="I11" s="4" t="str">
        <f>IF($H11&lt;&gt;"","YES","NO")</f>
        <v>YES</v>
      </c>
      <c r="J11" s="4" t="str">
        <f>IF(N($T11)&gt;0,"YES","NO")</f>
        <v>NO</v>
      </c>
      <c r="K11" s="4" t="str">
        <f>IF(OR($A11="EHT Trace"),IF(AND($U11&lt;&gt;"",$V11&lt;&gt;""),"YES","NO"),"N/A")</f>
        <v>NO</v>
      </c>
      <c r="L11" s="4" t="str">
        <f>IF(OR($A11="EHT Trace"),IF(AND($X11&lt;&gt;"",$Y11&lt;&gt;""),"YES","NO"),"N/A")</f>
        <v>NO</v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inlineStr">
        <is>
          <t>12HTV1-CT</t>
        </is>
      </c>
      <c r="AK11" s="9" t="inlineStr">
        <is>
          <t>10.4 m m</t>
        </is>
      </c>
      <c r="AL11" s="9" t="inlineStr">
        <is>
          <t>Levy Ostrup</t>
        </is>
      </c>
      <c r="AM11" s="9" t="n"/>
      <c r="AN11" s="9" t="n"/>
    </row>
    <row r="12">
      <c r="A12" s="9" t="inlineStr">
        <is>
          <t>EHT Trace</t>
        </is>
      </c>
      <c r="B12" s="9" t="inlineStr">
        <is>
          <t>29151-ET-PG4100-1-1</t>
        </is>
      </c>
      <c r="C12" s="9" t="inlineStr">
        <is>
          <t>29151-ET-PG4100-1</t>
        </is>
      </c>
      <c r="D12" s="9" t="inlineStr"/>
      <c r="E12" s="9" t="inlineStr">
        <is>
          <t>29151-PG-4101, 29151-PG-4100</t>
        </is>
      </c>
      <c r="F12" s="9" t="inlineStr">
        <is>
          <t>29151-65R-ET-PG4100-01-01</t>
        </is>
      </c>
      <c r="G12" s="9" t="inlineStr">
        <is>
          <t>13.1</t>
        </is>
      </c>
      <c r="H12" s="9" t="inlineStr">
        <is>
          <t>29151-ET-PG4100-1-1.pdf</t>
        </is>
      </c>
      <c r="I12" s="4" t="str">
        <f>IF($H12&lt;&gt;"","YES","NO")</f>
        <v>YES</v>
      </c>
      <c r="J12" s="4" t="str">
        <f>IF(N($T12)&gt;0,"YES","NO")</f>
        <v>NO</v>
      </c>
      <c r="K12" s="4" t="str">
        <f>IF(OR($A12="EHT Trace"),IF(AND($U12&lt;&gt;"",$V12&lt;&gt;""),"YES","NO"),"N/A")</f>
        <v>NO</v>
      </c>
      <c r="L12" s="4" t="str">
        <f>IF(OR($A12="EHT Trace"),IF(AND($X12&lt;&gt;"",$Y12&lt;&gt;""),"YES","NO"),"N/A")</f>
        <v>NO</v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NO</v>
      </c>
      <c r="S12" s="4" t="str">
        <f>IF(COUNTIF(I12:R12,"NO")=0,"YES","NO")</f>
        <v>NO</v>
      </c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inlineStr">
        <is>
          <t>5HTV1-CT</t>
        </is>
      </c>
      <c r="AK12" s="9" t="inlineStr">
        <is>
          <t>33.9 m m</t>
        </is>
      </c>
      <c r="AL12" s="9" t="inlineStr">
        <is>
          <t>Levy Ostrup</t>
        </is>
      </c>
      <c r="AM12" s="9" t="n"/>
      <c r="AN12" s="9" t="n"/>
    </row>
    <row r="13">
      <c r="A13" s="9" t="inlineStr">
        <is>
          <t>EHT Trace</t>
        </is>
      </c>
      <c r="B13" s="9" t="inlineStr">
        <is>
          <t>29151-ET-SC4102-1-1</t>
        </is>
      </c>
      <c r="C13" s="9" t="inlineStr">
        <is>
          <t>29151-ET-SC4102-1</t>
        </is>
      </c>
      <c r="D13" s="9" t="inlineStr"/>
      <c r="E13" s="9" t="inlineStr">
        <is>
          <t>29151-SC-4103, 29151-SC-4102, 29151-DR-4104</t>
        </is>
      </c>
      <c r="F13" s="9" t="inlineStr">
        <is>
          <t>29151-65R-ET-SC4102-01-01</t>
        </is>
      </c>
      <c r="G13" s="9" t="inlineStr">
        <is>
          <t>13.1</t>
        </is>
      </c>
      <c r="H13" s="9" t="inlineStr">
        <is>
          <t>29151-ET-SC4102-1-1.pdf</t>
        </is>
      </c>
      <c r="I13" s="4" t="str">
        <f>IF($H13&lt;&gt;"","YES","NO")</f>
        <v>YES</v>
      </c>
      <c r="J13" s="4" t="str">
        <f>IF(N($T13)&gt;0,"YES","NO")</f>
        <v>NO</v>
      </c>
      <c r="K13" s="4" t="str">
        <f>IF(OR($A13="EHT Trace"),IF(AND($U13&lt;&gt;"",$V13&lt;&gt;""),"YES","NO"),"N/A")</f>
        <v>NO</v>
      </c>
      <c r="L13" s="4" t="str">
        <f>IF(OR($A13="EHT Trace"),IF(AND($X13&lt;&gt;"",$Y13&lt;&gt;""),"YES","NO"),"N/A")</f>
        <v>NO</v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NO</v>
      </c>
      <c r="S13" s="4" t="str">
        <f>IF(COUNTIF(I13:R13,"NO")=0,"YES","NO")</f>
        <v>NO</v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inlineStr">
        <is>
          <t>D/32SQ3100/49.6M/868/120/1.2M/LS23A/X/N12</t>
        </is>
      </c>
      <c r="AK13" s="9" t="inlineStr">
        <is>
          <t>49.6 m m</t>
        </is>
      </c>
      <c r="AL13" s="9" t="inlineStr">
        <is>
          <t>Levy Ostrup</t>
        </is>
      </c>
      <c r="AM13" s="9" t="n"/>
      <c r="AN13" s="9" t="n"/>
    </row>
    <row r="14">
      <c r="A14" s="9" t="inlineStr">
        <is>
          <t>EHT Trace</t>
        </is>
      </c>
      <c r="B14" s="9" t="inlineStr">
        <is>
          <t>29151-ET-SC4102-1-2</t>
        </is>
      </c>
      <c r="C14" s="9" t="inlineStr">
        <is>
          <t>29151-ET-SC4102-1</t>
        </is>
      </c>
      <c r="D14" s="9" t="inlineStr"/>
      <c r="E14" s="9" t="inlineStr">
        <is>
          <t>29203-ST-5005, 29151-ST-4101, 29151-ST-4100, 29151- SC-4102</t>
        </is>
      </c>
      <c r="F14" s="9" t="inlineStr">
        <is>
          <t>29151-65R-ET-SC4102-01-01</t>
        </is>
      </c>
      <c r="G14" s="9" t="inlineStr">
        <is>
          <t>13.1</t>
        </is>
      </c>
      <c r="H14" s="9" t="inlineStr">
        <is>
          <t>29151-ET-SC4102-1-2.pdf</t>
        </is>
      </c>
      <c r="I14" s="4" t="str">
        <f>IF($H14&lt;&gt;"","YES","NO")</f>
        <v>YES</v>
      </c>
      <c r="J14" s="4" t="str">
        <f>IF(N($T14)&gt;0,"YES","NO")</f>
        <v>NO</v>
      </c>
      <c r="K14" s="4" t="str">
        <f>IF(OR($A14="EHT Trace"),IF(AND($U14&lt;&gt;"",$V14&lt;&gt;""),"YES","NO"),"N/A")</f>
        <v>NO</v>
      </c>
      <c r="L14" s="4" t="str">
        <f>IF(OR($A14="EHT Trace"),IF(AND($X14&lt;&gt;"",$Y14&lt;&gt;""),"YES","NO"),"N/A")</f>
        <v>NO</v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inlineStr">
        <is>
          <t>D/32SP4583/49.4M/1418/120/1.2M/LS23A/X/N12</t>
        </is>
      </c>
      <c r="AK14" s="9" t="inlineStr">
        <is>
          <t>49.4 m m</t>
        </is>
      </c>
      <c r="AL14" s="9" t="inlineStr">
        <is>
          <t>Levy Ostrup</t>
        </is>
      </c>
      <c r="AM14" s="9" t="n"/>
      <c r="AN14" s="9" t="n"/>
    </row>
    <row r="15">
      <c r="A15" s="9" t="inlineStr">
        <is>
          <t>EHT Trace</t>
        </is>
      </c>
      <c r="B15" s="9" t="inlineStr">
        <is>
          <t>29203-ET-DR5000-1-1</t>
        </is>
      </c>
      <c r="C15" s="9" t="inlineStr">
        <is>
          <t>29203-ET-DR5000-1</t>
        </is>
      </c>
      <c r="D15" s="9" t="inlineStr"/>
      <c r="E15" s="9" t="inlineStr">
        <is>
          <t>29203-DR-5000</t>
        </is>
      </c>
      <c r="F15" s="9" t="inlineStr">
        <is>
          <t>29203-65R-ET-DR5000-01-01</t>
        </is>
      </c>
      <c r="G15" s="9" t="inlineStr">
        <is>
          <t>13.1</t>
        </is>
      </c>
      <c r="H15" s="9" t="inlineStr">
        <is>
          <t>29203-ET-DR5000-1-1.pdf</t>
        </is>
      </c>
      <c r="I15" s="4" t="str">
        <f>IF($H15&lt;&gt;"","YES","NO")</f>
        <v>YES</v>
      </c>
      <c r="J15" s="4" t="str">
        <f>IF(N($T15)&gt;0,"YES","NO")</f>
        <v>NO</v>
      </c>
      <c r="K15" s="4" t="str">
        <f>IF(OR($A15="EHT Trace"),IF(AND($U15&lt;&gt;"",$V15&lt;&gt;""),"YES","NO"),"N/A")</f>
        <v>YES</v>
      </c>
      <c r="L15" s="4" t="str">
        <f>IF(OR($A15="EHT Trace"),IF(AND($X15&lt;&gt;"",$Y15&lt;&gt;""),"YES","NO"),"N/A")</f>
        <v>NO</v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9" t="n"/>
      <c r="U15" s="9" t="inlineStr">
        <is>
          <t>&gt;2.2 GΩ</t>
        </is>
      </c>
      <c r="V15" s="9" t="inlineStr">
        <is>
          <t>10.2 Ω</t>
        </is>
      </c>
      <c r="W15" s="9" t="inlineStr">
        <is>
          <t>2026-05-17</t>
        </is>
      </c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inlineStr">
        <is>
          <t>D/32SQ3100/29.4M/1382/120/1.2M/LS23A/X/N12</t>
        </is>
      </c>
      <c r="AK15" s="9" t="inlineStr">
        <is>
          <t>29.4 m m</t>
        </is>
      </c>
      <c r="AL15" s="9" t="inlineStr">
        <is>
          <t>Levy Ostrup</t>
        </is>
      </c>
      <c r="AM15" s="9" t="n"/>
      <c r="AN15" s="9" t="n"/>
    </row>
    <row r="16">
      <c r="A16" s="9" t="inlineStr">
        <is>
          <t>EHT Trace</t>
        </is>
      </c>
      <c r="B16" s="9" t="inlineStr">
        <is>
          <t>29203-ET-HC5008-1-1</t>
        </is>
      </c>
      <c r="C16" s="9" t="inlineStr">
        <is>
          <t>29203-ET-HC5008-1</t>
        </is>
      </c>
      <c r="D16" s="9" t="inlineStr"/>
      <c r="E16" s="9" t="inlineStr">
        <is>
          <t>29203-HC-5008, 29203-HC-5006, 29203-HC-5005</t>
        </is>
      </c>
      <c r="F16" s="9" t="inlineStr">
        <is>
          <t>29203-65R-ET-HC5008-01-01</t>
        </is>
      </c>
      <c r="G16" s="9" t="inlineStr">
        <is>
          <t>13.1</t>
        </is>
      </c>
      <c r="H16" s="9" t="inlineStr">
        <is>
          <t>29203-ET-HC5008-1-1.pdf</t>
        </is>
      </c>
      <c r="I16" s="4" t="str">
        <f>IF($H16&lt;&gt;"","YES","NO")</f>
        <v>YES</v>
      </c>
      <c r="J16" s="4" t="str">
        <f>IF(N($T16)&gt;0,"YES","NO")</f>
        <v>NO</v>
      </c>
      <c r="K16" s="4" t="str">
        <f>IF(OR($A16="EHT Trace"),IF(AND($U16&lt;&gt;"",$V16&lt;&gt;""),"YES","NO"),"N/A")</f>
        <v>NO</v>
      </c>
      <c r="L16" s="4" t="str">
        <f>IF(OR($A16="EHT Trace"),IF(AND($X16&lt;&gt;"",$Y16&lt;&gt;""),"YES","NO"),"N/A")</f>
        <v>NO</v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inlineStr">
        <is>
          <t>10HTV1-CT</t>
        </is>
      </c>
      <c r="AK16" s="9" t="inlineStr">
        <is>
          <t>45.7 m m</t>
        </is>
      </c>
      <c r="AL16" s="9" t="inlineStr">
        <is>
          <t>Levy Ostrup</t>
        </is>
      </c>
      <c r="AM16" s="9" t="n"/>
      <c r="AN16" s="9" t="n"/>
    </row>
    <row r="17">
      <c r="A17" s="9" t="inlineStr">
        <is>
          <t>EHT Trace</t>
        </is>
      </c>
      <c r="B17" s="9" t="inlineStr">
        <is>
          <t>29203-ET-HC5008-1-2</t>
        </is>
      </c>
      <c r="C17" s="9" t="inlineStr">
        <is>
          <t>29203-ET-HC5008-1</t>
        </is>
      </c>
      <c r="D17" s="9" t="inlineStr"/>
      <c r="E17" s="9" t="inlineStr">
        <is>
          <t>29203-HC-5008, 29203-HC-5007</t>
        </is>
      </c>
      <c r="F17" s="9" t="inlineStr">
        <is>
          <t>29203-65R-ET-HC5008-01-01</t>
        </is>
      </c>
      <c r="G17" s="9" t="inlineStr">
        <is>
          <t>13.1</t>
        </is>
      </c>
      <c r="H17" s="9" t="inlineStr">
        <is>
          <t>29203-ET-HC5008-1-2.pdf</t>
        </is>
      </c>
      <c r="I17" s="4" t="str">
        <f>IF($H17&lt;&gt;"","YES","NO")</f>
        <v>YES</v>
      </c>
      <c r="J17" s="4" t="str">
        <f>IF(N($T17)&gt;0,"YES","NO")</f>
        <v>NO</v>
      </c>
      <c r="K17" s="4" t="str">
        <f>IF(OR($A17="EHT Trace"),IF(AND($U17&lt;&gt;"",$V17&lt;&gt;""),"YES","NO"),"N/A")</f>
        <v>NO</v>
      </c>
      <c r="L17" s="4" t="str">
        <f>IF(OR($A17="EHT Trace"),IF(AND($X17&lt;&gt;"",$Y17&lt;&gt;""),"YES","NO"),"N/A")</f>
        <v>NO</v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inlineStr">
        <is>
          <t>10HTV1-CT</t>
        </is>
      </c>
      <c r="AK17" s="9" t="inlineStr">
        <is>
          <t>11 m m</t>
        </is>
      </c>
      <c r="AL17" s="9" t="inlineStr">
        <is>
          <t>Levy Ostrup</t>
        </is>
      </c>
      <c r="AM17" s="9" t="n"/>
      <c r="AN17" s="9" t="n"/>
    </row>
    <row r="18">
      <c r="A18" s="9" t="inlineStr">
        <is>
          <t>EHT Trace</t>
        </is>
      </c>
      <c r="B18" s="9" t="inlineStr">
        <is>
          <t>29203-ET-HC5008-1-3</t>
        </is>
      </c>
      <c r="C18" s="9" t="inlineStr">
        <is>
          <t>29203-ET-HC5008-1</t>
        </is>
      </c>
      <c r="D18" s="9" t="inlineStr"/>
      <c r="E18" s="9" t="inlineStr">
        <is>
          <t>29203-HC-5008</t>
        </is>
      </c>
      <c r="F18" s="9" t="inlineStr">
        <is>
          <t>29203-65R-ET-HC5008-01-01</t>
        </is>
      </c>
      <c r="G18" s="9" t="inlineStr">
        <is>
          <t>13.1</t>
        </is>
      </c>
      <c r="H18" s="9" t="inlineStr">
        <is>
          <t>29203-ET-HC5008-1-3.pdf</t>
        </is>
      </c>
      <c r="I18" s="4" t="str">
        <f>IF($H18&lt;&gt;"","YES","NO")</f>
        <v>YES</v>
      </c>
      <c r="J18" s="4" t="str">
        <f>IF(N($T18)&gt;0,"YES","NO")</f>
        <v>NO</v>
      </c>
      <c r="K18" s="4" t="str">
        <f>IF(OR($A18="EHT Trace"),IF(AND($U18&lt;&gt;"",$V18&lt;&gt;""),"YES","NO"),"N/A")</f>
        <v>NO</v>
      </c>
      <c r="L18" s="4" t="str">
        <f>IF(OR($A18="EHT Trace"),IF(AND($X18&lt;&gt;"",$Y18&lt;&gt;""),"YES","NO"),"N/A")</f>
        <v>NO</v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inlineStr">
        <is>
          <t>10HTV1-CT</t>
        </is>
      </c>
      <c r="AK18" s="9" t="inlineStr">
        <is>
          <t>9.6 m m</t>
        </is>
      </c>
      <c r="AL18" s="9" t="inlineStr">
        <is>
          <t>Levy Ostrup</t>
        </is>
      </c>
      <c r="AM18" s="9" t="n"/>
      <c r="AN18" s="9" t="n"/>
    </row>
    <row r="19">
      <c r="A19" s="9" t="inlineStr">
        <is>
          <t>EHT Trace</t>
        </is>
      </c>
      <c r="B19" s="9" t="inlineStr">
        <is>
          <t>29203-ET-LIT0210-1-1</t>
        </is>
      </c>
      <c r="C19" s="9" t="inlineStr">
        <is>
          <t>29203-ET-LIT0210-1</t>
        </is>
      </c>
      <c r="D19" s="9" t="inlineStr"/>
      <c r="E19" s="9" t="inlineStr">
        <is>
          <t>29203-LIT-0210</t>
        </is>
      </c>
      <c r="F19" s="9" t="inlineStr">
        <is>
          <t>29203-65R-ET-LIT0210-01-01</t>
        </is>
      </c>
      <c r="G19" s="9" t="inlineStr">
        <is>
          <t>13.1</t>
        </is>
      </c>
      <c r="H19" s="9" t="inlineStr">
        <is>
          <t>29203-ET-LIT0210-1-1.pdf</t>
        </is>
      </c>
      <c r="I19" s="4" t="str">
        <f>IF($H19&lt;&gt;"","YES","NO")</f>
        <v>YES</v>
      </c>
      <c r="J19" s="4" t="str">
        <f>IF(N($T19)&gt;0,"YES","NO")</f>
        <v>NO</v>
      </c>
      <c r="K19" s="4" t="str">
        <f>IF(OR($A19="EHT Trace"),IF(AND($U19&lt;&gt;"",$V19&lt;&gt;""),"YES","NO"),"N/A")</f>
        <v>NO</v>
      </c>
      <c r="L19" s="4" t="str">
        <f>IF(OR($A19="EHT Trace"),IF(AND($X19&lt;&gt;"",$Y19&lt;&gt;""),"YES","NO"),"N/A")</f>
        <v>NO</v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inlineStr">
        <is>
          <t>8HTV1-CT</t>
        </is>
      </c>
      <c r="AK19" s="9" t="inlineStr">
        <is>
          <t>15.5 m m</t>
        </is>
      </c>
      <c r="AL19" s="9" t="inlineStr">
        <is>
          <t>Levy Ostrup</t>
        </is>
      </c>
      <c r="AM19" s="9" t="n"/>
      <c r="AN19" s="9" t="n"/>
    </row>
    <row r="20">
      <c r="A20" s="9" t="inlineStr">
        <is>
          <t>EHT Trace</t>
        </is>
      </c>
      <c r="B20" s="9" t="inlineStr">
        <is>
          <t>29203-ET-LIT0211-1-1</t>
        </is>
      </c>
      <c r="C20" s="9" t="inlineStr">
        <is>
          <t>29203-ET-LIT0211-1</t>
        </is>
      </c>
      <c r="D20" s="9" t="inlineStr"/>
      <c r="E20" s="9" t="inlineStr">
        <is>
          <t>29203-LIT-0211</t>
        </is>
      </c>
      <c r="F20" s="9" t="inlineStr">
        <is>
          <t>29203-65R-ET-LIT0211-01-01</t>
        </is>
      </c>
      <c r="G20" s="9" t="inlineStr">
        <is>
          <t>13.1</t>
        </is>
      </c>
      <c r="H20" s="9" t="inlineStr">
        <is>
          <t>29203-ET-LIT0211-1-1.pdf</t>
        </is>
      </c>
      <c r="I20" s="4" t="str">
        <f>IF($H20&lt;&gt;"","YES","NO")</f>
        <v>YES</v>
      </c>
      <c r="J20" s="4" t="str">
        <f>IF(N($T20)&gt;0,"YES","NO")</f>
        <v>NO</v>
      </c>
      <c r="K20" s="4" t="str">
        <f>IF(OR($A20="EHT Trace"),IF(AND($U20&lt;&gt;"",$V20&lt;&gt;""),"YES","NO"),"N/A")</f>
        <v>NO</v>
      </c>
      <c r="L20" s="4" t="str">
        <f>IF(OR($A20="EHT Trace"),IF(AND($X20&lt;&gt;"",$Y20&lt;&gt;""),"YES","NO"),"N/A")</f>
        <v>NO</v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inlineStr">
        <is>
          <t>8HTV1-CT</t>
        </is>
      </c>
      <c r="AK20" s="9" t="inlineStr">
        <is>
          <t>25 m m</t>
        </is>
      </c>
      <c r="AL20" s="9" t="inlineStr">
        <is>
          <t>Levy Ostrup</t>
        </is>
      </c>
      <c r="AM20" s="9" t="n"/>
      <c r="AN20" s="9" t="n"/>
    </row>
    <row r="21">
      <c r="A21" s="9" t="inlineStr">
        <is>
          <t>EHT Trace</t>
        </is>
      </c>
      <c r="B21" s="9" t="inlineStr">
        <is>
          <t>29203-ET-PE5002-2-1</t>
        </is>
      </c>
      <c r="C21" s="9" t="inlineStr">
        <is>
          <t>29203-ET-PE5002-2</t>
        </is>
      </c>
      <c r="D21" s="9" t="inlineStr"/>
      <c r="E21" s="9" t="inlineStr">
        <is>
          <t>29203-PE-5002</t>
        </is>
      </c>
      <c r="F21" s="9" t="inlineStr">
        <is>
          <t>29203-65R-ET-PE5002-02-01</t>
        </is>
      </c>
      <c r="G21" s="9" t="inlineStr">
        <is>
          <t>13.1</t>
        </is>
      </c>
      <c r="H21" s="9" t="inlineStr">
        <is>
          <t>29203-ET-PE5002-2-1.pdf</t>
        </is>
      </c>
      <c r="I21" s="4" t="str">
        <f>IF($H21&lt;&gt;"","YES","NO")</f>
        <v>YES</v>
      </c>
      <c r="J21" s="4" t="str">
        <f>IF(N($T21)&gt;0,"YES","NO")</f>
        <v>NO</v>
      </c>
      <c r="K21" s="4" t="str">
        <f>IF(OR($A21="EHT Trace"),IF(AND($U21&lt;&gt;"",$V21&lt;&gt;""),"YES","NO"),"N/A")</f>
        <v>NO</v>
      </c>
      <c r="L21" s="4" t="str">
        <f>IF(OR($A21="EHT Trace"),IF(AND($X21&lt;&gt;"",$Y21&lt;&gt;""),"YES","NO"),"N/A")</f>
        <v>NO</v>
      </c>
      <c r="M21" s="4" t="str">
        <f>IF(OR($A21="EHT Trace"),IF(AND($AA21&lt;&gt;"",$AB21&lt;&gt;""),"YES","NO"),"N/A")</f>
        <v>NO</v>
      </c>
      <c r="N21" s="4" t="str">
        <f>IF(OR($A21="Power Cable"),IF(AND($AD21&lt;&gt;""),"YES","NO"),"N/A")</f>
        <v>N/A</v>
      </c>
      <c r="O21" s="4" t="str">
        <f>IF(OR($A21="Power Cable",$A21="RTD Cable",$A21="Fieldbus Cable"),IF(AND($AE21&lt;&gt;""),"YES","NO"),"N/A")</f>
        <v>N/A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str">
        <f>IF(OR($AM21&lt;&gt;"",$Z21&lt;&gt;"",$AC21&lt;&gt;""),"YES","NO")</f>
        <v>NO</v>
      </c>
      <c r="S21" s="4" t="str">
        <f>IF(COUNTIF(I21:R21,"NO")=0,"YES","NO")</f>
        <v>NO</v>
      </c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inlineStr">
        <is>
          <t>15HTV1-CT</t>
        </is>
      </c>
      <c r="AK21" s="9" t="inlineStr">
        <is>
          <t>37.3 m m</t>
        </is>
      </c>
      <c r="AL21" s="9" t="inlineStr">
        <is>
          <t>Levy Ostrup</t>
        </is>
      </c>
      <c r="AM21" s="9" t="n"/>
      <c r="AN21" s="9" t="n"/>
    </row>
    <row r="22">
      <c r="A22" s="9" t="inlineStr">
        <is>
          <t>EHT Trace</t>
        </is>
      </c>
      <c r="B22" s="9" t="inlineStr">
        <is>
          <t>29203-ET-ST5001-1-1</t>
        </is>
      </c>
      <c r="C22" s="9" t="inlineStr">
        <is>
          <t>29203-ET-ST5001-1</t>
        </is>
      </c>
      <c r="D22" s="9" t="inlineStr"/>
      <c r="E22" s="9" t="inlineStr">
        <is>
          <t>29203-ST-5001</t>
        </is>
      </c>
      <c r="F22" s="9" t="inlineStr">
        <is>
          <t>29203-65R-ET-ST5001-01-01</t>
        </is>
      </c>
      <c r="G22" s="9" t="inlineStr">
        <is>
          <t>13.1</t>
        </is>
      </c>
      <c r="H22" s="9" t="inlineStr">
        <is>
          <t>29203-ET-ST5001-1-1.pdf</t>
        </is>
      </c>
      <c r="I22" s="4" t="str">
        <f>IF($H22&lt;&gt;"","YES","NO")</f>
        <v>YES</v>
      </c>
      <c r="J22" s="4" t="str">
        <f>IF(N($T22)&gt;0,"YES","NO")</f>
        <v>NO</v>
      </c>
      <c r="K22" s="4" t="str">
        <f>IF(OR($A22="EHT Trace"),IF(AND($U22&lt;&gt;"",$V22&lt;&gt;""),"YES","NO"),"N/A")</f>
        <v>NO</v>
      </c>
      <c r="L22" s="4" t="str">
        <f>IF(OR($A22="EHT Trace"),IF(AND($X22&lt;&gt;"",$Y22&lt;&gt;""),"YES","NO"),"N/A")</f>
        <v>NO</v>
      </c>
      <c r="M22" s="4" t="str">
        <f>IF(OR($A22="EHT Trace"),IF(AND($AA22&lt;&gt;"",$AB22&lt;&gt;""),"YES","NO"),"N/A")</f>
        <v>NO</v>
      </c>
      <c r="N22" s="4" t="str">
        <f>IF(OR($A22="Power Cable"),IF(AND($AD22&lt;&gt;""),"YES","NO"),"N/A")</f>
        <v>N/A</v>
      </c>
      <c r="O22" s="4" t="str">
        <f>IF(OR($A22="Power Cable",$A22="RTD Cable",$A22="Fieldbus Cable"),IF(AND($AE22&lt;&gt;""),"YES","NO"),"N/A")</f>
        <v>N/A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str">
        <f>IF(OR($AM22&lt;&gt;"",$Z22&lt;&gt;"",$AC22&lt;&gt;""),"YES","NO")</f>
        <v>NO</v>
      </c>
      <c r="S22" s="4" t="str">
        <f>IF(COUNTIF(I22:R22,"NO")=0,"YES","NO")</f>
        <v>NO</v>
      </c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inlineStr">
        <is>
          <t>D/32SQ3472/20.6M/443/120/2.1M/LS23A/X/N12</t>
        </is>
      </c>
      <c r="AK22" s="9" t="inlineStr">
        <is>
          <t>20.6 m m</t>
        </is>
      </c>
      <c r="AL22" s="9" t="inlineStr">
        <is>
          <t>Levy Ostrup</t>
        </is>
      </c>
      <c r="AM22" s="9" t="n"/>
      <c r="AN22" s="9" t="n"/>
    </row>
    <row r="23">
      <c r="A23" s="9" t="inlineStr">
        <is>
          <t>Power Cable</t>
        </is>
      </c>
      <c r="B23" s="9" t="inlineStr">
        <is>
          <t>29151-ET-DR4100-1-PWK-1</t>
        </is>
      </c>
      <c r="C23" s="9" t="inlineStr">
        <is>
          <t>29151-ET-DR4100-1</t>
        </is>
      </c>
      <c r="D23" s="9" t="inlineStr"/>
      <c r="E23" s="9" t="inlineStr">
        <is>
          <t>29151-HTP-001</t>
        </is>
      </c>
      <c r="F23" s="9" t="inlineStr"/>
      <c r="G23" s="9" t="inlineStr">
        <is>
          <t>113</t>
        </is>
      </c>
      <c r="H23" s="9" t="inlineStr">
        <is>
          <t>29151-ET-DR4100-1-PWK-1.pdf</t>
        </is>
      </c>
      <c r="I23" s="4" t="str">
        <f>IF($H23&lt;&gt;"","YES","NO")</f>
        <v>YES</v>
      </c>
      <c r="J23" s="4" t="str">
        <f>IF(N($T23)&gt;0,"YES","NO")</f>
        <v>YES</v>
      </c>
      <c r="K23" s="4" t="str">
        <f>IF(OR($A23="EHT Trace"),IF(AND($U23&lt;&gt;"",$V23&lt;&gt;""),"YES","NO"),"N/A")</f>
        <v>N/A</v>
      </c>
      <c r="L23" s="4" t="str">
        <f>IF(OR($A23="EHT Trace"),IF(AND($X23&lt;&gt;"",$Y23&lt;&gt;""),"YES","NO"),"N/A")</f>
        <v>N/A</v>
      </c>
      <c r="M23" s="4" t="str">
        <f>IF(OR($A23="EHT Trace"),IF(AND($AA23&lt;&gt;"",$AB23&lt;&gt;""),"YES","NO"),"N/A")</f>
        <v>N/A</v>
      </c>
      <c r="N23" s="4" t="str">
        <f>IF(OR($A23="Power Cable"),IF(AND($AD23&lt;&gt;""),"YES","NO"),"N/A")</f>
        <v>YES</v>
      </c>
      <c r="O23" s="4" t="str">
        <f>IF(OR($A23="Power Cable",$A23="RTD Cable",$A23="Fieldbus Cable"),IF(AND($AE23&lt;&gt;""),"YES","NO"),"N/A")</f>
        <v>YES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str">
        <f>IF(OR($AM23&lt;&gt;"",$Z23&lt;&gt;"",$AC23&lt;&gt;""),"YES","NO")</f>
        <v>YES</v>
      </c>
      <c r="S23" s="4" t="str">
        <f>IF(COUNTIF(I23:R23,"NO")=0,"YES","NO")</f>
        <v>YES</v>
      </c>
      <c r="T23" s="9" t="n">
        <v>8</v>
      </c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inlineStr">
        <is>
          <t>550 MΩ / 550 MΩ / 550 MΩ</t>
        </is>
      </c>
      <c r="AE23" s="9" t="inlineStr">
        <is>
          <t>0.3 Ω / OL / OL</t>
        </is>
      </c>
      <c r="AF23" s="9" t="inlineStr">
        <is>
          <t>Fluke 1587 FC 72300003</t>
        </is>
      </c>
      <c r="AG23" s="9" t="n"/>
      <c r="AH23" s="9" t="n"/>
      <c r="AI23" s="9" t="n"/>
      <c r="AJ23" s="9" t="inlineStr">
        <is>
          <t>Teck</t>
        </is>
      </c>
      <c r="AK23" s="9" t="inlineStr">
        <is>
          <t>10 AWG</t>
        </is>
      </c>
      <c r="AL23" s="9" t="inlineStr">
        <is>
          <t>Levy Ostrup</t>
        </is>
      </c>
      <c r="AM23" s="9" t="inlineStr">
        <is>
          <t>Sept 26</t>
        </is>
      </c>
      <c r="AN23" s="9" t="inlineStr">
        <is>
          <t>Cable needs support - fixed Sept 25 | Heat trace should be 43W p/m, has 66W p/m installed</t>
        </is>
      </c>
    </row>
    <row r="24">
      <c r="A24" s="9" t="inlineStr">
        <is>
          <t>Power Cable</t>
        </is>
      </c>
      <c r="B24" s="9" t="inlineStr">
        <is>
          <t>29151-ET-FG4102-1-PWK-1</t>
        </is>
      </c>
      <c r="C24" s="9" t="inlineStr">
        <is>
          <t>29151-ET-FG4102-1</t>
        </is>
      </c>
      <c r="D24" s="9" t="inlineStr"/>
      <c r="E24" s="9" t="inlineStr">
        <is>
          <t>29151-HTP-001</t>
        </is>
      </c>
      <c r="F24" s="9" t="inlineStr"/>
      <c r="G24" s="9" t="inlineStr">
        <is>
          <t>113</t>
        </is>
      </c>
      <c r="H24" s="9" t="inlineStr">
        <is>
          <t>29151-ET-FG4102-1-PWK-1.pdf</t>
        </is>
      </c>
      <c r="I24" s="4" t="str">
        <f>IF($H24&lt;&gt;"","YES","NO")</f>
        <v>YES</v>
      </c>
      <c r="J24" s="4" t="str">
        <f>IF(N($T24)&gt;0,"YES","NO")</f>
        <v>YES</v>
      </c>
      <c r="K24" s="4" t="str">
        <f>IF(OR($A24="EHT Trace"),IF(AND($U24&lt;&gt;"",$V24&lt;&gt;""),"YES","NO"),"N/A")</f>
        <v>N/A</v>
      </c>
      <c r="L24" s="4" t="str">
        <f>IF(OR($A24="EHT Trace"),IF(AND($X24&lt;&gt;"",$Y24&lt;&gt;""),"YES","NO"),"N/A")</f>
        <v>N/A</v>
      </c>
      <c r="M24" s="4" t="str">
        <f>IF(OR($A24="EHT Trace"),IF(AND($AA24&lt;&gt;"",$AB24&lt;&gt;""),"YES","NO"),"N/A")</f>
        <v>N/A</v>
      </c>
      <c r="N24" s="4" t="str">
        <f>IF(OR($A24="Power Cable"),IF(AND($AD24&lt;&gt;""),"YES","NO"),"N/A")</f>
        <v>YES</v>
      </c>
      <c r="O24" s="4" t="str">
        <f>IF(OR($A24="Power Cable",$A24="RTD Cable",$A24="Fieldbus Cable"),IF(AND($AE24&lt;&gt;""),"YES","NO"),"N/A")</f>
        <v>YES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str">
        <f>IF(OR($AM24&lt;&gt;"",$Z24&lt;&gt;"",$AC24&lt;&gt;""),"YES","NO")</f>
        <v>YES</v>
      </c>
      <c r="S24" s="4" t="str">
        <f>IF(COUNTIF(I24:R24,"NO")=0,"YES","NO")</f>
        <v>YES</v>
      </c>
      <c r="T24" s="9" t="n">
        <v>9</v>
      </c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inlineStr">
        <is>
          <t>550 MΩ / 550 MΩ / 550 MΩ</t>
        </is>
      </c>
      <c r="AE24" s="9" t="inlineStr">
        <is>
          <t>0.3 Ω / OL / OL</t>
        </is>
      </c>
      <c r="AF24" s="9" t="inlineStr">
        <is>
          <t>Fluke 1587 FC 72300003</t>
        </is>
      </c>
      <c r="AG24" s="9" t="n"/>
      <c r="AH24" s="9" t="n"/>
      <c r="AI24" s="9" t="n"/>
      <c r="AJ24" s="9" t="inlineStr">
        <is>
          <t>Teck</t>
        </is>
      </c>
      <c r="AK24" s="9" t="inlineStr">
        <is>
          <t>10 AWG</t>
        </is>
      </c>
      <c r="AL24" s="9" t="inlineStr">
        <is>
          <t>Levy Ostrup</t>
        </is>
      </c>
      <c r="AM24" s="9" t="inlineStr">
        <is>
          <t>Sept 25</t>
        </is>
      </c>
      <c r="AN24" s="9" t="inlineStr">
        <is>
          <t>Check ISO - checked termination Sept 26 2026 | Needs grommet on tray</t>
        </is>
      </c>
    </row>
    <row r="25">
      <c r="A25" s="9" t="inlineStr">
        <is>
          <t>Power Cable</t>
        </is>
      </c>
      <c r="B25" s="9" t="inlineStr">
        <is>
          <t>29151-ET-HC4102-1-PWK-1</t>
        </is>
      </c>
      <c r="C25" s="9" t="inlineStr">
        <is>
          <t>29151-ET-HC4102-1</t>
        </is>
      </c>
      <c r="D25" s="9" t="inlineStr"/>
      <c r="E25" s="9" t="inlineStr">
        <is>
          <t>29151-HTP-001</t>
        </is>
      </c>
      <c r="F25" s="9" t="inlineStr"/>
      <c r="G25" s="9" t="inlineStr">
        <is>
          <t>113</t>
        </is>
      </c>
      <c r="H25" s="9" t="inlineStr">
        <is>
          <t>29151-ET-HC4102-1-PWK-1.pdf</t>
        </is>
      </c>
      <c r="I25" s="4" t="str">
        <f>IF($H25&lt;&gt;"","YES","NO")</f>
        <v>YES</v>
      </c>
      <c r="J25" s="4" t="str">
        <f>IF(N($T25)&gt;0,"YES","NO")</f>
        <v>YES</v>
      </c>
      <c r="K25" s="4" t="str">
        <f>IF(OR($A25="EHT Trace"),IF(AND($U25&lt;&gt;"",$V25&lt;&gt;""),"YES","NO"),"N/A")</f>
        <v>N/A</v>
      </c>
      <c r="L25" s="4" t="str">
        <f>IF(OR($A25="EHT Trace"),IF(AND($X25&lt;&gt;"",$Y25&lt;&gt;""),"YES","NO"),"N/A")</f>
        <v>N/A</v>
      </c>
      <c r="M25" s="4" t="str">
        <f>IF(OR($A25="EHT Trace"),IF(AND($AA25&lt;&gt;"",$AB25&lt;&gt;""),"YES","NO"),"N/A")</f>
        <v>N/A</v>
      </c>
      <c r="N25" s="4" t="str">
        <f>IF(OR($A25="Power Cable"),IF(AND($AD25&lt;&gt;""),"YES","NO"),"N/A")</f>
        <v>YES</v>
      </c>
      <c r="O25" s="4" t="str">
        <f>IF(OR($A25="Power Cable",$A25="RTD Cable",$A25="Fieldbus Cable"),IF(AND($AE25&lt;&gt;""),"YES","NO"),"N/A")</f>
        <v>YES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str">
        <f>IF(OR($AM25&lt;&gt;"",$Z25&lt;&gt;"",$AC25&lt;&gt;""),"YES","NO")</f>
        <v>YES</v>
      </c>
      <c r="S25" s="4" t="str">
        <f>IF(COUNTIF(I25:R25,"NO")=0,"YES","NO")</f>
        <v>YES</v>
      </c>
      <c r="T25" s="9" t="n">
        <v>8</v>
      </c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inlineStr">
        <is>
          <t>550 MΩ / 550 MΩ / 550 MΩ</t>
        </is>
      </c>
      <c r="AE25" s="9" t="inlineStr">
        <is>
          <t>0.3 Ω / OL / OL</t>
        </is>
      </c>
      <c r="AF25" s="9" t="inlineStr">
        <is>
          <t>Fluke 1587 FC 72300003</t>
        </is>
      </c>
      <c r="AG25" s="9" t="n"/>
      <c r="AH25" s="9" t="n"/>
      <c r="AI25" s="9" t="n"/>
      <c r="AJ25" s="9" t="inlineStr">
        <is>
          <t>Teck</t>
        </is>
      </c>
      <c r="AK25" s="9" t="inlineStr">
        <is>
          <t>10 AWG</t>
        </is>
      </c>
      <c r="AL25" s="9" t="inlineStr">
        <is>
          <t>Levy Ostrup</t>
        </is>
      </c>
      <c r="AM25" s="9" t="inlineStr">
        <is>
          <t>Sept 26</t>
        </is>
      </c>
      <c r="AN25" s="9" t="inlineStr">
        <is>
          <t>No GRL</t>
        </is>
      </c>
    </row>
    <row r="26">
      <c r="A26" s="9" t="inlineStr">
        <is>
          <t>Power Cable</t>
        </is>
      </c>
      <c r="B26" s="9" t="inlineStr">
        <is>
          <t>29151-ET-MT0002-1-PWK-1</t>
        </is>
      </c>
      <c r="C26" s="9" t="inlineStr">
        <is>
          <t>29151-ET-MT0002-1</t>
        </is>
      </c>
      <c r="D26" s="9" t="inlineStr"/>
      <c r="E26" s="9" t="inlineStr">
        <is>
          <t>29151-HTP-001</t>
        </is>
      </c>
      <c r="F26" s="9" t="inlineStr"/>
      <c r="G26" s="9" t="inlineStr">
        <is>
          <t>113</t>
        </is>
      </c>
      <c r="H26" s="9" t="inlineStr">
        <is>
          <t>29151-ET-MT0002-1-PWK-1.pdf</t>
        </is>
      </c>
      <c r="I26" s="4" t="str">
        <f>IF($H26&lt;&gt;"","YES","NO")</f>
        <v>YES</v>
      </c>
      <c r="J26" s="4" t="str">
        <f>IF(N($T26)&gt;0,"YES","NO")</f>
        <v>YES</v>
      </c>
      <c r="K26" s="4" t="str">
        <f>IF(OR($A26="EHT Trace"),IF(AND($U26&lt;&gt;"",$V26&lt;&gt;""),"YES","NO"),"N/A")</f>
        <v>N/A</v>
      </c>
      <c r="L26" s="4" t="str">
        <f>IF(OR($A26="EHT Trace"),IF(AND($X26&lt;&gt;"",$Y26&lt;&gt;""),"YES","NO"),"N/A")</f>
        <v>N/A</v>
      </c>
      <c r="M26" s="4" t="str">
        <f>IF(OR($A26="EHT Trace"),IF(AND($AA26&lt;&gt;"",$AB26&lt;&gt;""),"YES","NO"),"N/A")</f>
        <v>N/A</v>
      </c>
      <c r="N26" s="4" t="str">
        <f>IF(OR($A26="Power Cable"),IF(AND($AD26&lt;&gt;""),"YES","NO"),"N/A")</f>
        <v>YES</v>
      </c>
      <c r="O26" s="4" t="str">
        <f>IF(OR($A26="Power Cable",$A26="RTD Cable",$A26="Fieldbus Cable"),IF(AND($AE26&lt;&gt;""),"YES","NO"),"N/A")</f>
        <v>YES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str">
        <f>IF(OR($AM26&lt;&gt;"",$Z26&lt;&gt;"",$AC26&lt;&gt;""),"YES","NO")</f>
        <v>YES</v>
      </c>
      <c r="S26" s="4" t="str">
        <f>IF(COUNTIF(I26:R26,"NO")=0,"YES","NO")</f>
        <v>YES</v>
      </c>
      <c r="T26" s="9" t="n">
        <v>9</v>
      </c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inlineStr">
        <is>
          <t>550 MΩ / 550 MΩ / 550 MΩ</t>
        </is>
      </c>
      <c r="AE26" s="9" t="inlineStr">
        <is>
          <t>0.3 Ω / OL / OL</t>
        </is>
      </c>
      <c r="AF26" s="9" t="inlineStr">
        <is>
          <t>Fluke 1587 FC 72300003</t>
        </is>
      </c>
      <c r="AG26" s="9" t="n"/>
      <c r="AH26" s="9" t="n"/>
      <c r="AI26" s="9" t="n"/>
      <c r="AJ26" s="9" t="inlineStr">
        <is>
          <t>Teck</t>
        </is>
      </c>
      <c r="AK26" s="9" t="inlineStr">
        <is>
          <t>10 AWG</t>
        </is>
      </c>
      <c r="AL26" s="9" t="inlineStr">
        <is>
          <t>Levy Ostrup</t>
        </is>
      </c>
      <c r="AM26" s="9" t="inlineStr">
        <is>
          <t>Sept 25, 2026</t>
        </is>
      </c>
      <c r="AN26" s="9" t="inlineStr">
        <is>
          <t>Power kit underneath vessel needs tray support | No GRL on PWK3</t>
        </is>
      </c>
    </row>
    <row r="27">
      <c r="A27" s="9" t="inlineStr">
        <is>
          <t>Power Cable</t>
        </is>
      </c>
      <c r="B27" s="9" t="inlineStr">
        <is>
          <t>29151-ET-PG4100-1-PWK-1</t>
        </is>
      </c>
      <c r="C27" s="9" t="inlineStr">
        <is>
          <t>29151-ET-PG4100-1</t>
        </is>
      </c>
      <c r="D27" s="9" t="inlineStr"/>
      <c r="E27" s="9" t="inlineStr">
        <is>
          <t>29151-HTP-001</t>
        </is>
      </c>
      <c r="F27" s="9" t="inlineStr"/>
      <c r="G27" s="9" t="inlineStr">
        <is>
          <t>113</t>
        </is>
      </c>
      <c r="H27" s="9" t="inlineStr">
        <is>
          <t>29151-ET-PG4100-1-PWK-1.pdf</t>
        </is>
      </c>
      <c r="I27" s="4" t="str">
        <f>IF($H27&lt;&gt;"","YES","NO")</f>
        <v>YES</v>
      </c>
      <c r="J27" s="4" t="str">
        <f>IF(N($T27)&gt;0,"YES","NO")</f>
        <v>YES</v>
      </c>
      <c r="K27" s="4" t="str">
        <f>IF(OR($A27="EHT Trace"),IF(AND($U27&lt;&gt;"",$V27&lt;&gt;""),"YES","NO"),"N/A")</f>
        <v>N/A</v>
      </c>
      <c r="L27" s="4" t="str">
        <f>IF(OR($A27="EHT Trace"),IF(AND($X27&lt;&gt;"",$Y27&lt;&gt;""),"YES","NO"),"N/A")</f>
        <v>N/A</v>
      </c>
      <c r="M27" s="4" t="str">
        <f>IF(OR($A27="EHT Trace"),IF(AND($AA27&lt;&gt;"",$AB27&lt;&gt;""),"YES","NO"),"N/A")</f>
        <v>N/A</v>
      </c>
      <c r="N27" s="4" t="str">
        <f>IF(OR($A27="Power Cable"),IF(AND($AD27&lt;&gt;""),"YES","NO"),"N/A")</f>
        <v>YES</v>
      </c>
      <c r="O27" s="4" t="str">
        <f>IF(OR($A27="Power Cable",$A27="RTD Cable",$A27="Fieldbus Cable"),IF(AND($AE27&lt;&gt;""),"YES","NO"),"N/A")</f>
        <v>YES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str">
        <f>IF(OR($AM27&lt;&gt;"",$Z27&lt;&gt;"",$AC27&lt;&gt;""),"YES","NO")</f>
        <v>YES</v>
      </c>
      <c r="S27" s="4" t="str">
        <f>IF(COUNTIF(I27:R27,"NO")=0,"YES","NO")</f>
        <v>YES</v>
      </c>
      <c r="T27" s="9" t="n">
        <v>8</v>
      </c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inlineStr">
        <is>
          <t>550 MΩ / 550 MΩ / 550 MΩ</t>
        </is>
      </c>
      <c r="AE27" s="9" t="inlineStr">
        <is>
          <t>0.3 Ω / OL / OL</t>
        </is>
      </c>
      <c r="AF27" s="9" t="inlineStr">
        <is>
          <t>Fluke 1587 FC 72300003</t>
        </is>
      </c>
      <c r="AG27" s="9" t="n"/>
      <c r="AH27" s="9" t="n"/>
      <c r="AI27" s="9" t="n"/>
      <c r="AJ27" s="9" t="inlineStr">
        <is>
          <t>Teck</t>
        </is>
      </c>
      <c r="AK27" s="9" t="inlineStr">
        <is>
          <t>10 AWG</t>
        </is>
      </c>
      <c r="AL27" s="9" t="inlineStr">
        <is>
          <t>Levy Ostrup</t>
        </is>
      </c>
      <c r="AM27" s="9" t="inlineStr">
        <is>
          <t>Sept 26</t>
        </is>
      </c>
      <c r="AN27" s="9" t="inlineStr">
        <is>
          <t>No GRL</t>
        </is>
      </c>
    </row>
    <row r="28">
      <c r="A28" s="9" t="inlineStr">
        <is>
          <t>Power Cable</t>
        </is>
      </c>
      <c r="B28" s="9" t="inlineStr">
        <is>
          <t>29151-ET-SC4102-1-PWK-1</t>
        </is>
      </c>
      <c r="C28" s="9" t="inlineStr">
        <is>
          <t>29151-ET-SC4102-1</t>
        </is>
      </c>
      <c r="D28" s="9" t="inlineStr"/>
      <c r="E28" s="9" t="inlineStr">
        <is>
          <t>29151-HTP-001</t>
        </is>
      </c>
      <c r="F28" s="9" t="inlineStr"/>
      <c r="G28" s="9" t="inlineStr">
        <is>
          <t>113</t>
        </is>
      </c>
      <c r="H28" s="9" t="inlineStr">
        <is>
          <t>29151-ET-SC4102-1-PWK-1.pdf</t>
        </is>
      </c>
      <c r="I28" s="4" t="str">
        <f>IF($H28&lt;&gt;"","YES","NO")</f>
        <v>YES</v>
      </c>
      <c r="J28" s="4" t="str">
        <f>IF(N($T28)&gt;0,"YES","NO")</f>
        <v>YES</v>
      </c>
      <c r="K28" s="4" t="str">
        <f>IF(OR($A28="EHT Trace"),IF(AND($U28&lt;&gt;"",$V28&lt;&gt;""),"YES","NO"),"N/A")</f>
        <v>N/A</v>
      </c>
      <c r="L28" s="4" t="str">
        <f>IF(OR($A28="EHT Trace"),IF(AND($X28&lt;&gt;"",$Y28&lt;&gt;""),"YES","NO"),"N/A")</f>
        <v>N/A</v>
      </c>
      <c r="M28" s="4" t="str">
        <f>IF(OR($A28="EHT Trace"),IF(AND($AA28&lt;&gt;"",$AB28&lt;&gt;""),"YES","NO"),"N/A")</f>
        <v>N/A</v>
      </c>
      <c r="N28" s="4" t="str">
        <f>IF(OR($A28="Power Cable"),IF(AND($AD28&lt;&gt;""),"YES","NO"),"N/A")</f>
        <v>YES</v>
      </c>
      <c r="O28" s="4" t="str">
        <f>IF(OR($A28="Power Cable",$A28="RTD Cable",$A28="Fieldbus Cable"),IF(AND($AE28&lt;&gt;""),"YES","NO"),"N/A")</f>
        <v>YES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str">
        <f>IF(OR($AM28&lt;&gt;"",$Z28&lt;&gt;"",$AC28&lt;&gt;""),"YES","NO")</f>
        <v>YES</v>
      </c>
      <c r="S28" s="4" t="str">
        <f>IF(COUNTIF(I28:R28,"NO")=0,"YES","NO")</f>
        <v>YES</v>
      </c>
      <c r="T28" s="9" t="n">
        <v>9</v>
      </c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inlineStr">
        <is>
          <t>&gt;550 MΩ / &gt;550 MΩ / &gt;550 MΩ</t>
        </is>
      </c>
      <c r="AE28" s="9" t="inlineStr">
        <is>
          <t>0.3 Ω / OL / OL</t>
        </is>
      </c>
      <c r="AF28" s="9" t="inlineStr">
        <is>
          <t>Fluke 1587 FC 72300003</t>
        </is>
      </c>
      <c r="AG28" s="9" t="n"/>
      <c r="AH28" s="9" t="n"/>
      <c r="AI28" s="9" t="n"/>
      <c r="AJ28" s="9" t="inlineStr">
        <is>
          <t>Teck</t>
        </is>
      </c>
      <c r="AK28" s="9" t="inlineStr">
        <is>
          <t>8 AWG</t>
        </is>
      </c>
      <c r="AL28" s="9" t="inlineStr">
        <is>
          <t>Levy Ostrup</t>
        </is>
      </c>
      <c r="AM28" s="9" t="inlineStr">
        <is>
          <t>Sept 25 2026</t>
        </is>
      </c>
      <c r="AN28" s="9" t="inlineStr">
        <is>
          <t>Power kit installed but no cable pulled - Completed Sept 26</t>
        </is>
      </c>
    </row>
    <row r="29">
      <c r="A29" s="9" t="inlineStr">
        <is>
          <t>Power Cable</t>
        </is>
      </c>
      <c r="B29" s="9" t="inlineStr">
        <is>
          <t>29203-ET-DR5000-1-PWK-1</t>
        </is>
      </c>
      <c r="C29" s="9" t="inlineStr">
        <is>
          <t>29203-ET-DR5000-1</t>
        </is>
      </c>
      <c r="D29" s="9" t="inlineStr"/>
      <c r="E29" s="9" t="inlineStr">
        <is>
          <t>29151-HTP-001</t>
        </is>
      </c>
      <c r="F29" s="9" t="inlineStr"/>
      <c r="G29" s="9" t="inlineStr">
        <is>
          <t>113</t>
        </is>
      </c>
      <c r="H29" s="9" t="inlineStr">
        <is>
          <t>29203-ET-DR5000-1-PWK-1.pdf</t>
        </is>
      </c>
      <c r="I29" s="4" t="str">
        <f>IF($H29&lt;&gt;"","YES","NO")</f>
        <v>YES</v>
      </c>
      <c r="J29" s="4" t="str">
        <f>IF(N($T29)&gt;0,"YES","NO")</f>
        <v>YES</v>
      </c>
      <c r="K29" s="4" t="str">
        <f>IF(OR($A29="EHT Trace"),IF(AND($U29&lt;&gt;"",$V29&lt;&gt;""),"YES","NO"),"N/A")</f>
        <v>N/A</v>
      </c>
      <c r="L29" s="4" t="str">
        <f>IF(OR($A29="EHT Trace"),IF(AND($X29&lt;&gt;"",$Y29&lt;&gt;""),"YES","NO"),"N/A")</f>
        <v>N/A</v>
      </c>
      <c r="M29" s="4" t="str">
        <f>IF(OR($A29="EHT Trace"),IF(AND($AA29&lt;&gt;"",$AB29&lt;&gt;""),"YES","NO"),"N/A")</f>
        <v>N/A</v>
      </c>
      <c r="N29" s="4" t="str">
        <f>IF(OR($A29="Power Cable"),IF(AND($AD29&lt;&gt;""),"YES","NO"),"N/A")</f>
        <v>YES</v>
      </c>
      <c r="O29" s="4" t="str">
        <f>IF(OR($A29="Power Cable",$A29="RTD Cable",$A29="Fieldbus Cable"),IF(AND($AE29&lt;&gt;""),"YES","NO"),"N/A")</f>
        <v>YES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str">
        <f>IF(OR($AM29&lt;&gt;"",$Z29&lt;&gt;"",$AC29&lt;&gt;""),"YES","NO")</f>
        <v>YES</v>
      </c>
      <c r="S29" s="4" t="str">
        <f>IF(COUNTIF(I29:R29,"NO")=0,"YES","NO")</f>
        <v>YES</v>
      </c>
      <c r="T29" s="9" t="n">
        <v>8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inlineStr">
        <is>
          <t>550 MΩ / 550 MΩ / 550 MΩ</t>
        </is>
      </c>
      <c r="AE29" s="9" t="inlineStr">
        <is>
          <t>0.4 Ω / OL / OL</t>
        </is>
      </c>
      <c r="AF29" s="9" t="inlineStr">
        <is>
          <t>Fluke 1587 FC 72300003</t>
        </is>
      </c>
      <c r="AG29" s="9" t="n"/>
      <c r="AH29" s="9" t="n"/>
      <c r="AI29" s="9" t="n"/>
      <c r="AJ29" s="9" t="inlineStr">
        <is>
          <t>Teck</t>
        </is>
      </c>
      <c r="AK29" s="9" t="inlineStr">
        <is>
          <t>10 AWG</t>
        </is>
      </c>
      <c r="AL29" s="9" t="inlineStr">
        <is>
          <t>Levy Ostrup</t>
        </is>
      </c>
      <c r="AM29" s="9" t="inlineStr">
        <is>
          <t>Sept 24, 2026</t>
        </is>
      </c>
      <c r="AN29" s="9" t="inlineStr">
        <is>
          <t>Missing core marker on white conductor - Fixed Sept 26</t>
        </is>
      </c>
    </row>
    <row r="30">
      <c r="A30" s="9" t="inlineStr">
        <is>
          <t>Power Cable</t>
        </is>
      </c>
      <c r="B30" s="9" t="inlineStr">
        <is>
          <t>29203-ET-HC5008-1-PWK-1</t>
        </is>
      </c>
      <c r="C30" s="9" t="inlineStr">
        <is>
          <t>29203-ET-HC5008-1</t>
        </is>
      </c>
      <c r="D30" s="9" t="inlineStr"/>
      <c r="E30" s="9" t="inlineStr">
        <is>
          <t>29151-HTP-001</t>
        </is>
      </c>
      <c r="F30" s="9" t="inlineStr"/>
      <c r="G30" s="9" t="inlineStr">
        <is>
          <t>113</t>
        </is>
      </c>
      <c r="H30" s="9" t="inlineStr">
        <is>
          <t>29203-ET-HC5008-1-PWK-1.pdf</t>
        </is>
      </c>
      <c r="I30" s="4" t="str">
        <f>IF($H30&lt;&gt;"","YES","NO")</f>
        <v>YES</v>
      </c>
      <c r="J30" s="4" t="str">
        <f>IF(N($T30)&gt;0,"YES","NO")</f>
        <v>YES</v>
      </c>
      <c r="K30" s="4" t="str">
        <f>IF(OR($A30="EHT Trace"),IF(AND($U30&lt;&gt;"",$V30&lt;&gt;""),"YES","NO"),"N/A")</f>
        <v>N/A</v>
      </c>
      <c r="L30" s="4" t="str">
        <f>IF(OR($A30="EHT Trace"),IF(AND($X30&lt;&gt;"",$Y30&lt;&gt;""),"YES","NO"),"N/A")</f>
        <v>N/A</v>
      </c>
      <c r="M30" s="4" t="str">
        <f>IF(OR($A30="EHT Trace"),IF(AND($AA30&lt;&gt;"",$AB30&lt;&gt;""),"YES","NO"),"N/A")</f>
        <v>N/A</v>
      </c>
      <c r="N30" s="4" t="str">
        <f>IF(OR($A30="Power Cable"),IF(AND($AD30&lt;&gt;""),"YES","NO"),"N/A")</f>
        <v>YES</v>
      </c>
      <c r="O30" s="4" t="str">
        <f>IF(OR($A30="Power Cable",$A30="RTD Cable",$A30="Fieldbus Cable"),IF(AND($AE30&lt;&gt;""),"YES","NO"),"N/A")</f>
        <v>YES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str">
        <f>IF(OR($AM30&lt;&gt;"",$Z30&lt;&gt;"",$AC30&lt;&gt;""),"YES","NO")</f>
        <v>YES</v>
      </c>
      <c r="S30" s="4" t="str">
        <f>IF(COUNTIF(I30:R30,"NO")=0,"YES","NO")</f>
        <v>YES</v>
      </c>
      <c r="T30" s="9" t="n">
        <v>9</v>
      </c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inlineStr">
        <is>
          <t>550 MΩ / 550 MΩ / 550 MΩ</t>
        </is>
      </c>
      <c r="AE30" s="9" t="inlineStr">
        <is>
          <t>0.3 Ω / OL / OL</t>
        </is>
      </c>
      <c r="AF30" s="9" t="inlineStr">
        <is>
          <t>Fluke 1587 FC 72300003</t>
        </is>
      </c>
      <c r="AG30" s="9" t="n"/>
      <c r="AH30" s="9" t="n"/>
      <c r="AI30" s="9" t="n"/>
      <c r="AJ30" s="9" t="inlineStr">
        <is>
          <t>Teck</t>
        </is>
      </c>
      <c r="AK30" s="9" t="inlineStr">
        <is>
          <t>6 AWG</t>
        </is>
      </c>
      <c r="AL30" s="9" t="inlineStr">
        <is>
          <t>Levy Ostrup</t>
        </is>
      </c>
      <c r="AM30" s="9" t="inlineStr">
        <is>
          <t>Sept 25, 2026</t>
        </is>
      </c>
      <c r="AN30" s="9" t="inlineStr">
        <is>
          <t>Print calls for #6 AWG, #10 AWG is installed</t>
        </is>
      </c>
    </row>
    <row r="31">
      <c r="A31" s="9" t="inlineStr">
        <is>
          <t>Power Cable</t>
        </is>
      </c>
      <c r="B31" s="9" t="inlineStr">
        <is>
          <t>29203-ET-LIT0210-1-PWK-1</t>
        </is>
      </c>
      <c r="C31" s="9" t="inlineStr">
        <is>
          <t>29203-ET-LIT0210-1</t>
        </is>
      </c>
      <c r="D31" s="9" t="inlineStr"/>
      <c r="E31" s="9" t="inlineStr">
        <is>
          <t>29151-HTP-001</t>
        </is>
      </c>
      <c r="F31" s="9" t="inlineStr"/>
      <c r="G31" s="9" t="inlineStr">
        <is>
          <t>113</t>
        </is>
      </c>
      <c r="H31" s="9" t="inlineStr">
        <is>
          <t>29203-ET-LIT0210-1-PWK-1.pdf</t>
        </is>
      </c>
      <c r="I31" s="4" t="str">
        <f>IF($H31&lt;&gt;"","YES","NO")</f>
        <v>YES</v>
      </c>
      <c r="J31" s="4" t="str">
        <f>IF(N($T31)&gt;0,"YES","NO")</f>
        <v>YES</v>
      </c>
      <c r="K31" s="4" t="str">
        <f>IF(OR($A31="EHT Trace"),IF(AND($U31&lt;&gt;"",$V31&lt;&gt;""),"YES","NO"),"N/A")</f>
        <v>N/A</v>
      </c>
      <c r="L31" s="4" t="str">
        <f>IF(OR($A31="EHT Trace"),IF(AND($X31&lt;&gt;"",$Y31&lt;&gt;""),"YES","NO"),"N/A")</f>
        <v>N/A</v>
      </c>
      <c r="M31" s="4" t="str">
        <f>IF(OR($A31="EHT Trace"),IF(AND($AA31&lt;&gt;"",$AB31&lt;&gt;""),"YES","NO"),"N/A")</f>
        <v>N/A</v>
      </c>
      <c r="N31" s="4" t="str">
        <f>IF(OR($A31="Power Cable"),IF(AND($AD31&lt;&gt;""),"YES","NO"),"N/A")</f>
        <v>YES</v>
      </c>
      <c r="O31" s="4" t="str">
        <f>IF(OR($A31="Power Cable",$A31="RTD Cable",$A31="Fieldbus Cable"),IF(AND($AE31&lt;&gt;""),"YES","NO"),"N/A")</f>
        <v>YES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str">
        <f>IF(OR($AM31&lt;&gt;"",$Z31&lt;&gt;"",$AC31&lt;&gt;""),"YES","NO")</f>
        <v>YES</v>
      </c>
      <c r="S31" s="4" t="str">
        <f>IF(COUNTIF(I31:R31,"NO")=0,"YES","NO")</f>
        <v>YES</v>
      </c>
      <c r="T31" s="9" t="n">
        <v>9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inlineStr">
        <is>
          <t>550 MΩ / 550 MΩ / 550 MΩ</t>
        </is>
      </c>
      <c r="AE31" s="9" t="inlineStr">
        <is>
          <t>0.4 Ω / OL / OL</t>
        </is>
      </c>
      <c r="AF31" s="9" t="inlineStr">
        <is>
          <t>Fluke 1587 FC 72300003</t>
        </is>
      </c>
      <c r="AG31" s="9" t="n"/>
      <c r="AH31" s="9" t="n"/>
      <c r="AI31" s="9" t="n"/>
      <c r="AJ31" s="9" t="inlineStr">
        <is>
          <t>Teck</t>
        </is>
      </c>
      <c r="AK31" s="9" t="inlineStr">
        <is>
          <t>10 AWG</t>
        </is>
      </c>
      <c r="AL31" s="9" t="inlineStr">
        <is>
          <t>Levy Ostrup</t>
        </is>
      </c>
      <c r="AM31" s="9" t="inlineStr">
        <is>
          <t>Sept 25 2026</t>
        </is>
      </c>
      <c r="AN31" s="9" t="n"/>
    </row>
    <row r="32">
      <c r="A32" s="9" t="inlineStr">
        <is>
          <t>Power Cable</t>
        </is>
      </c>
      <c r="B32" s="9" t="inlineStr">
        <is>
          <t>29203-ET-LIT0211-1-PWK-1</t>
        </is>
      </c>
      <c r="C32" s="9" t="inlineStr">
        <is>
          <t>29203-ET-LIT0211-1</t>
        </is>
      </c>
      <c r="D32" s="9" t="inlineStr"/>
      <c r="E32" s="9" t="inlineStr">
        <is>
          <t>29151-HTP-001</t>
        </is>
      </c>
      <c r="F32" s="9" t="inlineStr"/>
      <c r="G32" s="9" t="inlineStr">
        <is>
          <t>113</t>
        </is>
      </c>
      <c r="H32" s="9" t="inlineStr">
        <is>
          <t>29203-ET-LIT0211-1-PWK-1.pdf</t>
        </is>
      </c>
      <c r="I32" s="4" t="str">
        <f>IF($H32&lt;&gt;"","YES","NO")</f>
        <v>YES</v>
      </c>
      <c r="J32" s="4" t="str">
        <f>IF(N($T32)&gt;0,"YES","NO")</f>
        <v>YES</v>
      </c>
      <c r="K32" s="4" t="str">
        <f>IF(OR($A32="EHT Trace"),IF(AND($U32&lt;&gt;"",$V32&lt;&gt;""),"YES","NO"),"N/A")</f>
        <v>N/A</v>
      </c>
      <c r="L32" s="4" t="str">
        <f>IF(OR($A32="EHT Trace"),IF(AND($X32&lt;&gt;"",$Y32&lt;&gt;""),"YES","NO"),"N/A")</f>
        <v>N/A</v>
      </c>
      <c r="M32" s="4" t="str">
        <f>IF(OR($A32="EHT Trace"),IF(AND($AA32&lt;&gt;"",$AB32&lt;&gt;""),"YES","NO"),"N/A")</f>
        <v>N/A</v>
      </c>
      <c r="N32" s="4" t="str">
        <f>IF(OR($A32="Power Cable"),IF(AND($AD32&lt;&gt;""),"YES","NO"),"N/A")</f>
        <v>YES</v>
      </c>
      <c r="O32" s="4" t="str">
        <f>IF(OR($A32="Power Cable",$A32="RTD Cable",$A32="Fieldbus Cable"),IF(AND($AE32&lt;&gt;""),"YES","NO"),"N/A")</f>
        <v>YES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str">
        <f>IF(OR($AM32&lt;&gt;"",$Z32&lt;&gt;"",$AC32&lt;&gt;""),"YES","NO")</f>
        <v>YES</v>
      </c>
      <c r="S32" s="4" t="str">
        <f>IF(COUNTIF(I32:R32,"NO")=0,"YES","NO")</f>
        <v>YES</v>
      </c>
      <c r="T32" s="9" t="n">
        <v>9</v>
      </c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inlineStr">
        <is>
          <t>550 MΩ / 550 MΩ / 550 MΩ</t>
        </is>
      </c>
      <c r="AE32" s="9" t="inlineStr">
        <is>
          <t>0.5 Ω / OL / OL</t>
        </is>
      </c>
      <c r="AF32" s="9" t="inlineStr">
        <is>
          <t>Fluke 1587 FC 72300003</t>
        </is>
      </c>
      <c r="AG32" s="9" t="n"/>
      <c r="AH32" s="9" t="n"/>
      <c r="AI32" s="9" t="n"/>
      <c r="AJ32" s="9" t="inlineStr">
        <is>
          <t>Teck</t>
        </is>
      </c>
      <c r="AK32" s="9" t="inlineStr">
        <is>
          <t>10 AWG</t>
        </is>
      </c>
      <c r="AL32" s="9" t="inlineStr">
        <is>
          <t>Levy Ostrup</t>
        </is>
      </c>
      <c r="AM32" s="9" t="inlineStr">
        <is>
          <t>Sept 25, 2026</t>
        </is>
      </c>
      <c r="AN32" s="9" t="n"/>
    </row>
    <row r="33">
      <c r="A33" s="9" t="inlineStr">
        <is>
          <t>Power Cable</t>
        </is>
      </c>
      <c r="B33" s="9" t="inlineStr">
        <is>
          <t>29203-ET-PE5002-2-PWK-1</t>
        </is>
      </c>
      <c r="C33" s="9" t="inlineStr">
        <is>
          <t>29203-ET-PE5002-2</t>
        </is>
      </c>
      <c r="D33" s="9" t="inlineStr"/>
      <c r="E33" s="9" t="inlineStr">
        <is>
          <t>29151-HTP-001</t>
        </is>
      </c>
      <c r="F33" s="9" t="inlineStr"/>
      <c r="G33" s="9" t="inlineStr">
        <is>
          <t>113</t>
        </is>
      </c>
      <c r="H33" s="9" t="inlineStr">
        <is>
          <t>29203-ET-PE5002-2-PWK-1.pdf</t>
        </is>
      </c>
      <c r="I33" s="4" t="str">
        <f>IF($H33&lt;&gt;"","YES","NO")</f>
        <v>YES</v>
      </c>
      <c r="J33" s="4" t="str">
        <f>IF(N($T33)&gt;0,"YES","NO")</f>
        <v>YES</v>
      </c>
      <c r="K33" s="4" t="str">
        <f>IF(OR($A33="EHT Trace"),IF(AND($U33&lt;&gt;"",$V33&lt;&gt;""),"YES","NO"),"N/A")</f>
        <v>N/A</v>
      </c>
      <c r="L33" s="4" t="str">
        <f>IF(OR($A33="EHT Trace"),IF(AND($X33&lt;&gt;"",$Y33&lt;&gt;""),"YES","NO"),"N/A")</f>
        <v>N/A</v>
      </c>
      <c r="M33" s="4" t="str">
        <f>IF(OR($A33="EHT Trace"),IF(AND($AA33&lt;&gt;"",$AB33&lt;&gt;""),"YES","NO"),"N/A")</f>
        <v>N/A</v>
      </c>
      <c r="N33" s="4" t="str">
        <f>IF(OR($A33="Power Cable"),IF(AND($AD33&lt;&gt;""),"YES","NO"),"N/A")</f>
        <v>YES</v>
      </c>
      <c r="O33" s="4" t="str">
        <f>IF(OR($A33="Power Cable",$A33="RTD Cable",$A33="Fieldbus Cable"),IF(AND($AE33&lt;&gt;""),"YES","NO"),"N/A")</f>
        <v>YES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str">
        <f>IF(OR($AM33&lt;&gt;"",$Z33&lt;&gt;"",$AC33&lt;&gt;""),"YES","NO")</f>
        <v>YES</v>
      </c>
      <c r="S33" s="4" t="str">
        <f>IF(COUNTIF(I33:R33,"NO")=0,"YES","NO")</f>
        <v>YES</v>
      </c>
      <c r="T33" s="9" t="n">
        <v>9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inlineStr">
        <is>
          <t>550 MΩ / 550 MΩ / 550 MΩ</t>
        </is>
      </c>
      <c r="AE33" s="9" t="inlineStr">
        <is>
          <t>0.4 Ω / OL / OL</t>
        </is>
      </c>
      <c r="AF33" s="9" t="inlineStr">
        <is>
          <t>Fluke 1587 FC 72300003</t>
        </is>
      </c>
      <c r="AG33" s="9" t="n"/>
      <c r="AH33" s="9" t="n"/>
      <c r="AI33" s="9" t="n"/>
      <c r="AJ33" s="9" t="inlineStr">
        <is>
          <t>Teck</t>
        </is>
      </c>
      <c r="AK33" s="9" t="inlineStr">
        <is>
          <t>10 AWG</t>
        </is>
      </c>
      <c r="AL33" s="9" t="inlineStr">
        <is>
          <t>Levy Ostrup</t>
        </is>
      </c>
      <c r="AM33" s="9" t="inlineStr">
        <is>
          <t>Sept 25 2026</t>
        </is>
      </c>
      <c r="AN33" s="9" t="inlineStr">
        <is>
          <t>Location of RTD needs to be redlined in ISO.</t>
        </is>
      </c>
    </row>
    <row r="34">
      <c r="A34" s="9" t="inlineStr">
        <is>
          <t>Power Cable</t>
        </is>
      </c>
      <c r="B34" s="9" t="inlineStr">
        <is>
          <t>29203-ET-ST5001-1-PWK-1</t>
        </is>
      </c>
      <c r="C34" s="9" t="inlineStr">
        <is>
          <t>29203-ET-ST5001-1</t>
        </is>
      </c>
      <c r="D34" s="9" t="inlineStr"/>
      <c r="E34" s="9" t="inlineStr">
        <is>
          <t>29151-HTP-001</t>
        </is>
      </c>
      <c r="F34" s="9" t="inlineStr"/>
      <c r="G34" s="9" t="inlineStr">
        <is>
          <t>113</t>
        </is>
      </c>
      <c r="H34" s="9" t="inlineStr">
        <is>
          <t>29203-ET-ST5001-1-PWK-1.pdf</t>
        </is>
      </c>
      <c r="I34" s="4" t="str">
        <f>IF($H34&lt;&gt;"","YES","NO")</f>
        <v>YES</v>
      </c>
      <c r="J34" s="4" t="str">
        <f>IF(N($T34)&gt;0,"YES","NO")</f>
        <v>YES</v>
      </c>
      <c r="K34" s="4" t="str">
        <f>IF(OR($A34="EHT Trace"),IF(AND($U34&lt;&gt;"",$V34&lt;&gt;""),"YES","NO"),"N/A")</f>
        <v>N/A</v>
      </c>
      <c r="L34" s="4" t="str">
        <f>IF(OR($A34="EHT Trace"),IF(AND($X34&lt;&gt;"",$Y34&lt;&gt;""),"YES","NO"),"N/A")</f>
        <v>N/A</v>
      </c>
      <c r="M34" s="4" t="str">
        <f>IF(OR($A34="EHT Trace"),IF(AND($AA34&lt;&gt;"",$AB34&lt;&gt;""),"YES","NO"),"N/A")</f>
        <v>N/A</v>
      </c>
      <c r="N34" s="4" t="str">
        <f>IF(OR($A34="Power Cable"),IF(AND($AD34&lt;&gt;""),"YES","NO"),"N/A")</f>
        <v>YES</v>
      </c>
      <c r="O34" s="4" t="str">
        <f>IF(OR($A34="Power Cable",$A34="RTD Cable",$A34="Fieldbus Cable"),IF(AND($AE34&lt;&gt;""),"YES","NO"),"N/A")</f>
        <v>YES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str">
        <f>IF(OR($AM34&lt;&gt;"",$Z34&lt;&gt;"",$AC34&lt;&gt;""),"YES","NO")</f>
        <v>YES</v>
      </c>
      <c r="S34" s="4" t="str">
        <f>IF(COUNTIF(I34:R34,"NO")=0,"YES","NO")</f>
        <v>YES</v>
      </c>
      <c r="T34" s="9" t="n">
        <v>9</v>
      </c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inlineStr">
        <is>
          <t>550 MΩ / 550 MΩ / 550 MΩ</t>
        </is>
      </c>
      <c r="AE34" s="9" t="inlineStr">
        <is>
          <t>0.5 Ω / OL / OL</t>
        </is>
      </c>
      <c r="AF34" s="9" t="inlineStr">
        <is>
          <t>Fluke 1587 FC 72300003</t>
        </is>
      </c>
      <c r="AG34" s="9" t="n"/>
      <c r="AH34" s="9" t="n"/>
      <c r="AI34" s="9" t="n"/>
      <c r="AJ34" s="9" t="inlineStr">
        <is>
          <t>Teck</t>
        </is>
      </c>
      <c r="AK34" s="9" t="inlineStr">
        <is>
          <t>10 AWG</t>
        </is>
      </c>
      <c r="AL34" s="9" t="inlineStr">
        <is>
          <t>Levy Ostrup</t>
        </is>
      </c>
      <c r="AM34" s="9" t="inlineStr">
        <is>
          <t>Sept 25 2026</t>
        </is>
      </c>
      <c r="AN34" s="9" t="n"/>
    </row>
    <row r="35">
      <c r="A35" s="9" t="inlineStr">
        <is>
          <t>Power Cable</t>
        </is>
      </c>
      <c r="B35" s="9" t="inlineStr">
        <is>
          <t>TANK1-1-PWK-1</t>
        </is>
      </c>
      <c r="C35" s="9" t="inlineStr">
        <is>
          <t>TANK1-1</t>
        </is>
      </c>
      <c r="D35" s="9" t="inlineStr"/>
      <c r="E35" s="9" t="inlineStr">
        <is>
          <t>29151-HTP-001</t>
        </is>
      </c>
      <c r="F35" s="9" t="inlineStr"/>
      <c r="G35" s="9" t="inlineStr">
        <is>
          <t>113</t>
        </is>
      </c>
      <c r="H35" s="9" t="inlineStr">
        <is>
          <t>TANK1-1-PWK-1.pdf</t>
        </is>
      </c>
      <c r="I35" s="4" t="str">
        <f>IF($H35&lt;&gt;"","YES","NO")</f>
        <v>YES</v>
      </c>
      <c r="J35" s="4" t="str">
        <f>IF(N($T35)&gt;0,"YES","NO")</f>
        <v>YES</v>
      </c>
      <c r="K35" s="4" t="str">
        <f>IF(OR($A35="EHT Trace"),IF(AND($U35&lt;&gt;"",$V35&lt;&gt;""),"YES","NO"),"N/A")</f>
        <v>N/A</v>
      </c>
      <c r="L35" s="4" t="str">
        <f>IF(OR($A35="EHT Trace"),IF(AND($X35&lt;&gt;"",$Y35&lt;&gt;""),"YES","NO"),"N/A")</f>
        <v>N/A</v>
      </c>
      <c r="M35" s="4" t="str">
        <f>IF(OR($A35="EHT Trace"),IF(AND($AA35&lt;&gt;"",$AB35&lt;&gt;""),"YES","NO"),"N/A")</f>
        <v>N/A</v>
      </c>
      <c r="N35" s="4" t="str">
        <f>IF(OR($A35="Power Cable"),IF(AND($AD35&lt;&gt;""),"YES","NO"),"N/A")</f>
        <v>YES</v>
      </c>
      <c r="O35" s="4" t="str">
        <f>IF(OR($A35="Power Cable",$A35="RTD Cable",$A35="Fieldbus Cable"),IF(AND($AE35&lt;&gt;""),"YES","NO"),"N/A")</f>
        <v>YES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str">
        <f>IF(OR($AM35&lt;&gt;"",$Z35&lt;&gt;"",$AC35&lt;&gt;""),"YES","NO")</f>
        <v>YES</v>
      </c>
      <c r="S35" s="4" t="str">
        <f>IF(COUNTIF(I35:R35,"NO")=0,"YES","NO")</f>
        <v>YES</v>
      </c>
      <c r="T35" s="9" t="n">
        <v>7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inlineStr">
        <is>
          <t>550 MΩ / 550 MΩ / 550 MΩ</t>
        </is>
      </c>
      <c r="AE35" s="9" t="inlineStr">
        <is>
          <t>0.4 Ω / OL / OL</t>
        </is>
      </c>
      <c r="AF35" s="9" t="inlineStr">
        <is>
          <t>Fluke 1587 FC 72300003</t>
        </is>
      </c>
      <c r="AG35" s="9" t="n"/>
      <c r="AH35" s="9" t="n"/>
      <c r="AI35" s="9" t="n"/>
      <c r="AJ35" s="9" t="inlineStr">
        <is>
          <t>Teck</t>
        </is>
      </c>
      <c r="AK35" s="9" t="inlineStr">
        <is>
          <t>10 AWG</t>
        </is>
      </c>
      <c r="AL35" s="9" t="inlineStr">
        <is>
          <t>Levy Ostrup</t>
        </is>
      </c>
      <c r="AM35" s="9" t="inlineStr">
        <is>
          <t>Sept 24, 2026</t>
        </is>
      </c>
      <c r="AN35" s="9" t="inlineStr">
        <is>
          <t>Missing core marker on white conductor - Fixed Sept 26 | Tray needs grommet</t>
        </is>
      </c>
    </row>
    <row r="36">
      <c r="A36" s="9" t="inlineStr">
        <is>
          <t>Power Cable</t>
        </is>
      </c>
      <c r="B36" s="9" t="inlineStr">
        <is>
          <t>TANK1-2-PWK-1</t>
        </is>
      </c>
      <c r="C36" s="9" t="inlineStr">
        <is>
          <t>TANK1-2</t>
        </is>
      </c>
      <c r="D36" s="9" t="inlineStr"/>
      <c r="E36" s="9" t="inlineStr">
        <is>
          <t>29151-HTP-001</t>
        </is>
      </c>
      <c r="F36" s="9" t="inlineStr"/>
      <c r="G36" s="9" t="inlineStr">
        <is>
          <t>113</t>
        </is>
      </c>
      <c r="H36" s="9" t="inlineStr">
        <is>
          <t>TANK1-2-PWK-1.pdf</t>
        </is>
      </c>
      <c r="I36" s="4" t="str">
        <f>IF($H36&lt;&gt;"","YES","NO")</f>
        <v>YES</v>
      </c>
      <c r="J36" s="4" t="str">
        <f>IF(N($T36)&gt;0,"YES","NO")</f>
        <v>YES</v>
      </c>
      <c r="K36" s="4" t="str">
        <f>IF(OR($A36="EHT Trace"),IF(AND($U36&lt;&gt;"",$V36&lt;&gt;""),"YES","NO"),"N/A")</f>
        <v>N/A</v>
      </c>
      <c r="L36" s="4" t="str">
        <f>IF(OR($A36="EHT Trace"),IF(AND($X36&lt;&gt;"",$Y36&lt;&gt;""),"YES","NO"),"N/A")</f>
        <v>N/A</v>
      </c>
      <c r="M36" s="4" t="str">
        <f>IF(OR($A36="EHT Trace"),IF(AND($AA36&lt;&gt;"",$AB36&lt;&gt;""),"YES","NO"),"N/A")</f>
        <v>N/A</v>
      </c>
      <c r="N36" s="4" t="str">
        <f>IF(OR($A36="Power Cable"),IF(AND($AD36&lt;&gt;""),"YES","NO"),"N/A")</f>
        <v>YES</v>
      </c>
      <c r="O36" s="4" t="str">
        <f>IF(OR($A36="Power Cable",$A36="RTD Cable",$A36="Fieldbus Cable"),IF(AND($AE36&lt;&gt;""),"YES","NO"),"N/A")</f>
        <v>YES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str">
        <f>IF(OR($AM36&lt;&gt;"",$Z36&lt;&gt;"",$AC36&lt;&gt;""),"YES","NO")</f>
        <v>YES</v>
      </c>
      <c r="S36" s="4" t="str">
        <f>IF(COUNTIF(I36:R36,"NO")=0,"YES","NO")</f>
        <v>YES</v>
      </c>
      <c r="T36" s="9" t="n">
        <v>10</v>
      </c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inlineStr">
        <is>
          <t>550 MΩ / 550 MΩ / 550 MΩ</t>
        </is>
      </c>
      <c r="AE36" s="9" t="inlineStr">
        <is>
          <t>0.4 Ω / OL / OL</t>
        </is>
      </c>
      <c r="AF36" s="9" t="inlineStr">
        <is>
          <t>Fluke 1587 FC 72300003</t>
        </is>
      </c>
      <c r="AG36" s="9" t="n"/>
      <c r="AH36" s="9" t="n"/>
      <c r="AI36" s="9" t="n"/>
      <c r="AJ36" s="9" t="inlineStr">
        <is>
          <t>Teck</t>
        </is>
      </c>
      <c r="AK36" s="9" t="inlineStr">
        <is>
          <t>10 AWG</t>
        </is>
      </c>
      <c r="AL36" s="9" t="inlineStr">
        <is>
          <t>Levy Ostrup</t>
        </is>
      </c>
      <c r="AM36" s="9" t="inlineStr">
        <is>
          <t>Sept 25 2026</t>
        </is>
      </c>
      <c r="AN36" s="9" t="n"/>
    </row>
    <row r="37">
      <c r="A37" s="9" t="inlineStr">
        <is>
          <t>Power Cable</t>
        </is>
      </c>
      <c r="B37" s="9" t="inlineStr">
        <is>
          <t>TANK1-3-PWK-1</t>
        </is>
      </c>
      <c r="C37" s="9" t="inlineStr">
        <is>
          <t>TANK1-3</t>
        </is>
      </c>
      <c r="D37" s="9" t="inlineStr"/>
      <c r="E37" s="9" t="inlineStr">
        <is>
          <t>29151-HTP-001</t>
        </is>
      </c>
      <c r="F37" s="9" t="inlineStr"/>
      <c r="G37" s="9" t="inlineStr">
        <is>
          <t>113</t>
        </is>
      </c>
      <c r="H37" s="9" t="inlineStr">
        <is>
          <t>TANK1-3-PWK-1.pdf</t>
        </is>
      </c>
      <c r="I37" s="4" t="str">
        <f>IF($H37&lt;&gt;"","YES","NO")</f>
        <v>YES</v>
      </c>
      <c r="J37" s="4" t="str">
        <f>IF(N($T37)&gt;0,"YES","NO")</f>
        <v>YES</v>
      </c>
      <c r="K37" s="4" t="str">
        <f>IF(OR($A37="EHT Trace"),IF(AND($U37&lt;&gt;"",$V37&lt;&gt;""),"YES","NO"),"N/A")</f>
        <v>N/A</v>
      </c>
      <c r="L37" s="4" t="str">
        <f>IF(OR($A37="EHT Trace"),IF(AND($X37&lt;&gt;"",$Y37&lt;&gt;""),"YES","NO"),"N/A")</f>
        <v>N/A</v>
      </c>
      <c r="M37" s="4" t="str">
        <f>IF(OR($A37="EHT Trace"),IF(AND($AA37&lt;&gt;"",$AB37&lt;&gt;""),"YES","NO"),"N/A")</f>
        <v>N/A</v>
      </c>
      <c r="N37" s="4" t="str">
        <f>IF(OR($A37="Power Cable"),IF(AND($AD37&lt;&gt;""),"YES","NO"),"N/A")</f>
        <v>YES</v>
      </c>
      <c r="O37" s="4" t="str">
        <f>IF(OR($A37="Power Cable",$A37="RTD Cable",$A37="Fieldbus Cable"),IF(AND($AE37&lt;&gt;""),"YES","NO"),"N/A")</f>
        <v>YES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str">
        <f>IF(OR($AM37&lt;&gt;"",$Z37&lt;&gt;"",$AC37&lt;&gt;""),"YES","NO")</f>
        <v>YES</v>
      </c>
      <c r="S37" s="4" t="str">
        <f>IF(COUNTIF(I37:R37,"NO")=0,"YES","NO")</f>
        <v>YES</v>
      </c>
      <c r="T37" s="9" t="n">
        <v>10</v>
      </c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inlineStr">
        <is>
          <t>550 MΩ / 550 MΩ / 550 MΩ</t>
        </is>
      </c>
      <c r="AE37" s="9" t="inlineStr">
        <is>
          <t>0.3 Ω / OL / OL</t>
        </is>
      </c>
      <c r="AF37" s="9" t="inlineStr">
        <is>
          <t>Fluke 1587 FC 72300003</t>
        </is>
      </c>
      <c r="AG37" s="9" t="n"/>
      <c r="AH37" s="9" t="n"/>
      <c r="AI37" s="9" t="n"/>
      <c r="AJ37" s="9" t="inlineStr">
        <is>
          <t>Teck</t>
        </is>
      </c>
      <c r="AK37" s="9" t="inlineStr">
        <is>
          <t>10 AWG</t>
        </is>
      </c>
      <c r="AL37" s="9" t="inlineStr">
        <is>
          <t>Levy Ostrup</t>
        </is>
      </c>
      <c r="AM37" s="9" t="inlineStr">
        <is>
          <t>Sept 25 2026</t>
        </is>
      </c>
      <c r="AN37" s="9" t="n"/>
    </row>
    <row r="38">
      <c r="A38" s="9" t="inlineStr">
        <is>
          <t>Power Cable</t>
        </is>
      </c>
      <c r="B38" s="9" t="inlineStr">
        <is>
          <t>TANK1-4-PWK-1</t>
        </is>
      </c>
      <c r="C38" s="9" t="inlineStr">
        <is>
          <t>TANK1-4</t>
        </is>
      </c>
      <c r="D38" s="9" t="inlineStr"/>
      <c r="E38" s="9" t="inlineStr">
        <is>
          <t>29151-HTP-001</t>
        </is>
      </c>
      <c r="F38" s="9" t="inlineStr"/>
      <c r="G38" s="9" t="inlineStr">
        <is>
          <t>113</t>
        </is>
      </c>
      <c r="H38" s="9" t="inlineStr">
        <is>
          <t>TANK1-4-PWK-1.pdf</t>
        </is>
      </c>
      <c r="I38" s="4" t="str">
        <f>IF($H38&lt;&gt;"","YES","NO")</f>
        <v>YES</v>
      </c>
      <c r="J38" s="4" t="str">
        <f>IF(N($T38)&gt;0,"YES","NO")</f>
        <v>YES</v>
      </c>
      <c r="K38" s="4" t="str">
        <f>IF(OR($A38="EHT Trace"),IF(AND($U38&lt;&gt;"",$V38&lt;&gt;""),"YES","NO"),"N/A")</f>
        <v>N/A</v>
      </c>
      <c r="L38" s="4" t="str">
        <f>IF(OR($A38="EHT Trace"),IF(AND($X38&lt;&gt;"",$Y38&lt;&gt;""),"YES","NO"),"N/A")</f>
        <v>N/A</v>
      </c>
      <c r="M38" s="4" t="str">
        <f>IF(OR($A38="EHT Trace"),IF(AND($AA38&lt;&gt;"",$AB38&lt;&gt;""),"YES","NO"),"N/A")</f>
        <v>N/A</v>
      </c>
      <c r="N38" s="4" t="str">
        <f>IF(OR($A38="Power Cable"),IF(AND($AD38&lt;&gt;""),"YES","NO"),"N/A")</f>
        <v>YES</v>
      </c>
      <c r="O38" s="4" t="str">
        <f>IF(OR($A38="Power Cable",$A38="RTD Cable",$A38="Fieldbus Cable"),IF(AND($AE38&lt;&gt;""),"YES","NO"),"N/A")</f>
        <v>YES</v>
      </c>
      <c r="P38" s="4" t="str">
        <f>IF(OR($A38="RTD"),IF(AND($AH38&lt;&gt;""),"YES","NO"),"N/A")</f>
        <v>N/A</v>
      </c>
      <c r="Q38" s="4" t="str">
        <f>IF(OR($A38="RTD"),IF(AND($AI38&lt;&gt;""),"YES","NO"),"N/A")</f>
        <v>N/A</v>
      </c>
      <c r="R38" s="4" t="str">
        <f>IF(OR($AM38&lt;&gt;"",$Z38&lt;&gt;"",$AC38&lt;&gt;""),"YES","NO")</f>
        <v>YES</v>
      </c>
      <c r="S38" s="4" t="str">
        <f>IF(COUNTIF(I38:R38,"NO")=0,"YES","NO")</f>
        <v>YES</v>
      </c>
      <c r="T38" s="9" t="n">
        <v>9</v>
      </c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inlineStr">
        <is>
          <t>550 MΩ / 550 MΩ / 550 MΩ</t>
        </is>
      </c>
      <c r="AE38" s="9" t="inlineStr">
        <is>
          <t>0.4 Ω / OL / OL</t>
        </is>
      </c>
      <c r="AF38" s="9" t="inlineStr">
        <is>
          <t>Fluke 1587 FC 72300003</t>
        </is>
      </c>
      <c r="AG38" s="9" t="n"/>
      <c r="AH38" s="9" t="n"/>
      <c r="AI38" s="9" t="n"/>
      <c r="AJ38" s="9" t="inlineStr">
        <is>
          <t>Teck</t>
        </is>
      </c>
      <c r="AK38" s="9" t="inlineStr">
        <is>
          <t>10 AWG</t>
        </is>
      </c>
      <c r="AL38" s="9" t="inlineStr">
        <is>
          <t>Levy Ostrup</t>
        </is>
      </c>
      <c r="AM38" s="9" t="inlineStr">
        <is>
          <t>Sept 24 2026</t>
        </is>
      </c>
      <c r="AN38" s="9" t="n"/>
    </row>
    <row r="39">
      <c r="A39" s="9" t="inlineStr">
        <is>
          <t>Power Cable</t>
        </is>
      </c>
      <c r="B39" s="9" t="inlineStr">
        <is>
          <t>TANK1-5-PWK-1</t>
        </is>
      </c>
      <c r="C39" s="9" t="inlineStr">
        <is>
          <t>TANK1-5</t>
        </is>
      </c>
      <c r="D39" s="9" t="inlineStr"/>
      <c r="E39" s="9" t="inlineStr">
        <is>
          <t>29151-HTP-001</t>
        </is>
      </c>
      <c r="F39" s="9" t="inlineStr"/>
      <c r="G39" s="9" t="inlineStr">
        <is>
          <t>113</t>
        </is>
      </c>
      <c r="H39" s="9" t="inlineStr">
        <is>
          <t>TANK1-5-PWK-1.pdf</t>
        </is>
      </c>
      <c r="I39" s="4" t="str">
        <f>IF($H39&lt;&gt;"","YES","NO")</f>
        <v>YES</v>
      </c>
      <c r="J39" s="4" t="str">
        <f>IF(N($T39)&gt;0,"YES","NO")</f>
        <v>YES</v>
      </c>
      <c r="K39" s="4" t="str">
        <f>IF(OR($A39="EHT Trace"),IF(AND($U39&lt;&gt;"",$V39&lt;&gt;""),"YES","NO"),"N/A")</f>
        <v>N/A</v>
      </c>
      <c r="L39" s="4" t="str">
        <f>IF(OR($A39="EHT Trace"),IF(AND($X39&lt;&gt;"",$Y39&lt;&gt;""),"YES","NO"),"N/A")</f>
        <v>N/A</v>
      </c>
      <c r="M39" s="4" t="str">
        <f>IF(OR($A39="EHT Trace"),IF(AND($AA39&lt;&gt;"",$AB39&lt;&gt;""),"YES","NO"),"N/A")</f>
        <v>N/A</v>
      </c>
      <c r="N39" s="4" t="str">
        <f>IF(OR($A39="Power Cable"),IF(AND($AD39&lt;&gt;""),"YES","NO"),"N/A")</f>
        <v>YES</v>
      </c>
      <c r="O39" s="4" t="str">
        <f>IF(OR($A39="Power Cable",$A39="RTD Cable",$A39="Fieldbus Cable"),IF(AND($AE39&lt;&gt;""),"YES","NO"),"N/A")</f>
        <v>YES</v>
      </c>
      <c r="P39" s="4" t="str">
        <f>IF(OR($A39="RTD"),IF(AND($AH39&lt;&gt;""),"YES","NO"),"N/A")</f>
        <v>N/A</v>
      </c>
      <c r="Q39" s="4" t="str">
        <f>IF(OR($A39="RTD"),IF(AND($AI39&lt;&gt;""),"YES","NO"),"N/A")</f>
        <v>N/A</v>
      </c>
      <c r="R39" s="4" t="str">
        <f>IF(OR($AM39&lt;&gt;"",$Z39&lt;&gt;"",$AC39&lt;&gt;""),"YES","NO")</f>
        <v>YES</v>
      </c>
      <c r="S39" s="4" t="str">
        <f>IF(COUNTIF(I39:R39,"NO")=0,"YES","NO")</f>
        <v>YES</v>
      </c>
      <c r="T39" s="9" t="n">
        <v>8</v>
      </c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inlineStr">
        <is>
          <t>550 MΩ / 550 MΩ / 550 MΩ</t>
        </is>
      </c>
      <c r="AE39" s="9" t="inlineStr">
        <is>
          <t>0.4 Ω / OL / OL</t>
        </is>
      </c>
      <c r="AF39" s="9" t="inlineStr">
        <is>
          <t>Fluke 1587 FC 72300003</t>
        </is>
      </c>
      <c r="AG39" s="9" t="n"/>
      <c r="AH39" s="9" t="n"/>
      <c r="AI39" s="9" t="n"/>
      <c r="AJ39" s="9" t="inlineStr">
        <is>
          <t>Teck</t>
        </is>
      </c>
      <c r="AK39" s="9" t="inlineStr">
        <is>
          <t>10 AWG</t>
        </is>
      </c>
      <c r="AL39" s="9" t="inlineStr">
        <is>
          <t>Levy Ostrup</t>
        </is>
      </c>
      <c r="AM39" s="9" t="inlineStr">
        <is>
          <t>Sept 25</t>
        </is>
      </c>
      <c r="AN39" s="9" t="inlineStr">
        <is>
          <t>No parts, needs term kit</t>
        </is>
      </c>
    </row>
  </sheetData>
  <autoFilter ref="A4:AN39"/>
  <mergeCells count="3">
    <mergeCell ref="A3:H3"/>
    <mergeCell ref="I3:S3"/>
    <mergeCell ref="T3:AN3"/>
  </mergeCells>
  <conditionalFormatting sqref="I5:S39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"N/A"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3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2" customWidth="1" min="4" max="4"/>
    <col width="20" customWidth="1" min="5" max="5"/>
    <col width="27" customWidth="1" min="6" max="6"/>
    <col width="6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24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60" customWidth="1" min="40" max="40"/>
  </cols>
  <sheetData>
    <row r="1">
      <c r="A1" s="1" t="inlineStr">
        <is>
          <t>29152-HTP-001</t>
        </is>
      </c>
    </row>
    <row r="3">
      <c r="A3" s="6" t="n"/>
      <c r="I3" s="7" t="inlineStr">
        <is>
          <t>CHECKSHEETS</t>
        </is>
      </c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7" t="inlineStr">
        <is>
          <t>TEST RESULTS</t>
        </is>
      </c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</row>
    <row r="4" ht="30" customHeight="1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9" t="inlineStr">
        <is>
          <t>EHT Trace</t>
        </is>
      </c>
      <c r="B5" s="9" t="inlineStr">
        <is>
          <t>29152-ET-DR4200-1-1</t>
        </is>
      </c>
      <c r="C5" s="9" t="inlineStr">
        <is>
          <t>29152-ET-DR4200-1</t>
        </is>
      </c>
      <c r="D5" s="9" t="inlineStr"/>
      <c r="E5" s="9" t="inlineStr">
        <is>
          <t>29152-DR-4200</t>
        </is>
      </c>
      <c r="F5" s="9" t="inlineStr">
        <is>
          <t>29152-65R-ET-DR4200-01-01</t>
        </is>
      </c>
      <c r="G5" s="9" t="inlineStr">
        <is>
          <t>13.1</t>
        </is>
      </c>
      <c r="H5" s="9" t="inlineStr">
        <is>
          <t>29152-ET-DR4200-1-1.pdf</t>
        </is>
      </c>
      <c r="I5" s="4" t="str">
        <f>IF($H5&lt;&gt;"","YES","NO")</f>
        <v>YES</v>
      </c>
      <c r="J5" s="4" t="str">
        <f>IF(N($T5)&gt;0,"YES","NO")</f>
        <v>NO</v>
      </c>
      <c r="K5" s="4" t="str">
        <f>IF(OR($A5="EHT Trace"),IF(AND($U5&lt;&gt;"",$V5&lt;&gt;""),"YES","NO"),"N/A")</f>
        <v>NO</v>
      </c>
      <c r="L5" s="4" t="str">
        <f>IF(OR($A5="EHT Trace"),IF(AND($X5&lt;&gt;"",$Y5&lt;&gt;""),"YES","NO"),"N/A")</f>
        <v>NO</v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NO</v>
      </c>
      <c r="S5" s="4" t="str">
        <f>IF(COUNTIF(I5:R5,"NO")=0,"YES","NO")</f>
        <v>NO</v>
      </c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inlineStr">
        <is>
          <t>20XTVR1-CT</t>
        </is>
      </c>
      <c r="AK5" s="9" t="inlineStr">
        <is>
          <t>7.2 m m</t>
        </is>
      </c>
      <c r="AL5" s="9" t="inlineStr">
        <is>
          <t>Levy Ostrup</t>
        </is>
      </c>
      <c r="AM5" s="9" t="n"/>
      <c r="AN5" s="9" t="n"/>
    </row>
    <row r="6">
      <c r="A6" s="9" t="inlineStr">
        <is>
          <t>EHT Trace</t>
        </is>
      </c>
      <c r="B6" s="9" t="inlineStr">
        <is>
          <t>29152-ET-FG4202-1-1</t>
        </is>
      </c>
      <c r="C6" s="9" t="inlineStr">
        <is>
          <t>29152-ET-FG4202-1</t>
        </is>
      </c>
      <c r="D6" s="9" t="inlineStr"/>
      <c r="E6" s="9" t="inlineStr">
        <is>
          <t>29152-FG-4202, 29152-FG-4201</t>
        </is>
      </c>
      <c r="F6" s="9" t="inlineStr">
        <is>
          <t>29152-65R-ET-FG4202-01-01</t>
        </is>
      </c>
      <c r="G6" s="9" t="inlineStr">
        <is>
          <t>13.1</t>
        </is>
      </c>
      <c r="H6" s="9" t="inlineStr">
        <is>
          <t>29152-ET-FG4202-1-1.pdf</t>
        </is>
      </c>
      <c r="I6" s="4" t="str">
        <f>IF($H6&lt;&gt;"","YES","NO")</f>
        <v>YES</v>
      </c>
      <c r="J6" s="4" t="str">
        <f>IF(N($T6)&gt;0,"YES","NO")</f>
        <v>NO</v>
      </c>
      <c r="K6" s="4" t="str">
        <f>IF(OR($A6="EHT Trace"),IF(AND($U6&lt;&gt;"",$V6&lt;&gt;""),"YES","NO"),"N/A")</f>
        <v>NO</v>
      </c>
      <c r="L6" s="4" t="str">
        <f>IF(OR($A6="EHT Trace"),IF(AND($X6&lt;&gt;"",$Y6&lt;&gt;""),"YES","NO"),"N/A")</f>
        <v>NO</v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inlineStr">
        <is>
          <t>8HTV1-CT</t>
        </is>
      </c>
      <c r="AK6" s="9" t="inlineStr">
        <is>
          <t>8.9 m m</t>
        </is>
      </c>
      <c r="AL6" s="9" t="inlineStr">
        <is>
          <t>Levy Ostrup</t>
        </is>
      </c>
      <c r="AM6" s="9" t="n"/>
      <c r="AN6" s="9" t="n"/>
    </row>
    <row r="7">
      <c r="A7" s="9" t="inlineStr">
        <is>
          <t>EHT Trace</t>
        </is>
      </c>
      <c r="B7" s="9" t="inlineStr">
        <is>
          <t>29152-ET-FG4202-1-2</t>
        </is>
      </c>
      <c r="C7" s="9" t="inlineStr">
        <is>
          <t>29152-ET-FG4202-1</t>
        </is>
      </c>
      <c r="D7" s="9" t="inlineStr"/>
      <c r="E7" s="9" t="inlineStr">
        <is>
          <t>29152-FG-4203</t>
        </is>
      </c>
      <c r="F7" s="9" t="inlineStr">
        <is>
          <t>29152-65R-ET-FG4202-01-01</t>
        </is>
      </c>
      <c r="G7" s="9" t="inlineStr">
        <is>
          <t>13.1</t>
        </is>
      </c>
      <c r="H7" s="9" t="inlineStr">
        <is>
          <t>29152-ET-FG4202-1-2.pdf</t>
        </is>
      </c>
      <c r="I7" s="4" t="str">
        <f>IF($H7&lt;&gt;"","YES","NO")</f>
        <v>YES</v>
      </c>
      <c r="J7" s="4" t="str">
        <f>IF(N($T7)&gt;0,"YES","NO")</f>
        <v>NO</v>
      </c>
      <c r="K7" s="4" t="str">
        <f>IF(OR($A7="EHT Trace"),IF(AND($U7&lt;&gt;"",$V7&lt;&gt;""),"YES","NO"),"N/A")</f>
        <v>NO</v>
      </c>
      <c r="L7" s="4" t="str">
        <f>IF(OR($A7="EHT Trace"),IF(AND($X7&lt;&gt;"",$Y7&lt;&gt;""),"YES","NO"),"N/A")</f>
        <v>NO</v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inlineStr">
        <is>
          <t>8HTV1-CT</t>
        </is>
      </c>
      <c r="AK7" s="9" t="inlineStr">
        <is>
          <t>8.7 m m</t>
        </is>
      </c>
      <c r="AL7" s="9" t="inlineStr">
        <is>
          <t>Levy Ostrup</t>
        </is>
      </c>
      <c r="AM7" s="9" t="n"/>
      <c r="AN7" s="9" t="n"/>
    </row>
    <row r="8">
      <c r="A8" s="9" t="inlineStr">
        <is>
          <t>EHT Trace</t>
        </is>
      </c>
      <c r="B8" s="9" t="inlineStr">
        <is>
          <t>29152-ET-HC4202-1-1</t>
        </is>
      </c>
      <c r="C8" s="9" t="inlineStr">
        <is>
          <t>29152-ET-HC4202-1</t>
        </is>
      </c>
      <c r="D8" s="9" t="inlineStr"/>
      <c r="E8" s="9" t="inlineStr">
        <is>
          <t>29152-HC-4202</t>
        </is>
      </c>
      <c r="F8" s="9" t="inlineStr">
        <is>
          <t>29152-65R-ET-HC4202-01-01</t>
        </is>
      </c>
      <c r="G8" s="9" t="inlineStr">
        <is>
          <t>13.1</t>
        </is>
      </c>
      <c r="H8" s="9" t="inlineStr">
        <is>
          <t>29152-ET-HC4202-1-1.pdf</t>
        </is>
      </c>
      <c r="I8" s="4" t="str">
        <f>IF($H8&lt;&gt;"","YES","NO")</f>
        <v>YES</v>
      </c>
      <c r="J8" s="4" t="str">
        <f>IF(N($T8)&gt;0,"YES","NO")</f>
        <v>NO</v>
      </c>
      <c r="K8" s="4" t="str">
        <f>IF(OR($A8="EHT Trace"),IF(AND($U8&lt;&gt;"",$V8&lt;&gt;""),"YES","NO"),"N/A")</f>
        <v>NO</v>
      </c>
      <c r="L8" s="4" t="str">
        <f>IF(OR($A8="EHT Trace"),IF(AND($X8&lt;&gt;"",$Y8&lt;&gt;""),"YES","NO"),"N/A")</f>
        <v>NO</v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NO</v>
      </c>
      <c r="S8" s="4" t="str">
        <f>IF(COUNTIF(I8:R8,"NO")=0,"YES","NO")</f>
        <v>NO</v>
      </c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inlineStr">
        <is>
          <t>5HTV1-CT</t>
        </is>
      </c>
      <c r="AK8" s="9" t="inlineStr">
        <is>
          <t>39.2 m m</t>
        </is>
      </c>
      <c r="AL8" s="9" t="inlineStr">
        <is>
          <t>Levy Ostrup</t>
        </is>
      </c>
      <c r="AM8" s="9" t="n"/>
      <c r="AN8" s="9" t="n"/>
    </row>
    <row r="9">
      <c r="A9" s="9" t="inlineStr">
        <is>
          <t>EHT Trace</t>
        </is>
      </c>
      <c r="B9" s="9" t="inlineStr">
        <is>
          <t>29152-ET-MT0001-1-1</t>
        </is>
      </c>
      <c r="C9" s="9" t="inlineStr">
        <is>
          <t>29152-ET-MT0001-1</t>
        </is>
      </c>
      <c r="D9" s="9" t="inlineStr"/>
      <c r="E9" s="9" t="inlineStr">
        <is>
          <t>29152-MT-0001</t>
        </is>
      </c>
      <c r="F9" s="9" t="inlineStr">
        <is>
          <t>29152-65R-ET-MT0001-01-01</t>
        </is>
      </c>
      <c r="G9" s="9" t="inlineStr">
        <is>
          <t>13.1</t>
        </is>
      </c>
      <c r="H9" s="9" t="inlineStr">
        <is>
          <t>29152-ET-MT0001-1-1.pdf</t>
        </is>
      </c>
      <c r="I9" s="4" t="str">
        <f>IF($H9&lt;&gt;"","YES","NO")</f>
        <v>YES</v>
      </c>
      <c r="J9" s="4" t="str">
        <f>IF(N($T9)&gt;0,"YES","NO")</f>
        <v>NO</v>
      </c>
      <c r="K9" s="4" t="str">
        <f>IF(OR($A9="EHT Trace"),IF(AND($U9&lt;&gt;"",$V9&lt;&gt;""),"YES","NO"),"N/A")</f>
        <v>NO</v>
      </c>
      <c r="L9" s="4" t="str">
        <f>IF(OR($A9="EHT Trace"),IF(AND($X9&lt;&gt;"",$Y9&lt;&gt;""),"YES","NO"),"N/A")</f>
        <v>NO</v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NO</v>
      </c>
      <c r="S9" s="4" t="str">
        <f>IF(COUNTIF(I9:R9,"NO")=0,"YES","NO")</f>
        <v>NO</v>
      </c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inlineStr">
        <is>
          <t>5XTVR1-CT</t>
        </is>
      </c>
      <c r="AK9" s="9" t="inlineStr">
        <is>
          <t>2.6 m m</t>
        </is>
      </c>
      <c r="AL9" s="9" t="inlineStr">
        <is>
          <t>Levy Ostrup</t>
        </is>
      </c>
      <c r="AM9" s="9" t="n"/>
      <c r="AN9" s="9" t="n"/>
    </row>
    <row r="10">
      <c r="A10" s="9" t="inlineStr">
        <is>
          <t>EHT Trace</t>
        </is>
      </c>
      <c r="B10" s="9" t="inlineStr">
        <is>
          <t>29152-ET-MT0002-1-1</t>
        </is>
      </c>
      <c r="C10" s="9" t="inlineStr">
        <is>
          <t>29152-ET-MT0002-1</t>
        </is>
      </c>
      <c r="D10" s="9" t="inlineStr"/>
      <c r="E10" s="9" t="inlineStr">
        <is>
          <t>29152-MT-0002</t>
        </is>
      </c>
      <c r="F10" s="9" t="inlineStr">
        <is>
          <t>29152-65R-ET-MT0002-01-01</t>
        </is>
      </c>
      <c r="G10" s="9" t="inlineStr">
        <is>
          <t>13.1</t>
        </is>
      </c>
      <c r="H10" s="9" t="inlineStr">
        <is>
          <t>29152-ET-MT0002-1-1.pdf</t>
        </is>
      </c>
      <c r="I10" s="4" t="str">
        <f>IF($H10&lt;&gt;"","YES","NO")</f>
        <v>YES</v>
      </c>
      <c r="J10" s="4" t="str">
        <f>IF(N($T10)&gt;0,"YES","NO")</f>
        <v>NO</v>
      </c>
      <c r="K10" s="4" t="str">
        <f>IF(OR($A10="EHT Trace"),IF(AND($U10&lt;&gt;"",$V10&lt;&gt;""),"YES","NO"),"N/A")</f>
        <v>NO</v>
      </c>
      <c r="L10" s="4" t="str">
        <f>IF(OR($A10="EHT Trace"),IF(AND($X10&lt;&gt;"",$Y10&lt;&gt;""),"YES","NO"),"N/A")</f>
        <v>NO</v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inlineStr">
        <is>
          <t>12HTV1-CT</t>
        </is>
      </c>
      <c r="AK10" s="9" t="inlineStr">
        <is>
          <t>3.6 m m</t>
        </is>
      </c>
      <c r="AL10" s="9" t="inlineStr">
        <is>
          <t>Levy Ostrup</t>
        </is>
      </c>
      <c r="AM10" s="9" t="n"/>
      <c r="AN10" s="9" t="n"/>
    </row>
    <row r="11">
      <c r="A11" s="9" t="inlineStr">
        <is>
          <t>EHT Trace</t>
        </is>
      </c>
      <c r="B11" s="9" t="inlineStr">
        <is>
          <t>29152-ET-MT0002-1-2</t>
        </is>
      </c>
      <c r="C11" s="9" t="inlineStr">
        <is>
          <t>29152-ET-MT0002-1</t>
        </is>
      </c>
      <c r="D11" s="9" t="inlineStr"/>
      <c r="E11" s="9" t="inlineStr">
        <is>
          <t>29152-MT-0002</t>
        </is>
      </c>
      <c r="F11" s="9" t="inlineStr">
        <is>
          <t>29152-65R-ET-MT0002-01-01</t>
        </is>
      </c>
      <c r="G11" s="9" t="inlineStr">
        <is>
          <t>13.1</t>
        </is>
      </c>
      <c r="H11" s="9" t="inlineStr">
        <is>
          <t>29152-ET-MT0002-1-2.pdf</t>
        </is>
      </c>
      <c r="I11" s="4" t="str">
        <f>IF($H11&lt;&gt;"","YES","NO")</f>
        <v>YES</v>
      </c>
      <c r="J11" s="4" t="str">
        <f>IF(N($T11)&gt;0,"YES","NO")</f>
        <v>NO</v>
      </c>
      <c r="K11" s="4" t="str">
        <f>IF(OR($A11="EHT Trace"),IF(AND($U11&lt;&gt;"",$V11&lt;&gt;""),"YES","NO"),"N/A")</f>
        <v>NO</v>
      </c>
      <c r="L11" s="4" t="str">
        <f>IF(OR($A11="EHT Trace"),IF(AND($X11&lt;&gt;"",$Y11&lt;&gt;""),"YES","NO"),"N/A")</f>
        <v>NO</v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inlineStr">
        <is>
          <t>12HTV1-CT</t>
        </is>
      </c>
      <c r="AK11" s="9" t="inlineStr">
        <is>
          <t>10.4 m m</t>
        </is>
      </c>
      <c r="AL11" s="9" t="inlineStr">
        <is>
          <t>Levy Ostrup</t>
        </is>
      </c>
      <c r="AM11" s="9" t="n"/>
      <c r="AN11" s="9" t="n"/>
    </row>
    <row r="12">
      <c r="A12" s="9" t="inlineStr">
        <is>
          <t>EHT Trace</t>
        </is>
      </c>
      <c r="B12" s="9" t="inlineStr">
        <is>
          <t>29152-ET-PG4200-1-1</t>
        </is>
      </c>
      <c r="C12" s="9" t="inlineStr">
        <is>
          <t>29152-ET-PG4200-1</t>
        </is>
      </c>
      <c r="D12" s="9" t="inlineStr"/>
      <c r="E12" s="9" t="inlineStr">
        <is>
          <t>29152-PG-4201, 29152-PG-4200</t>
        </is>
      </c>
      <c r="F12" s="9" t="inlineStr">
        <is>
          <t>29152-65R-ET-PG4200-01-01</t>
        </is>
      </c>
      <c r="G12" s="9" t="inlineStr">
        <is>
          <t>13.1</t>
        </is>
      </c>
      <c r="H12" s="9" t="inlineStr">
        <is>
          <t>29152-ET-PG4200-1-1.pdf</t>
        </is>
      </c>
      <c r="I12" s="4" t="str">
        <f>IF($H12&lt;&gt;"","YES","NO")</f>
        <v>YES</v>
      </c>
      <c r="J12" s="4" t="str">
        <f>IF(N($T12)&gt;0,"YES","NO")</f>
        <v>NO</v>
      </c>
      <c r="K12" s="4" t="str">
        <f>IF(OR($A12="EHT Trace"),IF(AND($U12&lt;&gt;"",$V12&lt;&gt;""),"YES","NO"),"N/A")</f>
        <v>NO</v>
      </c>
      <c r="L12" s="4" t="str">
        <f>IF(OR($A12="EHT Trace"),IF(AND($X12&lt;&gt;"",$Y12&lt;&gt;""),"YES","NO"),"N/A")</f>
        <v>NO</v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NO</v>
      </c>
      <c r="S12" s="4" t="str">
        <f>IF(COUNTIF(I12:R12,"NO")=0,"YES","NO")</f>
        <v>NO</v>
      </c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inlineStr">
        <is>
          <t>5HTV1-CT</t>
        </is>
      </c>
      <c r="AK12" s="9" t="inlineStr">
        <is>
          <t>34.3 m m</t>
        </is>
      </c>
      <c r="AL12" s="9" t="inlineStr">
        <is>
          <t>Levy Ostrup</t>
        </is>
      </c>
      <c r="AM12" s="9" t="n"/>
      <c r="AN12" s="9" t="n"/>
    </row>
    <row r="13">
      <c r="A13" s="9" t="inlineStr">
        <is>
          <t>EHT Trace</t>
        </is>
      </c>
      <c r="B13" s="9" t="inlineStr">
        <is>
          <t>29152-ET-SC4202-1-1</t>
        </is>
      </c>
      <c r="C13" s="9" t="inlineStr">
        <is>
          <t>29152-ET-SC4202-1</t>
        </is>
      </c>
      <c r="D13" s="9" t="inlineStr"/>
      <c r="E13" s="9" t="inlineStr">
        <is>
          <t>29152-SC-4203, 29152-SC-4202, 29152-DR-4204</t>
        </is>
      </c>
      <c r="F13" s="9" t="inlineStr">
        <is>
          <t>29152-65R-ET-SC4202-01-01</t>
        </is>
      </c>
      <c r="G13" s="9" t="inlineStr">
        <is>
          <t>13.1</t>
        </is>
      </c>
      <c r="H13" s="9" t="inlineStr">
        <is>
          <t>29152-ET-SC4202-1-1.pdf</t>
        </is>
      </c>
      <c r="I13" s="4" t="str">
        <f>IF($H13&lt;&gt;"","YES","NO")</f>
        <v>YES</v>
      </c>
      <c r="J13" s="4" t="str">
        <f>IF(N($T13)&gt;0,"YES","NO")</f>
        <v>NO</v>
      </c>
      <c r="K13" s="4" t="str">
        <f>IF(OR($A13="EHT Trace"),IF(AND($U13&lt;&gt;"",$V13&lt;&gt;""),"YES","NO"),"N/A")</f>
        <v>NO</v>
      </c>
      <c r="L13" s="4" t="str">
        <f>IF(OR($A13="EHT Trace"),IF(AND($X13&lt;&gt;"",$Y13&lt;&gt;""),"YES","NO"),"N/A")</f>
        <v>NO</v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NO</v>
      </c>
      <c r="S13" s="4" t="str">
        <f>IF(COUNTIF(I13:R13,"NO")=0,"YES","NO")</f>
        <v>NO</v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inlineStr">
        <is>
          <t>D/32SQ3100/44.8M/959/120/1.2M/LS23A/X/N12</t>
        </is>
      </c>
      <c r="AK13" s="9" t="inlineStr">
        <is>
          <t>44.8 m m</t>
        </is>
      </c>
      <c r="AL13" s="9" t="inlineStr">
        <is>
          <t>Levy Ostrup</t>
        </is>
      </c>
      <c r="AM13" s="9" t="n"/>
      <c r="AN13" s="9" t="n"/>
    </row>
    <row r="14">
      <c r="A14" s="9" t="inlineStr">
        <is>
          <t>EHT Trace</t>
        </is>
      </c>
      <c r="B14" s="9" t="inlineStr">
        <is>
          <t>29152-ET-SC4202-1-2</t>
        </is>
      </c>
      <c r="C14" s="9" t="inlineStr">
        <is>
          <t>29152-ET-SC4202-1</t>
        </is>
      </c>
      <c r="D14" s="9" t="inlineStr"/>
      <c r="E14" s="9" t="inlineStr">
        <is>
          <t>29203-ST-5004, 29152-ST-4201, 29152-ST-4200, 29152- SC-4202</t>
        </is>
      </c>
      <c r="F14" s="9" t="inlineStr">
        <is>
          <t>29152-65R-ET-SC4202-01-01</t>
        </is>
      </c>
      <c r="G14" s="9" t="inlineStr">
        <is>
          <t>13.1</t>
        </is>
      </c>
      <c r="H14" s="9" t="inlineStr">
        <is>
          <t>29152-ET-SC4202-1-2.pdf</t>
        </is>
      </c>
      <c r="I14" s="4" t="str">
        <f>IF($H14&lt;&gt;"","YES","NO")</f>
        <v>YES</v>
      </c>
      <c r="J14" s="4" t="str">
        <f>IF(N($T14)&gt;0,"YES","NO")</f>
        <v>NO</v>
      </c>
      <c r="K14" s="4" t="str">
        <f>IF(OR($A14="EHT Trace"),IF(AND($U14&lt;&gt;"",$V14&lt;&gt;""),"YES","NO"),"N/A")</f>
        <v>NO</v>
      </c>
      <c r="L14" s="4" t="str">
        <f>IF(OR($A14="EHT Trace"),IF(AND($X14&lt;&gt;"",$Y14&lt;&gt;""),"YES","NO"),"N/A")</f>
        <v>NO</v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inlineStr">
        <is>
          <t>D/32SQ3100/51.5M/839/120/1.2M/LS23A/X/N12</t>
        </is>
      </c>
      <c r="AK14" s="9" t="inlineStr">
        <is>
          <t>51.5 m m</t>
        </is>
      </c>
      <c r="AL14" s="9" t="inlineStr">
        <is>
          <t>Levy Ostrup</t>
        </is>
      </c>
      <c r="AM14" s="9" t="n"/>
      <c r="AN14" s="9" t="n"/>
    </row>
    <row r="15">
      <c r="A15" s="9" t="inlineStr">
        <is>
          <t>EHT Trace</t>
        </is>
      </c>
      <c r="B15" s="9" t="inlineStr">
        <is>
          <t>29203-ET-DR5001-1-1</t>
        </is>
      </c>
      <c r="C15" s="9" t="inlineStr">
        <is>
          <t>29203-ET-DR5001-1</t>
        </is>
      </c>
      <c r="D15" s="9" t="inlineStr"/>
      <c r="E15" s="9" t="inlineStr">
        <is>
          <t>29203-DR-5001</t>
        </is>
      </c>
      <c r="F15" s="9" t="inlineStr">
        <is>
          <t>29203-65R-ET-DR5001-01-01</t>
        </is>
      </c>
      <c r="G15" s="9" t="inlineStr">
        <is>
          <t>13.1</t>
        </is>
      </c>
      <c r="H15" s="9" t="inlineStr">
        <is>
          <t>29203-ET-DR5001-1-1.pdf</t>
        </is>
      </c>
      <c r="I15" s="4" t="str">
        <f>IF($H15&lt;&gt;"","YES","NO")</f>
        <v>YES</v>
      </c>
      <c r="J15" s="4" t="str">
        <f>IF(N($T15)&gt;0,"YES","NO")</f>
        <v>NO</v>
      </c>
      <c r="K15" s="4" t="str">
        <f>IF(OR($A15="EHT Trace"),IF(AND($U15&lt;&gt;"",$V15&lt;&gt;""),"YES","NO"),"N/A")</f>
        <v>NO</v>
      </c>
      <c r="L15" s="4" t="str">
        <f>IF(OR($A15="EHT Trace"),IF(AND($X15&lt;&gt;"",$Y15&lt;&gt;""),"YES","NO"),"N/A")</f>
        <v>NO</v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inlineStr">
        <is>
          <t>20XTVR1-CT</t>
        </is>
      </c>
      <c r="AK15" s="9" t="inlineStr">
        <is>
          <t>28 m m</t>
        </is>
      </c>
      <c r="AL15" s="9" t="inlineStr">
        <is>
          <t>Levy Ostrup</t>
        </is>
      </c>
      <c r="AM15" s="9" t="n"/>
      <c r="AN15" s="9" t="n"/>
    </row>
    <row r="16">
      <c r="A16" s="9" t="inlineStr">
        <is>
          <t>EHT Trace</t>
        </is>
      </c>
      <c r="B16" s="9" t="inlineStr">
        <is>
          <t>29203-ET-HC5012-1-1</t>
        </is>
      </c>
      <c r="C16" s="9" t="inlineStr">
        <is>
          <t>29203-ET-HC5012-1</t>
        </is>
      </c>
      <c r="D16" s="9" t="inlineStr"/>
      <c r="E16" s="9" t="inlineStr">
        <is>
          <t>29203-HC-5012, 29203-HC-5011, 29203-HC-5010, 29203- HC-5009</t>
        </is>
      </c>
      <c r="F16" s="9" t="inlineStr">
        <is>
          <t>29203-65R-ET-HC5012-01-01</t>
        </is>
      </c>
      <c r="G16" s="9" t="inlineStr">
        <is>
          <t>13.1</t>
        </is>
      </c>
      <c r="H16" s="9" t="inlineStr">
        <is>
          <t>29203-ET-HC5012-1-1.pdf</t>
        </is>
      </c>
      <c r="I16" s="4" t="str">
        <f>IF($H16&lt;&gt;"","YES","NO")</f>
        <v>YES</v>
      </c>
      <c r="J16" s="4" t="str">
        <f>IF(N($T16)&gt;0,"YES","NO")</f>
        <v>NO</v>
      </c>
      <c r="K16" s="4" t="str">
        <f>IF(OR($A16="EHT Trace"),IF(AND($U16&lt;&gt;"",$V16&lt;&gt;""),"YES","NO"),"N/A")</f>
        <v>NO</v>
      </c>
      <c r="L16" s="4" t="str">
        <f>IF(OR($A16="EHT Trace"),IF(AND($X16&lt;&gt;"",$Y16&lt;&gt;""),"YES","NO"),"N/A")</f>
        <v>NO</v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inlineStr">
        <is>
          <t>10HTV1-CT</t>
        </is>
      </c>
      <c r="AK16" s="9" t="inlineStr">
        <is>
          <t>64 m m</t>
        </is>
      </c>
      <c r="AL16" s="9" t="inlineStr">
        <is>
          <t>Levy Ostrup</t>
        </is>
      </c>
      <c r="AM16" s="9" t="n"/>
      <c r="AN16" s="9" t="n"/>
    </row>
    <row r="17">
      <c r="A17" s="9" t="inlineStr">
        <is>
          <t>EHT Trace</t>
        </is>
      </c>
      <c r="B17" s="9" t="inlineStr">
        <is>
          <t>29203-ET-LIT0220-1-1</t>
        </is>
      </c>
      <c r="C17" s="9" t="inlineStr">
        <is>
          <t>29203-ET-LIT0220-1</t>
        </is>
      </c>
      <c r="D17" s="9" t="inlineStr"/>
      <c r="E17" s="9" t="inlineStr">
        <is>
          <t>29203-LIT-0220</t>
        </is>
      </c>
      <c r="F17" s="9" t="inlineStr">
        <is>
          <t>29203-65R-ET-LIT0220-01-01</t>
        </is>
      </c>
      <c r="G17" s="9" t="inlineStr">
        <is>
          <t>13.1</t>
        </is>
      </c>
      <c r="H17" s="9" t="inlineStr">
        <is>
          <t>29203-ET-LIT0220-1-1.pdf</t>
        </is>
      </c>
      <c r="I17" s="4" t="str">
        <f>IF($H17&lt;&gt;"","YES","NO")</f>
        <v>YES</v>
      </c>
      <c r="J17" s="4" t="str">
        <f>IF(N($T17)&gt;0,"YES","NO")</f>
        <v>NO</v>
      </c>
      <c r="K17" s="4" t="str">
        <f>IF(OR($A17="EHT Trace"),IF(AND($U17&lt;&gt;"",$V17&lt;&gt;""),"YES","NO"),"N/A")</f>
        <v>NO</v>
      </c>
      <c r="L17" s="4" t="str">
        <f>IF(OR($A17="EHT Trace"),IF(AND($X17&lt;&gt;"",$Y17&lt;&gt;""),"YES","NO"),"N/A")</f>
        <v>NO</v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inlineStr">
        <is>
          <t>8HTV1-CT</t>
        </is>
      </c>
      <c r="AK17" s="9" t="inlineStr">
        <is>
          <t>14.7 m m</t>
        </is>
      </c>
      <c r="AL17" s="9" t="inlineStr">
        <is>
          <t>Levy Ostrup</t>
        </is>
      </c>
      <c r="AM17" s="9" t="n"/>
      <c r="AN17" s="9" t="n"/>
    </row>
    <row r="18">
      <c r="A18" s="9" t="inlineStr">
        <is>
          <t>EHT Trace</t>
        </is>
      </c>
      <c r="B18" s="9" t="inlineStr">
        <is>
          <t>29203-ET-LIT0221-1-1</t>
        </is>
      </c>
      <c r="C18" s="9" t="inlineStr">
        <is>
          <t>29203-ET-LIT0221-1</t>
        </is>
      </c>
      <c r="D18" s="9" t="inlineStr"/>
      <c r="E18" s="9" t="inlineStr">
        <is>
          <t>29203-LIT-0221</t>
        </is>
      </c>
      <c r="F18" s="9" t="inlineStr">
        <is>
          <t>29203-65R-ET-LIT0221-01-01</t>
        </is>
      </c>
      <c r="G18" s="9" t="inlineStr">
        <is>
          <t>13.1</t>
        </is>
      </c>
      <c r="H18" s="9" t="inlineStr">
        <is>
          <t>29203-ET-LIT0221-1-1.pdf</t>
        </is>
      </c>
      <c r="I18" s="4" t="str">
        <f>IF($H18&lt;&gt;"","YES","NO")</f>
        <v>YES</v>
      </c>
      <c r="J18" s="4" t="str">
        <f>IF(N($T18)&gt;0,"YES","NO")</f>
        <v>NO</v>
      </c>
      <c r="K18" s="4" t="str">
        <f>IF(OR($A18="EHT Trace"),IF(AND($U18&lt;&gt;"",$V18&lt;&gt;""),"YES","NO"),"N/A")</f>
        <v>NO</v>
      </c>
      <c r="L18" s="4" t="str">
        <f>IF(OR($A18="EHT Trace"),IF(AND($X18&lt;&gt;"",$Y18&lt;&gt;""),"YES","NO"),"N/A")</f>
        <v>NO</v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inlineStr">
        <is>
          <t>8HTV1-CT</t>
        </is>
      </c>
      <c r="AK18" s="9" t="inlineStr">
        <is>
          <t>24.1 m m</t>
        </is>
      </c>
      <c r="AL18" s="9" t="inlineStr">
        <is>
          <t>Levy Ostrup</t>
        </is>
      </c>
      <c r="AM18" s="9" t="n"/>
      <c r="AN18" s="9" t="n"/>
    </row>
    <row r="19">
      <c r="A19" s="9" t="inlineStr">
        <is>
          <t>EHT Trace</t>
        </is>
      </c>
      <c r="B19" s="9" t="inlineStr">
        <is>
          <t>29203-ET-PE5002-1-1</t>
        </is>
      </c>
      <c r="C19" s="9" t="inlineStr">
        <is>
          <t>29203-ET-PE5002-1</t>
        </is>
      </c>
      <c r="D19" s="9" t="inlineStr"/>
      <c r="E19" s="9" t="inlineStr">
        <is>
          <t>29203-PE-5002</t>
        </is>
      </c>
      <c r="F19" s="9" t="inlineStr">
        <is>
          <t>29203-65R-ET-PE5002-01-01</t>
        </is>
      </c>
      <c r="G19" s="9" t="inlineStr">
        <is>
          <t>13.1</t>
        </is>
      </c>
      <c r="H19" s="9" t="inlineStr">
        <is>
          <t>29203-ET-PE5002-1-1.pdf</t>
        </is>
      </c>
      <c r="I19" s="4" t="str">
        <f>IF($H19&lt;&gt;"","YES","NO")</f>
        <v>YES</v>
      </c>
      <c r="J19" s="4" t="str">
        <f>IF(N($T19)&gt;0,"YES","NO")</f>
        <v>NO</v>
      </c>
      <c r="K19" s="4" t="str">
        <f>IF(OR($A19="EHT Trace"),IF(AND($U19&lt;&gt;"",$V19&lt;&gt;""),"YES","NO"),"N/A")</f>
        <v>NO</v>
      </c>
      <c r="L19" s="4" t="str">
        <f>IF(OR($A19="EHT Trace"),IF(AND($X19&lt;&gt;"",$Y19&lt;&gt;""),"YES","NO"),"N/A")</f>
        <v>NO</v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inlineStr">
        <is>
          <t>15HTV1-CT</t>
        </is>
      </c>
      <c r="AK19" s="9" t="inlineStr">
        <is>
          <t>37.3 m m</t>
        </is>
      </c>
      <c r="AL19" s="9" t="inlineStr">
        <is>
          <t>Levy Ostrup</t>
        </is>
      </c>
      <c r="AM19" s="9" t="n"/>
      <c r="AN19" s="9" t="n"/>
    </row>
    <row r="20">
      <c r="A20" s="9" t="inlineStr">
        <is>
          <t>EHT Trace</t>
        </is>
      </c>
      <c r="B20" s="9" t="inlineStr">
        <is>
          <t>29203-ET-ST5000-1-1</t>
        </is>
      </c>
      <c r="C20" s="9" t="inlineStr">
        <is>
          <t>29203-ET-ST5000-1</t>
        </is>
      </c>
      <c r="D20" s="9" t="inlineStr"/>
      <c r="E20" s="9" t="inlineStr">
        <is>
          <t>29203-ST-5000</t>
        </is>
      </c>
      <c r="F20" s="9" t="inlineStr">
        <is>
          <t>29203-65R-ET-ST5000-01-01</t>
        </is>
      </c>
      <c r="G20" s="9" t="inlineStr">
        <is>
          <t>13.1</t>
        </is>
      </c>
      <c r="H20" s="9" t="inlineStr">
        <is>
          <t>29203-ET-ST5000-1-1.pdf</t>
        </is>
      </c>
      <c r="I20" s="4" t="str">
        <f>IF($H20&lt;&gt;"","YES","NO")</f>
        <v>YES</v>
      </c>
      <c r="J20" s="4" t="str">
        <f>IF(N($T20)&gt;0,"YES","NO")</f>
        <v>NO</v>
      </c>
      <c r="K20" s="4" t="str">
        <f>IF(OR($A20="EHT Trace"),IF(AND($U20&lt;&gt;"",$V20&lt;&gt;""),"YES","NO"),"N/A")</f>
        <v>NO</v>
      </c>
      <c r="L20" s="4" t="str">
        <f>IF(OR($A20="EHT Trace"),IF(AND($X20&lt;&gt;"",$Y20&lt;&gt;""),"YES","NO"),"N/A")</f>
        <v>NO</v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inlineStr">
        <is>
          <t>D/32SQ3472/20.6M/443/120/2.1M/LS23A/X/N12</t>
        </is>
      </c>
      <c r="AK20" s="9" t="inlineStr">
        <is>
          <t>20.6 m m</t>
        </is>
      </c>
      <c r="AL20" s="9" t="inlineStr">
        <is>
          <t>Levy Ostrup</t>
        </is>
      </c>
      <c r="AM20" s="9" t="n"/>
      <c r="AN20" s="9" t="n"/>
    </row>
    <row r="21">
      <c r="A21" s="9" t="inlineStr">
        <is>
          <t>Power Cable</t>
        </is>
      </c>
      <c r="B21" s="9" t="inlineStr">
        <is>
          <t>29152-ET-DR4200-1-PWK-1</t>
        </is>
      </c>
      <c r="C21" s="9" t="inlineStr">
        <is>
          <t>29152-ET-DR4200-1</t>
        </is>
      </c>
      <c r="D21" s="9" t="inlineStr"/>
      <c r="E21" s="9" t="inlineStr">
        <is>
          <t>29152-HTP-001</t>
        </is>
      </c>
      <c r="F21" s="9" t="inlineStr"/>
      <c r="G21" s="9" t="inlineStr">
        <is>
          <t>113</t>
        </is>
      </c>
      <c r="H21" s="9" t="inlineStr">
        <is>
          <t>29152-ET-DR4200-1-PWK-1.pdf</t>
        </is>
      </c>
      <c r="I21" s="4" t="str">
        <f>IF($H21&lt;&gt;"","YES","NO")</f>
        <v>YES</v>
      </c>
      <c r="J21" s="4" t="str">
        <f>IF(N($T21)&gt;0,"YES","NO")</f>
        <v>YES</v>
      </c>
      <c r="K21" s="4" t="str">
        <f>IF(OR($A21="EHT Trace"),IF(AND($U21&lt;&gt;"",$V21&lt;&gt;""),"YES","NO"),"N/A")</f>
        <v>N/A</v>
      </c>
      <c r="L21" s="4" t="str">
        <f>IF(OR($A21="EHT Trace"),IF(AND($X21&lt;&gt;"",$Y21&lt;&gt;""),"YES","NO"),"N/A")</f>
        <v>N/A</v>
      </c>
      <c r="M21" s="4" t="str">
        <f>IF(OR($A21="EHT Trace"),IF(AND($AA21&lt;&gt;"",$AB21&lt;&gt;""),"YES","NO"),"N/A")</f>
        <v>N/A</v>
      </c>
      <c r="N21" s="4" t="str">
        <f>IF(OR($A21="Power Cable"),IF(AND($AD21&lt;&gt;""),"YES","NO"),"N/A")</f>
        <v>YES</v>
      </c>
      <c r="O21" s="4" t="str">
        <f>IF(OR($A21="Power Cable",$A21="RTD Cable",$A21="Fieldbus Cable"),IF(AND($AE21&lt;&gt;""),"YES","NO"),"N/A")</f>
        <v>YES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str">
        <f>IF(OR($AM21&lt;&gt;"",$Z21&lt;&gt;"",$AC21&lt;&gt;""),"YES","NO")</f>
        <v>NO</v>
      </c>
      <c r="S21" s="4" t="str">
        <f>IF(COUNTIF(I21:R21,"NO")=0,"YES","NO")</f>
        <v>NO</v>
      </c>
      <c r="T21" s="9" t="n">
        <v>9</v>
      </c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inlineStr">
        <is>
          <t>550 MΩ / 550 MΩ / 550 MΩ</t>
        </is>
      </c>
      <c r="AE21" s="9" t="inlineStr">
        <is>
          <t>0.3 Ω / OL / OL</t>
        </is>
      </c>
      <c r="AF21" s="9" t="inlineStr">
        <is>
          <t>Fluke 1587 FC 72300003</t>
        </is>
      </c>
      <c r="AG21" s="9" t="n"/>
      <c r="AH21" s="9" t="n"/>
      <c r="AI21" s="9" t="n"/>
      <c r="AJ21" s="9" t="inlineStr">
        <is>
          <t>TECK</t>
        </is>
      </c>
      <c r="AK21" s="9" t="inlineStr">
        <is>
          <t>10 AWG</t>
        </is>
      </c>
      <c r="AL21" s="9" t="inlineStr">
        <is>
          <t>Levy Ostrup</t>
        </is>
      </c>
      <c r="AM21" s="9" t="n"/>
      <c r="AN21" s="9" t="inlineStr">
        <is>
          <t>Incorrect HT installed, needs 43 W/m not 66 W/m</t>
        </is>
      </c>
    </row>
    <row r="22">
      <c r="A22" s="9" t="inlineStr">
        <is>
          <t>Power Cable</t>
        </is>
      </c>
      <c r="B22" s="9" t="inlineStr">
        <is>
          <t>29152-ET-FG4202-1-PWK-1</t>
        </is>
      </c>
      <c r="C22" s="9" t="inlineStr">
        <is>
          <t>29152-ET-FG4202-1</t>
        </is>
      </c>
      <c r="D22" s="9" t="inlineStr"/>
      <c r="E22" s="9" t="inlineStr">
        <is>
          <t>29152-HTP-001</t>
        </is>
      </c>
      <c r="F22" s="9" t="inlineStr"/>
      <c r="G22" s="9" t="inlineStr">
        <is>
          <t>113</t>
        </is>
      </c>
      <c r="H22" s="9" t="inlineStr">
        <is>
          <t>29152-ET-FG4202-1-PWK-1.pdf</t>
        </is>
      </c>
      <c r="I22" s="4" t="str">
        <f>IF($H22&lt;&gt;"","YES","NO")</f>
        <v>YES</v>
      </c>
      <c r="J22" s="4" t="str">
        <f>IF(N($T22)&gt;0,"YES","NO")</f>
        <v>YES</v>
      </c>
      <c r="K22" s="4" t="str">
        <f>IF(OR($A22="EHT Trace"),IF(AND($U22&lt;&gt;"",$V22&lt;&gt;""),"YES","NO"),"N/A")</f>
        <v>N/A</v>
      </c>
      <c r="L22" s="4" t="str">
        <f>IF(OR($A22="EHT Trace"),IF(AND($X22&lt;&gt;"",$Y22&lt;&gt;""),"YES","NO"),"N/A")</f>
        <v>N/A</v>
      </c>
      <c r="M22" s="4" t="str">
        <f>IF(OR($A22="EHT Trace"),IF(AND($AA22&lt;&gt;"",$AB22&lt;&gt;""),"YES","NO"),"N/A")</f>
        <v>N/A</v>
      </c>
      <c r="N22" s="4" t="str">
        <f>IF(OR($A22="Power Cable"),IF(AND($AD22&lt;&gt;""),"YES","NO"),"N/A")</f>
        <v>YES</v>
      </c>
      <c r="O22" s="4" t="str">
        <f>IF(OR($A22="Power Cable",$A22="RTD Cable",$A22="Fieldbus Cable"),IF(AND($AE22&lt;&gt;""),"YES","NO"),"N/A")</f>
        <v>YES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str">
        <f>IF(OR($AM22&lt;&gt;"",$Z22&lt;&gt;"",$AC22&lt;&gt;""),"YES","NO")</f>
        <v>NO</v>
      </c>
      <c r="S22" s="4" t="str">
        <f>IF(COUNTIF(I22:R22,"NO")=0,"YES","NO")</f>
        <v>NO</v>
      </c>
      <c r="T22" s="9" t="n">
        <v>8</v>
      </c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inlineStr">
        <is>
          <t>&gt;550 MΩ / &gt;550 MΩ / &gt;550 MΩ</t>
        </is>
      </c>
      <c r="AE22" s="9" t="inlineStr">
        <is>
          <t>0.3 Ω / OL / OL</t>
        </is>
      </c>
      <c r="AF22" s="9" t="inlineStr">
        <is>
          <t>Fluke 1587 FC 72300003</t>
        </is>
      </c>
      <c r="AG22" s="9" t="n"/>
      <c r="AH22" s="9" t="n"/>
      <c r="AI22" s="9" t="n"/>
      <c r="AJ22" s="9" t="inlineStr">
        <is>
          <t>Teck</t>
        </is>
      </c>
      <c r="AK22" s="9" t="inlineStr">
        <is>
          <t>10 AWG</t>
        </is>
      </c>
      <c r="AL22" s="9" t="inlineStr">
        <is>
          <t>Levy Ostrup</t>
        </is>
      </c>
      <c r="AM22" s="9" t="n"/>
      <c r="AN22" s="9" t="inlineStr">
        <is>
          <t>GRL missing</t>
        </is>
      </c>
    </row>
    <row r="23">
      <c r="A23" s="9" t="inlineStr">
        <is>
          <t>Power Cable</t>
        </is>
      </c>
      <c r="B23" s="9" t="inlineStr">
        <is>
          <t>29152-ET-HC4202-1-PWK-1</t>
        </is>
      </c>
      <c r="C23" s="9" t="inlineStr">
        <is>
          <t>29152-ET-HC4202-1</t>
        </is>
      </c>
      <c r="D23" s="9" t="inlineStr"/>
      <c r="E23" s="9" t="inlineStr">
        <is>
          <t>29152-HTP-001</t>
        </is>
      </c>
      <c r="F23" s="9" t="inlineStr"/>
      <c r="G23" s="9" t="inlineStr">
        <is>
          <t>113</t>
        </is>
      </c>
      <c r="H23" s="9" t="inlineStr">
        <is>
          <t>29152-ET-HC4202-1-PWK-1.pdf</t>
        </is>
      </c>
      <c r="I23" s="4" t="str">
        <f>IF($H23&lt;&gt;"","YES","NO")</f>
        <v>YES</v>
      </c>
      <c r="J23" s="4" t="str">
        <f>IF(N($T23)&gt;0,"YES","NO")</f>
        <v>YES</v>
      </c>
      <c r="K23" s="4" t="str">
        <f>IF(OR($A23="EHT Trace"),IF(AND($U23&lt;&gt;"",$V23&lt;&gt;""),"YES","NO"),"N/A")</f>
        <v>N/A</v>
      </c>
      <c r="L23" s="4" t="str">
        <f>IF(OR($A23="EHT Trace"),IF(AND($X23&lt;&gt;"",$Y23&lt;&gt;""),"YES","NO"),"N/A")</f>
        <v>N/A</v>
      </c>
      <c r="M23" s="4" t="str">
        <f>IF(OR($A23="EHT Trace"),IF(AND($AA23&lt;&gt;"",$AB23&lt;&gt;""),"YES","NO"),"N/A")</f>
        <v>N/A</v>
      </c>
      <c r="N23" s="4" t="str">
        <f>IF(OR($A23="Power Cable"),IF(AND($AD23&lt;&gt;""),"YES","NO"),"N/A")</f>
        <v>YES</v>
      </c>
      <c r="O23" s="4" t="str">
        <f>IF(OR($A23="Power Cable",$A23="RTD Cable",$A23="Fieldbus Cable"),IF(AND($AE23&lt;&gt;""),"YES","NO"),"N/A")</f>
        <v>YES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str">
        <f>IF(OR($AM23&lt;&gt;"",$Z23&lt;&gt;"",$AC23&lt;&gt;""),"YES","NO")</f>
        <v>NO</v>
      </c>
      <c r="S23" s="4" t="str">
        <f>IF(COUNTIF(I23:R23,"NO")=0,"YES","NO")</f>
        <v>NO</v>
      </c>
      <c r="T23" s="9" t="n">
        <v>9</v>
      </c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inlineStr">
        <is>
          <t>550 MΩ / 550 MΩ / 550 MΩ</t>
        </is>
      </c>
      <c r="AE23" s="9" t="inlineStr">
        <is>
          <t>0.3 Ω / OL / OL</t>
        </is>
      </c>
      <c r="AF23" s="9" t="inlineStr">
        <is>
          <t>Fluke 1587 FC 72300003</t>
        </is>
      </c>
      <c r="AG23" s="9" t="n"/>
      <c r="AH23" s="9" t="n"/>
      <c r="AI23" s="9" t="n"/>
      <c r="AJ23" s="9" t="inlineStr">
        <is>
          <t>Teck</t>
        </is>
      </c>
      <c r="AK23" s="9" t="inlineStr">
        <is>
          <t>10 AWG</t>
        </is>
      </c>
      <c r="AL23" s="9" t="inlineStr">
        <is>
          <t>Levy Ostrup</t>
        </is>
      </c>
      <c r="AM23" s="9" t="n"/>
      <c r="AN23" s="9" t="inlineStr">
        <is>
          <t>Doesn't have cable - fixed Sept 27</t>
        </is>
      </c>
    </row>
    <row r="24">
      <c r="A24" s="9" t="inlineStr">
        <is>
          <t>Power Cable</t>
        </is>
      </c>
      <c r="B24" s="9" t="inlineStr">
        <is>
          <t>29152-ET-MT0002-1-PWK-1</t>
        </is>
      </c>
      <c r="C24" s="9" t="inlineStr">
        <is>
          <t>29152-ET-MT0002-1</t>
        </is>
      </c>
      <c r="D24" s="9" t="inlineStr"/>
      <c r="E24" s="9" t="inlineStr">
        <is>
          <t>29152-HTP-001</t>
        </is>
      </c>
      <c r="F24" s="9" t="inlineStr"/>
      <c r="G24" s="9" t="inlineStr">
        <is>
          <t>113</t>
        </is>
      </c>
      <c r="H24" s="9" t="inlineStr">
        <is>
          <t>29152-ET-MT0002-1-PWK-1.pdf</t>
        </is>
      </c>
      <c r="I24" s="4" t="str">
        <f>IF($H24&lt;&gt;"","YES","NO")</f>
        <v>YES</v>
      </c>
      <c r="J24" s="4" t="str">
        <f>IF(N($T24)&gt;0,"YES","NO")</f>
        <v>YES</v>
      </c>
      <c r="K24" s="4" t="str">
        <f>IF(OR($A24="EHT Trace"),IF(AND($U24&lt;&gt;"",$V24&lt;&gt;""),"YES","NO"),"N/A")</f>
        <v>N/A</v>
      </c>
      <c r="L24" s="4" t="str">
        <f>IF(OR($A24="EHT Trace"),IF(AND($X24&lt;&gt;"",$Y24&lt;&gt;""),"YES","NO"),"N/A")</f>
        <v>N/A</v>
      </c>
      <c r="M24" s="4" t="str">
        <f>IF(OR($A24="EHT Trace"),IF(AND($AA24&lt;&gt;"",$AB24&lt;&gt;""),"YES","NO"),"N/A")</f>
        <v>N/A</v>
      </c>
      <c r="N24" s="4" t="str">
        <f>IF(OR($A24="Power Cable"),IF(AND($AD24&lt;&gt;""),"YES","NO"),"N/A")</f>
        <v>YES</v>
      </c>
      <c r="O24" s="4" t="str">
        <f>IF(OR($A24="Power Cable",$A24="RTD Cable",$A24="Fieldbus Cable"),IF(AND($AE24&lt;&gt;""),"YES","NO"),"N/A")</f>
        <v>YES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str">
        <f>IF(OR($AM24&lt;&gt;"",$Z24&lt;&gt;"",$AC24&lt;&gt;""),"YES","NO")</f>
        <v>NO</v>
      </c>
      <c r="S24" s="4" t="str">
        <f>IF(COUNTIF(I24:R24,"NO")=0,"YES","NO")</f>
        <v>NO</v>
      </c>
      <c r="T24" s="9" t="n">
        <v>8</v>
      </c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inlineStr">
        <is>
          <t>&gt;550 MΩ / &gt;550 MΩ / &gt;550 MΩ</t>
        </is>
      </c>
      <c r="AE24" s="9" t="inlineStr">
        <is>
          <t>0.3 Ω / OL / OL</t>
        </is>
      </c>
      <c r="AF24" s="9" t="inlineStr">
        <is>
          <t>Fluke 1587 FC 72300003</t>
        </is>
      </c>
      <c r="AG24" s="9" t="n"/>
      <c r="AH24" s="9" t="n"/>
      <c r="AI24" s="9" t="n"/>
      <c r="AJ24" s="9" t="inlineStr">
        <is>
          <t>Teck</t>
        </is>
      </c>
      <c r="AK24" s="9" t="inlineStr">
        <is>
          <t>10 AWG</t>
        </is>
      </c>
      <c r="AL24" s="9" t="inlineStr">
        <is>
          <t>Levy Ostrup</t>
        </is>
      </c>
      <c r="AM24" s="9" t="n"/>
      <c r="AN24" s="9" t="inlineStr">
        <is>
          <t>Missing cable supports @ gland - fixed Sept 27</t>
        </is>
      </c>
    </row>
    <row r="25">
      <c r="A25" s="9" t="inlineStr">
        <is>
          <t>Power Cable</t>
        </is>
      </c>
      <c r="B25" s="9" t="inlineStr">
        <is>
          <t>29152-ET-PG4200-1-PWK-1</t>
        </is>
      </c>
      <c r="C25" s="9" t="inlineStr">
        <is>
          <t>29152-ET-PG4200-1</t>
        </is>
      </c>
      <c r="D25" s="9" t="inlineStr"/>
      <c r="E25" s="9" t="inlineStr">
        <is>
          <t>29152-HTP-001</t>
        </is>
      </c>
      <c r="F25" s="9" t="inlineStr"/>
      <c r="G25" s="9" t="inlineStr">
        <is>
          <t>113</t>
        </is>
      </c>
      <c r="H25" s="9" t="inlineStr">
        <is>
          <t>29152-ET-PG4200-1-PWK-1.pdf</t>
        </is>
      </c>
      <c r="I25" s="4" t="str">
        <f>IF($H25&lt;&gt;"","YES","NO")</f>
        <v>YES</v>
      </c>
      <c r="J25" s="4" t="str">
        <f>IF(N($T25)&gt;0,"YES","NO")</f>
        <v>YES</v>
      </c>
      <c r="K25" s="4" t="str">
        <f>IF(OR($A25="EHT Trace"),IF(AND($U25&lt;&gt;"",$V25&lt;&gt;""),"YES","NO"),"N/A")</f>
        <v>N/A</v>
      </c>
      <c r="L25" s="4" t="str">
        <f>IF(OR($A25="EHT Trace"),IF(AND($X25&lt;&gt;"",$Y25&lt;&gt;""),"YES","NO"),"N/A")</f>
        <v>N/A</v>
      </c>
      <c r="M25" s="4" t="str">
        <f>IF(OR($A25="EHT Trace"),IF(AND($AA25&lt;&gt;"",$AB25&lt;&gt;""),"YES","NO"),"N/A")</f>
        <v>N/A</v>
      </c>
      <c r="N25" s="4" t="str">
        <f>IF(OR($A25="Power Cable"),IF(AND($AD25&lt;&gt;""),"YES","NO"),"N/A")</f>
        <v>YES</v>
      </c>
      <c r="O25" s="4" t="str">
        <f>IF(OR($A25="Power Cable",$A25="RTD Cable",$A25="Fieldbus Cable"),IF(AND($AE25&lt;&gt;""),"YES","NO"),"N/A")</f>
        <v>YES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str">
        <f>IF(OR($AM25&lt;&gt;"",$Z25&lt;&gt;"",$AC25&lt;&gt;""),"YES","NO")</f>
        <v>NO</v>
      </c>
      <c r="S25" s="4" t="str">
        <f>IF(COUNTIF(I25:R25,"NO")=0,"YES","NO")</f>
        <v>NO</v>
      </c>
      <c r="T25" s="9" t="n">
        <v>8</v>
      </c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inlineStr">
        <is>
          <t>&gt;550 MΩ / &gt;550 MΩ / &gt;550 MΩ</t>
        </is>
      </c>
      <c r="AE25" s="9" t="inlineStr">
        <is>
          <t>0.3 Ω / OL / OL</t>
        </is>
      </c>
      <c r="AF25" s="9" t="inlineStr">
        <is>
          <t>Fluke 1587 FC 72300003</t>
        </is>
      </c>
      <c r="AG25" s="9" t="n"/>
      <c r="AH25" s="9" t="n"/>
      <c r="AI25" s="9" t="n"/>
      <c r="AJ25" s="9" t="inlineStr">
        <is>
          <t>TECK</t>
        </is>
      </c>
      <c r="AK25" s="9" t="inlineStr">
        <is>
          <t>10 AWG</t>
        </is>
      </c>
      <c r="AL25" s="9" t="inlineStr">
        <is>
          <t>Levy Ostrup</t>
        </is>
      </c>
      <c r="AM25" s="9" t="n"/>
      <c r="AN25" s="9" t="inlineStr">
        <is>
          <t>Cable needs support at device gland - fixed Sept 27</t>
        </is>
      </c>
    </row>
    <row r="26">
      <c r="A26" s="9" t="inlineStr">
        <is>
          <t>Power Cable</t>
        </is>
      </c>
      <c r="B26" s="9" t="inlineStr">
        <is>
          <t>29152-ET-SC4202-1-PWK-1</t>
        </is>
      </c>
      <c r="C26" s="9" t="inlineStr">
        <is>
          <t>29152-ET-SC4202-1</t>
        </is>
      </c>
      <c r="D26" s="9" t="inlineStr"/>
      <c r="E26" s="9" t="inlineStr">
        <is>
          <t>29152-HTP-001</t>
        </is>
      </c>
      <c r="F26" s="9" t="inlineStr"/>
      <c r="G26" s="9" t="inlineStr">
        <is>
          <t>113</t>
        </is>
      </c>
      <c r="H26" s="9" t="inlineStr">
        <is>
          <t>29152-ET-SC4202-1-PWK-1.pdf</t>
        </is>
      </c>
      <c r="I26" s="4" t="str">
        <f>IF($H26&lt;&gt;"","YES","NO")</f>
        <v>YES</v>
      </c>
      <c r="J26" s="4" t="str">
        <f>IF(N($T26)&gt;0,"YES","NO")</f>
        <v>YES</v>
      </c>
      <c r="K26" s="4" t="str">
        <f>IF(OR($A26="EHT Trace"),IF(AND($U26&lt;&gt;"",$V26&lt;&gt;""),"YES","NO"),"N/A")</f>
        <v>N/A</v>
      </c>
      <c r="L26" s="4" t="str">
        <f>IF(OR($A26="EHT Trace"),IF(AND($X26&lt;&gt;"",$Y26&lt;&gt;""),"YES","NO"),"N/A")</f>
        <v>N/A</v>
      </c>
      <c r="M26" s="4" t="str">
        <f>IF(OR($A26="EHT Trace"),IF(AND($AA26&lt;&gt;"",$AB26&lt;&gt;""),"YES","NO"),"N/A")</f>
        <v>N/A</v>
      </c>
      <c r="N26" s="4" t="str">
        <f>IF(OR($A26="Power Cable"),IF(AND($AD26&lt;&gt;""),"YES","NO"),"N/A")</f>
        <v>YES</v>
      </c>
      <c r="O26" s="4" t="str">
        <f>IF(OR($A26="Power Cable",$A26="RTD Cable",$A26="Fieldbus Cable"),IF(AND($AE26&lt;&gt;""),"YES","NO"),"N/A")</f>
        <v>YES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str">
        <f>IF(OR($AM26&lt;&gt;"",$Z26&lt;&gt;"",$AC26&lt;&gt;""),"YES","NO")</f>
        <v>NO</v>
      </c>
      <c r="S26" s="4" t="str">
        <f>IF(COUNTIF(I26:R26,"NO")=0,"YES","NO")</f>
        <v>NO</v>
      </c>
      <c r="T26" s="9" t="n">
        <v>9</v>
      </c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inlineStr">
        <is>
          <t>&gt;550 MΩ / &gt;550 MΩ / &gt;550 MΩ</t>
        </is>
      </c>
      <c r="AE26" s="9" t="inlineStr">
        <is>
          <t>0.3 Ω / OL / OL</t>
        </is>
      </c>
      <c r="AF26" s="9" t="inlineStr">
        <is>
          <t>Fluke 1587 FC 72300003</t>
        </is>
      </c>
      <c r="AG26" s="9" t="n"/>
      <c r="AH26" s="9" t="n"/>
      <c r="AI26" s="9" t="n"/>
      <c r="AJ26" s="9" t="inlineStr">
        <is>
          <t>TECK</t>
        </is>
      </c>
      <c r="AK26" s="9" t="inlineStr">
        <is>
          <t>10 AWG</t>
        </is>
      </c>
      <c r="AL26" s="9" t="inlineStr">
        <is>
          <t>Levy Ostrup</t>
        </is>
      </c>
      <c r="AM26" s="9" t="n"/>
      <c r="AN26" s="9" t="inlineStr">
        <is>
          <t>Cable needs support | Prints call for #8, #10 currently installed</t>
        </is>
      </c>
    </row>
    <row r="27">
      <c r="A27" s="9" t="inlineStr">
        <is>
          <t>Power Cable</t>
        </is>
      </c>
      <c r="B27" s="9" t="inlineStr">
        <is>
          <t>29203-ET-DR5001-1-PWK-1</t>
        </is>
      </c>
      <c r="C27" s="9" t="inlineStr">
        <is>
          <t>29203-ET-DR5001-1</t>
        </is>
      </c>
      <c r="D27" s="9" t="inlineStr"/>
      <c r="E27" s="9" t="inlineStr">
        <is>
          <t>29152-HTP-001</t>
        </is>
      </c>
      <c r="F27" s="9" t="inlineStr"/>
      <c r="G27" s="9" t="inlineStr">
        <is>
          <t>113</t>
        </is>
      </c>
      <c r="H27" s="9" t="inlineStr">
        <is>
          <t>29203-ET-DR5001-1-PWK-1.pdf</t>
        </is>
      </c>
      <c r="I27" s="4" t="str">
        <f>IF($H27&lt;&gt;"","YES","NO")</f>
        <v>YES</v>
      </c>
      <c r="J27" s="4" t="str">
        <f>IF(N($T27)&gt;0,"YES","NO")</f>
        <v>YES</v>
      </c>
      <c r="K27" s="4" t="str">
        <f>IF(OR($A27="EHT Trace"),IF(AND($U27&lt;&gt;"",$V27&lt;&gt;""),"YES","NO"),"N/A")</f>
        <v>N/A</v>
      </c>
      <c r="L27" s="4" t="str">
        <f>IF(OR($A27="EHT Trace"),IF(AND($X27&lt;&gt;"",$Y27&lt;&gt;""),"YES","NO"),"N/A")</f>
        <v>N/A</v>
      </c>
      <c r="M27" s="4" t="str">
        <f>IF(OR($A27="EHT Trace"),IF(AND($AA27&lt;&gt;"",$AB27&lt;&gt;""),"YES","NO"),"N/A")</f>
        <v>N/A</v>
      </c>
      <c r="N27" s="4" t="str">
        <f>IF(OR($A27="Power Cable"),IF(AND($AD27&lt;&gt;""),"YES","NO"),"N/A")</f>
        <v>YES</v>
      </c>
      <c r="O27" s="4" t="str">
        <f>IF(OR($A27="Power Cable",$A27="RTD Cable",$A27="Fieldbus Cable"),IF(AND($AE27&lt;&gt;""),"YES","NO"),"N/A")</f>
        <v>YES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str">
        <f>IF(OR($AM27&lt;&gt;"",$Z27&lt;&gt;"",$AC27&lt;&gt;""),"YES","NO")</f>
        <v>NO</v>
      </c>
      <c r="S27" s="4" t="str">
        <f>IF(COUNTIF(I27:R27,"NO")=0,"YES","NO")</f>
        <v>NO</v>
      </c>
      <c r="T27" s="9" t="n">
        <v>9</v>
      </c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inlineStr">
        <is>
          <t>550 MΩ / 550 MΩ / 550 MΩ</t>
        </is>
      </c>
      <c r="AE27" s="9" t="inlineStr">
        <is>
          <t>0.3 Ω / OL / OL</t>
        </is>
      </c>
      <c r="AF27" s="9" t="inlineStr">
        <is>
          <t>Fluke 1587 FC 72300003</t>
        </is>
      </c>
      <c r="AG27" s="9" t="n"/>
      <c r="AH27" s="9" t="n"/>
      <c r="AI27" s="9" t="n"/>
      <c r="AJ27" s="9" t="inlineStr">
        <is>
          <t>TECK</t>
        </is>
      </c>
      <c r="AK27" s="9" t="inlineStr">
        <is>
          <t>10 AWG</t>
        </is>
      </c>
      <c r="AL27" s="9" t="inlineStr">
        <is>
          <t>Levy Ostrup</t>
        </is>
      </c>
      <c r="AM27" s="9" t="n"/>
      <c r="AN27" s="9" t="n"/>
    </row>
    <row r="28">
      <c r="A28" s="9" t="inlineStr">
        <is>
          <t>Power Cable</t>
        </is>
      </c>
      <c r="B28" s="9" t="inlineStr">
        <is>
          <t>29203-ET-HC5012-1-PWK-1</t>
        </is>
      </c>
      <c r="C28" s="9" t="inlineStr">
        <is>
          <t>29203-ET-HC5012-1</t>
        </is>
      </c>
      <c r="D28" s="9" t="inlineStr"/>
      <c r="E28" s="9" t="inlineStr">
        <is>
          <t>29152-HTP-001</t>
        </is>
      </c>
      <c r="F28" s="9" t="inlineStr"/>
      <c r="G28" s="9" t="inlineStr">
        <is>
          <t>113</t>
        </is>
      </c>
      <c r="H28" s="9" t="inlineStr">
        <is>
          <t>29203-ET-HC5012-1-PWK-1.pdf</t>
        </is>
      </c>
      <c r="I28" s="4" t="str">
        <f>IF($H28&lt;&gt;"","YES","NO")</f>
        <v>YES</v>
      </c>
      <c r="J28" s="4" t="str">
        <f>IF(N($T28)&gt;0,"YES","NO")</f>
        <v>YES</v>
      </c>
      <c r="K28" s="4" t="str">
        <f>IF(OR($A28="EHT Trace"),IF(AND($U28&lt;&gt;"",$V28&lt;&gt;""),"YES","NO"),"N/A")</f>
        <v>N/A</v>
      </c>
      <c r="L28" s="4" t="str">
        <f>IF(OR($A28="EHT Trace"),IF(AND($X28&lt;&gt;"",$Y28&lt;&gt;""),"YES","NO"),"N/A")</f>
        <v>N/A</v>
      </c>
      <c r="M28" s="4" t="str">
        <f>IF(OR($A28="EHT Trace"),IF(AND($AA28&lt;&gt;"",$AB28&lt;&gt;""),"YES","NO"),"N/A")</f>
        <v>N/A</v>
      </c>
      <c r="N28" s="4" t="str">
        <f>IF(OR($A28="Power Cable"),IF(AND($AD28&lt;&gt;""),"YES","NO"),"N/A")</f>
        <v>YES</v>
      </c>
      <c r="O28" s="4" t="str">
        <f>IF(OR($A28="Power Cable",$A28="RTD Cable",$A28="Fieldbus Cable"),IF(AND($AE28&lt;&gt;""),"YES","NO"),"N/A")</f>
        <v>YES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str">
        <f>IF(OR($AM28&lt;&gt;"",$Z28&lt;&gt;"",$AC28&lt;&gt;""),"YES","NO")</f>
        <v>NO</v>
      </c>
      <c r="S28" s="4" t="str">
        <f>IF(COUNTIF(I28:R28,"NO")=0,"YES","NO")</f>
        <v>NO</v>
      </c>
      <c r="T28" s="9" t="n">
        <v>8</v>
      </c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inlineStr">
        <is>
          <t>550 MΩ / 550 MΩ / 550 MΩ</t>
        </is>
      </c>
      <c r="AE28" s="9" t="inlineStr">
        <is>
          <t>0.3 Ω / OL / OL</t>
        </is>
      </c>
      <c r="AF28" s="9" t="inlineStr">
        <is>
          <t>Fluke 1587 FC 72300003</t>
        </is>
      </c>
      <c r="AG28" s="9" t="n"/>
      <c r="AH28" s="9" t="n"/>
      <c r="AI28" s="9" t="n"/>
      <c r="AJ28" s="9" t="inlineStr">
        <is>
          <t>Teck</t>
        </is>
      </c>
      <c r="AK28" s="9" t="inlineStr">
        <is>
          <t>8 AWG</t>
        </is>
      </c>
      <c r="AL28" s="9" t="inlineStr">
        <is>
          <t>Levy Ostrup</t>
        </is>
      </c>
      <c r="AM28" s="9" t="n"/>
      <c r="AN28" s="9" t="inlineStr">
        <is>
          <t>Missing core markers</t>
        </is>
      </c>
    </row>
    <row r="29">
      <c r="A29" s="9" t="inlineStr">
        <is>
          <t>Power Cable</t>
        </is>
      </c>
      <c r="B29" s="9" t="inlineStr">
        <is>
          <t>29203-ET-LIT0220-1-PWK-1</t>
        </is>
      </c>
      <c r="C29" s="9" t="inlineStr">
        <is>
          <t>29203-ET-LIT0220-1</t>
        </is>
      </c>
      <c r="D29" s="9" t="inlineStr"/>
      <c r="E29" s="9" t="inlineStr">
        <is>
          <t>29152-HTP-001</t>
        </is>
      </c>
      <c r="F29" s="9" t="inlineStr"/>
      <c r="G29" s="9" t="inlineStr">
        <is>
          <t>113</t>
        </is>
      </c>
      <c r="H29" s="9" t="inlineStr">
        <is>
          <t>29203-ET-LIT0220-1-PWK-1.pdf</t>
        </is>
      </c>
      <c r="I29" s="4" t="str">
        <f>IF($H29&lt;&gt;"","YES","NO")</f>
        <v>YES</v>
      </c>
      <c r="J29" s="4" t="str">
        <f>IF(N($T29)&gt;0,"YES","NO")</f>
        <v>YES</v>
      </c>
      <c r="K29" s="4" t="str">
        <f>IF(OR($A29="EHT Trace"),IF(AND($U29&lt;&gt;"",$V29&lt;&gt;""),"YES","NO"),"N/A")</f>
        <v>N/A</v>
      </c>
      <c r="L29" s="4" t="str">
        <f>IF(OR($A29="EHT Trace"),IF(AND($X29&lt;&gt;"",$Y29&lt;&gt;""),"YES","NO"),"N/A")</f>
        <v>N/A</v>
      </c>
      <c r="M29" s="4" t="str">
        <f>IF(OR($A29="EHT Trace"),IF(AND($AA29&lt;&gt;"",$AB29&lt;&gt;""),"YES","NO"),"N/A")</f>
        <v>N/A</v>
      </c>
      <c r="N29" s="4" t="str">
        <f>IF(OR($A29="Power Cable"),IF(AND($AD29&lt;&gt;""),"YES","NO"),"N/A")</f>
        <v>YES</v>
      </c>
      <c r="O29" s="4" t="str">
        <f>IF(OR($A29="Power Cable",$A29="RTD Cable",$A29="Fieldbus Cable"),IF(AND($AE29&lt;&gt;""),"YES","NO"),"N/A")</f>
        <v>YES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str">
        <f>IF(OR($AM29&lt;&gt;"",$Z29&lt;&gt;"",$AC29&lt;&gt;""),"YES","NO")</f>
        <v>NO</v>
      </c>
      <c r="S29" s="4" t="str">
        <f>IF(COUNTIF(I29:R29,"NO")=0,"YES","NO")</f>
        <v>NO</v>
      </c>
      <c r="T29" s="9" t="n">
        <v>8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inlineStr">
        <is>
          <t>550 MΩ / 550 MΩ / 550 MΩ</t>
        </is>
      </c>
      <c r="AE29" s="9" t="inlineStr">
        <is>
          <t>0.4 Ω / OL / OL</t>
        </is>
      </c>
      <c r="AF29" s="9" t="inlineStr">
        <is>
          <t>Fluke 1587 FC 72300003</t>
        </is>
      </c>
      <c r="AG29" s="9" t="n"/>
      <c r="AH29" s="9" t="n"/>
      <c r="AI29" s="9" t="n"/>
      <c r="AJ29" s="9" t="inlineStr">
        <is>
          <t>TECK</t>
        </is>
      </c>
      <c r="AK29" s="9" t="inlineStr">
        <is>
          <t>10 AWG</t>
        </is>
      </c>
      <c r="AL29" s="9" t="inlineStr">
        <is>
          <t>Levy Ostrup</t>
        </is>
      </c>
      <c r="AM29" s="9" t="n"/>
      <c r="AN29" s="9" t="inlineStr">
        <is>
          <t>Cable needs support at device gland</t>
        </is>
      </c>
    </row>
    <row r="30">
      <c r="A30" s="9" t="inlineStr">
        <is>
          <t>Power Cable</t>
        </is>
      </c>
      <c r="B30" s="9" t="inlineStr">
        <is>
          <t>29203-ET-LIT0221-1-PWK-1</t>
        </is>
      </c>
      <c r="C30" s="9" t="inlineStr">
        <is>
          <t>29203-ET-LIT0221-1</t>
        </is>
      </c>
      <c r="D30" s="9" t="inlineStr"/>
      <c r="E30" s="9" t="inlineStr">
        <is>
          <t>29152-HTP-001</t>
        </is>
      </c>
      <c r="F30" s="9" t="inlineStr"/>
      <c r="G30" s="9" t="inlineStr">
        <is>
          <t>113</t>
        </is>
      </c>
      <c r="H30" s="9" t="inlineStr">
        <is>
          <t>29203-ET-LIT0221-1-PWK-1.pdf</t>
        </is>
      </c>
      <c r="I30" s="4" t="str">
        <f>IF($H30&lt;&gt;"","YES","NO")</f>
        <v>YES</v>
      </c>
      <c r="J30" s="4" t="str">
        <f>IF(N($T30)&gt;0,"YES","NO")</f>
        <v>YES</v>
      </c>
      <c r="K30" s="4" t="str">
        <f>IF(OR($A30="EHT Trace"),IF(AND($U30&lt;&gt;"",$V30&lt;&gt;""),"YES","NO"),"N/A")</f>
        <v>N/A</v>
      </c>
      <c r="L30" s="4" t="str">
        <f>IF(OR($A30="EHT Trace"),IF(AND($X30&lt;&gt;"",$Y30&lt;&gt;""),"YES","NO"),"N/A")</f>
        <v>N/A</v>
      </c>
      <c r="M30" s="4" t="str">
        <f>IF(OR($A30="EHT Trace"),IF(AND($AA30&lt;&gt;"",$AB30&lt;&gt;""),"YES","NO"),"N/A")</f>
        <v>N/A</v>
      </c>
      <c r="N30" s="4" t="str">
        <f>IF(OR($A30="Power Cable"),IF(AND($AD30&lt;&gt;""),"YES","NO"),"N/A")</f>
        <v>YES</v>
      </c>
      <c r="O30" s="4" t="str">
        <f>IF(OR($A30="Power Cable",$A30="RTD Cable",$A30="Fieldbus Cable"),IF(AND($AE30&lt;&gt;""),"YES","NO"),"N/A")</f>
        <v>YES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str">
        <f>IF(OR($AM30&lt;&gt;"",$Z30&lt;&gt;"",$AC30&lt;&gt;""),"YES","NO")</f>
        <v>NO</v>
      </c>
      <c r="S30" s="4" t="str">
        <f>IF(COUNTIF(I30:R30,"NO")=0,"YES","NO")</f>
        <v>NO</v>
      </c>
      <c r="T30" s="9" t="n">
        <v>9</v>
      </c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inlineStr">
        <is>
          <t>550 MΩ / 550 MΩ / 550 MΩ</t>
        </is>
      </c>
      <c r="AE30" s="9" t="inlineStr">
        <is>
          <t>0.4 Ω / OL / OL</t>
        </is>
      </c>
      <c r="AF30" s="9" t="inlineStr">
        <is>
          <t>Fluke 1587 FC 72300003</t>
        </is>
      </c>
      <c r="AG30" s="9" t="n"/>
      <c r="AH30" s="9" t="n"/>
      <c r="AI30" s="9" t="n"/>
      <c r="AJ30" s="9" t="inlineStr">
        <is>
          <t>Teck</t>
        </is>
      </c>
      <c r="AK30" s="9" t="inlineStr">
        <is>
          <t>10 AWG</t>
        </is>
      </c>
      <c r="AL30" s="9" t="inlineStr">
        <is>
          <t>Levy Ostrup</t>
        </is>
      </c>
      <c r="AM30" s="9" t="n"/>
      <c r="AN30" s="9" t="n"/>
    </row>
    <row r="31">
      <c r="A31" s="9" t="inlineStr">
        <is>
          <t>Power Cable</t>
        </is>
      </c>
      <c r="B31" s="9" t="inlineStr">
        <is>
          <t>29203-ET-PE5002-1-PWK-1</t>
        </is>
      </c>
      <c r="C31" s="9" t="inlineStr">
        <is>
          <t>29203-ET-PE5002-1</t>
        </is>
      </c>
      <c r="D31" s="9" t="inlineStr"/>
      <c r="E31" s="9" t="inlineStr">
        <is>
          <t>29152-HTP-001</t>
        </is>
      </c>
      <c r="F31" s="9" t="inlineStr"/>
      <c r="G31" s="9" t="inlineStr">
        <is>
          <t>113</t>
        </is>
      </c>
      <c r="H31" s="9" t="inlineStr">
        <is>
          <t>29203-ET-PE5002-1-PWK-1.pdf</t>
        </is>
      </c>
      <c r="I31" s="4" t="str">
        <f>IF($H31&lt;&gt;"","YES","NO")</f>
        <v>YES</v>
      </c>
      <c r="J31" s="4" t="str">
        <f>IF(N($T31)&gt;0,"YES","NO")</f>
        <v>YES</v>
      </c>
      <c r="K31" s="4" t="str">
        <f>IF(OR($A31="EHT Trace"),IF(AND($U31&lt;&gt;"",$V31&lt;&gt;""),"YES","NO"),"N/A")</f>
        <v>N/A</v>
      </c>
      <c r="L31" s="4" t="str">
        <f>IF(OR($A31="EHT Trace"),IF(AND($X31&lt;&gt;"",$Y31&lt;&gt;""),"YES","NO"),"N/A")</f>
        <v>N/A</v>
      </c>
      <c r="M31" s="4" t="str">
        <f>IF(OR($A31="EHT Trace"),IF(AND($AA31&lt;&gt;"",$AB31&lt;&gt;""),"YES","NO"),"N/A")</f>
        <v>N/A</v>
      </c>
      <c r="N31" s="4" t="str">
        <f>IF(OR($A31="Power Cable"),IF(AND($AD31&lt;&gt;""),"YES","NO"),"N/A")</f>
        <v>YES</v>
      </c>
      <c r="O31" s="4" t="str">
        <f>IF(OR($A31="Power Cable",$A31="RTD Cable",$A31="Fieldbus Cable"),IF(AND($AE31&lt;&gt;""),"YES","NO"),"N/A")</f>
        <v>YES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str">
        <f>IF(OR($AM31&lt;&gt;"",$Z31&lt;&gt;"",$AC31&lt;&gt;""),"YES","NO")</f>
        <v>NO</v>
      </c>
      <c r="S31" s="4" t="str">
        <f>IF(COUNTIF(I31:R31,"NO")=0,"YES","NO")</f>
        <v>NO</v>
      </c>
      <c r="T31" s="9" t="n">
        <v>9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inlineStr">
        <is>
          <t>&gt;550 MΩ / &gt;550 MΩ / &gt;550 MΩ</t>
        </is>
      </c>
      <c r="AE31" s="9" t="inlineStr">
        <is>
          <t>0.3 Ω / OL / OL</t>
        </is>
      </c>
      <c r="AF31" s="9" t="inlineStr">
        <is>
          <t>Fluke 1587 FC 72300003</t>
        </is>
      </c>
      <c r="AG31" s="9" t="n"/>
      <c r="AH31" s="9" t="n"/>
      <c r="AI31" s="9" t="n"/>
      <c r="AJ31" s="9" t="inlineStr">
        <is>
          <t>TECK</t>
        </is>
      </c>
      <c r="AK31" s="9" t="inlineStr">
        <is>
          <t>10 AWG</t>
        </is>
      </c>
      <c r="AL31" s="9" t="inlineStr">
        <is>
          <t>Levy Ostrup</t>
        </is>
      </c>
      <c r="AM31" s="9" t="n"/>
      <c r="AN31" s="9" t="n"/>
    </row>
    <row r="32">
      <c r="A32" s="9" t="inlineStr">
        <is>
          <t>Power Cable</t>
        </is>
      </c>
      <c r="B32" s="9" t="inlineStr">
        <is>
          <t>29203-ET-ST5000-1-PWK-1</t>
        </is>
      </c>
      <c r="C32" s="9" t="inlineStr">
        <is>
          <t>29203-ET-ST5000-1</t>
        </is>
      </c>
      <c r="D32" s="9" t="inlineStr"/>
      <c r="E32" s="9" t="inlineStr">
        <is>
          <t>29152-HTP-001</t>
        </is>
      </c>
      <c r="F32" s="9" t="inlineStr"/>
      <c r="G32" s="9" t="inlineStr">
        <is>
          <t>113</t>
        </is>
      </c>
      <c r="H32" s="9" t="inlineStr">
        <is>
          <t>29203-ET-ST5000-1-PWK-1.pdf</t>
        </is>
      </c>
      <c r="I32" s="4" t="str">
        <f>IF($H32&lt;&gt;"","YES","NO")</f>
        <v>YES</v>
      </c>
      <c r="J32" s="4" t="str">
        <f>IF(N($T32)&gt;0,"YES","NO")</f>
        <v>YES</v>
      </c>
      <c r="K32" s="4" t="str">
        <f>IF(OR($A32="EHT Trace"),IF(AND($U32&lt;&gt;"",$V32&lt;&gt;""),"YES","NO"),"N/A")</f>
        <v>N/A</v>
      </c>
      <c r="L32" s="4" t="str">
        <f>IF(OR($A32="EHT Trace"),IF(AND($X32&lt;&gt;"",$Y32&lt;&gt;""),"YES","NO"),"N/A")</f>
        <v>N/A</v>
      </c>
      <c r="M32" s="4" t="str">
        <f>IF(OR($A32="EHT Trace"),IF(AND($AA32&lt;&gt;"",$AB32&lt;&gt;""),"YES","NO"),"N/A")</f>
        <v>N/A</v>
      </c>
      <c r="N32" s="4" t="str">
        <f>IF(OR($A32="Power Cable"),IF(AND($AD32&lt;&gt;""),"YES","NO"),"N/A")</f>
        <v>YES</v>
      </c>
      <c r="O32" s="4" t="str">
        <f>IF(OR($A32="Power Cable",$A32="RTD Cable",$A32="Fieldbus Cable"),IF(AND($AE32&lt;&gt;""),"YES","NO"),"N/A")</f>
        <v>YES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str">
        <f>IF(OR($AM32&lt;&gt;"",$Z32&lt;&gt;"",$AC32&lt;&gt;""),"YES","NO")</f>
        <v>NO</v>
      </c>
      <c r="S32" s="4" t="str">
        <f>IF(COUNTIF(I32:R32,"NO")=0,"YES","NO")</f>
        <v>NO</v>
      </c>
      <c r="T32" s="9" t="n">
        <v>9</v>
      </c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inlineStr">
        <is>
          <t>&gt;550 MΩ / &gt;550 MΩ / &gt;550 MΩ</t>
        </is>
      </c>
      <c r="AE32" s="9" t="inlineStr">
        <is>
          <t>0.4 Ω / OL / OL</t>
        </is>
      </c>
      <c r="AF32" s="9" t="inlineStr">
        <is>
          <t>Fluke 1587 72300003</t>
        </is>
      </c>
      <c r="AG32" s="9" t="n"/>
      <c r="AH32" s="9" t="n"/>
      <c r="AI32" s="9" t="n"/>
      <c r="AJ32" s="9" t="inlineStr">
        <is>
          <t>TECK</t>
        </is>
      </c>
      <c r="AK32" s="9" t="inlineStr">
        <is>
          <t>10 AWG</t>
        </is>
      </c>
      <c r="AL32" s="9" t="inlineStr">
        <is>
          <t>Levy Ostrup</t>
        </is>
      </c>
      <c r="AM32" s="9" t="n"/>
      <c r="AN32" s="9" t="n"/>
    </row>
    <row r="33">
      <c r="A33" s="9" t="inlineStr">
        <is>
          <t>Power Cable</t>
        </is>
      </c>
      <c r="B33" s="9" t="inlineStr">
        <is>
          <t>TANK2-1-PWK-1</t>
        </is>
      </c>
      <c r="C33" s="9" t="inlineStr">
        <is>
          <t>TANK2-1</t>
        </is>
      </c>
      <c r="D33" s="9" t="inlineStr"/>
      <c r="E33" s="9" t="inlineStr">
        <is>
          <t>29152-HTP-001</t>
        </is>
      </c>
      <c r="F33" s="9" t="inlineStr"/>
      <c r="G33" s="9" t="inlineStr">
        <is>
          <t>113</t>
        </is>
      </c>
      <c r="H33" s="9" t="inlineStr">
        <is>
          <t>TANK2-1-PWK-1.pdf</t>
        </is>
      </c>
      <c r="I33" s="4" t="str">
        <f>IF($H33&lt;&gt;"","YES","NO")</f>
        <v>YES</v>
      </c>
      <c r="J33" s="4" t="str">
        <f>IF(N($T33)&gt;0,"YES","NO")</f>
        <v>YES</v>
      </c>
      <c r="K33" s="4" t="str">
        <f>IF(OR($A33="EHT Trace"),IF(AND($U33&lt;&gt;"",$V33&lt;&gt;""),"YES","NO"),"N/A")</f>
        <v>N/A</v>
      </c>
      <c r="L33" s="4" t="str">
        <f>IF(OR($A33="EHT Trace"),IF(AND($X33&lt;&gt;"",$Y33&lt;&gt;""),"YES","NO"),"N/A")</f>
        <v>N/A</v>
      </c>
      <c r="M33" s="4" t="str">
        <f>IF(OR($A33="EHT Trace"),IF(AND($AA33&lt;&gt;"",$AB33&lt;&gt;""),"YES","NO"),"N/A")</f>
        <v>N/A</v>
      </c>
      <c r="N33" s="4" t="str">
        <f>IF(OR($A33="Power Cable"),IF(AND($AD33&lt;&gt;""),"YES","NO"),"N/A")</f>
        <v>YES</v>
      </c>
      <c r="O33" s="4" t="str">
        <f>IF(OR($A33="Power Cable",$A33="RTD Cable",$A33="Fieldbus Cable"),IF(AND($AE33&lt;&gt;""),"YES","NO"),"N/A")</f>
        <v>YES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str">
        <f>IF(OR($AM33&lt;&gt;"",$Z33&lt;&gt;"",$AC33&lt;&gt;""),"YES","NO")</f>
        <v>NO</v>
      </c>
      <c r="S33" s="4" t="str">
        <f>IF(COUNTIF(I33:R33,"NO")=0,"YES","NO")</f>
        <v>NO</v>
      </c>
      <c r="T33" s="9" t="n">
        <v>9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inlineStr">
        <is>
          <t>&gt;550 MΩ / &gt;550 MΩ / &gt;550 MΩ</t>
        </is>
      </c>
      <c r="AE33" s="9" t="inlineStr">
        <is>
          <t>0.2 Ω / OL / OL</t>
        </is>
      </c>
      <c r="AF33" s="9" t="inlineStr">
        <is>
          <t>Fluke 1587 FC 72300003</t>
        </is>
      </c>
      <c r="AG33" s="9" t="n"/>
      <c r="AH33" s="9" t="n"/>
      <c r="AI33" s="9" t="n"/>
      <c r="AJ33" s="9" t="inlineStr">
        <is>
          <t>TECK</t>
        </is>
      </c>
      <c r="AK33" s="9" t="inlineStr">
        <is>
          <t>10 AWG</t>
        </is>
      </c>
      <c r="AL33" s="9" t="inlineStr">
        <is>
          <t>Levy Ostrup</t>
        </is>
      </c>
      <c r="AM33" s="9" t="n"/>
      <c r="AN33" s="9" t="n"/>
    </row>
    <row r="34">
      <c r="A34" s="9" t="inlineStr">
        <is>
          <t>Power Cable</t>
        </is>
      </c>
      <c r="B34" s="9" t="inlineStr">
        <is>
          <t>TANK2-2-PWK-1</t>
        </is>
      </c>
      <c r="C34" s="9" t="inlineStr">
        <is>
          <t>TANK2-2</t>
        </is>
      </c>
      <c r="D34" s="9" t="inlineStr"/>
      <c r="E34" s="9" t="inlineStr">
        <is>
          <t>29152-HTP-001</t>
        </is>
      </c>
      <c r="F34" s="9" t="inlineStr"/>
      <c r="G34" s="9" t="inlineStr">
        <is>
          <t>113</t>
        </is>
      </c>
      <c r="H34" s="9" t="inlineStr">
        <is>
          <t>TANK2-2-PWK-1.pdf</t>
        </is>
      </c>
      <c r="I34" s="4" t="str">
        <f>IF($H34&lt;&gt;"","YES","NO")</f>
        <v>YES</v>
      </c>
      <c r="J34" s="4" t="str">
        <f>IF(N($T34)&gt;0,"YES","NO")</f>
        <v>YES</v>
      </c>
      <c r="K34" s="4" t="str">
        <f>IF(OR($A34="EHT Trace"),IF(AND($U34&lt;&gt;"",$V34&lt;&gt;""),"YES","NO"),"N/A")</f>
        <v>N/A</v>
      </c>
      <c r="L34" s="4" t="str">
        <f>IF(OR($A34="EHT Trace"),IF(AND($X34&lt;&gt;"",$Y34&lt;&gt;""),"YES","NO"),"N/A")</f>
        <v>N/A</v>
      </c>
      <c r="M34" s="4" t="str">
        <f>IF(OR($A34="EHT Trace"),IF(AND($AA34&lt;&gt;"",$AB34&lt;&gt;""),"YES","NO"),"N/A")</f>
        <v>N/A</v>
      </c>
      <c r="N34" s="4" t="str">
        <f>IF(OR($A34="Power Cable"),IF(AND($AD34&lt;&gt;""),"YES","NO"),"N/A")</f>
        <v>YES</v>
      </c>
      <c r="O34" s="4" t="str">
        <f>IF(OR($A34="Power Cable",$A34="RTD Cable",$A34="Fieldbus Cable"),IF(AND($AE34&lt;&gt;""),"YES","NO"),"N/A")</f>
        <v>YES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str">
        <f>IF(OR($AM34&lt;&gt;"",$Z34&lt;&gt;"",$AC34&lt;&gt;""),"YES","NO")</f>
        <v>NO</v>
      </c>
      <c r="S34" s="4" t="str">
        <f>IF(COUNTIF(I34:R34,"NO")=0,"YES","NO")</f>
        <v>NO</v>
      </c>
      <c r="T34" s="9" t="n">
        <v>10</v>
      </c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inlineStr">
        <is>
          <t>&gt;550 MΩ / &gt;550 MΩ / &gt;550 MΩ</t>
        </is>
      </c>
      <c r="AE34" s="9" t="inlineStr">
        <is>
          <t>0.3 Ω / OL / OL</t>
        </is>
      </c>
      <c r="AF34" s="9" t="inlineStr">
        <is>
          <t>Fluke 1587 FC 72300003</t>
        </is>
      </c>
      <c r="AG34" s="9" t="n"/>
      <c r="AH34" s="9" t="n"/>
      <c r="AI34" s="9" t="n"/>
      <c r="AJ34" s="9" t="inlineStr">
        <is>
          <t>TECK</t>
        </is>
      </c>
      <c r="AK34" s="9" t="inlineStr">
        <is>
          <t>10 AWG</t>
        </is>
      </c>
      <c r="AL34" s="9" t="inlineStr">
        <is>
          <t>Levy Ostrup</t>
        </is>
      </c>
      <c r="AM34" s="9" t="n"/>
      <c r="AN34" s="9" t="n"/>
    </row>
    <row r="35">
      <c r="A35" s="9" t="inlineStr">
        <is>
          <t>Power Cable</t>
        </is>
      </c>
      <c r="B35" s="9" t="inlineStr">
        <is>
          <t>TANK2-3-PWK-1</t>
        </is>
      </c>
      <c r="C35" s="9" t="inlineStr">
        <is>
          <t>TANK2-3</t>
        </is>
      </c>
      <c r="D35" s="9" t="inlineStr"/>
      <c r="E35" s="9" t="inlineStr">
        <is>
          <t>29152-HTP-001</t>
        </is>
      </c>
      <c r="F35" s="9" t="inlineStr"/>
      <c r="G35" s="9" t="inlineStr">
        <is>
          <t>113</t>
        </is>
      </c>
      <c r="H35" s="9" t="inlineStr">
        <is>
          <t>TANK2-3-PWK-1.pdf</t>
        </is>
      </c>
      <c r="I35" s="4" t="str">
        <f>IF($H35&lt;&gt;"","YES","NO")</f>
        <v>YES</v>
      </c>
      <c r="J35" s="4" t="str">
        <f>IF(N($T35)&gt;0,"YES","NO")</f>
        <v>YES</v>
      </c>
      <c r="K35" s="4" t="str">
        <f>IF(OR($A35="EHT Trace"),IF(AND($U35&lt;&gt;"",$V35&lt;&gt;""),"YES","NO"),"N/A")</f>
        <v>N/A</v>
      </c>
      <c r="L35" s="4" t="str">
        <f>IF(OR($A35="EHT Trace"),IF(AND($X35&lt;&gt;"",$Y35&lt;&gt;""),"YES","NO"),"N/A")</f>
        <v>N/A</v>
      </c>
      <c r="M35" s="4" t="str">
        <f>IF(OR($A35="EHT Trace"),IF(AND($AA35&lt;&gt;"",$AB35&lt;&gt;""),"YES","NO"),"N/A")</f>
        <v>N/A</v>
      </c>
      <c r="N35" s="4" t="str">
        <f>IF(OR($A35="Power Cable"),IF(AND($AD35&lt;&gt;""),"YES","NO"),"N/A")</f>
        <v>YES</v>
      </c>
      <c r="O35" s="4" t="str">
        <f>IF(OR($A35="Power Cable",$A35="RTD Cable",$A35="Fieldbus Cable"),IF(AND($AE35&lt;&gt;""),"YES","NO"),"N/A")</f>
        <v>YES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str">
        <f>IF(OR($AM35&lt;&gt;"",$Z35&lt;&gt;"",$AC35&lt;&gt;""),"YES","NO")</f>
        <v>NO</v>
      </c>
      <c r="S35" s="4" t="str">
        <f>IF(COUNTIF(I35:R35,"NO")=0,"YES","NO")</f>
        <v>NO</v>
      </c>
      <c r="T35" s="9" t="n">
        <v>9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inlineStr">
        <is>
          <t>&gt;550 MΩ / &gt;550 MΩ / &gt;550 MΩ</t>
        </is>
      </c>
      <c r="AE35" s="9" t="inlineStr">
        <is>
          <t>0.2 Ω / OL / OL</t>
        </is>
      </c>
      <c r="AF35" s="9" t="inlineStr">
        <is>
          <t>Fluke 1587 FC 72300003</t>
        </is>
      </c>
      <c r="AG35" s="9" t="n"/>
      <c r="AH35" s="9" t="n"/>
      <c r="AI35" s="9" t="n"/>
      <c r="AJ35" s="9" t="inlineStr">
        <is>
          <t>Teck</t>
        </is>
      </c>
      <c r="AK35" s="9" t="inlineStr">
        <is>
          <t>10 AWG</t>
        </is>
      </c>
      <c r="AL35" s="9" t="inlineStr">
        <is>
          <t>Levy Ostrup</t>
        </is>
      </c>
      <c r="AM35" s="9" t="n"/>
      <c r="AN35" s="9" t="n"/>
    </row>
    <row r="36">
      <c r="A36" s="9" t="inlineStr">
        <is>
          <t>Power Cable</t>
        </is>
      </c>
      <c r="B36" s="9" t="inlineStr">
        <is>
          <t>TANK2-4-PWK-1</t>
        </is>
      </c>
      <c r="C36" s="9" t="inlineStr">
        <is>
          <t>TANK2-4</t>
        </is>
      </c>
      <c r="D36" s="9" t="inlineStr"/>
      <c r="E36" s="9" t="inlineStr">
        <is>
          <t>29152-HTP-001</t>
        </is>
      </c>
      <c r="F36" s="9" t="inlineStr"/>
      <c r="G36" s="9" t="inlineStr">
        <is>
          <t>113</t>
        </is>
      </c>
      <c r="H36" s="9" t="inlineStr">
        <is>
          <t>TANK2-4-PWK-1.pdf</t>
        </is>
      </c>
      <c r="I36" s="4" t="str">
        <f>IF($H36&lt;&gt;"","YES","NO")</f>
        <v>YES</v>
      </c>
      <c r="J36" s="4" t="str">
        <f>IF(N($T36)&gt;0,"YES","NO")</f>
        <v>YES</v>
      </c>
      <c r="K36" s="4" t="str">
        <f>IF(OR($A36="EHT Trace"),IF(AND($U36&lt;&gt;"",$V36&lt;&gt;""),"YES","NO"),"N/A")</f>
        <v>N/A</v>
      </c>
      <c r="L36" s="4" t="str">
        <f>IF(OR($A36="EHT Trace"),IF(AND($X36&lt;&gt;"",$Y36&lt;&gt;""),"YES","NO"),"N/A")</f>
        <v>N/A</v>
      </c>
      <c r="M36" s="4" t="str">
        <f>IF(OR($A36="EHT Trace"),IF(AND($AA36&lt;&gt;"",$AB36&lt;&gt;""),"YES","NO"),"N/A")</f>
        <v>N/A</v>
      </c>
      <c r="N36" s="4" t="str">
        <f>IF(OR($A36="Power Cable"),IF(AND($AD36&lt;&gt;""),"YES","NO"),"N/A")</f>
        <v>YES</v>
      </c>
      <c r="O36" s="4" t="str">
        <f>IF(OR($A36="Power Cable",$A36="RTD Cable",$A36="Fieldbus Cable"),IF(AND($AE36&lt;&gt;""),"YES","NO"),"N/A")</f>
        <v>YES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str">
        <f>IF(OR($AM36&lt;&gt;"",$Z36&lt;&gt;"",$AC36&lt;&gt;""),"YES","NO")</f>
        <v>NO</v>
      </c>
      <c r="S36" s="4" t="str">
        <f>IF(COUNTIF(I36:R36,"NO")=0,"YES","NO")</f>
        <v>NO</v>
      </c>
      <c r="T36" s="9" t="n">
        <v>9</v>
      </c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inlineStr">
        <is>
          <t>550 MΩ / 550 MΩ / 550 MΩ</t>
        </is>
      </c>
      <c r="AE36" s="9" t="inlineStr">
        <is>
          <t>0.2 Ω / OL / OL</t>
        </is>
      </c>
      <c r="AF36" s="9" t="inlineStr">
        <is>
          <t>Fluke 1587 FC 72300003</t>
        </is>
      </c>
      <c r="AG36" s="9" t="n"/>
      <c r="AH36" s="9" t="n"/>
      <c r="AI36" s="9" t="n"/>
      <c r="AJ36" s="9" t="inlineStr">
        <is>
          <t>Teck</t>
        </is>
      </c>
      <c r="AK36" s="9" t="inlineStr">
        <is>
          <t>10 AWG</t>
        </is>
      </c>
      <c r="AL36" s="9" t="inlineStr">
        <is>
          <t>Levy Ostrup</t>
        </is>
      </c>
      <c r="AM36" s="9" t="n"/>
      <c r="AN36" s="9" t="n"/>
    </row>
    <row r="37">
      <c r="A37" s="9" t="inlineStr">
        <is>
          <t>Power Cable</t>
        </is>
      </c>
      <c r="B37" s="9" t="inlineStr">
        <is>
          <t>TANK2-5-PWK-1</t>
        </is>
      </c>
      <c r="C37" s="9" t="inlineStr">
        <is>
          <t>TANK2-5</t>
        </is>
      </c>
      <c r="D37" s="9" t="inlineStr"/>
      <c r="E37" s="9" t="inlineStr">
        <is>
          <t>29152-HTP-001</t>
        </is>
      </c>
      <c r="F37" s="9" t="inlineStr"/>
      <c r="G37" s="9" t="inlineStr">
        <is>
          <t>113</t>
        </is>
      </c>
      <c r="H37" s="9" t="inlineStr">
        <is>
          <t>TANK2-5-PWK-1.pdf</t>
        </is>
      </c>
      <c r="I37" s="4" t="str">
        <f>IF($H37&lt;&gt;"","YES","NO")</f>
        <v>YES</v>
      </c>
      <c r="J37" s="4" t="str">
        <f>IF(N($T37)&gt;0,"YES","NO")</f>
        <v>YES</v>
      </c>
      <c r="K37" s="4" t="str">
        <f>IF(OR($A37="EHT Trace"),IF(AND($U37&lt;&gt;"",$V37&lt;&gt;""),"YES","NO"),"N/A")</f>
        <v>N/A</v>
      </c>
      <c r="L37" s="4" t="str">
        <f>IF(OR($A37="EHT Trace"),IF(AND($X37&lt;&gt;"",$Y37&lt;&gt;""),"YES","NO"),"N/A")</f>
        <v>N/A</v>
      </c>
      <c r="M37" s="4" t="str">
        <f>IF(OR($A37="EHT Trace"),IF(AND($AA37&lt;&gt;"",$AB37&lt;&gt;""),"YES","NO"),"N/A")</f>
        <v>N/A</v>
      </c>
      <c r="N37" s="4" t="str">
        <f>IF(OR($A37="Power Cable"),IF(AND($AD37&lt;&gt;""),"YES","NO"),"N/A")</f>
        <v>YES</v>
      </c>
      <c r="O37" s="4" t="str">
        <f>IF(OR($A37="Power Cable",$A37="RTD Cable",$A37="Fieldbus Cable"),IF(AND($AE37&lt;&gt;""),"YES","NO"),"N/A")</f>
        <v>YES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str">
        <f>IF(OR($AM37&lt;&gt;"",$Z37&lt;&gt;"",$AC37&lt;&gt;""),"YES","NO")</f>
        <v>NO</v>
      </c>
      <c r="S37" s="4" t="str">
        <f>IF(COUNTIF(I37:R37,"NO")=0,"YES","NO")</f>
        <v>NO</v>
      </c>
      <c r="T37" s="9" t="n">
        <v>9</v>
      </c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inlineStr">
        <is>
          <t>&gt;550 MΩ / &gt;550 MΩ / &gt;550 MΩ</t>
        </is>
      </c>
      <c r="AE37" s="9" t="inlineStr">
        <is>
          <t>0.3 Ω / OL / OL</t>
        </is>
      </c>
      <c r="AF37" s="9" t="inlineStr">
        <is>
          <t>Fluke 1587 FC 72300003</t>
        </is>
      </c>
      <c r="AG37" s="9" t="n"/>
      <c r="AH37" s="9" t="n"/>
      <c r="AI37" s="9" t="n"/>
      <c r="AJ37" s="9" t="inlineStr">
        <is>
          <t>TECK</t>
        </is>
      </c>
      <c r="AK37" s="9" t="inlineStr">
        <is>
          <t>10 AWG</t>
        </is>
      </c>
      <c r="AL37" s="9" t="inlineStr">
        <is>
          <t>Levy Ostrup</t>
        </is>
      </c>
      <c r="AM37" s="9" t="n"/>
      <c r="AN37" s="9" t="n"/>
    </row>
  </sheetData>
  <autoFilter ref="A4:AN37"/>
  <mergeCells count="3">
    <mergeCell ref="A3:H3"/>
    <mergeCell ref="I3:S3"/>
    <mergeCell ref="T3:AN3"/>
  </mergeCells>
  <conditionalFormatting sqref="I5:S37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"N/A"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2" customWidth="1" min="4" max="4"/>
    <col width="20" customWidth="1" min="5" max="5"/>
    <col width="27" customWidth="1" min="6" max="6"/>
    <col width="6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24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60" customWidth="1" min="40" max="40"/>
  </cols>
  <sheetData>
    <row r="1">
      <c r="A1" s="1" t="inlineStr">
        <is>
          <t>Drain Tank Fieldbus</t>
        </is>
      </c>
    </row>
    <row r="3">
      <c r="A3" s="6" t="n"/>
      <c r="I3" s="7" t="inlineStr">
        <is>
          <t>CHECKSHEETS</t>
        </is>
      </c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7" t="inlineStr">
        <is>
          <t>TEST RESULTS</t>
        </is>
      </c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</row>
    <row r="4" ht="30" customHeight="1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9" t="inlineStr">
        <is>
          <t>Fieldbus Cable</t>
        </is>
      </c>
      <c r="B5" s="9" t="inlineStr">
        <is>
          <t>29152-LIT-0203</t>
        </is>
      </c>
      <c r="C5" s="9" t="inlineStr"/>
      <c r="D5" s="9" t="inlineStr"/>
      <c r="E5" s="9" t="inlineStr"/>
      <c r="F5" s="9" t="inlineStr"/>
      <c r="G5" s="9" t="inlineStr">
        <is>
          <t>113</t>
        </is>
      </c>
      <c r="H5" s="9" t="inlineStr">
        <is>
          <t>29152-LIT-0203.pdf</t>
        </is>
      </c>
      <c r="I5" s="4" t="str">
        <f>IF($H5&lt;&gt;"","YES","NO")</f>
        <v>YES</v>
      </c>
      <c r="J5" s="4" t="str">
        <f>IF(N($T5)&gt;0,"YES","NO")</f>
        <v>YES</v>
      </c>
      <c r="K5" s="4" t="str">
        <f>IF(OR($A5="EHT Trace"),IF(AND($U5&lt;&gt;"",$V5&lt;&gt;""),"YES","NO"),"N/A")</f>
        <v>N/A</v>
      </c>
      <c r="L5" s="4" t="str">
        <f>IF(OR($A5="EHT Trace"),IF(AND($X5&lt;&gt;"",$Y5&lt;&gt;""),"YES","NO"),"N/A")</f>
        <v>N/A</v>
      </c>
      <c r="M5" s="4" t="str">
        <f>IF(OR($A5="EHT Trace"),IF(AND($AA5&lt;&gt;"",$AB5&lt;&gt;""),"YES","NO"),"N/A")</f>
        <v>N/A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YES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YES</v>
      </c>
      <c r="S5" s="4" t="str">
        <f>IF(COUNTIF(I5:R5,"NO")=0,"YES","NO")</f>
        <v>YES</v>
      </c>
      <c r="T5" s="9" t="n">
        <v>11</v>
      </c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inlineStr">
        <is>
          <t>N/A / N/A / N/A</t>
        </is>
      </c>
      <c r="AE5" s="9" t="inlineStr">
        <is>
          <t>3.1 Ω / OL / OL</t>
        </is>
      </c>
      <c r="AF5" s="9" t="inlineStr">
        <is>
          <t>Fluke 117 70201851MV</t>
        </is>
      </c>
      <c r="AG5" s="9" t="n"/>
      <c r="AH5" s="9" t="n"/>
      <c r="AI5" s="9" t="n"/>
      <c r="AJ5" s="9" t="inlineStr">
        <is>
          <t>Fieldbus Type A</t>
        </is>
      </c>
      <c r="AK5" s="9" t="inlineStr">
        <is>
          <t>18 AWG</t>
        </is>
      </c>
      <c r="AL5" s="9" t="inlineStr">
        <is>
          <t>Levy Ostrup</t>
        </is>
      </c>
      <c r="AM5" s="9" t="inlineStr">
        <is>
          <t>Sept 12/26</t>
        </is>
      </c>
      <c r="AN5" s="9" t="inlineStr">
        <is>
          <t>- Pigtail on bend - No cable tags | - Coil drain under boot - Loose instrument; needs to be tightened | - Install grommet on FRT - All FRT up-top needs to be bonded to system</t>
        </is>
      </c>
    </row>
    <row r="6">
      <c r="A6" s="9" t="inlineStr">
        <is>
          <t>Fieldbus Cable</t>
        </is>
      </c>
      <c r="B6" s="9" t="inlineStr">
        <is>
          <t>29152-LIT-0205</t>
        </is>
      </c>
      <c r="C6" s="9" t="inlineStr"/>
      <c r="D6" s="9" t="inlineStr"/>
      <c r="E6" s="9" t="inlineStr"/>
      <c r="F6" s="9" t="inlineStr"/>
      <c r="G6" s="9" t="inlineStr">
        <is>
          <t>113</t>
        </is>
      </c>
      <c r="H6" s="9" t="inlineStr">
        <is>
          <t>29152-LIT-0205.pdf</t>
        </is>
      </c>
      <c r="I6" s="4" t="str">
        <f>IF($H6&lt;&gt;"","YES","NO")</f>
        <v>YES</v>
      </c>
      <c r="J6" s="4" t="str">
        <f>IF(N($T6)&gt;0,"YES","NO")</f>
        <v>YES</v>
      </c>
      <c r="K6" s="4" t="str">
        <f>IF(OR($A6="EHT Trace"),IF(AND($U6&lt;&gt;"",$V6&lt;&gt;""),"YES","NO"),"N/A")</f>
        <v>N/A</v>
      </c>
      <c r="L6" s="4" t="str">
        <f>IF(OR($A6="EHT Trace"),IF(AND($X6&lt;&gt;"",$Y6&lt;&gt;""),"YES","NO"),"N/A")</f>
        <v>N/A</v>
      </c>
      <c r="M6" s="4" t="str">
        <f>IF(OR($A6="EHT Trace"),IF(AND($AA6&lt;&gt;"",$AB6&lt;&gt;""),"YES","NO"),"N/A")</f>
        <v>N/A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YES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YES</v>
      </c>
      <c r="S6" s="4" t="str">
        <f>IF(COUNTIF(I6:R6,"NO")=0,"YES","NO")</f>
        <v>YES</v>
      </c>
      <c r="T6" s="9" t="n">
        <v>11</v>
      </c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inlineStr">
        <is>
          <t>N/A / N/A / N/A</t>
        </is>
      </c>
      <c r="AE6" s="9" t="inlineStr">
        <is>
          <t>1.3 Ω / OL / OL</t>
        </is>
      </c>
      <c r="AF6" s="9" t="inlineStr">
        <is>
          <t>Fluke 117 70201851MV</t>
        </is>
      </c>
      <c r="AG6" s="9" t="n"/>
      <c r="AH6" s="9" t="n"/>
      <c r="AI6" s="9" t="n"/>
      <c r="AJ6" s="9" t="inlineStr">
        <is>
          <t>Fieldbus Type A</t>
        </is>
      </c>
      <c r="AK6" s="9" t="inlineStr">
        <is>
          <t>18 AWG</t>
        </is>
      </c>
      <c r="AL6" s="9" t="inlineStr">
        <is>
          <t>Levy Ostrup</t>
        </is>
      </c>
      <c r="AM6" s="9" t="inlineStr">
        <is>
          <t>9-11-2024</t>
        </is>
      </c>
      <c r="AN6" s="9" t="inlineStr">
        <is>
          <t>- Orange lead is squished and bare wire is seen - re-term | - Coil drain under boot; replace orange core marker</t>
        </is>
      </c>
    </row>
    <row r="7">
      <c r="A7" s="9" t="inlineStr">
        <is>
          <t>Fieldbus Cable</t>
        </is>
      </c>
      <c r="B7" s="9" t="inlineStr">
        <is>
          <t>29152-PIT-0205</t>
        </is>
      </c>
      <c r="C7" s="9" t="inlineStr"/>
      <c r="D7" s="9" t="inlineStr"/>
      <c r="E7" s="9" t="inlineStr"/>
      <c r="F7" s="9" t="inlineStr"/>
      <c r="G7" s="9" t="inlineStr">
        <is>
          <t>113</t>
        </is>
      </c>
      <c r="H7" s="9" t="inlineStr">
        <is>
          <t>29152-PIT-0205.pdf</t>
        </is>
      </c>
      <c r="I7" s="4" t="str">
        <f>IF($H7&lt;&gt;"","YES","NO")</f>
        <v>YES</v>
      </c>
      <c r="J7" s="4" t="str">
        <f>IF(N($T7)&gt;0,"YES","NO")</f>
        <v>YES</v>
      </c>
      <c r="K7" s="4" t="str">
        <f>IF(OR($A7="EHT Trace"),IF(AND($U7&lt;&gt;"",$V7&lt;&gt;""),"YES","NO"),"N/A")</f>
        <v>N/A</v>
      </c>
      <c r="L7" s="4" t="str">
        <f>IF(OR($A7="EHT Trace"),IF(AND($X7&lt;&gt;"",$Y7&lt;&gt;""),"YES","NO"),"N/A")</f>
        <v>N/A</v>
      </c>
      <c r="M7" s="4" t="str">
        <f>IF(OR($A7="EHT Trace"),IF(AND($AA7&lt;&gt;"",$AB7&lt;&gt;""),"YES","NO"),"N/A")</f>
        <v>N/A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YES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YES</v>
      </c>
      <c r="S7" s="4" t="str">
        <f>IF(COUNTIF(I7:R7,"NO")=0,"YES","NO")</f>
        <v>YES</v>
      </c>
      <c r="T7" s="9" t="n">
        <v>11</v>
      </c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inlineStr">
        <is>
          <t>N/A / N/A / N/A</t>
        </is>
      </c>
      <c r="AE7" s="9" t="inlineStr">
        <is>
          <t>1.1 Ω / OL / OL</t>
        </is>
      </c>
      <c r="AF7" s="9" t="inlineStr">
        <is>
          <t>Fluke 117 70201851MV</t>
        </is>
      </c>
      <c r="AG7" s="9" t="n"/>
      <c r="AH7" s="9" t="n"/>
      <c r="AI7" s="9" t="n"/>
      <c r="AJ7" s="9" t="inlineStr">
        <is>
          <t>Fieldbus Type A</t>
        </is>
      </c>
      <c r="AK7" s="9" t="inlineStr">
        <is>
          <t>18 AWG</t>
        </is>
      </c>
      <c r="AL7" s="9" t="inlineStr">
        <is>
          <t>Levy Ostrup</t>
        </is>
      </c>
      <c r="AM7" s="9" t="inlineStr">
        <is>
          <t>9-11-2026</t>
        </is>
      </c>
      <c r="AN7" s="9" t="inlineStr">
        <is>
          <t>- No cable tag; wrap cable into tray w/ 6' serv. loop. | - Rubber grommet protruding through connector | - Field run tray needs better support with strut (wobbles)</t>
        </is>
      </c>
    </row>
    <row r="8">
      <c r="A8" s="9" t="inlineStr">
        <is>
          <t>Fieldbus Cable</t>
        </is>
      </c>
      <c r="B8" s="9" t="inlineStr">
        <is>
          <t>29152-PY-0205</t>
        </is>
      </c>
      <c r="C8" s="9" t="inlineStr"/>
      <c r="D8" s="9" t="inlineStr"/>
      <c r="E8" s="9" t="inlineStr"/>
      <c r="F8" s="9" t="inlineStr"/>
      <c r="G8" s="9" t="inlineStr">
        <is>
          <t>113</t>
        </is>
      </c>
      <c r="H8" s="9" t="inlineStr">
        <is>
          <t>29152-PY-0205.pdf</t>
        </is>
      </c>
      <c r="I8" s="4" t="str">
        <f>IF($H8&lt;&gt;"","YES","NO")</f>
        <v>YES</v>
      </c>
      <c r="J8" s="4" t="str">
        <f>IF(N($T8)&gt;0,"YES","NO")</f>
        <v>YES</v>
      </c>
      <c r="K8" s="4" t="str">
        <f>IF(OR($A8="EHT Trace"),IF(AND($U8&lt;&gt;"",$V8&lt;&gt;""),"YES","NO"),"N/A")</f>
        <v>N/A</v>
      </c>
      <c r="L8" s="4" t="str">
        <f>IF(OR($A8="EHT Trace"),IF(AND($X8&lt;&gt;"",$Y8&lt;&gt;""),"YES","NO"),"N/A")</f>
        <v>N/A</v>
      </c>
      <c r="M8" s="4" t="str">
        <f>IF(OR($A8="EHT Trace"),IF(AND($AA8&lt;&gt;"",$AB8&lt;&gt;""),"YES","NO"),"N/A")</f>
        <v>N/A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YES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YES</v>
      </c>
      <c r="S8" s="4" t="str">
        <f>IF(COUNTIF(I8:R8,"NO")=0,"YES","NO")</f>
        <v>YES</v>
      </c>
      <c r="T8" s="9" t="n">
        <v>11</v>
      </c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inlineStr">
        <is>
          <t>N/A / N/A / N/A</t>
        </is>
      </c>
      <c r="AE8" s="9" t="inlineStr">
        <is>
          <t>1 Ω / OL / OL</t>
        </is>
      </c>
      <c r="AF8" s="9" t="inlineStr">
        <is>
          <t>Fluke 117 70201851MV</t>
        </is>
      </c>
      <c r="AG8" s="9" t="n"/>
      <c r="AH8" s="9" t="n"/>
      <c r="AI8" s="9" t="n"/>
      <c r="AJ8" s="9" t="inlineStr">
        <is>
          <t>Fieldbus Type A</t>
        </is>
      </c>
      <c r="AK8" s="9" t="inlineStr">
        <is>
          <t>18 AWG</t>
        </is>
      </c>
      <c r="AL8" s="9" t="inlineStr">
        <is>
          <t>Levy Ostrup</t>
        </is>
      </c>
      <c r="AM8" s="9" t="inlineStr">
        <is>
          <t>9-11-2026</t>
        </is>
      </c>
      <c r="AN8" s="9" t="inlineStr">
        <is>
          <t>Standard is to shrink and coil drain under boot.</t>
        </is>
      </c>
    </row>
    <row r="9">
      <c r="A9" s="9" t="inlineStr">
        <is>
          <t>Fieldbus Cable</t>
        </is>
      </c>
      <c r="B9" s="9" t="inlineStr">
        <is>
          <t>29152-XY-0201</t>
        </is>
      </c>
      <c r="C9" s="9" t="inlineStr"/>
      <c r="D9" s="9" t="inlineStr"/>
      <c r="E9" s="9" t="inlineStr"/>
      <c r="F9" s="9" t="inlineStr"/>
      <c r="G9" s="9" t="inlineStr">
        <is>
          <t>113</t>
        </is>
      </c>
      <c r="H9" s="9" t="inlineStr">
        <is>
          <t>29152-XY-0201.pdf</t>
        </is>
      </c>
      <c r="I9" s="4" t="str">
        <f>IF($H9&lt;&gt;"","YES","NO")</f>
        <v>YES</v>
      </c>
      <c r="J9" s="4" t="str">
        <f>IF(N($T9)&gt;0,"YES","NO")</f>
        <v>YES</v>
      </c>
      <c r="K9" s="4" t="str">
        <f>IF(OR($A9="EHT Trace"),IF(AND($U9&lt;&gt;"",$V9&lt;&gt;""),"YES","NO"),"N/A")</f>
        <v>N/A</v>
      </c>
      <c r="L9" s="4" t="str">
        <f>IF(OR($A9="EHT Trace"),IF(AND($X9&lt;&gt;"",$Y9&lt;&gt;""),"YES","NO"),"N/A")</f>
        <v>N/A</v>
      </c>
      <c r="M9" s="4" t="str">
        <f>IF(OR($A9="EHT Trace"),IF(AND($AA9&lt;&gt;"",$AB9&lt;&gt;""),"YES","NO"),"N/A")</f>
        <v>N/A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YES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YES</v>
      </c>
      <c r="S9" s="4" t="str">
        <f>IF(COUNTIF(I9:R9,"NO")=0,"YES","NO")</f>
        <v>YES</v>
      </c>
      <c r="T9" s="9" t="n">
        <v>11</v>
      </c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inlineStr">
        <is>
          <t>N/A / N/A / N/A</t>
        </is>
      </c>
      <c r="AE9" s="9" t="inlineStr">
        <is>
          <t>1 Ω / OL / OL</t>
        </is>
      </c>
      <c r="AF9" s="9" t="inlineStr">
        <is>
          <t>Fluke 117 70201851MV</t>
        </is>
      </c>
      <c r="AG9" s="9" t="n"/>
      <c r="AH9" s="9" t="n"/>
      <c r="AI9" s="9" t="n"/>
      <c r="AJ9" s="9" t="inlineStr">
        <is>
          <t>Fieldbus Type A</t>
        </is>
      </c>
      <c r="AK9" s="9" t="inlineStr">
        <is>
          <t>18 AWG</t>
        </is>
      </c>
      <c r="AL9" s="9" t="inlineStr">
        <is>
          <t>Levy Ostrup</t>
        </is>
      </c>
      <c r="AM9" s="9" t="inlineStr">
        <is>
          <t>9-11-2026</t>
        </is>
      </c>
      <c r="AN9" s="9" t="inlineStr">
        <is>
          <t>- Coil drain under boot | - No cable tags.</t>
        </is>
      </c>
    </row>
    <row r="10">
      <c r="A10" s="9" t="inlineStr">
        <is>
          <t>Fieldbus Cable</t>
        </is>
      </c>
      <c r="B10" s="9" t="inlineStr">
        <is>
          <t>29152-XY-0202</t>
        </is>
      </c>
      <c r="C10" s="9" t="inlineStr"/>
      <c r="D10" s="9" t="inlineStr"/>
      <c r="E10" s="9" t="inlineStr"/>
      <c r="F10" s="9" t="inlineStr"/>
      <c r="G10" s="9" t="inlineStr">
        <is>
          <t>113</t>
        </is>
      </c>
      <c r="H10" s="9" t="inlineStr">
        <is>
          <t>29152-XY-0202.pdf</t>
        </is>
      </c>
      <c r="I10" s="4" t="str">
        <f>IF($H10&lt;&gt;"","YES","NO")</f>
        <v>YES</v>
      </c>
      <c r="J10" s="4" t="str">
        <f>IF(N($T10)&gt;0,"YES","NO")</f>
        <v>YES</v>
      </c>
      <c r="K10" s="4" t="str">
        <f>IF(OR($A10="EHT Trace"),IF(AND($U10&lt;&gt;"",$V10&lt;&gt;""),"YES","NO"),"N/A")</f>
        <v>N/A</v>
      </c>
      <c r="L10" s="4" t="str">
        <f>IF(OR($A10="EHT Trace"),IF(AND($X10&lt;&gt;"",$Y10&lt;&gt;""),"YES","NO"),"N/A")</f>
        <v>N/A</v>
      </c>
      <c r="M10" s="4" t="str">
        <f>IF(OR($A10="EHT Trace"),IF(AND($AA10&lt;&gt;"",$AB10&lt;&gt;""),"YES","NO"),"N/A")</f>
        <v>N/A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YES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YES</v>
      </c>
      <c r="S10" s="4" t="str">
        <f>IF(COUNTIF(I10:R10,"NO")=0,"YES","NO")</f>
        <v>YES</v>
      </c>
      <c r="T10" s="9" t="n">
        <v>11</v>
      </c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inlineStr">
        <is>
          <t>N/A / N/A / N/A</t>
        </is>
      </c>
      <c r="AE10" s="9" t="inlineStr">
        <is>
          <t>.9 Ω / OL / OL</t>
        </is>
      </c>
      <c r="AF10" s="9" t="inlineStr">
        <is>
          <t>Fluke 117 70201851MV</t>
        </is>
      </c>
      <c r="AG10" s="9" t="n"/>
      <c r="AH10" s="9" t="n"/>
      <c r="AI10" s="9" t="n"/>
      <c r="AJ10" s="9" t="inlineStr">
        <is>
          <t>Fieldbus Type A</t>
        </is>
      </c>
      <c r="AK10" s="9" t="inlineStr">
        <is>
          <t>18 AWG</t>
        </is>
      </c>
      <c r="AL10" s="9" t="inlineStr">
        <is>
          <t>Levy Ostrup</t>
        </is>
      </c>
      <c r="AM10" s="9" t="inlineStr">
        <is>
          <t>9-11-2026</t>
        </is>
      </c>
      <c r="AN10" s="9" t="inlineStr">
        <is>
          <t>Drain should be coiled under boot.</t>
        </is>
      </c>
    </row>
    <row r="11">
      <c r="A11" s="9" t="inlineStr">
        <is>
          <t>Fieldbus Cable</t>
        </is>
      </c>
      <c r="B11" s="9" t="inlineStr">
        <is>
          <t>29152-XY-0203</t>
        </is>
      </c>
      <c r="C11" s="9" t="inlineStr"/>
      <c r="D11" s="9" t="inlineStr"/>
      <c r="E11" s="9" t="inlineStr"/>
      <c r="F11" s="9" t="inlineStr"/>
      <c r="G11" s="9" t="inlineStr">
        <is>
          <t>113</t>
        </is>
      </c>
      <c r="H11" s="9" t="inlineStr">
        <is>
          <t>29152-XY-0203.pdf</t>
        </is>
      </c>
      <c r="I11" s="4" t="str">
        <f>IF($H11&lt;&gt;"","YES","NO")</f>
        <v>YES</v>
      </c>
      <c r="J11" s="4" t="str">
        <f>IF(N($T11)&gt;0,"YES","NO")</f>
        <v>YES</v>
      </c>
      <c r="K11" s="4" t="str">
        <f>IF(OR($A11="EHT Trace"),IF(AND($U11&lt;&gt;"",$V11&lt;&gt;""),"YES","NO"),"N/A")</f>
        <v>N/A</v>
      </c>
      <c r="L11" s="4" t="str">
        <f>IF(OR($A11="EHT Trace"),IF(AND($X11&lt;&gt;"",$Y11&lt;&gt;""),"YES","NO"),"N/A")</f>
        <v>N/A</v>
      </c>
      <c r="M11" s="4" t="str">
        <f>IF(OR($A11="EHT Trace"),IF(AND($AA11&lt;&gt;"",$AB11&lt;&gt;""),"YES","NO"),"N/A")</f>
        <v>N/A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YES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YES</v>
      </c>
      <c r="S11" s="4" t="str">
        <f>IF(COUNTIF(I11:R11,"NO")=0,"YES","NO")</f>
        <v>YES</v>
      </c>
      <c r="T11" s="9" t="n">
        <v>11</v>
      </c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inlineStr">
        <is>
          <t>N/A / N/A / N/A</t>
        </is>
      </c>
      <c r="AE11" s="9" t="inlineStr">
        <is>
          <t>1.0 / OL / OL</t>
        </is>
      </c>
      <c r="AF11" s="9" t="inlineStr">
        <is>
          <t>Fluke 117 70201851MV</t>
        </is>
      </c>
      <c r="AG11" s="9" t="n"/>
      <c r="AH11" s="9" t="n"/>
      <c r="AI11" s="9" t="n"/>
      <c r="AJ11" s="9" t="inlineStr">
        <is>
          <t>Fieldbus Type A</t>
        </is>
      </c>
      <c r="AK11" s="9" t="inlineStr">
        <is>
          <t>18 AWG</t>
        </is>
      </c>
      <c r="AL11" s="9" t="inlineStr">
        <is>
          <t>Levy Ostrup</t>
        </is>
      </c>
      <c r="AM11" s="9" t="inlineStr">
        <is>
          <t>9-11-26</t>
        </is>
      </c>
      <c r="AN11" s="9" t="inlineStr">
        <is>
          <t>Service loop no bigger than 6'; No cable tags</t>
        </is>
      </c>
    </row>
    <row r="12">
      <c r="A12" s="9" t="inlineStr">
        <is>
          <t>Fieldbus Cable</t>
        </is>
      </c>
      <c r="B12" s="9" t="inlineStr">
        <is>
          <t>29152-XY-0204</t>
        </is>
      </c>
      <c r="C12" s="9" t="inlineStr"/>
      <c r="D12" s="9" t="inlineStr"/>
      <c r="E12" s="9" t="inlineStr"/>
      <c r="F12" s="9" t="inlineStr"/>
      <c r="G12" s="9" t="inlineStr">
        <is>
          <t>113</t>
        </is>
      </c>
      <c r="H12" s="9" t="inlineStr">
        <is>
          <t>29152-XY-0204.pdf</t>
        </is>
      </c>
      <c r="I12" s="4" t="str">
        <f>IF($H12&lt;&gt;"","YES","NO")</f>
        <v>YES</v>
      </c>
      <c r="J12" s="4" t="str">
        <f>IF(N($T12)&gt;0,"YES","NO")</f>
        <v>YES</v>
      </c>
      <c r="K12" s="4" t="str">
        <f>IF(OR($A12="EHT Trace"),IF(AND($U12&lt;&gt;"",$V12&lt;&gt;""),"YES","NO"),"N/A")</f>
        <v>N/A</v>
      </c>
      <c r="L12" s="4" t="str">
        <f>IF(OR($A12="EHT Trace"),IF(AND($X12&lt;&gt;"",$Y12&lt;&gt;""),"YES","NO"),"N/A")</f>
        <v>N/A</v>
      </c>
      <c r="M12" s="4" t="str">
        <f>IF(OR($A12="EHT Trace"),IF(AND($AA12&lt;&gt;"",$AB12&lt;&gt;""),"YES","NO"),"N/A")</f>
        <v>N/A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YES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YES</v>
      </c>
      <c r="S12" s="4" t="str">
        <f>IF(COUNTIF(I12:R12,"NO")=0,"YES","NO")</f>
        <v>YES</v>
      </c>
      <c r="T12" s="9" t="n">
        <v>11</v>
      </c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inlineStr">
        <is>
          <t>N/A / N/A / N/A</t>
        </is>
      </c>
      <c r="AE12" s="9" t="inlineStr">
        <is>
          <t>1.1 / OL / OL</t>
        </is>
      </c>
      <c r="AF12" s="9" t="inlineStr">
        <is>
          <t>Fluke 117 70201851MV</t>
        </is>
      </c>
      <c r="AG12" s="9" t="n"/>
      <c r="AH12" s="9" t="n"/>
      <c r="AI12" s="9" t="n"/>
      <c r="AJ12" s="9" t="inlineStr">
        <is>
          <t>Fieldbus Type A</t>
        </is>
      </c>
      <c r="AK12" s="9" t="inlineStr">
        <is>
          <t>18 AWG</t>
        </is>
      </c>
      <c r="AL12" s="9" t="inlineStr">
        <is>
          <t>Levy Ostrup</t>
        </is>
      </c>
      <c r="AM12" s="9" t="inlineStr">
        <is>
          <t>Sept 11/26</t>
        </is>
      </c>
      <c r="AN12" s="9" t="inlineStr">
        <is>
          <t>- No cable tags | - Drain should be coiled under boot.</t>
        </is>
      </c>
    </row>
    <row r="13">
      <c r="A13" s="9" t="inlineStr">
        <is>
          <t>Fieldbus Cable</t>
        </is>
      </c>
      <c r="B13" s="9" t="inlineStr">
        <is>
          <t>29203-XY-0220</t>
        </is>
      </c>
      <c r="C13" s="9" t="inlineStr"/>
      <c r="D13" s="9" t="inlineStr"/>
      <c r="E13" s="9" t="inlineStr"/>
      <c r="F13" s="9" t="inlineStr"/>
      <c r="G13" s="9" t="inlineStr">
        <is>
          <t>113</t>
        </is>
      </c>
      <c r="H13" s="9" t="inlineStr">
        <is>
          <t>29203-XY-0220.pdf</t>
        </is>
      </c>
      <c r="I13" s="4" t="str">
        <f>IF($H13&lt;&gt;"","YES","NO")</f>
        <v>YES</v>
      </c>
      <c r="J13" s="4" t="str">
        <f>IF(N($T13)&gt;0,"YES","NO")</f>
        <v>YES</v>
      </c>
      <c r="K13" s="4" t="str">
        <f>IF(OR($A13="EHT Trace"),IF(AND($U13&lt;&gt;"",$V13&lt;&gt;""),"YES","NO"),"N/A")</f>
        <v>N/A</v>
      </c>
      <c r="L13" s="4" t="str">
        <f>IF(OR($A13="EHT Trace"),IF(AND($X13&lt;&gt;"",$Y13&lt;&gt;""),"YES","NO"),"N/A")</f>
        <v>N/A</v>
      </c>
      <c r="M13" s="4" t="str">
        <f>IF(OR($A13="EHT Trace"),IF(AND($AA13&lt;&gt;"",$AB13&lt;&gt;""),"YES","NO"),"N/A")</f>
        <v>N/A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YES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YES</v>
      </c>
      <c r="S13" s="4" t="str">
        <f>IF(COUNTIF(I13:R13,"NO")=0,"YES","NO")</f>
        <v>YES</v>
      </c>
      <c r="T13" s="9" t="n">
        <v>11</v>
      </c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inlineStr">
        <is>
          <t>N/A / N/A / N/A</t>
        </is>
      </c>
      <c r="AE13" s="9" t="inlineStr">
        <is>
          <t>1 Ω / OL / OL</t>
        </is>
      </c>
      <c r="AF13" s="9" t="inlineStr">
        <is>
          <t>Fluke 117 70201851MV</t>
        </is>
      </c>
      <c r="AG13" s="9" t="n"/>
      <c r="AH13" s="9" t="n"/>
      <c r="AI13" s="9" t="n"/>
      <c r="AJ13" s="9" t="inlineStr">
        <is>
          <t>Fieldbus Type A</t>
        </is>
      </c>
      <c r="AK13" s="9" t="inlineStr">
        <is>
          <t>18 AWG</t>
        </is>
      </c>
      <c r="AL13" s="9" t="inlineStr">
        <is>
          <t>Levy Ostrup</t>
        </is>
      </c>
      <c r="AM13" s="9" t="inlineStr">
        <is>
          <t>9-11-2026</t>
        </is>
      </c>
      <c r="AN13" s="9" t="inlineStr">
        <is>
          <t>- Drain should be coiled under the boot | - No cable tags.</t>
        </is>
      </c>
    </row>
  </sheetData>
  <autoFilter ref="A4:AN13"/>
  <mergeCells count="3">
    <mergeCell ref="A3:H3"/>
    <mergeCell ref="I3:S3"/>
    <mergeCell ref="T3:AN3"/>
  </mergeCells>
  <conditionalFormatting sqref="I5:S13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"N/A"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2026-10-05T22:24:31Z</dcterms:created>
  <dcterms:modified xsi:type="dcterms:W3CDTF">2026-10-05T22:24:32Z</dcterms:modified>
  <cp:lastModifiedBy/>
</cp:coreProperties>
</file>