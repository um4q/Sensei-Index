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29103-HTP-102" sheetId="2" state="visible" r:id="rId2"/>
    <sheet name="29103-HTP-100" sheetId="3" state="visible" r:id="rId3"/>
    <sheet name="29103-HTP-101" sheetId="4" state="visible" r:id="rId4"/>
    <sheet name="29103-HTP-004" sheetId="5" state="visible" r:id="rId5"/>
    <sheet name="29103-HTP-005" sheetId="6" state="visible" r:id="rId6"/>
    <sheet name="29103-HTP-003" sheetId="7" state="visible" r:id="rId7"/>
    <sheet name="29103-HTP-002" sheetId="8" state="visible" r:id="rId8"/>
    <sheet name="29151-HTP-001" sheetId="9" state="visible" r:id="rId9"/>
    <sheet name="29152-HTP-001" sheetId="10" state="visible" r:id="rId10"/>
    <sheet name="Drain Tank Fieldbus" sheetId="11" state="visible" r:id="rId11"/>
  </sheets>
  <definedNames>
    <definedName name="_xlnm._FilterDatabase" localSheetId="1" hidden="1">'29103-HTP-102'!$A$4:$AN$148</definedName>
    <definedName name="_xlnm._FilterDatabase" localSheetId="2" hidden="1">'29103-HTP-100'!$A$4:$AN$64</definedName>
    <definedName name="_xlnm._FilterDatabase" localSheetId="3" hidden="1">'29103-HTP-101'!$A$4:$AN$79</definedName>
    <definedName name="_xlnm._FilterDatabase" localSheetId="4" hidden="1">'29103-HTP-004'!$A$4:$AN$266</definedName>
    <definedName name="_xlnm._FilterDatabase" localSheetId="5" hidden="1">'29103-HTP-005'!$A$4:$AN$252</definedName>
    <definedName name="_xlnm._FilterDatabase" localSheetId="6" hidden="1">'29103-HTP-003'!$A$4:$AN$273</definedName>
    <definedName name="_xlnm._FilterDatabase" localSheetId="7" hidden="1">'29103-HTP-002'!$A$4:$AN$246</definedName>
    <definedName name="_xlnm._FilterDatabase" localSheetId="8" hidden="1">'29151-HTP-001'!$A$4:$AN$39</definedName>
    <definedName name="_xlnm._FilterDatabase" localSheetId="9" hidden="1">'29152-HTP-001'!$A$4:$AN$37</definedName>
    <definedName name="_xlnm._FilterDatabase" localSheetId="10" hidden="1">'Drain Tank Fieldbus'!$A$4:$AN$13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7F6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9"/>
      </font>
      <fill>
        <patternFill patternType="solid">
          <fgColor rgb="00C6EFCE"/>
        </patternFill>
      </fill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color rgb="00808080"/>
        <sz val="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EHT ITR Status Summary</t>
        </is>
      </c>
    </row>
    <row r="2">
      <c r="A2" s="2" t="inlineStr">
        <is>
          <t>Each check column: "YES" count / items where it applies (N/A excluded). Counts are live formulas on the HTP sheets.</t>
        </is>
      </c>
    </row>
    <row r="4" ht="32" customHeight="1">
      <c r="A4" s="3" t="inlineStr">
        <is>
          <t>Sheet</t>
        </is>
      </c>
      <c r="B4" s="3" t="inlineStr">
        <is>
          <t>Items</t>
        </is>
      </c>
      <c r="C4" s="3" t="inlineStr">
        <is>
          <t>Traces</t>
        </is>
      </c>
      <c r="D4" s="3" t="inlineStr">
        <is>
          <t>Power Cables</t>
        </is>
      </c>
      <c r="E4" s="3" t="inlineStr">
        <is>
          <t>RTDs</t>
        </is>
      </c>
      <c r="F4" s="3" t="inlineStr">
        <is>
          <t>RTD Cables</t>
        </is>
      </c>
      <c r="G4" s="4" t="inlineStr">
        <is>
          <t>ITR Form</t>
        </is>
      </c>
      <c r="H4" s="4" t="inlineStr">
        <is>
          <t>Visual Inspection</t>
        </is>
      </c>
      <c r="I4" s="4" t="inlineStr">
        <is>
          <t>Received Megger</t>
        </is>
      </c>
      <c r="J4" s="4" t="inlineStr">
        <is>
          <t>Pre-Insul Megger</t>
        </is>
      </c>
      <c r="K4" s="4" t="inlineStr">
        <is>
          <t>Post-Insul Megger</t>
        </is>
      </c>
      <c r="L4" s="4" t="inlineStr">
        <is>
          <t>Cable IR</t>
        </is>
      </c>
      <c r="M4" s="4" t="inlineStr">
        <is>
          <t>Cable Continuity</t>
        </is>
      </c>
      <c r="N4" s="4" t="inlineStr">
        <is>
          <t>RTD Pre-Install</t>
        </is>
      </c>
      <c r="O4" s="4" t="inlineStr">
        <is>
          <t>RTD Post-Install</t>
        </is>
      </c>
      <c r="P4" s="4" t="inlineStr">
        <is>
          <t>Test Date</t>
        </is>
      </c>
      <c r="Q4" s="4" t="inlineStr">
        <is>
          <t>COMPLETE</t>
        </is>
      </c>
    </row>
    <row r="5">
      <c r="A5" s="5" t="inlineStr">
        <is>
          <t>29103-HTP-102</t>
        </is>
      </c>
      <c r="B5" s="6">
        <f>COUNTA('29103-HTP-102'!$B$5:$B$148)</f>
        <v>144</v>
      </c>
      <c r="C5" s="6">
        <f>COUNTIF('29103-HTP-102'!$A$5:$A$148,"EHT Trace")</f>
        <v>56</v>
      </c>
      <c r="D5" s="6">
        <f>COUNTIF('29103-HTP-102'!$A$5:$A$148,"Power Cable")</f>
        <v>38</v>
      </c>
      <c r="E5" s="6">
        <f>COUNTIF('29103-HTP-102'!$A$5:$A$148,"RTD")</f>
        <v>22</v>
      </c>
      <c r="F5" s="6">
        <f>COUNTIF('29103-HTP-102'!$A$5:$A$148,"RTD Cable")</f>
        <v>28</v>
      </c>
      <c r="G5" s="6" t="str">
        <f>COUNTIF('29103-HTP-102'!$I$5:$I$148,"YES")&amp;" / "&amp;(COUNTA('29103-HTP-102'!$I$5:$I$148)-COUNTIF('29103-HTP-102'!$I$5:$I$148,"N/A"))</f>
        <v>144 / 144</v>
      </c>
      <c r="H5" s="6" t="str">
        <f>COUNTIF('29103-HTP-102'!$J$5:$J$148,"YES")&amp;" / "&amp;(COUNTA('29103-HTP-102'!$J$5:$J$148)-COUNTIF('29103-HTP-102'!$J$5:$J$148,"N/A"))</f>
        <v>0 / 144</v>
      </c>
      <c r="I5" s="6" t="str">
        <f>COUNTIF('29103-HTP-102'!$K$5:$K$148,"YES")&amp;" / "&amp;(COUNTA('29103-HTP-102'!$K$5:$K$148)-COUNTIF('29103-HTP-102'!$K$5:$K$148,"N/A"))</f>
        <v>10 / 56</v>
      </c>
      <c r="J5" s="6" t="str">
        <f>COUNTIF('29103-HTP-102'!$L$5:$L$148,"YES")&amp;" / "&amp;(COUNTA('29103-HTP-102'!$L$5:$L$148)-COUNTIF('29103-HTP-102'!$L$5:$L$148,"N/A"))</f>
        <v>0 / 56</v>
      </c>
      <c r="K5" s="6" t="str">
        <f>COUNTIF('29103-HTP-102'!$M$5:$M$148,"YES")&amp;" / "&amp;(COUNTA('29103-HTP-102'!$M$5:$M$148)-COUNTIF('29103-HTP-102'!$M$5:$M$148,"N/A"))</f>
        <v>0 / 56</v>
      </c>
      <c r="L5" s="6" t="str">
        <f>COUNTIF('29103-HTP-102'!$N$5:$N$148,"YES")&amp;" / "&amp;(COUNTA('29103-HTP-102'!$N$5:$N$148)-COUNTIF('29103-HTP-102'!$N$5:$N$148,"N/A"))</f>
        <v>0 / 38</v>
      </c>
      <c r="M5" s="6" t="str">
        <f>COUNTIF('29103-HTP-102'!$O$5:$O$148,"YES")&amp;" / "&amp;(COUNTA('29103-HTP-102'!$O$5:$O$148)-COUNTIF('29103-HTP-102'!$O$5:$O$148,"N/A"))</f>
        <v>0 / 66</v>
      </c>
      <c r="N5" s="6" t="str">
        <f>COUNTIF('29103-HTP-102'!$P$5:$P$148,"YES")&amp;" / "&amp;(COUNTA('29103-HTP-102'!$P$5:$P$148)-COUNTIF('29103-HTP-102'!$P$5:$P$148,"N/A"))</f>
        <v>0 / 22</v>
      </c>
      <c r="O5" s="6" t="str">
        <f>COUNTIF('29103-HTP-102'!$Q$5:$Q$148,"YES")&amp;" / "&amp;(COUNTA('29103-HTP-102'!$Q$5:$Q$148)-COUNTIF('29103-HTP-102'!$Q$5:$Q$148,"N/A"))</f>
        <v>0 / 22</v>
      </c>
      <c r="P5" s="6" t="str">
        <f>COUNTIF('29103-HTP-102'!$R$5:$R$148,"YES")&amp;" / "&amp;(COUNTA('29103-HTP-102'!$R$5:$R$148)-COUNTIF('29103-HTP-102'!$R$5:$R$148,"N/A"))</f>
        <v>0 / 144</v>
      </c>
      <c r="Q5" s="6" t="str">
        <f>COUNTIF('29103-HTP-102'!$S$5:$S$148,"YES")&amp;" / "&amp;(COUNTA('29103-HTP-102'!$S$5:$S$148)-COUNTIF('29103-HTP-102'!$S$5:$S$148,"N/A"))</f>
        <v>0 / 144</v>
      </c>
    </row>
    <row r="6">
      <c r="A6" s="5" t="inlineStr">
        <is>
          <t>29103-HTP-100</t>
        </is>
      </c>
      <c r="B6" s="6">
        <f>COUNTA('29103-HTP-100'!$B$5:$B$64)</f>
        <v>60</v>
      </c>
      <c r="C6" s="6">
        <f>COUNTIF('29103-HTP-100'!$A$5:$A$64,"EHT Trace")</f>
        <v>21</v>
      </c>
      <c r="D6" s="6">
        <f>COUNTIF('29103-HTP-100'!$A$5:$A$64,"Power Cable")</f>
        <v>15</v>
      </c>
      <c r="E6" s="6">
        <f>COUNTIF('29103-HTP-100'!$A$5:$A$64,"RTD")</f>
        <v>12</v>
      </c>
      <c r="F6" s="6">
        <f>COUNTIF('29103-HTP-100'!$A$5:$A$64,"RTD Cable")</f>
        <v>12</v>
      </c>
      <c r="G6" s="6" t="str">
        <f>COUNTIF('29103-HTP-100'!$I$5:$I$64,"YES")&amp;" / "&amp;(COUNTA('29103-HTP-100'!$I$5:$I$64)-COUNTIF('29103-HTP-100'!$I$5:$I$64,"N/A"))</f>
        <v>60 / 60</v>
      </c>
      <c r="H6" s="6" t="str">
        <f>COUNTIF('29103-HTP-100'!$J$5:$J$64,"YES")&amp;" / "&amp;(COUNTA('29103-HTP-100'!$J$5:$J$64)-COUNTIF('29103-HTP-100'!$J$5:$J$64,"N/A"))</f>
        <v>2 / 60</v>
      </c>
      <c r="I6" s="6" t="str">
        <f>COUNTIF('29103-HTP-100'!$K$5:$K$64,"YES")&amp;" / "&amp;(COUNTA('29103-HTP-100'!$K$5:$K$64)-COUNTIF('29103-HTP-100'!$K$5:$K$64,"N/A"))</f>
        <v>2 / 21</v>
      </c>
      <c r="J6" s="6" t="str">
        <f>COUNTIF('29103-HTP-100'!$L$5:$L$64,"YES")&amp;" / "&amp;(COUNTA('29103-HTP-100'!$L$5:$L$64)-COUNTIF('29103-HTP-100'!$L$5:$L$64,"N/A"))</f>
        <v>2 / 21</v>
      </c>
      <c r="K6" s="6" t="str">
        <f>COUNTIF('29103-HTP-100'!$M$5:$M$64,"YES")&amp;" / "&amp;(COUNTA('29103-HTP-100'!$M$5:$M$64)-COUNTIF('29103-HTP-100'!$M$5:$M$64,"N/A"))</f>
        <v>0 / 21</v>
      </c>
      <c r="L6" s="6" t="str">
        <f>COUNTIF('29103-HTP-100'!$N$5:$N$64,"YES")&amp;" / "&amp;(COUNTA('29103-HTP-100'!$N$5:$N$64)-COUNTIF('29103-HTP-100'!$N$5:$N$64,"N/A"))</f>
        <v>0 / 15</v>
      </c>
      <c r="M6" s="6" t="str">
        <f>COUNTIF('29103-HTP-100'!$O$5:$O$64,"YES")&amp;" / "&amp;(COUNTA('29103-HTP-100'!$O$5:$O$64)-COUNTIF('29103-HTP-100'!$O$5:$O$64,"N/A"))</f>
        <v>0 / 27</v>
      </c>
      <c r="N6" s="6" t="str">
        <f>COUNTIF('29103-HTP-100'!$P$5:$P$64,"YES")&amp;" / "&amp;(COUNTA('29103-HTP-100'!$P$5:$P$64)-COUNTIF('29103-HTP-100'!$P$5:$P$64,"N/A"))</f>
        <v>0 / 12</v>
      </c>
      <c r="O6" s="6" t="str">
        <f>COUNTIF('29103-HTP-100'!$Q$5:$Q$64,"YES")&amp;" / "&amp;(COUNTA('29103-HTP-100'!$Q$5:$Q$64)-COUNTIF('29103-HTP-100'!$Q$5:$Q$64,"N/A"))</f>
        <v>0 / 12</v>
      </c>
      <c r="P6" s="6" t="str">
        <f>COUNTIF('29103-HTP-100'!$R$5:$R$64,"YES")&amp;" / "&amp;(COUNTA('29103-HTP-100'!$R$5:$R$64)-COUNTIF('29103-HTP-100'!$R$5:$R$64,"N/A"))</f>
        <v>4 / 60</v>
      </c>
      <c r="Q6" s="6" t="str">
        <f>COUNTIF('29103-HTP-100'!$S$5:$S$64,"YES")&amp;" / "&amp;(COUNTA('29103-HTP-100'!$S$5:$S$64)-COUNTIF('29103-HTP-100'!$S$5:$S$64,"N/A"))</f>
        <v>0 / 60</v>
      </c>
    </row>
    <row r="7">
      <c r="A7" s="5" t="inlineStr">
        <is>
          <t>29103-HTP-101</t>
        </is>
      </c>
      <c r="B7" s="6">
        <f>COUNTA('29103-HTP-101'!$B$5:$B$79)</f>
        <v>75</v>
      </c>
      <c r="C7" s="6">
        <f>COUNTIF('29103-HTP-101'!$A$5:$A$79,"EHT Trace")</f>
        <v>28</v>
      </c>
      <c r="D7" s="6">
        <f>COUNTIF('29103-HTP-101'!$A$5:$A$79,"Power Cable")</f>
        <v>19</v>
      </c>
      <c r="E7" s="6">
        <f>COUNTIF('29103-HTP-101'!$A$5:$A$79,"RTD")</f>
        <v>13</v>
      </c>
      <c r="F7" s="6">
        <f>COUNTIF('29103-HTP-101'!$A$5:$A$79,"RTD Cable")</f>
        <v>15</v>
      </c>
      <c r="G7" s="6" t="str">
        <f>COUNTIF('29103-HTP-101'!$I$5:$I$79,"YES")&amp;" / "&amp;(COUNTA('29103-HTP-101'!$I$5:$I$79)-COUNTIF('29103-HTP-101'!$I$5:$I$79,"N/A"))</f>
        <v>75 / 75</v>
      </c>
      <c r="H7" s="6" t="str">
        <f>COUNTIF('29103-HTP-101'!$J$5:$J$79,"YES")&amp;" / "&amp;(COUNTA('29103-HTP-101'!$J$5:$J$79)-COUNTIF('29103-HTP-101'!$J$5:$J$79,"N/A"))</f>
        <v>0 / 75</v>
      </c>
      <c r="I7" s="6" t="str">
        <f>COUNTIF('29103-HTP-101'!$K$5:$K$79,"YES")&amp;" / "&amp;(COUNTA('29103-HTP-101'!$K$5:$K$79)-COUNTIF('29103-HTP-101'!$K$5:$K$79,"N/A"))</f>
        <v>8 / 28</v>
      </c>
      <c r="J7" s="6" t="str">
        <f>COUNTIF('29103-HTP-101'!$L$5:$L$79,"YES")&amp;" / "&amp;(COUNTA('29103-HTP-101'!$L$5:$L$79)-COUNTIF('29103-HTP-101'!$L$5:$L$79,"N/A"))</f>
        <v>2 / 28</v>
      </c>
      <c r="K7" s="6" t="str">
        <f>COUNTIF('29103-HTP-101'!$M$5:$M$79,"YES")&amp;" / "&amp;(COUNTA('29103-HTP-101'!$M$5:$M$79)-COUNTIF('29103-HTP-101'!$M$5:$M$79,"N/A"))</f>
        <v>0 / 28</v>
      </c>
      <c r="L7" s="6" t="str">
        <f>COUNTIF('29103-HTP-101'!$N$5:$N$79,"YES")&amp;" / "&amp;(COUNTA('29103-HTP-101'!$N$5:$N$79)-COUNTIF('29103-HTP-101'!$N$5:$N$79,"N/A"))</f>
        <v>0 / 19</v>
      </c>
      <c r="M7" s="6" t="str">
        <f>COUNTIF('29103-HTP-101'!$O$5:$O$79,"YES")&amp;" / "&amp;(COUNTA('29103-HTP-101'!$O$5:$O$79)-COUNTIF('29103-HTP-101'!$O$5:$O$79,"N/A"))</f>
        <v>0 / 34</v>
      </c>
      <c r="N7" s="6" t="str">
        <f>COUNTIF('29103-HTP-101'!$P$5:$P$79,"YES")&amp;" / "&amp;(COUNTA('29103-HTP-101'!$P$5:$P$79)-COUNTIF('29103-HTP-101'!$P$5:$P$79,"N/A"))</f>
        <v>0 / 13</v>
      </c>
      <c r="O7" s="6" t="str">
        <f>COUNTIF('29103-HTP-101'!$Q$5:$Q$79,"YES")&amp;" / "&amp;(COUNTA('29103-HTP-101'!$Q$5:$Q$79)-COUNTIF('29103-HTP-101'!$Q$5:$Q$79,"N/A"))</f>
        <v>0 / 13</v>
      </c>
      <c r="P7" s="6" t="str">
        <f>COUNTIF('29103-HTP-101'!$R$5:$R$79,"YES")&amp;" / "&amp;(COUNTA('29103-HTP-101'!$R$5:$R$79)-COUNTIF('29103-HTP-101'!$R$5:$R$79,"N/A"))</f>
        <v>4 / 75</v>
      </c>
      <c r="Q7" s="6" t="str">
        <f>COUNTIF('29103-HTP-101'!$S$5:$S$79,"YES")&amp;" / "&amp;(COUNTA('29103-HTP-101'!$S$5:$S$79)-COUNTIF('29103-HTP-101'!$S$5:$S$79,"N/A"))</f>
        <v>0 / 75</v>
      </c>
    </row>
    <row r="8">
      <c r="A8" s="5" t="inlineStr">
        <is>
          <t>29103-HTP-004</t>
        </is>
      </c>
      <c r="B8" s="6">
        <f>COUNTA('29103-HTP-004'!$B$5:$B$266)</f>
        <v>262</v>
      </c>
      <c r="C8" s="6">
        <f>COUNTIF('29103-HTP-004'!$A$5:$A$266,"EHT Trace")</f>
        <v>116</v>
      </c>
      <c r="D8" s="6">
        <f>COUNTIF('29103-HTP-004'!$A$5:$A$266,"Power Cable")</f>
        <v>48</v>
      </c>
      <c r="E8" s="6">
        <f>COUNTIF('29103-HTP-004'!$A$5:$A$266,"RTD")</f>
        <v>47</v>
      </c>
      <c r="F8" s="6">
        <f>COUNTIF('29103-HTP-004'!$A$5:$A$266,"RTD Cable")</f>
        <v>51</v>
      </c>
      <c r="G8" s="6" t="str">
        <f>COUNTIF('29103-HTP-004'!$I$5:$I$266,"YES")&amp;" / "&amp;(COUNTA('29103-HTP-004'!$I$5:$I$266)-COUNTIF('29103-HTP-004'!$I$5:$I$266,"N/A"))</f>
        <v>262 / 262</v>
      </c>
      <c r="H8" s="6" t="str">
        <f>COUNTIF('29103-HTP-004'!$J$5:$J$266,"YES")&amp;" / "&amp;(COUNTA('29103-HTP-004'!$J$5:$J$266)-COUNTIF('29103-HTP-004'!$J$5:$J$266,"N/A"))</f>
        <v>0 / 262</v>
      </c>
      <c r="I8" s="6" t="str">
        <f>COUNTIF('29103-HTP-004'!$K$5:$K$266,"YES")&amp;" / "&amp;(COUNTA('29103-HTP-004'!$K$5:$K$266)-COUNTIF('29103-HTP-004'!$K$5:$K$266,"N/A"))</f>
        <v>45 / 116</v>
      </c>
      <c r="J8" s="6" t="str">
        <f>COUNTIF('29103-HTP-004'!$L$5:$L$266,"YES")&amp;" / "&amp;(COUNTA('29103-HTP-004'!$L$5:$L$266)-COUNTIF('29103-HTP-004'!$L$5:$L$266,"N/A"))</f>
        <v>0 / 116</v>
      </c>
      <c r="K8" s="6" t="str">
        <f>COUNTIF('29103-HTP-004'!$M$5:$M$266,"YES")&amp;" / "&amp;(COUNTA('29103-HTP-004'!$M$5:$M$266)-COUNTIF('29103-HTP-004'!$M$5:$M$266,"N/A"))</f>
        <v>0 / 116</v>
      </c>
      <c r="L8" s="6" t="str">
        <f>COUNTIF('29103-HTP-004'!$N$5:$N$266,"YES")&amp;" / "&amp;(COUNTA('29103-HTP-004'!$N$5:$N$266)-COUNTIF('29103-HTP-004'!$N$5:$N$266,"N/A"))</f>
        <v>0 / 48</v>
      </c>
      <c r="M8" s="6" t="str">
        <f>COUNTIF('29103-HTP-004'!$O$5:$O$266,"YES")&amp;" / "&amp;(COUNTA('29103-HTP-004'!$O$5:$O$266)-COUNTIF('29103-HTP-004'!$O$5:$O$266,"N/A"))</f>
        <v>0 / 99</v>
      </c>
      <c r="N8" s="6" t="str">
        <f>COUNTIF('29103-HTP-004'!$P$5:$P$266,"YES")&amp;" / "&amp;(COUNTA('29103-HTP-004'!$P$5:$P$266)-COUNTIF('29103-HTP-004'!$P$5:$P$266,"N/A"))</f>
        <v>0 / 47</v>
      </c>
      <c r="O8" s="6" t="str">
        <f>COUNTIF('29103-HTP-004'!$Q$5:$Q$266,"YES")&amp;" / "&amp;(COUNTA('29103-HTP-004'!$Q$5:$Q$266)-COUNTIF('29103-HTP-004'!$Q$5:$Q$266,"N/A"))</f>
        <v>0 / 47</v>
      </c>
      <c r="P8" s="6" t="str">
        <f>COUNTIF('29103-HTP-004'!$R$5:$R$266,"YES")&amp;" / "&amp;(COUNTA('29103-HTP-004'!$R$5:$R$266)-COUNTIF('29103-HTP-004'!$R$5:$R$266,"N/A"))</f>
        <v>0 / 262</v>
      </c>
      <c r="Q8" s="6" t="str">
        <f>COUNTIF('29103-HTP-004'!$S$5:$S$266,"YES")&amp;" / "&amp;(COUNTA('29103-HTP-004'!$S$5:$S$266)-COUNTIF('29103-HTP-004'!$S$5:$S$266,"N/A"))</f>
        <v>0 / 262</v>
      </c>
    </row>
    <row r="9">
      <c r="A9" s="5" t="inlineStr">
        <is>
          <t>29103-HTP-005</t>
        </is>
      </c>
      <c r="B9" s="6">
        <f>COUNTA('29103-HTP-005'!$B$5:$B$252)</f>
        <v>248</v>
      </c>
      <c r="C9" s="6">
        <f>COUNTIF('29103-HTP-005'!$A$5:$A$252,"EHT Trace")</f>
        <v>108</v>
      </c>
      <c r="D9" s="6">
        <f>COUNTIF('29103-HTP-005'!$A$5:$A$252,"Power Cable")</f>
        <v>47</v>
      </c>
      <c r="E9" s="6">
        <f>COUNTIF('29103-HTP-005'!$A$5:$A$252,"RTD")</f>
        <v>45</v>
      </c>
      <c r="F9" s="6">
        <f>COUNTIF('29103-HTP-005'!$A$5:$A$252,"RTD Cable")</f>
        <v>48</v>
      </c>
      <c r="G9" s="6" t="str">
        <f>COUNTIF('29103-HTP-005'!$I$5:$I$252,"YES")&amp;" / "&amp;(COUNTA('29103-HTP-005'!$I$5:$I$252)-COUNTIF('29103-HTP-005'!$I$5:$I$252,"N/A"))</f>
        <v>248 / 248</v>
      </c>
      <c r="H9" s="6" t="str">
        <f>COUNTIF('29103-HTP-005'!$J$5:$J$252,"YES")&amp;" / "&amp;(COUNTA('29103-HTP-005'!$J$5:$J$252)-COUNTIF('29103-HTP-005'!$J$5:$J$252,"N/A"))</f>
        <v>0 / 248</v>
      </c>
      <c r="I9" s="6" t="str">
        <f>COUNTIF('29103-HTP-005'!$K$5:$K$252,"YES")&amp;" / "&amp;(COUNTA('29103-HTP-005'!$K$5:$K$252)-COUNTIF('29103-HTP-005'!$K$5:$K$252,"N/A"))</f>
        <v>28 / 108</v>
      </c>
      <c r="J9" s="6" t="str">
        <f>COUNTIF('29103-HTP-005'!$L$5:$L$252,"YES")&amp;" / "&amp;(COUNTA('29103-HTP-005'!$L$5:$L$252)-COUNTIF('29103-HTP-005'!$L$5:$L$252,"N/A"))</f>
        <v>0 / 108</v>
      </c>
      <c r="K9" s="6" t="str">
        <f>COUNTIF('29103-HTP-005'!$M$5:$M$252,"YES")&amp;" / "&amp;(COUNTA('29103-HTP-005'!$M$5:$M$252)-COUNTIF('29103-HTP-005'!$M$5:$M$252,"N/A"))</f>
        <v>0 / 108</v>
      </c>
      <c r="L9" s="6" t="str">
        <f>COUNTIF('29103-HTP-005'!$N$5:$N$252,"YES")&amp;" / "&amp;(COUNTA('29103-HTP-005'!$N$5:$N$252)-COUNTIF('29103-HTP-005'!$N$5:$N$252,"N/A"))</f>
        <v>0 / 47</v>
      </c>
      <c r="M9" s="6" t="str">
        <f>COUNTIF('29103-HTP-005'!$O$5:$O$252,"YES")&amp;" / "&amp;(COUNTA('29103-HTP-005'!$O$5:$O$252)-COUNTIF('29103-HTP-005'!$O$5:$O$252,"N/A"))</f>
        <v>0 / 95</v>
      </c>
      <c r="N9" s="6" t="str">
        <f>COUNTIF('29103-HTP-005'!$P$5:$P$252,"YES")&amp;" / "&amp;(COUNTA('29103-HTP-005'!$P$5:$P$252)-COUNTIF('29103-HTP-005'!$P$5:$P$252,"N/A"))</f>
        <v>0 / 45</v>
      </c>
      <c r="O9" s="6" t="str">
        <f>COUNTIF('29103-HTP-005'!$Q$5:$Q$252,"YES")&amp;" / "&amp;(COUNTA('29103-HTP-005'!$Q$5:$Q$252)-COUNTIF('29103-HTP-005'!$Q$5:$Q$252,"N/A"))</f>
        <v>0 / 45</v>
      </c>
      <c r="P9" s="6" t="str">
        <f>COUNTIF('29103-HTP-005'!$R$5:$R$252,"YES")&amp;" / "&amp;(COUNTA('29103-HTP-005'!$R$5:$R$252)-COUNTIF('29103-HTP-005'!$R$5:$R$252,"N/A"))</f>
        <v>0 / 248</v>
      </c>
      <c r="Q9" s="6" t="str">
        <f>COUNTIF('29103-HTP-005'!$S$5:$S$252,"YES")&amp;" / "&amp;(COUNTA('29103-HTP-005'!$S$5:$S$252)-COUNTIF('29103-HTP-005'!$S$5:$S$252,"N/A"))</f>
        <v>0 / 248</v>
      </c>
    </row>
    <row r="10">
      <c r="A10" s="5" t="inlineStr">
        <is>
          <t>29103-HTP-003</t>
        </is>
      </c>
      <c r="B10" s="6">
        <f>COUNTA('29103-HTP-003'!$B$5:$B$273)</f>
        <v>269</v>
      </c>
      <c r="C10" s="6">
        <f>COUNTIF('29103-HTP-003'!$A$5:$A$273,"EHT Trace")</f>
        <v>118</v>
      </c>
      <c r="D10" s="6">
        <f>COUNTIF('29103-HTP-003'!$A$5:$A$273,"Power Cable")</f>
        <v>49</v>
      </c>
      <c r="E10" s="6">
        <f>COUNTIF('29103-HTP-003'!$A$5:$A$273,"RTD")</f>
        <v>49</v>
      </c>
      <c r="F10" s="6">
        <f>COUNTIF('29103-HTP-003'!$A$5:$A$273,"RTD Cable")</f>
        <v>53</v>
      </c>
      <c r="G10" s="6" t="str">
        <f>COUNTIF('29103-HTP-003'!$I$5:$I$273,"YES")&amp;" / "&amp;(COUNTA('29103-HTP-003'!$I$5:$I$273)-COUNTIF('29103-HTP-003'!$I$5:$I$273,"N/A"))</f>
        <v>269 / 269</v>
      </c>
      <c r="H10" s="6" t="str">
        <f>COUNTIF('29103-HTP-003'!$J$5:$J$273,"YES")&amp;" / "&amp;(COUNTA('29103-HTP-003'!$J$5:$J$273)-COUNTIF('29103-HTP-003'!$J$5:$J$273,"N/A"))</f>
        <v>9 / 269</v>
      </c>
      <c r="I10" s="6" t="str">
        <f>COUNTIF('29103-HTP-003'!$K$5:$K$273,"YES")&amp;" / "&amp;(COUNTA('29103-HTP-003'!$K$5:$K$273)-COUNTIF('29103-HTP-003'!$K$5:$K$273,"N/A"))</f>
        <v>32 / 118</v>
      </c>
      <c r="J10" s="6" t="str">
        <f>COUNTIF('29103-HTP-003'!$L$5:$L$273,"YES")&amp;" / "&amp;(COUNTA('29103-HTP-003'!$L$5:$L$273)-COUNTIF('29103-HTP-003'!$L$5:$L$273,"N/A"))</f>
        <v>3 / 118</v>
      </c>
      <c r="K10" s="6" t="str">
        <f>COUNTIF('29103-HTP-003'!$M$5:$M$273,"YES")&amp;" / "&amp;(COUNTA('29103-HTP-003'!$M$5:$M$273)-COUNTIF('29103-HTP-003'!$M$5:$M$273,"N/A"))</f>
        <v>0 / 118</v>
      </c>
      <c r="L10" s="6" t="str">
        <f>COUNTIF('29103-HTP-003'!$N$5:$N$273,"YES")&amp;" / "&amp;(COUNTA('29103-HTP-003'!$N$5:$N$273)-COUNTIF('29103-HTP-003'!$N$5:$N$273,"N/A"))</f>
        <v>0 / 49</v>
      </c>
      <c r="M10" s="6" t="str">
        <f>COUNTIF('29103-HTP-003'!$O$5:$O$273,"YES")&amp;" / "&amp;(COUNTA('29103-HTP-003'!$O$5:$O$273)-COUNTIF('29103-HTP-003'!$O$5:$O$273,"N/A"))</f>
        <v>0 / 102</v>
      </c>
      <c r="N10" s="6" t="str">
        <f>COUNTIF('29103-HTP-003'!$P$5:$P$273,"YES")&amp;" / "&amp;(COUNTA('29103-HTP-003'!$P$5:$P$273)-COUNTIF('29103-HTP-003'!$P$5:$P$273,"N/A"))</f>
        <v>0 / 49</v>
      </c>
      <c r="O10" s="6" t="str">
        <f>COUNTIF('29103-HTP-003'!$Q$5:$Q$273,"YES")&amp;" / "&amp;(COUNTA('29103-HTP-003'!$Q$5:$Q$273)-COUNTIF('29103-HTP-003'!$Q$5:$Q$273,"N/A"))</f>
        <v>0 / 49</v>
      </c>
      <c r="P10" s="6" t="str">
        <f>COUNTIF('29103-HTP-003'!$R$5:$R$273,"YES")&amp;" / "&amp;(COUNTA('29103-HTP-003'!$R$5:$R$273)-COUNTIF('29103-HTP-003'!$R$5:$R$273,"N/A"))</f>
        <v>9 / 269</v>
      </c>
      <c r="Q10" s="6" t="str">
        <f>COUNTIF('29103-HTP-003'!$S$5:$S$273,"YES")&amp;" / "&amp;(COUNTA('29103-HTP-003'!$S$5:$S$273)-COUNTIF('29103-HTP-003'!$S$5:$S$273,"N/A"))</f>
        <v>0 / 269</v>
      </c>
    </row>
    <row r="11">
      <c r="A11" s="5" t="inlineStr">
        <is>
          <t>29103-HTP-002</t>
        </is>
      </c>
      <c r="B11" s="6">
        <f>COUNTA('29103-HTP-002'!$B$5:$B$246)</f>
        <v>242</v>
      </c>
      <c r="C11" s="6">
        <f>COUNTIF('29103-HTP-002'!$A$5:$A$246,"EHT Trace")</f>
        <v>106</v>
      </c>
      <c r="D11" s="6">
        <f>COUNTIF('29103-HTP-002'!$A$5:$A$246,"Power Cable")</f>
        <v>46</v>
      </c>
      <c r="E11" s="6">
        <f>COUNTIF('29103-HTP-002'!$A$5:$A$246,"RTD")</f>
        <v>44</v>
      </c>
      <c r="F11" s="6">
        <f>COUNTIF('29103-HTP-002'!$A$5:$A$246,"RTD Cable")</f>
        <v>46</v>
      </c>
      <c r="G11" s="6" t="str">
        <f>COUNTIF('29103-HTP-002'!$I$5:$I$246,"YES")&amp;" / "&amp;(COUNTA('29103-HTP-002'!$I$5:$I$246)-COUNTIF('29103-HTP-002'!$I$5:$I$246,"N/A"))</f>
        <v>242 / 242</v>
      </c>
      <c r="H11" s="6" t="str">
        <f>COUNTIF('29103-HTP-002'!$J$5:$J$246,"YES")&amp;" / "&amp;(COUNTA('29103-HTP-002'!$J$5:$J$246)-COUNTIF('29103-HTP-002'!$J$5:$J$246,"N/A"))</f>
        <v>59 / 242</v>
      </c>
      <c r="I11" s="6" t="str">
        <f>COUNTIF('29103-HTP-002'!$K$5:$K$246,"YES")&amp;" / "&amp;(COUNTA('29103-HTP-002'!$K$5:$K$246)-COUNTIF('29103-HTP-002'!$K$5:$K$246,"N/A"))</f>
        <v>19 / 106</v>
      </c>
      <c r="J11" s="6" t="str">
        <f>COUNTIF('29103-HTP-002'!$L$5:$L$246,"YES")&amp;" / "&amp;(COUNTA('29103-HTP-002'!$L$5:$L$246)-COUNTIF('29103-HTP-002'!$L$5:$L$246,"N/A"))</f>
        <v>3 / 106</v>
      </c>
      <c r="K11" s="6" t="str">
        <f>COUNTIF('29103-HTP-002'!$M$5:$M$246,"YES")&amp;" / "&amp;(COUNTA('29103-HTP-002'!$M$5:$M$246)-COUNTIF('29103-HTP-002'!$M$5:$M$246,"N/A"))</f>
        <v>0 / 106</v>
      </c>
      <c r="L11" s="6" t="str">
        <f>COUNTIF('29103-HTP-002'!$N$5:$N$246,"YES")&amp;" / "&amp;(COUNTA('29103-HTP-002'!$N$5:$N$246)-COUNTIF('29103-HTP-002'!$N$5:$N$246,"N/A"))</f>
        <v>10 / 46</v>
      </c>
      <c r="M11" s="6" t="str">
        <f>COUNTIF('29103-HTP-002'!$O$5:$O$246,"YES")&amp;" / "&amp;(COUNTA('29103-HTP-002'!$O$5:$O$246)-COUNTIF('29103-HTP-002'!$O$5:$O$246,"N/A"))</f>
        <v>33 / 92</v>
      </c>
      <c r="N11" s="6" t="str">
        <f>COUNTIF('29103-HTP-002'!$P$5:$P$246,"YES")&amp;" / "&amp;(COUNTA('29103-HTP-002'!$P$5:$P$246)-COUNTIF('29103-HTP-002'!$P$5:$P$246,"N/A"))</f>
        <v>1 / 44</v>
      </c>
      <c r="O11" s="6" t="str">
        <f>COUNTIF('29103-HTP-002'!$Q$5:$Q$246,"YES")&amp;" / "&amp;(COUNTA('29103-HTP-002'!$Q$5:$Q$246)-COUNTIF('29103-HTP-002'!$Q$5:$Q$246,"N/A"))</f>
        <v>23 / 44</v>
      </c>
      <c r="P11" s="6" t="str">
        <f>COUNTIF('29103-HTP-002'!$R$5:$R$246,"YES")&amp;" / "&amp;(COUNTA('29103-HTP-002'!$R$5:$R$246)-COUNTIF('29103-HTP-002'!$R$5:$R$246,"N/A"))</f>
        <v>62 / 242</v>
      </c>
      <c r="Q11" s="6" t="str">
        <f>COUNTIF('29103-HTP-002'!$S$5:$S$246,"YES")&amp;" / "&amp;(COUNTA('29103-HTP-002'!$S$5:$S$246)-COUNTIF('29103-HTP-002'!$S$5:$S$246,"N/A"))</f>
        <v>33 / 242</v>
      </c>
    </row>
    <row r="12">
      <c r="A12" s="5" t="inlineStr">
        <is>
          <t>29151-HTP-001</t>
        </is>
      </c>
      <c r="B12" s="6">
        <f>COUNTA('29151-HTP-001'!$B$5:$B$39)</f>
        <v>35</v>
      </c>
      <c r="C12" s="6">
        <f>COUNTIF('29151-HTP-001'!$A$5:$A$39,"EHT Trace")</f>
        <v>18</v>
      </c>
      <c r="D12" s="6">
        <f>COUNTIF('29151-HTP-001'!$A$5:$A$39,"Power Cable")</f>
        <v>17</v>
      </c>
      <c r="E12" s="6">
        <f>COUNTIF('29151-HTP-001'!$A$5:$A$39,"RTD")</f>
        <v>0</v>
      </c>
      <c r="F12" s="6">
        <f>COUNTIF('29151-HTP-001'!$A$5:$A$39,"RTD Cable")</f>
        <v>0</v>
      </c>
      <c r="G12" s="6" t="str">
        <f>COUNTIF('29151-HTP-001'!$I$5:$I$39,"YES")&amp;" / "&amp;(COUNTA('29151-HTP-001'!$I$5:$I$39)-COUNTIF('29151-HTP-001'!$I$5:$I$39,"N/A"))</f>
        <v>35 / 35</v>
      </c>
      <c r="H12" s="6" t="str">
        <f>COUNTIF('29151-HTP-001'!$J$5:$J$39,"YES")&amp;" / "&amp;(COUNTA('29151-HTP-001'!$J$5:$J$39)-COUNTIF('29151-HTP-001'!$J$5:$J$39,"N/A"))</f>
        <v>17 / 35</v>
      </c>
      <c r="I12" s="6" t="str">
        <f>COUNTIF('29151-HTP-001'!$K$5:$K$39,"YES")&amp;" / "&amp;(COUNTA('29151-HTP-001'!$K$5:$K$39)-COUNTIF('29151-HTP-001'!$K$5:$K$39,"N/A"))</f>
        <v>1 / 18</v>
      </c>
      <c r="J12" s="6" t="str">
        <f>COUNTIF('29151-HTP-001'!$L$5:$L$39,"YES")&amp;" / "&amp;(COUNTA('29151-HTP-001'!$L$5:$L$39)-COUNTIF('29151-HTP-001'!$L$5:$L$39,"N/A"))</f>
        <v>0 / 18</v>
      </c>
      <c r="K12" s="6" t="str">
        <f>COUNTIF('29151-HTP-001'!$M$5:$M$39,"YES")&amp;" / "&amp;(COUNTA('29151-HTP-001'!$M$5:$M$39)-COUNTIF('29151-HTP-001'!$M$5:$M$39,"N/A"))</f>
        <v>0 / 18</v>
      </c>
      <c r="L12" s="6" t="str">
        <f>COUNTIF('29151-HTP-001'!$N$5:$N$39,"YES")&amp;" / "&amp;(COUNTA('29151-HTP-001'!$N$5:$N$39)-COUNTIF('29151-HTP-001'!$N$5:$N$39,"N/A"))</f>
        <v>17 / 17</v>
      </c>
      <c r="M12" s="6" t="str">
        <f>COUNTIF('29151-HTP-001'!$O$5:$O$39,"YES")&amp;" / "&amp;(COUNTA('29151-HTP-001'!$O$5:$O$39)-COUNTIF('29151-HTP-001'!$O$5:$O$39,"N/A"))</f>
        <v>17 / 17</v>
      </c>
      <c r="N12" s="6" t="str">
        <f>COUNTIF('29151-HTP-001'!$P$5:$P$39,"YES")&amp;" / "&amp;(COUNTA('29151-HTP-001'!$P$5:$P$39)-COUNTIF('29151-HTP-001'!$P$5:$P$39,"N/A"))</f>
        <v>0 / 0</v>
      </c>
      <c r="O12" s="6" t="str">
        <f>COUNTIF('29151-HTP-001'!$Q$5:$Q$39,"YES")&amp;" / "&amp;(COUNTA('29151-HTP-001'!$Q$5:$Q$39)-COUNTIF('29151-HTP-001'!$Q$5:$Q$39,"N/A"))</f>
        <v>0 / 0</v>
      </c>
      <c r="P12" s="6" t="str">
        <f>COUNTIF('29151-HTP-001'!$R$5:$R$39,"YES")&amp;" / "&amp;(COUNTA('29151-HTP-001'!$R$5:$R$39)-COUNTIF('29151-HTP-001'!$R$5:$R$39,"N/A"))</f>
        <v>17 / 35</v>
      </c>
      <c r="Q12" s="6" t="str">
        <f>COUNTIF('29151-HTP-001'!$S$5:$S$39,"YES")&amp;" / "&amp;(COUNTA('29151-HTP-001'!$S$5:$S$39)-COUNTIF('29151-HTP-001'!$S$5:$S$39,"N/A"))</f>
        <v>17 / 35</v>
      </c>
    </row>
    <row r="13">
      <c r="A13" s="5" t="inlineStr">
        <is>
          <t>29152-HTP-001</t>
        </is>
      </c>
      <c r="B13" s="6">
        <f>COUNTA('29152-HTP-001'!$B$5:$B$37)</f>
        <v>33</v>
      </c>
      <c r="C13" s="6">
        <f>COUNTIF('29152-HTP-001'!$A$5:$A$37,"EHT Trace")</f>
        <v>16</v>
      </c>
      <c r="D13" s="6">
        <f>COUNTIF('29152-HTP-001'!$A$5:$A$37,"Power Cable")</f>
        <v>17</v>
      </c>
      <c r="E13" s="6">
        <f>COUNTIF('29152-HTP-001'!$A$5:$A$37,"RTD")</f>
        <v>0</v>
      </c>
      <c r="F13" s="6">
        <f>COUNTIF('29152-HTP-001'!$A$5:$A$37,"RTD Cable")</f>
        <v>0</v>
      </c>
      <c r="G13" s="6" t="str">
        <f>COUNTIF('29152-HTP-001'!$I$5:$I$37,"YES")&amp;" / "&amp;(COUNTA('29152-HTP-001'!$I$5:$I$37)-COUNTIF('29152-HTP-001'!$I$5:$I$37,"N/A"))</f>
        <v>33 / 33</v>
      </c>
      <c r="H13" s="6" t="str">
        <f>COUNTIF('29152-HTP-001'!$J$5:$J$37,"YES")&amp;" / "&amp;(COUNTA('29152-HTP-001'!$J$5:$J$37)-COUNTIF('29152-HTP-001'!$J$5:$J$37,"N/A"))</f>
        <v>17 / 33</v>
      </c>
      <c r="I13" s="6" t="str">
        <f>COUNTIF('29152-HTP-001'!$K$5:$K$37,"YES")&amp;" / "&amp;(COUNTA('29152-HTP-001'!$K$5:$K$37)-COUNTIF('29152-HTP-001'!$K$5:$K$37,"N/A"))</f>
        <v>0 / 16</v>
      </c>
      <c r="J13" s="6" t="str">
        <f>COUNTIF('29152-HTP-001'!$L$5:$L$37,"YES")&amp;" / "&amp;(COUNTA('29152-HTP-001'!$L$5:$L$37)-COUNTIF('29152-HTP-001'!$L$5:$L$37,"N/A"))</f>
        <v>0 / 16</v>
      </c>
      <c r="K13" s="6" t="str">
        <f>COUNTIF('29152-HTP-001'!$M$5:$M$37,"YES")&amp;" / "&amp;(COUNTA('29152-HTP-001'!$M$5:$M$37)-COUNTIF('29152-HTP-001'!$M$5:$M$37,"N/A"))</f>
        <v>0 / 16</v>
      </c>
      <c r="L13" s="6" t="str">
        <f>COUNTIF('29152-HTP-001'!$N$5:$N$37,"YES")&amp;" / "&amp;(COUNTA('29152-HTP-001'!$N$5:$N$37)-COUNTIF('29152-HTP-001'!$N$5:$N$37,"N/A"))</f>
        <v>17 / 17</v>
      </c>
      <c r="M13" s="6" t="str">
        <f>COUNTIF('29152-HTP-001'!$O$5:$O$37,"YES")&amp;" / "&amp;(COUNTA('29152-HTP-001'!$O$5:$O$37)-COUNTIF('29152-HTP-001'!$O$5:$O$37,"N/A"))</f>
        <v>17 / 17</v>
      </c>
      <c r="N13" s="6" t="str">
        <f>COUNTIF('29152-HTP-001'!$P$5:$P$37,"YES")&amp;" / "&amp;(COUNTA('29152-HTP-001'!$P$5:$P$37)-COUNTIF('29152-HTP-001'!$P$5:$P$37,"N/A"))</f>
        <v>0 / 0</v>
      </c>
      <c r="O13" s="6" t="str">
        <f>COUNTIF('29152-HTP-001'!$Q$5:$Q$37,"YES")&amp;" / "&amp;(COUNTA('29152-HTP-001'!$Q$5:$Q$37)-COUNTIF('29152-HTP-001'!$Q$5:$Q$37,"N/A"))</f>
        <v>0 / 0</v>
      </c>
      <c r="P13" s="6" t="str">
        <f>COUNTIF('29152-HTP-001'!$R$5:$R$37,"YES")&amp;" / "&amp;(COUNTA('29152-HTP-001'!$R$5:$R$37)-COUNTIF('29152-HTP-001'!$R$5:$R$37,"N/A"))</f>
        <v>0 / 33</v>
      </c>
      <c r="Q13" s="6" t="str">
        <f>COUNTIF('29152-HTP-001'!$S$5:$S$37,"YES")&amp;" / "&amp;(COUNTA('29152-HTP-001'!$S$5:$S$37)-COUNTIF('29152-HTP-001'!$S$5:$S$37,"N/A"))</f>
        <v>0 / 33</v>
      </c>
    </row>
    <row r="14">
      <c r="A14" s="5" t="inlineStr">
        <is>
          <t>Drain Tank Fieldbus</t>
        </is>
      </c>
      <c r="B14" s="6">
        <f>COUNTA('Drain Tank Fieldbus'!$B$5:$B$13)</f>
        <v>9</v>
      </c>
      <c r="C14" s="6">
        <f>COUNTIF('Drain Tank Fieldbus'!$A$5:$A$13,"EHT Trace")</f>
        <v>0</v>
      </c>
      <c r="D14" s="6">
        <f>COUNTIF('Drain Tank Fieldbus'!$A$5:$A$13,"Power Cable")</f>
        <v>0</v>
      </c>
      <c r="E14" s="6">
        <f>COUNTIF('Drain Tank Fieldbus'!$A$5:$A$13,"RTD")</f>
        <v>0</v>
      </c>
      <c r="F14" s="6">
        <f>COUNTIF('Drain Tank Fieldbus'!$A$5:$A$13,"RTD Cable")</f>
        <v>0</v>
      </c>
      <c r="G14" s="6" t="str">
        <f>COUNTIF('Drain Tank Fieldbus'!$I$5:$I$13,"YES")&amp;" / "&amp;(COUNTA('Drain Tank Fieldbus'!$I$5:$I$13)-COUNTIF('Drain Tank Fieldbus'!$I$5:$I$13,"N/A"))</f>
        <v>9 / 9</v>
      </c>
      <c r="H14" s="6" t="str">
        <f>COUNTIF('Drain Tank Fieldbus'!$J$5:$J$13,"YES")&amp;" / "&amp;(COUNTA('Drain Tank Fieldbus'!$J$5:$J$13)-COUNTIF('Drain Tank Fieldbus'!$J$5:$J$13,"N/A"))</f>
        <v>9 / 9</v>
      </c>
      <c r="I14" s="6" t="str">
        <f>COUNTIF('Drain Tank Fieldbus'!$K$5:$K$13,"YES")&amp;" / "&amp;(COUNTA('Drain Tank Fieldbus'!$K$5:$K$13)-COUNTIF('Drain Tank Fieldbus'!$K$5:$K$13,"N/A"))</f>
        <v>0 / 0</v>
      </c>
      <c r="J14" s="6" t="str">
        <f>COUNTIF('Drain Tank Fieldbus'!$L$5:$L$13,"YES")&amp;" / "&amp;(COUNTA('Drain Tank Fieldbus'!$L$5:$L$13)-COUNTIF('Drain Tank Fieldbus'!$L$5:$L$13,"N/A"))</f>
        <v>0 / 0</v>
      </c>
      <c r="K14" s="6" t="str">
        <f>COUNTIF('Drain Tank Fieldbus'!$M$5:$M$13,"YES")&amp;" / "&amp;(COUNTA('Drain Tank Fieldbus'!$M$5:$M$13)-COUNTIF('Drain Tank Fieldbus'!$M$5:$M$13,"N/A"))</f>
        <v>0 / 0</v>
      </c>
      <c r="L14" s="6" t="str">
        <f>COUNTIF('Drain Tank Fieldbus'!$N$5:$N$13,"YES")&amp;" / "&amp;(COUNTA('Drain Tank Fieldbus'!$N$5:$N$13)-COUNTIF('Drain Tank Fieldbus'!$N$5:$N$13,"N/A"))</f>
        <v>0 / 0</v>
      </c>
      <c r="M14" s="6" t="str">
        <f>COUNTIF('Drain Tank Fieldbus'!$O$5:$O$13,"YES")&amp;" / "&amp;(COUNTA('Drain Tank Fieldbus'!$O$5:$O$13)-COUNTIF('Drain Tank Fieldbus'!$O$5:$O$13,"N/A"))</f>
        <v>9 / 9</v>
      </c>
      <c r="N14" s="6" t="str">
        <f>COUNTIF('Drain Tank Fieldbus'!$P$5:$P$13,"YES")&amp;" / "&amp;(COUNTA('Drain Tank Fieldbus'!$P$5:$P$13)-COUNTIF('Drain Tank Fieldbus'!$P$5:$P$13,"N/A"))</f>
        <v>0 / 0</v>
      </c>
      <c r="O14" s="6" t="str">
        <f>COUNTIF('Drain Tank Fieldbus'!$Q$5:$Q$13,"YES")&amp;" / "&amp;(COUNTA('Drain Tank Fieldbus'!$Q$5:$Q$13)-COUNTIF('Drain Tank Fieldbus'!$Q$5:$Q$13,"N/A"))</f>
        <v>0 / 0</v>
      </c>
      <c r="P14" s="6" t="str">
        <f>COUNTIF('Drain Tank Fieldbus'!$R$5:$R$13,"YES")&amp;" / "&amp;(COUNTA('Drain Tank Fieldbus'!$R$5:$R$13)-COUNTIF('Drain Tank Fieldbus'!$R$5:$R$13,"N/A"))</f>
        <v>9 / 9</v>
      </c>
      <c r="Q14" s="6" t="str">
        <f>COUNTIF('Drain Tank Fieldbus'!$S$5:$S$13,"YES")&amp;" / "&amp;(COUNTA('Drain Tank Fieldbus'!$S$5:$S$13)-COUNTIF('Drain Tank Fieldbus'!$S$5:$S$13,"N/A"))</f>
        <v>9 / 9</v>
      </c>
    </row>
    <row r="15">
      <c r="A15" s="7" t="inlineStr">
        <is>
          <t>TOTAL</t>
        </is>
      </c>
      <c r="B15" s="7">
        <f>SUM(B5:B14)</f>
        <v>1377</v>
      </c>
      <c r="C15" s="7">
        <f>SUM(C5:C14)</f>
        <v>587</v>
      </c>
      <c r="D15" s="7">
        <f>SUM(D5:D14)</f>
        <v>296</v>
      </c>
      <c r="E15" s="7">
        <f>SUM(E5:E14)</f>
        <v>232</v>
      </c>
      <c r="F15" s="7">
        <f>SUM(F5:F14)</f>
        <v>253</v>
      </c>
    </row>
    <row r="17">
      <c r="A17" s="7" t="inlineStr">
        <is>
          <t>Legend</t>
        </is>
      </c>
    </row>
    <row r="18">
      <c r="A18" s="8" t="inlineStr">
        <is>
          <t>YES (green) = value recorded on the ITR form · NO (red) = missing · N/A (grey) = not required for that item type.</t>
        </is>
      </c>
    </row>
    <row r="19">
      <c r="A19" s="8" t="inlineStr">
        <is>
          <t>EHT Trace (13.1): received megger, pre-insulation megger, post-insulation megger.</t>
        </is>
      </c>
    </row>
    <row r="20">
      <c r="A20" s="8" t="inlineStr">
        <is>
          <t>Power Cable (113): cable IR and continuity.  RTD Cable / Fieldbus (113): continuity (IR is N/A on these).</t>
        </is>
      </c>
    </row>
    <row r="21">
      <c r="A21" s="8" t="inlineStr">
        <is>
          <t>RTD (13.2): pre-install and post-install readings (Source / Compensate / Common).</t>
        </is>
      </c>
    </row>
    <row r="22">
      <c r="A22" s="8" t="inlineStr">
        <is>
          <t>COMPLETE = no "NO" in that row.  Combined 10-01 RTD forms covering R-1 and R-2 are listed once per RTD tag.</t>
        </is>
      </c>
    </row>
    <row r="23">
      <c r="A23" s="8" t="inlineStr">
        <is>
          <t>Data was read from the ITR PDFs in the EHT ITR's folder; update the data columns on each HTP sheet as new results come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29103-HTP-102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29103-ET-A001-1-1</t>
        </is>
      </c>
      <c r="C5" s="15" t="inlineStr">
        <is>
          <t>29103-ET-A001-1</t>
        </is>
      </c>
      <c r="D5" s="15" t="inlineStr">
        <is>
          <t>HTC-31 / CB-31</t>
        </is>
      </c>
      <c r="E5" s="15" t="inlineStr">
        <is>
          <t>29103-A-001</t>
        </is>
      </c>
      <c r="F5" s="15" t="inlineStr">
        <is>
          <t>29103-65R-ET-A001-01-01</t>
        </is>
      </c>
      <c r="G5" s="15" t="inlineStr">
        <is>
          <t>13.1</t>
        </is>
      </c>
      <c r="H5" s="15" t="inlineStr">
        <is>
          <t>1.1. 29103-HTP-102/1. EHT Insulation/29103-ET-A001-1-1.pdf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5HTV2-CT</t>
        </is>
      </c>
      <c r="AK5" s="15" t="inlineStr">
        <is>
          <t>5.2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29103-ET-A001-1-2</t>
        </is>
      </c>
      <c r="C6" s="15" t="inlineStr">
        <is>
          <t>29103-ET-A001-1</t>
        </is>
      </c>
      <c r="D6" s="15" t="inlineStr">
        <is>
          <t>HTC-31 / CB-31</t>
        </is>
      </c>
      <c r="E6" s="15" t="inlineStr">
        <is>
          <t>29103-A-001</t>
        </is>
      </c>
      <c r="F6" s="15" t="inlineStr">
        <is>
          <t>29103-65R-ET-A001-01-01</t>
        </is>
      </c>
      <c r="G6" s="15" t="inlineStr">
        <is>
          <t>13.1</t>
        </is>
      </c>
      <c r="H6" s="15" t="inlineStr">
        <is>
          <t>1.1. 29103-HTP-102/1. EHT Insulation/29103-ET-A001-1-2.pdf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5HTV2-CT</t>
        </is>
      </c>
      <c r="AK6" s="15" t="inlineStr">
        <is>
          <t>5.2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29103-ET-HC1901-1-1</t>
        </is>
      </c>
      <c r="C7" s="15" t="inlineStr">
        <is>
          <t>29103-ET-HC1901-1</t>
        </is>
      </c>
      <c r="D7" s="15" t="inlineStr">
        <is>
          <t>HTC-05 / CB-05</t>
        </is>
      </c>
      <c r="E7" s="15" t="inlineStr">
        <is>
          <t>29103-HC-1901</t>
        </is>
      </c>
      <c r="F7" s="15" t="inlineStr">
        <is>
          <t>29103-65R-ET-HC1901-01-01</t>
        </is>
      </c>
      <c r="G7" s="15" t="inlineStr">
        <is>
          <t>13.1</t>
        </is>
      </c>
      <c r="H7" s="15" t="inlineStr">
        <is>
          <t>1.1. 29103-HTP-102/1. EHT Insulation/29103-ET-HC1901-1-1.pdf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20HTV2-CT</t>
        </is>
      </c>
      <c r="AK7" s="15" t="inlineStr">
        <is>
          <t>12.1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29103-ET-HC1902-1-1</t>
        </is>
      </c>
      <c r="C8" s="15" t="inlineStr">
        <is>
          <t>29103-ET-HC1902-1</t>
        </is>
      </c>
      <c r="D8" s="15" t="inlineStr">
        <is>
          <t>29103-AMB-015</t>
        </is>
      </c>
      <c r="E8" s="15" t="inlineStr">
        <is>
          <t>29103-HC-1902</t>
        </is>
      </c>
      <c r="F8" s="15" t="inlineStr">
        <is>
          <t>29103-65R-ET-HC1902-01-01</t>
        </is>
      </c>
      <c r="G8" s="15" t="inlineStr">
        <is>
          <t>13.1</t>
        </is>
      </c>
      <c r="H8" s="15" t="inlineStr">
        <is>
          <t>1.1. 29103-HTP-102/1. EHT Insulation/29103-ET-HC1902-1-1.pdf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8HTV2-CT</t>
        </is>
      </c>
      <c r="AK8" s="15" t="inlineStr">
        <is>
          <t>17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29103-ET-HC1903-1-1</t>
        </is>
      </c>
      <c r="C9" s="15" t="inlineStr">
        <is>
          <t>29103-ET-HC1903-1</t>
        </is>
      </c>
      <c r="D9" s="15" t="inlineStr">
        <is>
          <t>HTC-04 / CB-04</t>
        </is>
      </c>
      <c r="E9" s="15" t="inlineStr">
        <is>
          <t>29103-HC-1903, 29103-HC-1902</t>
        </is>
      </c>
      <c r="F9" s="15" t="inlineStr">
        <is>
          <t>29103-65R-ET-HC1903-01-01</t>
        </is>
      </c>
      <c r="G9" s="15" t="inlineStr">
        <is>
          <t>13.1</t>
        </is>
      </c>
      <c r="H9" s="15" t="inlineStr">
        <is>
          <t>1.1. 29103-HTP-102/1. EHT Insulation/29103-ET-HC1903-1-1.pdf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8HTV2-CT</t>
        </is>
      </c>
      <c r="AK9" s="15" t="inlineStr">
        <is>
          <t>28.7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29103-ET-HC1903-1-2</t>
        </is>
      </c>
      <c r="C10" s="15" t="inlineStr">
        <is>
          <t>29103-ET-HC1903-1</t>
        </is>
      </c>
      <c r="D10" s="15" t="inlineStr">
        <is>
          <t>HTC-04 / CB-04</t>
        </is>
      </c>
      <c r="E10" s="15" t="inlineStr">
        <is>
          <t>29103-HC-1904</t>
        </is>
      </c>
      <c r="F10" s="15" t="inlineStr">
        <is>
          <t>29103-65R-ET-HC1903-01-01</t>
        </is>
      </c>
      <c r="G10" s="15" t="inlineStr">
        <is>
          <t>13.1</t>
        </is>
      </c>
      <c r="H10" s="15" t="inlineStr">
        <is>
          <t>1.1. 29103-HTP-102/1. EHT Insulation/29103-ET-HC1903-1-2.pdf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8HTV2-CT</t>
        </is>
      </c>
      <c r="AK10" s="15" t="inlineStr">
        <is>
          <t>32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29103-ET-HC1905-1-1</t>
        </is>
      </c>
      <c r="C11" s="15" t="inlineStr">
        <is>
          <t>29103-ET-HC1905-1</t>
        </is>
      </c>
      <c r="D11" s="15" t="inlineStr">
        <is>
          <t>29103-AMB-015</t>
        </is>
      </c>
      <c r="E11" s="15" t="inlineStr">
        <is>
          <t>29103-HC-1910, 29103-HC-1905</t>
        </is>
      </c>
      <c r="F11" s="15" t="inlineStr">
        <is>
          <t>29103-65R-ET-HC1905-01-01</t>
        </is>
      </c>
      <c r="G11" s="15" t="inlineStr">
        <is>
          <t>13.1</t>
        </is>
      </c>
      <c r="H11" s="15" t="inlineStr">
        <is>
          <t>1.1. 29103-HTP-102/1. EHT Insulation/29103-ET-HC1905-1-1.pdf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8HTV2-CT</t>
        </is>
      </c>
      <c r="AK11" s="15" t="inlineStr">
        <is>
          <t>55.5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29103-ET-HC1906-1-1</t>
        </is>
      </c>
      <c r="C12" s="15" t="inlineStr">
        <is>
          <t>29103-ET-HC1906-1</t>
        </is>
      </c>
      <c r="D12" s="15" t="inlineStr">
        <is>
          <t>HTC-06 / CB-06</t>
        </is>
      </c>
      <c r="E12" s="15" t="inlineStr">
        <is>
          <t>29103-HC-1906, 29103-HC-1902</t>
        </is>
      </c>
      <c r="F12" s="15" t="inlineStr">
        <is>
          <t>29103-65R-ET-HC1906-01-01</t>
        </is>
      </c>
      <c r="G12" s="15" t="inlineStr">
        <is>
          <t>13.1</t>
        </is>
      </c>
      <c r="H12" s="15" t="inlineStr">
        <is>
          <t>1.1. 29103-HTP-102/1. EHT Insulation/29103-ET-HC1906-1-1.pdf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8HTV2-CT</t>
        </is>
      </c>
      <c r="AK12" s="15" t="inlineStr">
        <is>
          <t>29.9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29103-ET-HC1906-1-2</t>
        </is>
      </c>
      <c r="C13" s="15" t="inlineStr">
        <is>
          <t>29103-ET-HC1906-1</t>
        </is>
      </c>
      <c r="D13" s="15" t="inlineStr">
        <is>
          <t>HTC-06 / CB-06</t>
        </is>
      </c>
      <c r="E13" s="15" t="inlineStr">
        <is>
          <t>29103-HC-1907</t>
        </is>
      </c>
      <c r="F13" s="15" t="inlineStr">
        <is>
          <t>29103-65R-ET-HC1906-01-01</t>
        </is>
      </c>
      <c r="G13" s="15" t="inlineStr">
        <is>
          <t>13.1</t>
        </is>
      </c>
      <c r="H13" s="15" t="inlineStr">
        <is>
          <t>1.1. 29103-HTP-102/1. EHT Insulation/29103-ET-HC1906-1-2.pdf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8HTV2-CT</t>
        </is>
      </c>
      <c r="AK13" s="15" t="inlineStr">
        <is>
          <t>31.5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29103-ET-HC1909-1-1</t>
        </is>
      </c>
      <c r="C14" s="15" t="inlineStr">
        <is>
          <t>29103-ET-HC1909-1</t>
        </is>
      </c>
      <c r="D14" s="15" t="inlineStr">
        <is>
          <t>29103-AMB-015</t>
        </is>
      </c>
      <c r="E14" s="15" t="inlineStr">
        <is>
          <t>29103-HC-1909, 29103-HC-1908</t>
        </is>
      </c>
      <c r="F14" s="15" t="inlineStr">
        <is>
          <t>29103-65R-ET-HC1909-01-01</t>
        </is>
      </c>
      <c r="G14" s="15" t="inlineStr">
        <is>
          <t>13.1</t>
        </is>
      </c>
      <c r="H14" s="15" t="inlineStr">
        <is>
          <t>1.1. 29103-HTP-102/1. EHT Insulation/29103-ET-HC1909-1-1.pdf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8HTV2-CT</t>
        </is>
      </c>
      <c r="AK14" s="15" t="inlineStr">
        <is>
          <t>49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29103-ET-MT0001-1-1</t>
        </is>
      </c>
      <c r="C15" s="15" t="inlineStr">
        <is>
          <t>29103-ET-MT0001-1</t>
        </is>
      </c>
      <c r="D15" s="15" t="inlineStr">
        <is>
          <t>HTC-09 / CB-09</t>
        </is>
      </c>
      <c r="E15" s="15" t="inlineStr">
        <is>
          <t>29103-MT-0001</t>
        </is>
      </c>
      <c r="F15" s="15" t="inlineStr">
        <is>
          <t>29103-65R-ET-MT0001-01-01</t>
        </is>
      </c>
      <c r="G15" s="15" t="inlineStr">
        <is>
          <t>13.1</t>
        </is>
      </c>
      <c r="H15" s="15" t="inlineStr">
        <is>
          <t>1.1. 29103-HTP-102/1. EHT Insulation/29103-ET-MT0001-1-1.pdf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20HTV2-CT</t>
        </is>
      </c>
      <c r="AK15" s="15" t="inlineStr">
        <is>
          <t>3.7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29103-ET-MT0001-1-2</t>
        </is>
      </c>
      <c r="C16" s="15" t="inlineStr">
        <is>
          <t>29103-ET-MT0001-1</t>
        </is>
      </c>
      <c r="D16" s="15" t="inlineStr">
        <is>
          <t>HTC-09 / CB-09</t>
        </is>
      </c>
      <c r="E16" s="15" t="inlineStr">
        <is>
          <t>29103-MT-0001</t>
        </is>
      </c>
      <c r="F16" s="15" t="inlineStr">
        <is>
          <t>29103-65R-ET-MT0001-01-01</t>
        </is>
      </c>
      <c r="G16" s="15" t="inlineStr">
        <is>
          <t>13.1</t>
        </is>
      </c>
      <c r="H16" s="15" t="inlineStr">
        <is>
          <t>1.1. 29103-HTP-102/1. EHT Insulation/29103-ET-MT0001-1-2.pdf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20HTV2-CT</t>
        </is>
      </c>
      <c r="AK16" s="15" t="inlineStr">
        <is>
          <t>12.3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29103-ET-P001A-1-1</t>
        </is>
      </c>
      <c r="C17" s="15" t="inlineStr">
        <is>
          <t>29103-ET-P001A-1</t>
        </is>
      </c>
      <c r="D17" s="15" t="inlineStr">
        <is>
          <t>HTC-02 / CB-02</t>
        </is>
      </c>
      <c r="E17" s="15" t="inlineStr">
        <is>
          <t>29103-P-001A</t>
        </is>
      </c>
      <c r="F17" s="15" t="inlineStr">
        <is>
          <t>29103-65R-ET-P001A-01-01</t>
        </is>
      </c>
      <c r="G17" s="15" t="inlineStr">
        <is>
          <t>13.1</t>
        </is>
      </c>
      <c r="H17" s="15" t="inlineStr">
        <is>
          <t>1.1. 29103-HTP-102/1. EHT Insulation/29103-ET-P001A-1-1.pdf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15HTV2-CT</t>
        </is>
      </c>
      <c r="AK17" s="15" t="inlineStr">
        <is>
          <t>8.2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29103-ET-P001A-2-1</t>
        </is>
      </c>
      <c r="C18" s="15" t="inlineStr">
        <is>
          <t>29103-ET-P001A-2</t>
        </is>
      </c>
      <c r="D18" s="15" t="inlineStr">
        <is>
          <t>HTC-07 / CB-07</t>
        </is>
      </c>
      <c r="E18" s="15" t="inlineStr">
        <is>
          <t>29103-P-001A</t>
        </is>
      </c>
      <c r="F18" s="15" t="inlineStr">
        <is>
          <t>29103-65R-ET-P001A-02-01</t>
        </is>
      </c>
      <c r="G18" s="15" t="inlineStr">
        <is>
          <t>13.1</t>
        </is>
      </c>
      <c r="H18" s="15" t="inlineStr">
        <is>
          <t>1.1. 29103-HTP-102/1. EHT Insulation/29103-ET-P001A-2-1.pdf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13.4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29103-ET-P001A-3-1</t>
        </is>
      </c>
      <c r="C19" s="15" t="inlineStr">
        <is>
          <t>29103-ET-P001A-3</t>
        </is>
      </c>
      <c r="D19" s="15" t="inlineStr">
        <is>
          <t>HTC-08 / CB-08</t>
        </is>
      </c>
      <c r="E19" s="15" t="inlineStr">
        <is>
          <t>29103-P-001A</t>
        </is>
      </c>
      <c r="F19" s="15" t="inlineStr">
        <is>
          <t>29103-65R-ET-P001A-03-01</t>
        </is>
      </c>
      <c r="G19" s="15" t="inlineStr">
        <is>
          <t>13.1</t>
        </is>
      </c>
      <c r="H19" s="15" t="inlineStr">
        <is>
          <t>1.1. 29103-HTP-102/1. EHT Insulation/29103-ET-P001A-3-1.pdf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10XTVR2-CT</t>
        </is>
      </c>
      <c r="AK19" s="15" t="inlineStr">
        <is>
          <t>27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29103-ET-P001A-3-2</t>
        </is>
      </c>
      <c r="C20" s="15" t="inlineStr">
        <is>
          <t>29103-ET-P001A-3</t>
        </is>
      </c>
      <c r="D20" s="15" t="inlineStr">
        <is>
          <t>HTC-08 / CB-08</t>
        </is>
      </c>
      <c r="E20" s="15" t="inlineStr">
        <is>
          <t>29103-P-001A</t>
        </is>
      </c>
      <c r="F20" s="15" t="inlineStr">
        <is>
          <t>29103-65R-ET-P001A-03-01</t>
        </is>
      </c>
      <c r="G20" s="15" t="inlineStr">
        <is>
          <t>13.1</t>
        </is>
      </c>
      <c r="H20" s="15" t="inlineStr">
        <is>
          <t>1.1. 29103-HTP-102/1. EHT Insulation/29103-ET-P001A-3-2.pdf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6.3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29103-ET-P001A-4-1</t>
        </is>
      </c>
      <c r="C21" s="15" t="inlineStr">
        <is>
          <t>29103-ET-P001A-4</t>
        </is>
      </c>
      <c r="D21" s="15" t="inlineStr">
        <is>
          <t>HTC-13 / CB-13</t>
        </is>
      </c>
      <c r="E21" s="15" t="inlineStr">
        <is>
          <t>29103-P-001A</t>
        </is>
      </c>
      <c r="F21" s="15" t="inlineStr">
        <is>
          <t>29103-65R-ET-P001A-04-01</t>
        </is>
      </c>
      <c r="G21" s="15" t="inlineStr">
        <is>
          <t>13.1</t>
        </is>
      </c>
      <c r="H21" s="15" t="inlineStr">
        <is>
          <t>1.1. 29103-HTP-102/1. EHT Insulation/29103-ET-P001A-4-1.pdf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10XTVR2-CT</t>
        </is>
      </c>
      <c r="AK21" s="15" t="inlineStr">
        <is>
          <t>27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29103-ET-P001A-4-2</t>
        </is>
      </c>
      <c r="C22" s="15" t="inlineStr">
        <is>
          <t>29103-ET-P001A-4</t>
        </is>
      </c>
      <c r="D22" s="15" t="inlineStr">
        <is>
          <t>HTC-13 / CB-13</t>
        </is>
      </c>
      <c r="E22" s="15" t="inlineStr">
        <is>
          <t>29103-P-001A</t>
        </is>
      </c>
      <c r="F22" s="15" t="inlineStr">
        <is>
          <t>29103-65R-ET-P001A-04-01</t>
        </is>
      </c>
      <c r="G22" s="15" t="inlineStr">
        <is>
          <t>13.1</t>
        </is>
      </c>
      <c r="H22" s="15" t="inlineStr">
        <is>
          <t>1.1. 29103-HTP-102/1. EHT Insulation/29103-ET-P001A-4-2.pdf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10XTVR2-CT</t>
        </is>
      </c>
      <c r="AK22" s="15" t="inlineStr">
        <is>
          <t>24.6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29103-ET-P001B-1-1</t>
        </is>
      </c>
      <c r="C23" s="15" t="inlineStr">
        <is>
          <t>29103-ET-P001B-1</t>
        </is>
      </c>
      <c r="D23" s="15" t="inlineStr">
        <is>
          <t>HTC-10 / CB-10</t>
        </is>
      </c>
      <c r="E23" s="15" t="inlineStr">
        <is>
          <t>29103-P-001B</t>
        </is>
      </c>
      <c r="F23" s="15" t="inlineStr">
        <is>
          <t>29103-65R-ET-P001B-01-01</t>
        </is>
      </c>
      <c r="G23" s="15" t="inlineStr">
        <is>
          <t>13.1</t>
        </is>
      </c>
      <c r="H23" s="15" t="inlineStr">
        <is>
          <t>1.1. 29103-HTP-102/1. EHT Insulation/29103-ET-P001B-1-1.pdf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15HTV2-CT</t>
        </is>
      </c>
      <c r="AK23" s="15" t="inlineStr">
        <is>
          <t>8.2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29103-ET-P001B-2-1</t>
        </is>
      </c>
      <c r="C24" s="15" t="inlineStr">
        <is>
          <t>29103-ET-P001B-2</t>
        </is>
      </c>
      <c r="D24" s="15" t="inlineStr">
        <is>
          <t>HTC-15 / CB-15</t>
        </is>
      </c>
      <c r="E24" s="15" t="inlineStr">
        <is>
          <t>29103-P-001B</t>
        </is>
      </c>
      <c r="F24" s="15" t="inlineStr">
        <is>
          <t>29103-65R-ET-P001B-02-01</t>
        </is>
      </c>
      <c r="G24" s="15" t="inlineStr">
        <is>
          <t>13.1</t>
        </is>
      </c>
      <c r="H24" s="15" t="inlineStr">
        <is>
          <t>1.1. 29103-HTP-102/1. EHT Insulation/29103-ET-P001B-2-1.pdf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13.4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29103-ET-P001B-3-1</t>
        </is>
      </c>
      <c r="C25" s="15" t="inlineStr">
        <is>
          <t>29103-ET-P001B-3</t>
        </is>
      </c>
      <c r="D25" s="15" t="inlineStr">
        <is>
          <t>HTC-11 / CB-11</t>
        </is>
      </c>
      <c r="E25" s="15" t="inlineStr">
        <is>
          <t>29103-P-001B</t>
        </is>
      </c>
      <c r="F25" s="15" t="inlineStr">
        <is>
          <t>29103-65R-ET-P001B-03-01</t>
        </is>
      </c>
      <c r="G25" s="15" t="inlineStr">
        <is>
          <t>13.1</t>
        </is>
      </c>
      <c r="H25" s="15" t="inlineStr">
        <is>
          <t>1.1. 29103-HTP-102/1. EHT Insulation/29103-ET-P001B-3-1.pdf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10XTVR2-CT</t>
        </is>
      </c>
      <c r="AK25" s="15" t="inlineStr">
        <is>
          <t>27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29103-ET-P001B-3-2</t>
        </is>
      </c>
      <c r="C26" s="15" t="inlineStr">
        <is>
          <t>29103-ET-P001B-3</t>
        </is>
      </c>
      <c r="D26" s="15" t="inlineStr">
        <is>
          <t>HTC-11 / CB-11</t>
        </is>
      </c>
      <c r="E26" s="15" t="inlineStr">
        <is>
          <t>29103-P-001B</t>
        </is>
      </c>
      <c r="F26" s="15" t="inlineStr">
        <is>
          <t>29103-65R-ET-P001B-03-01</t>
        </is>
      </c>
      <c r="G26" s="15" t="inlineStr">
        <is>
          <t>13.1</t>
        </is>
      </c>
      <c r="H26" s="15" t="inlineStr">
        <is>
          <t>1.1. 29103-HTP-102/1. EHT Insulation/29103-ET-P001B-3-2.pdf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6.3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29103-ET-P001B-4-1</t>
        </is>
      </c>
      <c r="C27" s="15" t="inlineStr">
        <is>
          <t>29103-ET-P001B-4</t>
        </is>
      </c>
      <c r="D27" s="15" t="inlineStr">
        <is>
          <t>HTC-16 / CB-16</t>
        </is>
      </c>
      <c r="E27" s="15" t="inlineStr">
        <is>
          <t>29103-P-001B</t>
        </is>
      </c>
      <c r="F27" s="15" t="inlineStr">
        <is>
          <t>29103-65R-ET-P001B-04-01</t>
        </is>
      </c>
      <c r="G27" s="15" t="inlineStr">
        <is>
          <t>13.1</t>
        </is>
      </c>
      <c r="H27" s="15" t="inlineStr">
        <is>
          <t>1.1. 29103-HTP-102/1. EHT Insulation/29103-ET-P001B-4-1.pdf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10XTVR2-CT</t>
        </is>
      </c>
      <c r="AK27" s="15" t="inlineStr">
        <is>
          <t>27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29103-ET-P001B-4-2</t>
        </is>
      </c>
      <c r="C28" s="15" t="inlineStr">
        <is>
          <t>29103-ET-P001B-4</t>
        </is>
      </c>
      <c r="D28" s="15" t="inlineStr">
        <is>
          <t>HTC-16 / CB-16</t>
        </is>
      </c>
      <c r="E28" s="15" t="inlineStr">
        <is>
          <t>29103-P-001B</t>
        </is>
      </c>
      <c r="F28" s="15" t="inlineStr">
        <is>
          <t>29103-65R-ET-P001B-04-01</t>
        </is>
      </c>
      <c r="G28" s="15" t="inlineStr">
        <is>
          <t>13.1</t>
        </is>
      </c>
      <c r="H28" s="15" t="inlineStr">
        <is>
          <t>1.1. 29103-HTP-102/1. EHT Insulation/29103-ET-P001B-4-2.pdf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10XTVR2-CT</t>
        </is>
      </c>
      <c r="AK28" s="15" t="inlineStr">
        <is>
          <t>24.6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29103-ET-P1003-1-1</t>
        </is>
      </c>
      <c r="C29" s="15" t="inlineStr">
        <is>
          <t>29103-ET-P1003-1</t>
        </is>
      </c>
      <c r="D29" s="15" t="inlineStr">
        <is>
          <t>HTC-19 / CB-19</t>
        </is>
      </c>
      <c r="E29" s="15" t="inlineStr">
        <is>
          <t>29103-P-1003</t>
        </is>
      </c>
      <c r="F29" s="15" t="inlineStr">
        <is>
          <t>29103-65R-ET-P1003-01-01</t>
        </is>
      </c>
      <c r="G29" s="15" t="inlineStr">
        <is>
          <t>13.1</t>
        </is>
      </c>
      <c r="H29" s="15" t="inlineStr">
        <is>
          <t>1.1. 29103-HTP-102/1. EHT Insulation/29103-ET-P1003-1-1.pdf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YES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inlineStr">
        <is>
          <t>&gt;2.2 GΩ</t>
        </is>
      </c>
      <c r="V29" s="15" t="inlineStr">
        <is>
          <t>38.1 Ω</t>
        </is>
      </c>
      <c r="W29" s="15" t="inlineStr">
        <is>
          <t>2026-05-17</t>
        </is>
      </c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D/32SQ3374/30.1M/1899/277/2.1M/LS23A/X/N12</t>
        </is>
      </c>
      <c r="AK29" s="15" t="inlineStr">
        <is>
          <t>30.1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29103-ET-P1003-1-2</t>
        </is>
      </c>
      <c r="C30" s="15" t="inlineStr">
        <is>
          <t>29103-ET-P1003-1</t>
        </is>
      </c>
      <c r="D30" s="15" t="inlineStr">
        <is>
          <t>HTC-19 / CB-19</t>
        </is>
      </c>
      <c r="E30" s="15" t="inlineStr">
        <is>
          <t>29103-P-1003</t>
        </is>
      </c>
      <c r="F30" s="15" t="inlineStr">
        <is>
          <t>29103-65R-ET-P1003-01-01</t>
        </is>
      </c>
      <c r="G30" s="15" t="inlineStr">
        <is>
          <t>13.1</t>
        </is>
      </c>
      <c r="H30" s="15" t="inlineStr">
        <is>
          <t>1.1. 29103-HTP-102/1. EHT Insulation/29103-ET-P1003-1-2.pdf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YES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inlineStr">
        <is>
          <t>&gt;2.2 GΩ</t>
        </is>
      </c>
      <c r="V30" s="15" t="inlineStr">
        <is>
          <t>38.1 Ω</t>
        </is>
      </c>
      <c r="W30" s="15" t="inlineStr">
        <is>
          <t>2026-05-17</t>
        </is>
      </c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D/32SQ3374/30.1M/1899/277/2.1M/LS23A/X/N12</t>
        </is>
      </c>
      <c r="AK30" s="15" t="inlineStr">
        <is>
          <t>30.1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29103-ET-P1004-1-1</t>
        </is>
      </c>
      <c r="C31" s="15" t="inlineStr">
        <is>
          <t>29103-ET-P1004-1</t>
        </is>
      </c>
      <c r="D31" s="15" t="inlineStr">
        <is>
          <t>HTC-20 / CB-20</t>
        </is>
      </c>
      <c r="E31" s="15" t="inlineStr">
        <is>
          <t>29103-P-1004</t>
        </is>
      </c>
      <c r="F31" s="15" t="inlineStr">
        <is>
          <t>29103-65R-ET-P1004-01-01</t>
        </is>
      </c>
      <c r="G31" s="15" t="inlineStr">
        <is>
          <t>13.1</t>
        </is>
      </c>
      <c r="H31" s="15" t="inlineStr">
        <is>
          <t>1.1. 29103-HTP-102/1. EHT Insulation/29103-ET-P1004-1-1.pdf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30.3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D/32SQ3200/44.1M/2426/277/2.1M/LS23A/X/N12</t>
        </is>
      </c>
      <c r="AK31" s="15" t="inlineStr">
        <is>
          <t>44.1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29103-ET-P1004-1-2</t>
        </is>
      </c>
      <c r="C32" s="15" t="inlineStr">
        <is>
          <t>29103-ET-P1004-1</t>
        </is>
      </c>
      <c r="D32" s="15" t="inlineStr">
        <is>
          <t>HTC-20 / CB-20</t>
        </is>
      </c>
      <c r="E32" s="15" t="inlineStr">
        <is>
          <t>29103-P-1004</t>
        </is>
      </c>
      <c r="F32" s="15" t="inlineStr">
        <is>
          <t>29103-65R-ET-P1004-01-01</t>
        </is>
      </c>
      <c r="G32" s="15" t="inlineStr">
        <is>
          <t>13.1</t>
        </is>
      </c>
      <c r="H32" s="15" t="inlineStr">
        <is>
          <t>1.1. 29103-HTP-102/1. EHT Insulation/29103-ET-P1004-1-2.pdf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30.2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D/32SQ3200/44.1M/2426/277/2.1M/LS23A/X/N12</t>
        </is>
      </c>
      <c r="AK32" s="15" t="inlineStr">
        <is>
          <t>44.1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29103-ET-P1920-1-1</t>
        </is>
      </c>
      <c r="C33" s="15" t="inlineStr">
        <is>
          <t>29103-ET-P1920-1</t>
        </is>
      </c>
      <c r="D33" s="15" t="inlineStr">
        <is>
          <t>HTC-22 / CB-22</t>
        </is>
      </c>
      <c r="E33" s="15" t="inlineStr">
        <is>
          <t>29103-P-1920</t>
        </is>
      </c>
      <c r="F33" s="15" t="inlineStr">
        <is>
          <t>29103-65R-ET-P1920-01-01</t>
        </is>
      </c>
      <c r="G33" s="15" t="inlineStr">
        <is>
          <t>13.1</t>
        </is>
      </c>
      <c r="H33" s="15" t="inlineStr">
        <is>
          <t>1.1. 29103-HTP-102/1. EHT Insulation/29103-ET-P1920-1-1.pdf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NO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5HTV2-CT</t>
        </is>
      </c>
      <c r="AK33" s="15" t="inlineStr">
        <is>
          <t>117.5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29103-ET-P1920-2-1</t>
        </is>
      </c>
      <c r="C34" s="15" t="inlineStr">
        <is>
          <t>29103-ET-P1920-2</t>
        </is>
      </c>
      <c r="D34" s="15" t="inlineStr">
        <is>
          <t>29103-AMB-016</t>
        </is>
      </c>
      <c r="E34" s="15" t="inlineStr">
        <is>
          <t>29103-P-1920</t>
        </is>
      </c>
      <c r="F34" s="15" t="inlineStr">
        <is>
          <t>29103-65R-ET-P1920-02-01</t>
        </is>
      </c>
      <c r="G34" s="15" t="inlineStr">
        <is>
          <t>13.1</t>
        </is>
      </c>
      <c r="H34" s="15" t="inlineStr">
        <is>
          <t>1.1. 29103-HTP-102/1. EHT Insulation/29103-ET-P1920-2-1.pdf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NO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5HTV2-CT</t>
        </is>
      </c>
      <c r="AK34" s="15" t="inlineStr">
        <is>
          <t>32.4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29103-ET-PG1901-1-1</t>
        </is>
      </c>
      <c r="C35" s="15" t="inlineStr">
        <is>
          <t>29103-ET-PG1901-1</t>
        </is>
      </c>
      <c r="D35" s="15" t="inlineStr">
        <is>
          <t>29103-AMB-016</t>
        </is>
      </c>
      <c r="E35" s="15" t="inlineStr">
        <is>
          <t>29103-PG-1902, 29103-PG-1901</t>
        </is>
      </c>
      <c r="F35" s="15" t="inlineStr">
        <is>
          <t>29103-65R-ET-PG1901-01-01</t>
        </is>
      </c>
      <c r="G35" s="15" t="inlineStr">
        <is>
          <t>13.1</t>
        </is>
      </c>
      <c r="H35" s="15" t="inlineStr">
        <is>
          <t>1.1. 29103-HTP-102/1. EHT Insulation/29103-ET-PG1901-1-1.pdf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8HTV2-CT</t>
        </is>
      </c>
      <c r="AK35" s="15" t="inlineStr">
        <is>
          <t>16.3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29103-ET-PG1903-1-1</t>
        </is>
      </c>
      <c r="C36" s="15" t="inlineStr">
        <is>
          <t>29103-ET-PG1903-1</t>
        </is>
      </c>
      <c r="D36" s="15" t="inlineStr">
        <is>
          <t>HTC-12 / CB-12</t>
        </is>
      </c>
      <c r="E36" s="15" t="inlineStr">
        <is>
          <t>29103-PG-1903</t>
        </is>
      </c>
      <c r="F36" s="15" t="inlineStr">
        <is>
          <t>29103-65R-ET-PG1903-01-01</t>
        </is>
      </c>
      <c r="G36" s="15" t="inlineStr">
        <is>
          <t>13.1</t>
        </is>
      </c>
      <c r="H36" s="15" t="inlineStr">
        <is>
          <t>1.1. 29103-HTP-102/1. EHT Insulation/29103-ET-PG1903-1-1.pdf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10HTV2-CT</t>
        </is>
      </c>
      <c r="AK36" s="15" t="inlineStr">
        <is>
          <t>54.1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29103-ET-ST0001-1-1</t>
        </is>
      </c>
      <c r="C37" s="15" t="inlineStr">
        <is>
          <t>29103-ET-ST0001-1</t>
        </is>
      </c>
      <c r="D37" s="15" t="inlineStr">
        <is>
          <t>HTC-14 / CB-14</t>
        </is>
      </c>
      <c r="E37" s="15" t="inlineStr">
        <is>
          <t>29103-ST-0001</t>
        </is>
      </c>
      <c r="F37" s="15" t="inlineStr">
        <is>
          <t>29103-65R-ET-ST0001-01-01</t>
        </is>
      </c>
      <c r="G37" s="15" t="inlineStr">
        <is>
          <t>13.1</t>
        </is>
      </c>
      <c r="H37" s="15" t="inlineStr">
        <is>
          <t>1.1. 29103-HTP-102/1. EHT Insulation/29103-ET-ST0001-1-1.pdf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D/32SA2275/24.1M/352/277/1.2M/LS23A/X/N12</t>
        </is>
      </c>
      <c r="AK37" s="15" t="inlineStr">
        <is>
          <t>24.1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29103-ET-ST0003-1-1</t>
        </is>
      </c>
      <c r="C38" s="15" t="inlineStr">
        <is>
          <t>29103-ET-ST0003-1</t>
        </is>
      </c>
      <c r="D38" s="15" t="inlineStr">
        <is>
          <t>29103-AMB-016</t>
        </is>
      </c>
      <c r="E38" s="15" t="inlineStr">
        <is>
          <t>29103-V-0001, 29103-ST-0003</t>
        </is>
      </c>
      <c r="F38" s="15" t="inlineStr">
        <is>
          <t>29103-65R-ET-ST0003-01-01</t>
        </is>
      </c>
      <c r="G38" s="15" t="inlineStr">
        <is>
          <t>13.1</t>
        </is>
      </c>
      <c r="H38" s="15" t="inlineStr">
        <is>
          <t>1.1. 29103-HTP-102/1. EHT Insulation/29103-ET-ST0003-1-1.pdf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5HTV2-CT</t>
        </is>
      </c>
      <c r="AK38" s="15" t="inlineStr">
        <is>
          <t>10.2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29103-ET-ST1816-1-1</t>
        </is>
      </c>
      <c r="C39" s="15" t="inlineStr">
        <is>
          <t>29103-ET-ST1816-1</t>
        </is>
      </c>
      <c r="D39" s="15" t="inlineStr">
        <is>
          <t>29103-AMB-016</t>
        </is>
      </c>
      <c r="E39" s="15" t="inlineStr">
        <is>
          <t>29103-ST-1817, 29103-ST-1816, 29103-ST-0002</t>
        </is>
      </c>
      <c r="F39" s="15" t="inlineStr">
        <is>
          <t>29103-65R-ET-ST1816-01-01</t>
        </is>
      </c>
      <c r="G39" s="15" t="inlineStr">
        <is>
          <t>13.1</t>
        </is>
      </c>
      <c r="H39" s="15" t="inlineStr">
        <is>
          <t>1.1. 29103-HTP-102/1. EHT Insulation/29103-ET-ST1816-1-1.pdf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NO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5HTV2-CT</t>
        </is>
      </c>
      <c r="AK39" s="15" t="inlineStr">
        <is>
          <t>34.2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29103-ET-ST1816-1-2</t>
        </is>
      </c>
      <c r="C40" s="15" t="inlineStr">
        <is>
          <t>29103-ET-ST1816-1</t>
        </is>
      </c>
      <c r="D40" s="15" t="inlineStr">
        <is>
          <t>29103-AMB-016</t>
        </is>
      </c>
      <c r="E40" s="15" t="inlineStr">
        <is>
          <t>29103-ST-1818, 29103-ST-1816</t>
        </is>
      </c>
      <c r="F40" s="15" t="inlineStr">
        <is>
          <t>29103-65R-ET-ST1816-01-01</t>
        </is>
      </c>
      <c r="G40" s="15" t="inlineStr">
        <is>
          <t>13.1</t>
        </is>
      </c>
      <c r="H40" s="15" t="inlineStr">
        <is>
          <t>1.1. 29103-HTP-102/1. EHT Insulation/29103-ET-ST1816-1-2.pdf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NO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5HTV2-CT</t>
        </is>
      </c>
      <c r="AK40" s="15" t="inlineStr">
        <is>
          <t>27.1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29103-ET-V1900-1-1</t>
        </is>
      </c>
      <c r="C41" s="15" t="inlineStr">
        <is>
          <t>29103-ET-V1900-1</t>
        </is>
      </c>
      <c r="D41" s="15" t="inlineStr">
        <is>
          <t>HTC-17 / CB-17</t>
        </is>
      </c>
      <c r="E41" s="15" t="inlineStr">
        <is>
          <t>29103-V-1900</t>
        </is>
      </c>
      <c r="F41" s="15" t="inlineStr">
        <is>
          <t>29103-65R-ET-V1900-01-01</t>
        </is>
      </c>
      <c r="G41" s="15" t="inlineStr">
        <is>
          <t>13.1</t>
        </is>
      </c>
      <c r="H41" s="15" t="inlineStr">
        <is>
          <t>1.1. 29103-HTP-102/1. EHT Insulation/29103-ET-V1900-1-1.pdf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NO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20HTV2-CT</t>
        </is>
      </c>
      <c r="AK41" s="15" t="inlineStr">
        <is>
          <t>17.1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29103-ET-V1900-1-2</t>
        </is>
      </c>
      <c r="C42" s="15" t="inlineStr">
        <is>
          <t>29103-ET-V1900-1</t>
        </is>
      </c>
      <c r="D42" s="15" t="inlineStr">
        <is>
          <t>HTC-17 / CB-17</t>
        </is>
      </c>
      <c r="E42" s="15" t="inlineStr">
        <is>
          <t>29103-V-1900</t>
        </is>
      </c>
      <c r="F42" s="15" t="inlineStr">
        <is>
          <t>29103-65R-ET-V1900-01-01</t>
        </is>
      </c>
      <c r="G42" s="15" t="inlineStr">
        <is>
          <t>13.1</t>
        </is>
      </c>
      <c r="H42" s="15" t="inlineStr">
        <is>
          <t>1.1. 29103-HTP-102/1. EHT Insulation/29103-ET-V1900-1-2.pdf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20HTV2-CT</t>
        </is>
      </c>
      <c r="AK42" s="15" t="inlineStr">
        <is>
          <t>15.2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29209-ET-A001-1-1</t>
        </is>
      </c>
      <c r="C43" s="15" t="inlineStr">
        <is>
          <t>29209-ET-A001-1</t>
        </is>
      </c>
      <c r="D43" s="15" t="inlineStr">
        <is>
          <t>HTC-29 / CB-29</t>
        </is>
      </c>
      <c r="E43" s="15" t="inlineStr">
        <is>
          <t>29209-A-001</t>
        </is>
      </c>
      <c r="F43" s="15" t="inlineStr">
        <is>
          <t>29209-65R-ET-A001-01-01</t>
        </is>
      </c>
      <c r="G43" s="15" t="inlineStr">
        <is>
          <t>13.1</t>
        </is>
      </c>
      <c r="H43" s="15" t="inlineStr">
        <is>
          <t>1.1. 29103-HTP-102/1. EHT Insulation/29209-ET-A001-1-1.pdf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5HTV2-CT</t>
        </is>
      </c>
      <c r="AK43" s="15" t="inlineStr">
        <is>
          <t>4.9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29209-ET-A001-1-2</t>
        </is>
      </c>
      <c r="C44" s="15" t="inlineStr">
        <is>
          <t>29209-ET-A001-1</t>
        </is>
      </c>
      <c r="D44" s="15" t="inlineStr">
        <is>
          <t>HTC-29 / CB-29</t>
        </is>
      </c>
      <c r="E44" s="15" t="inlineStr">
        <is>
          <t>29209-A-001</t>
        </is>
      </c>
      <c r="F44" s="15" t="inlineStr">
        <is>
          <t>29209-65R-ET-A001-01-01</t>
        </is>
      </c>
      <c r="G44" s="15" t="inlineStr">
        <is>
          <t>13.1</t>
        </is>
      </c>
      <c r="H44" s="15" t="inlineStr">
        <is>
          <t>1.1. 29103-HTP-102/1. EHT Insulation/29209-ET-A001-1-2.pdf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5HTV2-CT</t>
        </is>
      </c>
      <c r="AK44" s="15" t="inlineStr">
        <is>
          <t>4.9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29209-ET-A001-1-3</t>
        </is>
      </c>
      <c r="C45" s="15" t="inlineStr">
        <is>
          <t>29209-ET-A001-1</t>
        </is>
      </c>
      <c r="D45" s="15" t="inlineStr">
        <is>
          <t>HTC-29 / CB-29</t>
        </is>
      </c>
      <c r="E45" s="15" t="inlineStr">
        <is>
          <t>29209-A-001</t>
        </is>
      </c>
      <c r="F45" s="15" t="inlineStr">
        <is>
          <t>29209-65R-ET-A001-01-01</t>
        </is>
      </c>
      <c r="G45" s="15" t="inlineStr">
        <is>
          <t>13.1</t>
        </is>
      </c>
      <c r="H45" s="15" t="inlineStr">
        <is>
          <t>1.1. 29103-HTP-102/1. EHT Insulation/29209-ET-A001-1-3.pdf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NO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5HTV2-CT</t>
        </is>
      </c>
      <c r="AK45" s="15" t="inlineStr">
        <is>
          <t>1.2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29209-ET-HC6010-1-1</t>
        </is>
      </c>
      <c r="C46" s="15" t="inlineStr">
        <is>
          <t>29209-ET-HC6010-1</t>
        </is>
      </c>
      <c r="D46" s="15" t="inlineStr">
        <is>
          <t>HTC-25 / CB-25</t>
        </is>
      </c>
      <c r="E46" s="15" t="inlineStr">
        <is>
          <t>29209-HC-6010</t>
        </is>
      </c>
      <c r="F46" s="15" t="inlineStr">
        <is>
          <t>29209-65R-ET-HC6010-01-01</t>
        </is>
      </c>
      <c r="G46" s="15" t="inlineStr">
        <is>
          <t>13.1</t>
        </is>
      </c>
      <c r="H46" s="15" t="inlineStr">
        <is>
          <t>1.1. 29103-HTP-102/1. EHT Insulation/29209-ET-HC6010-1-1.pdf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NO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8HTV2-CT</t>
        </is>
      </c>
      <c r="AK46" s="15" t="inlineStr">
        <is>
          <t>27.8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29209-ET-HC6010-1-2</t>
        </is>
      </c>
      <c r="C47" s="15" t="inlineStr">
        <is>
          <t>29209-ET-HC6010-1</t>
        </is>
      </c>
      <c r="D47" s="15" t="inlineStr">
        <is>
          <t>HTC-25 / CB-25</t>
        </is>
      </c>
      <c r="E47" s="15" t="inlineStr">
        <is>
          <t>29209-HC-6010</t>
        </is>
      </c>
      <c r="F47" s="15" t="inlineStr">
        <is>
          <t>29209-65R-ET-HC6010-01-01</t>
        </is>
      </c>
      <c r="G47" s="15" t="inlineStr">
        <is>
          <t>13.1</t>
        </is>
      </c>
      <c r="H47" s="15" t="inlineStr">
        <is>
          <t>1.1. 29103-HTP-102/1. EHT Insulation/29209-ET-HC6010-1-2.pdf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NO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8HTV2-CT</t>
        </is>
      </c>
      <c r="AK47" s="15" t="inlineStr">
        <is>
          <t>10.9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29209-ET-P6020-1-1</t>
        </is>
      </c>
      <c r="C48" s="15" t="inlineStr">
        <is>
          <t>29209-ET-P6020-1</t>
        </is>
      </c>
      <c r="D48" s="15" t="inlineStr">
        <is>
          <t>HTC-23 / CB-23</t>
        </is>
      </c>
      <c r="E48" s="15" t="inlineStr">
        <is>
          <t>29209-P-6020</t>
        </is>
      </c>
      <c r="F48" s="15" t="inlineStr">
        <is>
          <t>29209-65R-ET-P6020-01-01</t>
        </is>
      </c>
      <c r="G48" s="15" t="inlineStr">
        <is>
          <t>13.1</t>
        </is>
      </c>
      <c r="H48" s="15" t="inlineStr">
        <is>
          <t>1.1. 29103-HTP-102/1. EHT Insulation/29209-ET-P6020-1-1.pdf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NO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D/32SQ3200/54.9M/1976/277/2.1M/LS23A/X/N12</t>
        </is>
      </c>
      <c r="AK48" s="15" t="inlineStr">
        <is>
          <t>54.9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29209-ET-P6020-1-2</t>
        </is>
      </c>
      <c r="C49" s="15" t="inlineStr">
        <is>
          <t>29209-ET-P6020-1</t>
        </is>
      </c>
      <c r="D49" s="15" t="inlineStr">
        <is>
          <t>HTC-23 / CB-23</t>
        </is>
      </c>
      <c r="E49" s="15" t="inlineStr">
        <is>
          <t>29209-P-6020</t>
        </is>
      </c>
      <c r="F49" s="15" t="inlineStr">
        <is>
          <t>29209-65R-ET-P6020-01-01</t>
        </is>
      </c>
      <c r="G49" s="15" t="inlineStr">
        <is>
          <t>13.1</t>
        </is>
      </c>
      <c r="H49" s="15" t="inlineStr">
        <is>
          <t>1.1. 29103-HTP-102/1. EHT Insulation/29209-ET-P6020-1-2.pdf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YES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inlineStr">
        <is>
          <t>&gt;2.2 GΩ</t>
        </is>
      </c>
      <c r="V49" s="15" t="inlineStr">
        <is>
          <t>12.6 Ω</t>
        </is>
      </c>
      <c r="W49" s="15" t="inlineStr">
        <is>
          <t>2026-05-17</t>
        </is>
      </c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E/32SQ3100/36.6M/1486/138/2.1M/LS23A/X/N12</t>
        </is>
      </c>
      <c r="AK49" s="15" t="inlineStr">
        <is>
          <t>36.6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29209-ET-P6020-1-3</t>
        </is>
      </c>
      <c r="C50" s="15" t="inlineStr">
        <is>
          <t>29209-ET-P6020-1</t>
        </is>
      </c>
      <c r="D50" s="15" t="inlineStr">
        <is>
          <t>HTC-23 / CB-23</t>
        </is>
      </c>
      <c r="E50" s="15" t="inlineStr">
        <is>
          <t>29209-P-6020</t>
        </is>
      </c>
      <c r="F50" s="15" t="inlineStr">
        <is>
          <t>29209-65R-ET-P6020-01-01</t>
        </is>
      </c>
      <c r="G50" s="15" t="inlineStr">
        <is>
          <t>13.1</t>
        </is>
      </c>
      <c r="H50" s="15" t="inlineStr">
        <is>
          <t>1.1. 29103-HTP-102/1. EHT Insulation/29209-ET-P6020-1-3.pdf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YES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inlineStr">
        <is>
          <t>&gt;2.2 GΩ</t>
        </is>
      </c>
      <c r="V50" s="15" t="inlineStr">
        <is>
          <t>12.6 Ω</t>
        </is>
      </c>
      <c r="W50" s="15" t="inlineStr">
        <is>
          <t>2026-05-17</t>
        </is>
      </c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D/32SQ3100/36.6M/1486/138/2.1M/LS23A/X/N12</t>
        </is>
      </c>
      <c r="AK50" s="15" t="inlineStr">
        <is>
          <t>36.6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29209-ET-P6021-1-1</t>
        </is>
      </c>
      <c r="C51" s="15" t="inlineStr">
        <is>
          <t>29209-ET-P6021-1</t>
        </is>
      </c>
      <c r="D51" s="15" t="inlineStr">
        <is>
          <t>HTC-18 / CB-18</t>
        </is>
      </c>
      <c r="E51" s="15" t="inlineStr">
        <is>
          <t>29209-P-6021</t>
        </is>
      </c>
      <c r="F51" s="15" t="inlineStr">
        <is>
          <t>29209-65R-ET-P6021-01-01</t>
        </is>
      </c>
      <c r="G51" s="15" t="inlineStr">
        <is>
          <t>13.1</t>
        </is>
      </c>
      <c r="H51" s="15" t="inlineStr">
        <is>
          <t>1.1. 29103-HTP-102/1. EHT Insulation/29209-ET-P6021-1-1.pdf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D/32SQ3200/54.9M/1976/277/2.1M/LS23A/X/N12</t>
        </is>
      </c>
      <c r="AK51" s="15" t="inlineStr">
        <is>
          <t>54.9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29209-ET-P6021-1-2</t>
        </is>
      </c>
      <c r="C52" s="15" t="inlineStr">
        <is>
          <t>29209-ET-P6021-1</t>
        </is>
      </c>
      <c r="D52" s="15" t="inlineStr">
        <is>
          <t>HTC-18 / CB-18</t>
        </is>
      </c>
      <c r="E52" s="15" t="inlineStr">
        <is>
          <t>29209-P-6021</t>
        </is>
      </c>
      <c r="F52" s="15" t="inlineStr">
        <is>
          <t>29209-65R-ET-P6021-01-01</t>
        </is>
      </c>
      <c r="G52" s="15" t="inlineStr">
        <is>
          <t>13.1</t>
        </is>
      </c>
      <c r="H52" s="15" t="inlineStr">
        <is>
          <t>1.1. 29103-HTP-102/1. EHT Insulation/29209-ET-P6021-1-2.pdf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E/32SQ3100/36.6M/1486/138/2.1M/LS23A/X/N12</t>
        </is>
      </c>
      <c r="AK52" s="15" t="inlineStr">
        <is>
          <t>36.6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29209-ET-P6021-1-3</t>
        </is>
      </c>
      <c r="C53" s="15" t="inlineStr">
        <is>
          <t>29209-ET-P6021-1</t>
        </is>
      </c>
      <c r="D53" s="15" t="inlineStr">
        <is>
          <t>HTC-18 / CB-18</t>
        </is>
      </c>
      <c r="E53" s="15" t="inlineStr">
        <is>
          <t>29209-P-6021</t>
        </is>
      </c>
      <c r="F53" s="15" t="inlineStr">
        <is>
          <t>29209-65R-ET-P6021-01-01</t>
        </is>
      </c>
      <c r="G53" s="15" t="inlineStr">
        <is>
          <t>13.1</t>
        </is>
      </c>
      <c r="H53" s="15" t="inlineStr">
        <is>
          <t>1.1. 29103-HTP-102/1. EHT Insulation/29209-ET-P6021-1-3.pdf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D/32SQ3100/36.6M/1486/138/2.1M/LS23A/X/N12</t>
        </is>
      </c>
      <c r="AK53" s="15" t="inlineStr">
        <is>
          <t>36.6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29209-ET-P6022-1-1</t>
        </is>
      </c>
      <c r="C54" s="15" t="inlineStr">
        <is>
          <t>29209-ET-P6022-1</t>
        </is>
      </c>
      <c r="D54" s="15" t="inlineStr">
        <is>
          <t>HTC-21 / CB-21</t>
        </is>
      </c>
      <c r="E54" s="15" t="inlineStr">
        <is>
          <t>29209-P-6022</t>
        </is>
      </c>
      <c r="F54" s="15" t="inlineStr">
        <is>
          <t>29209-65R-ET-P6022-01-01</t>
        </is>
      </c>
      <c r="G54" s="15" t="inlineStr">
        <is>
          <t>13.1</t>
        </is>
      </c>
      <c r="H54" s="15" t="inlineStr">
        <is>
          <t>1.1. 29103-HTP-102/1. EHT Insulation/29209-ET-P6022-1-1.pdf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D/32SQ3293/42.6M/1742/277/1.2M/LS23A/X/N12</t>
        </is>
      </c>
      <c r="AK54" s="15" t="inlineStr">
        <is>
          <t>42.6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29209-ET-P6022-1-2</t>
        </is>
      </c>
      <c r="C55" s="15" t="inlineStr">
        <is>
          <t>29209-ET-P6022-1</t>
        </is>
      </c>
      <c r="D55" s="15" t="inlineStr">
        <is>
          <t>HTC-21 / CB-21</t>
        </is>
      </c>
      <c r="E55" s="15" t="inlineStr">
        <is>
          <t>29209-P-6022</t>
        </is>
      </c>
      <c r="F55" s="15" t="inlineStr">
        <is>
          <t>29209-65R-ET-P6022-01-01</t>
        </is>
      </c>
      <c r="G55" s="15" t="inlineStr">
        <is>
          <t>13.1</t>
        </is>
      </c>
      <c r="H55" s="15" t="inlineStr">
        <is>
          <t>1.1. 29103-HTP-102/1. EHT Insulation/29209-ET-P6022-1-2.pdf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E/32SQ3100/38.2M/1429/138/1.2M/LS23A/X/N12</t>
        </is>
      </c>
      <c r="AK55" s="15" t="inlineStr">
        <is>
          <t>38.2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29209-ET-P6022-1-3</t>
        </is>
      </c>
      <c r="C56" s="15" t="inlineStr">
        <is>
          <t>29209-ET-P6022-1</t>
        </is>
      </c>
      <c r="D56" s="15" t="inlineStr">
        <is>
          <t>HTC-21 / CB-21</t>
        </is>
      </c>
      <c r="E56" s="15" t="inlineStr">
        <is>
          <t>29209-P-6022</t>
        </is>
      </c>
      <c r="F56" s="15" t="inlineStr">
        <is>
          <t>29209-65R-ET-P6022-01-01</t>
        </is>
      </c>
      <c r="G56" s="15" t="inlineStr">
        <is>
          <t>13.1</t>
        </is>
      </c>
      <c r="H56" s="15" t="inlineStr">
        <is>
          <t>1.1. 29103-HTP-102/1. EHT Insulation/29209-ET-P6022-1-3.pdf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D/32SQ3100/38.2M/1429/138/1.2M/LS23A/X/N12</t>
        </is>
      </c>
      <c r="AK56" s="15" t="inlineStr">
        <is>
          <t>38.2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29209-ET-PG6003-1-1</t>
        </is>
      </c>
      <c r="C57" s="15" t="inlineStr">
        <is>
          <t>29209-ET-PG6003-1</t>
        </is>
      </c>
      <c r="D57" s="15" t="inlineStr">
        <is>
          <t>HTC-27 / CB-27</t>
        </is>
      </c>
      <c r="E57" s="15" t="inlineStr">
        <is>
          <t>29209-PG-6003</t>
        </is>
      </c>
      <c r="F57" s="15" t="inlineStr">
        <is>
          <t>29209-65R-ET-PG6003-01-01</t>
        </is>
      </c>
      <c r="G57" s="15" t="inlineStr">
        <is>
          <t>13.1</t>
        </is>
      </c>
      <c r="H57" s="15" t="inlineStr">
        <is>
          <t>1.1. 29103-HTP-102/1. EHT Insulation/29209-ET-PG6003-1-1.pdf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YES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inlineStr">
        <is>
          <t>&gt;550 MΩ</t>
        </is>
      </c>
      <c r="V57" s="15" t="inlineStr">
        <is>
          <t>34.5 Ω</t>
        </is>
      </c>
      <c r="W57" s="15" t="inlineStr">
        <is>
          <t>2026-05-18</t>
        </is>
      </c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D/32SQ3200/50M/2160/277/2.1M/LS23A/X/N12</t>
        </is>
      </c>
      <c r="AK57" s="15" t="inlineStr">
        <is>
          <t>50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29209-ET-PG6003-1-2</t>
        </is>
      </c>
      <c r="C58" s="15" t="inlineStr">
        <is>
          <t>29209-ET-PG6003-1</t>
        </is>
      </c>
      <c r="D58" s="15" t="inlineStr">
        <is>
          <t>HTC-27 / CB-27</t>
        </is>
      </c>
      <c r="E58" s="15" t="inlineStr">
        <is>
          <t>29209-PG-6003</t>
        </is>
      </c>
      <c r="F58" s="15" t="inlineStr">
        <is>
          <t>29209-65R-ET-PG6003-01-01</t>
        </is>
      </c>
      <c r="G58" s="15" t="inlineStr">
        <is>
          <t>13.1</t>
        </is>
      </c>
      <c r="H58" s="15" t="inlineStr">
        <is>
          <t>1.1. 29103-HTP-102/1. EHT Insulation/29209-ET-PG6003-1-2.pdf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YES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inlineStr">
        <is>
          <t>&gt;550 MΩ</t>
        </is>
      </c>
      <c r="V58" s="15" t="inlineStr">
        <is>
          <t>82.7 Ω</t>
        </is>
      </c>
      <c r="W58" s="15" t="inlineStr">
        <is>
          <t>2026-05-18</t>
        </is>
      </c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D/32SB2114/21.2M/962/277/2.1M/LS23A/X/N12</t>
        </is>
      </c>
      <c r="AK58" s="15" t="inlineStr">
        <is>
          <t>21.2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29209-ET-ST6005-1-1</t>
        </is>
      </c>
      <c r="C59" s="15" t="inlineStr">
        <is>
          <t>29209-ET-ST6005-1</t>
        </is>
      </c>
      <c r="D59" s="15" t="inlineStr">
        <is>
          <t>HTC-24 / CB-24</t>
        </is>
      </c>
      <c r="E59" s="15" t="inlineStr">
        <is>
          <t>29209-ST-6005</t>
        </is>
      </c>
      <c r="F59" s="15" t="inlineStr">
        <is>
          <t>29209-65R-ET-ST6005-01-01</t>
        </is>
      </c>
      <c r="G59" s="15" t="inlineStr">
        <is>
          <t>13.1</t>
        </is>
      </c>
      <c r="H59" s="15" t="inlineStr">
        <is>
          <t>1.1. 29103-HTP-102/1. EHT Insulation/29209-ET-ST6005-1-1.pdf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YES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inlineStr">
        <is>
          <t>550 MΩ</t>
        </is>
      </c>
      <c r="V59" s="15" t="inlineStr">
        <is>
          <t>288.1 Ω</t>
        </is>
      </c>
      <c r="W59" s="15" t="inlineStr">
        <is>
          <t>2026-05-18</t>
        </is>
      </c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D/32SA2400/21.2M/276/277/1.2M/LS23A/X/N12</t>
        </is>
      </c>
      <c r="AK59" s="15" t="inlineStr">
        <is>
          <t>21.2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29209-ET-ST6005-2-1</t>
        </is>
      </c>
      <c r="C60" s="15" t="inlineStr">
        <is>
          <t>29209-ET-ST6005-2</t>
        </is>
      </c>
      <c r="D60" s="15" t="inlineStr">
        <is>
          <t>HTC-26 / CB-26</t>
        </is>
      </c>
      <c r="E60" s="15" t="inlineStr">
        <is>
          <t>29209-ST-6005</t>
        </is>
      </c>
      <c r="F60" s="15" t="inlineStr">
        <is>
          <t>29209-65R-ET-ST6005-02-01</t>
        </is>
      </c>
      <c r="G60" s="15" t="inlineStr">
        <is>
          <t>13.1</t>
        </is>
      </c>
      <c r="H60" s="15" t="inlineStr">
        <is>
          <t>1.1. 29103-HTP-102/1. EHT Insulation/29209-ET-ST6005-2-1.pdf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YES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inlineStr">
        <is>
          <t>550 MΩ</t>
        </is>
      </c>
      <c r="V60" s="15" t="inlineStr">
        <is>
          <t>217.5 Ω</t>
        </is>
      </c>
      <c r="W60" s="15" t="inlineStr">
        <is>
          <t>2026-05-18</t>
        </is>
      </c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D/32SA2275/23.6M/359/277/1.2M/LS23A/X/N12</t>
        </is>
      </c>
      <c r="AK60" s="15" t="inlineStr">
        <is>
          <t>23.6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Power Cable</t>
        </is>
      </c>
      <c r="B61" s="15" t="inlineStr">
        <is>
          <t>29103-AMB-015</t>
        </is>
      </c>
      <c r="C61" s="15" t="inlineStr"/>
      <c r="D61" s="15" t="inlineStr"/>
      <c r="E61" s="15" t="inlineStr">
        <is>
          <t>29103-HTP-102</t>
        </is>
      </c>
      <c r="F61" s="15" t="inlineStr"/>
      <c r="G61" s="15" t="inlineStr">
        <is>
          <t>113</t>
        </is>
      </c>
      <c r="H61" s="15" t="inlineStr">
        <is>
          <t>1.1. 29103-HTP-102/3. Power Cables/29103-AMB-015.pdf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NO</v>
      </c>
      <c r="O61" s="6" t="str">
        <f>IF(OR($A61="Power Cable",$A61="RTD Cable",$A61="Fieldbus Cable"),IF(AND($AE61&lt;&gt;""),"YES","NO"),"N/A")</f>
        <v>NO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Teck</t>
        </is>
      </c>
      <c r="AK61" s="15" t="inlineStr">
        <is>
          <t>8AWG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Power Cable</t>
        </is>
      </c>
      <c r="B62" s="15" t="inlineStr">
        <is>
          <t>29103-AMB-016</t>
        </is>
      </c>
      <c r="C62" s="15" t="inlineStr"/>
      <c r="D62" s="15" t="inlineStr"/>
      <c r="E62" s="15" t="inlineStr">
        <is>
          <t>29103-HTP-102</t>
        </is>
      </c>
      <c r="F62" s="15" t="inlineStr"/>
      <c r="G62" s="15" t="inlineStr">
        <is>
          <t>113</t>
        </is>
      </c>
      <c r="H62" s="15" t="inlineStr">
        <is>
          <t>1.1. 29103-HTP-102/3. Power Cables/29103-AMB-016.pdf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NO</v>
      </c>
      <c r="O62" s="6" t="str">
        <f>IF(OR($A62="Power Cable",$A62="RTD Cable",$A62="Fieldbus Cable"),IF(AND($AE62&lt;&gt;""),"YES","NO"),"N/A")</f>
        <v>NO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Teck</t>
        </is>
      </c>
      <c r="AK62" s="15" t="inlineStr">
        <is>
          <t>8AWG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Power Cable</t>
        </is>
      </c>
      <c r="B63" s="15" t="inlineStr">
        <is>
          <t>29103-ET-A001-1-PWK-1</t>
        </is>
      </c>
      <c r="C63" s="15" t="inlineStr">
        <is>
          <t>29103-ET-A001-1</t>
        </is>
      </c>
      <c r="D63" s="15" t="inlineStr"/>
      <c r="E63" s="15" t="inlineStr">
        <is>
          <t>29103-HTP-102</t>
        </is>
      </c>
      <c r="F63" s="15" t="inlineStr"/>
      <c r="G63" s="15" t="inlineStr">
        <is>
          <t>113</t>
        </is>
      </c>
      <c r="H63" s="15" t="inlineStr">
        <is>
          <t>1.1. 29103-HTP-102/3. Power Cables/29103-ET-A001-1-PWK-1.pdf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NO</v>
      </c>
      <c r="O63" s="6" t="str">
        <f>IF(OR($A63="Power Cable",$A63="RTD Cable",$A63="Fieldbus Cable"),IF(AND($AE63&lt;&gt;""),"YES","NO"),"N/A")</f>
        <v>NO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Teck</t>
        </is>
      </c>
      <c r="AK63" s="15" t="inlineStr">
        <is>
          <t>10AWG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Power Cable</t>
        </is>
      </c>
      <c r="B64" s="15" t="inlineStr">
        <is>
          <t>29103-ET-HC1901-1-PWK-1</t>
        </is>
      </c>
      <c r="C64" s="15" t="inlineStr">
        <is>
          <t>29103-ET-HC1901-1</t>
        </is>
      </c>
      <c r="D64" s="15" t="inlineStr"/>
      <c r="E64" s="15" t="inlineStr">
        <is>
          <t>29103-HTP-102</t>
        </is>
      </c>
      <c r="F64" s="15" t="inlineStr"/>
      <c r="G64" s="15" t="inlineStr">
        <is>
          <t>113</t>
        </is>
      </c>
      <c r="H64" s="15" t="inlineStr">
        <is>
          <t>1.1. 29103-HTP-102/3. Power Cables/29103-ET-HC1901-1-PWK-1.pdf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NO</v>
      </c>
      <c r="O64" s="6" t="str">
        <f>IF(OR($A64="Power Cable",$A64="RTD Cable",$A64="Fieldbus Cable"),IF(AND($AE64&lt;&gt;""),"YES","NO"),"N/A")</f>
        <v>NO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Teck</t>
        </is>
      </c>
      <c r="AK64" s="15" t="inlineStr">
        <is>
          <t>10AWG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Power Cable</t>
        </is>
      </c>
      <c r="B65" s="15" t="inlineStr">
        <is>
          <t>29103-ET-HC1902-1-PWK-1</t>
        </is>
      </c>
      <c r="C65" s="15" t="inlineStr">
        <is>
          <t>29103-ET-HC1902-1</t>
        </is>
      </c>
      <c r="D65" s="15" t="inlineStr"/>
      <c r="E65" s="15" t="inlineStr">
        <is>
          <t>29103-HTP-102</t>
        </is>
      </c>
      <c r="F65" s="15" t="inlineStr"/>
      <c r="G65" s="15" t="inlineStr">
        <is>
          <t>113</t>
        </is>
      </c>
      <c r="H65" s="15" t="inlineStr">
        <is>
          <t>1.1. 29103-HTP-102/3. Power Cables/29103-ET-HC1902-1-PWK-1.pdf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N/A</v>
      </c>
      <c r="L65" s="6" t="str">
        <f>IF(OR($A65="EHT Trace"),IF(AND($X65&lt;&gt;"",$Y65&lt;&gt;""),"YES","NO"),"N/A")</f>
        <v>N/A</v>
      </c>
      <c r="M65" s="6" t="str">
        <f>IF(OR($A65="EHT Trace"),IF(AND($AA65&lt;&gt;"",$AB65&lt;&gt;""),"YES","NO"),"N/A")</f>
        <v>N/A</v>
      </c>
      <c r="N65" s="6" t="str">
        <f>IF(OR($A65="Power Cable"),IF(AND($AD65&lt;&gt;""),"YES","NO"),"N/A")</f>
        <v>NO</v>
      </c>
      <c r="O65" s="6" t="str">
        <f>IF(OR($A65="Power Cable",$A65="RTD Cable",$A65="Fieldbus Cable"),IF(AND($AE65&lt;&gt;""),"YES","NO"),"N/A")</f>
        <v>NO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Teck</t>
        </is>
      </c>
      <c r="AK65" s="15" t="inlineStr">
        <is>
          <t>10AWG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Power Cable</t>
        </is>
      </c>
      <c r="B66" s="15" t="inlineStr">
        <is>
          <t>29103-ET-HC1903-1-PWK-1</t>
        </is>
      </c>
      <c r="C66" s="15" t="inlineStr">
        <is>
          <t>29103-ET-HC1903-1</t>
        </is>
      </c>
      <c r="D66" s="15" t="inlineStr"/>
      <c r="E66" s="15" t="inlineStr">
        <is>
          <t>29103-HTP-102</t>
        </is>
      </c>
      <c r="F66" s="15" t="inlineStr"/>
      <c r="G66" s="15" t="inlineStr">
        <is>
          <t>113</t>
        </is>
      </c>
      <c r="H66" s="15" t="inlineStr">
        <is>
          <t>1.1. 29103-HTP-102/3. Power Cables/29103-ET-HC1903-1-PWK-1.pdf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N/A</v>
      </c>
      <c r="L66" s="6" t="str">
        <f>IF(OR($A66="EHT Trace"),IF(AND($X66&lt;&gt;"",$Y66&lt;&gt;""),"YES","NO"),"N/A")</f>
        <v>N/A</v>
      </c>
      <c r="M66" s="6" t="str">
        <f>IF(OR($A66="EHT Trace"),IF(AND($AA66&lt;&gt;"",$AB66&lt;&gt;""),"YES","NO"),"N/A")</f>
        <v>N/A</v>
      </c>
      <c r="N66" s="6" t="str">
        <f>IF(OR($A66="Power Cable"),IF(AND($AD66&lt;&gt;""),"YES","NO"),"N/A")</f>
        <v>NO</v>
      </c>
      <c r="O66" s="6" t="str">
        <f>IF(OR($A66="Power Cable",$A66="RTD Cable",$A66="Fieldbus Cable"),IF(AND($AE66&lt;&gt;""),"YES","NO"),"N/A")</f>
        <v>NO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Teck</t>
        </is>
      </c>
      <c r="AK66" s="15" t="inlineStr">
        <is>
          <t>10AWG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Power Cable</t>
        </is>
      </c>
      <c r="B67" s="15" t="inlineStr">
        <is>
          <t>29103-ET-HC1905-1-PWK-1</t>
        </is>
      </c>
      <c r="C67" s="15" t="inlineStr">
        <is>
          <t>29103-ET-HC1905-1</t>
        </is>
      </c>
      <c r="D67" s="15" t="inlineStr"/>
      <c r="E67" s="15" t="inlineStr">
        <is>
          <t>29103-HTP-102</t>
        </is>
      </c>
      <c r="F67" s="15" t="inlineStr"/>
      <c r="G67" s="15" t="inlineStr">
        <is>
          <t>113</t>
        </is>
      </c>
      <c r="H67" s="15" t="inlineStr">
        <is>
          <t>1.1. 29103-HTP-102/3. Power Cables/29103-ET-HC1905-1-PWK-1.pdf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N/A</v>
      </c>
      <c r="L67" s="6" t="str">
        <f>IF(OR($A67="EHT Trace"),IF(AND($X67&lt;&gt;"",$Y67&lt;&gt;""),"YES","NO"),"N/A")</f>
        <v>N/A</v>
      </c>
      <c r="M67" s="6" t="str">
        <f>IF(OR($A67="EHT Trace"),IF(AND($AA67&lt;&gt;"",$AB67&lt;&gt;""),"YES","NO"),"N/A")</f>
        <v>N/A</v>
      </c>
      <c r="N67" s="6" t="str">
        <f>IF(OR($A67="Power Cable"),IF(AND($AD67&lt;&gt;""),"YES","NO"),"N/A")</f>
        <v>NO</v>
      </c>
      <c r="O67" s="6" t="str">
        <f>IF(OR($A67="Power Cable",$A67="RTD Cable",$A67="Fieldbus Cable"),IF(AND($AE67&lt;&gt;""),"YES","NO"),"N/A")</f>
        <v>NO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Teck</t>
        </is>
      </c>
      <c r="AK67" s="15" t="inlineStr">
        <is>
          <t>10AWG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Power Cable</t>
        </is>
      </c>
      <c r="B68" s="15" t="inlineStr">
        <is>
          <t>29103-ET-HC1906-1-PWK-1</t>
        </is>
      </c>
      <c r="C68" s="15" t="inlineStr">
        <is>
          <t>29103-ET-HC1906-1</t>
        </is>
      </c>
      <c r="D68" s="15" t="inlineStr"/>
      <c r="E68" s="15" t="inlineStr">
        <is>
          <t>29103-HTP-102</t>
        </is>
      </c>
      <c r="F68" s="15" t="inlineStr"/>
      <c r="G68" s="15" t="inlineStr">
        <is>
          <t>113</t>
        </is>
      </c>
      <c r="H68" s="15" t="inlineStr">
        <is>
          <t>1.1. 29103-HTP-102/3. Power Cables/29103-ET-HC1906-1-PWK-1.pdf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N/A</v>
      </c>
      <c r="L68" s="6" t="str">
        <f>IF(OR($A68="EHT Trace"),IF(AND($X68&lt;&gt;"",$Y68&lt;&gt;""),"YES","NO"),"N/A")</f>
        <v>N/A</v>
      </c>
      <c r="M68" s="6" t="str">
        <f>IF(OR($A68="EHT Trace"),IF(AND($AA68&lt;&gt;"",$AB68&lt;&gt;""),"YES","NO"),"N/A")</f>
        <v>N/A</v>
      </c>
      <c r="N68" s="6" t="str">
        <f>IF(OR($A68="Power Cable"),IF(AND($AD68&lt;&gt;""),"YES","NO"),"N/A")</f>
        <v>NO</v>
      </c>
      <c r="O68" s="6" t="str">
        <f>IF(OR($A68="Power Cable",$A68="RTD Cable",$A68="Fieldbus Cable"),IF(AND($AE68&lt;&gt;""),"YES","NO"),"N/A")</f>
        <v>NO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Teck</t>
        </is>
      </c>
      <c r="AK68" s="15" t="inlineStr">
        <is>
          <t>10AWG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Power Cable</t>
        </is>
      </c>
      <c r="B69" s="15" t="inlineStr">
        <is>
          <t>29103-ET-HC1909-1-PWK-1</t>
        </is>
      </c>
      <c r="C69" s="15" t="inlineStr">
        <is>
          <t>29103-ET-HC1909-1</t>
        </is>
      </c>
      <c r="D69" s="15" t="inlineStr"/>
      <c r="E69" s="15" t="inlineStr">
        <is>
          <t>29103-HTP-102</t>
        </is>
      </c>
      <c r="F69" s="15" t="inlineStr"/>
      <c r="G69" s="15" t="inlineStr">
        <is>
          <t>113</t>
        </is>
      </c>
      <c r="H69" s="15" t="inlineStr">
        <is>
          <t>1.1. 29103-HTP-102/3. Power Cables/29103-ET-HC1909-1-PWK-1.pdf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N/A</v>
      </c>
      <c r="L69" s="6" t="str">
        <f>IF(OR($A69="EHT Trace"),IF(AND($X69&lt;&gt;"",$Y69&lt;&gt;""),"YES","NO"),"N/A")</f>
        <v>N/A</v>
      </c>
      <c r="M69" s="6" t="str">
        <f>IF(OR($A69="EHT Trace"),IF(AND($AA69&lt;&gt;"",$AB69&lt;&gt;""),"YES","NO"),"N/A")</f>
        <v>N/A</v>
      </c>
      <c r="N69" s="6" t="str">
        <f>IF(OR($A69="Power Cable"),IF(AND($AD69&lt;&gt;""),"YES","NO"),"N/A")</f>
        <v>NO</v>
      </c>
      <c r="O69" s="6" t="str">
        <f>IF(OR($A69="Power Cable",$A69="RTD Cable",$A69="Fieldbus Cable"),IF(AND($AE69&lt;&gt;""),"YES","NO"),"N/A")</f>
        <v>NO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Teck</t>
        </is>
      </c>
      <c r="AK69" s="15" t="inlineStr">
        <is>
          <t>10AWG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Power Cable</t>
        </is>
      </c>
      <c r="B70" s="15" t="inlineStr">
        <is>
          <t>29103-ET-MT0001-1-PWK-1</t>
        </is>
      </c>
      <c r="C70" s="15" t="inlineStr">
        <is>
          <t>29103-ET-MT0001-1</t>
        </is>
      </c>
      <c r="D70" s="15" t="inlineStr"/>
      <c r="E70" s="15" t="inlineStr">
        <is>
          <t>29103-HTP-102</t>
        </is>
      </c>
      <c r="F70" s="15" t="inlineStr"/>
      <c r="G70" s="15" t="inlineStr">
        <is>
          <t>113</t>
        </is>
      </c>
      <c r="H70" s="15" t="inlineStr">
        <is>
          <t>1.1. 29103-HTP-102/3. Power Cables/29103-ET-MT0001-1-PWK-1.pdf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N/A</v>
      </c>
      <c r="L70" s="6" t="str">
        <f>IF(OR($A70="EHT Trace"),IF(AND($X70&lt;&gt;"",$Y70&lt;&gt;""),"YES","NO"),"N/A")</f>
        <v>N/A</v>
      </c>
      <c r="M70" s="6" t="str">
        <f>IF(OR($A70="EHT Trace"),IF(AND($AA70&lt;&gt;"",$AB70&lt;&gt;""),"YES","NO"),"N/A")</f>
        <v>N/A</v>
      </c>
      <c r="N70" s="6" t="str">
        <f>IF(OR($A70="Power Cable"),IF(AND($AD70&lt;&gt;""),"YES","NO"),"N/A")</f>
        <v>NO</v>
      </c>
      <c r="O70" s="6" t="str">
        <f>IF(OR($A70="Power Cable",$A70="RTD Cable",$A70="Fieldbus Cable"),IF(AND($AE70&lt;&gt;""),"YES","NO"),"N/A")</f>
        <v>NO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Teck</t>
        </is>
      </c>
      <c r="AK70" s="15" t="inlineStr">
        <is>
          <t>10AWG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Power Cable</t>
        </is>
      </c>
      <c r="B71" s="15" t="inlineStr">
        <is>
          <t>29103-ET-P001A-1-PWK-1</t>
        </is>
      </c>
      <c r="C71" s="15" t="inlineStr">
        <is>
          <t>29103-ET-P001A-1</t>
        </is>
      </c>
      <c r="D71" s="15" t="inlineStr"/>
      <c r="E71" s="15" t="inlineStr">
        <is>
          <t>29103-HTP-102</t>
        </is>
      </c>
      <c r="F71" s="15" t="inlineStr"/>
      <c r="G71" s="15" t="inlineStr">
        <is>
          <t>113</t>
        </is>
      </c>
      <c r="H71" s="15" t="inlineStr">
        <is>
          <t>1.1. 29103-HTP-102/3. Power Cables/29103-ET-P001A-1-PWK-1.pdf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N/A</v>
      </c>
      <c r="L71" s="6" t="str">
        <f>IF(OR($A71="EHT Trace"),IF(AND($X71&lt;&gt;"",$Y71&lt;&gt;""),"YES","NO"),"N/A")</f>
        <v>N/A</v>
      </c>
      <c r="M71" s="6" t="str">
        <f>IF(OR($A71="EHT Trace"),IF(AND($AA71&lt;&gt;"",$AB71&lt;&gt;""),"YES","NO"),"N/A")</f>
        <v>N/A</v>
      </c>
      <c r="N71" s="6" t="str">
        <f>IF(OR($A71="Power Cable"),IF(AND($AD71&lt;&gt;""),"YES","NO"),"N/A")</f>
        <v>NO</v>
      </c>
      <c r="O71" s="6" t="str">
        <f>IF(OR($A71="Power Cable",$A71="RTD Cable",$A71="Fieldbus Cable"),IF(AND($AE71&lt;&gt;""),"YES","NO"),"N/A")</f>
        <v>NO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Teck</t>
        </is>
      </c>
      <c r="AK71" s="15" t="inlineStr">
        <is>
          <t>10AWG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Power Cable</t>
        </is>
      </c>
      <c r="B72" s="15" t="inlineStr">
        <is>
          <t>29103-ET-P001A-2-PWK-1</t>
        </is>
      </c>
      <c r="C72" s="15" t="inlineStr">
        <is>
          <t>29103-ET-P001A-2</t>
        </is>
      </c>
      <c r="D72" s="15" t="inlineStr"/>
      <c r="E72" s="15" t="inlineStr">
        <is>
          <t>29103-HTP-102</t>
        </is>
      </c>
      <c r="F72" s="15" t="inlineStr"/>
      <c r="G72" s="15" t="inlineStr">
        <is>
          <t>113</t>
        </is>
      </c>
      <c r="H72" s="15" t="inlineStr">
        <is>
          <t>1.1. 29103-HTP-102/3. Power Cables/29103-ET-P001A-2-PWK-1.pdf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N/A</v>
      </c>
      <c r="L72" s="6" t="str">
        <f>IF(OR($A72="EHT Trace"),IF(AND($X72&lt;&gt;"",$Y72&lt;&gt;""),"YES","NO"),"N/A")</f>
        <v>N/A</v>
      </c>
      <c r="M72" s="6" t="str">
        <f>IF(OR($A72="EHT Trace"),IF(AND($AA72&lt;&gt;"",$AB72&lt;&gt;""),"YES","NO"),"N/A")</f>
        <v>N/A</v>
      </c>
      <c r="N72" s="6" t="str">
        <f>IF(OR($A72="Power Cable"),IF(AND($AD72&lt;&gt;""),"YES","NO"),"N/A")</f>
        <v>NO</v>
      </c>
      <c r="O72" s="6" t="str">
        <f>IF(OR($A72="Power Cable",$A72="RTD Cable",$A72="Fieldbus Cable"),IF(AND($AE72&lt;&gt;""),"YES","NO"),"N/A")</f>
        <v>NO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Teck</t>
        </is>
      </c>
      <c r="AK72" s="15" t="inlineStr">
        <is>
          <t>10AWG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Power Cable</t>
        </is>
      </c>
      <c r="B73" s="15" t="inlineStr">
        <is>
          <t>29103-ET-P001A-3-PWK-1</t>
        </is>
      </c>
      <c r="C73" s="15" t="inlineStr">
        <is>
          <t>29103-ET-P001A-3</t>
        </is>
      </c>
      <c r="D73" s="15" t="inlineStr"/>
      <c r="E73" s="15" t="inlineStr">
        <is>
          <t>29103-HTP-102</t>
        </is>
      </c>
      <c r="F73" s="15" t="inlineStr"/>
      <c r="G73" s="15" t="inlineStr">
        <is>
          <t>113</t>
        </is>
      </c>
      <c r="H73" s="15" t="inlineStr">
        <is>
          <t>1.1. 29103-HTP-102/3. Power Cables/29103-ET-P001A-3-PWK-1.pdf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N/A</v>
      </c>
      <c r="L73" s="6" t="str">
        <f>IF(OR($A73="EHT Trace"),IF(AND($X73&lt;&gt;"",$Y73&lt;&gt;""),"YES","NO"),"N/A")</f>
        <v>N/A</v>
      </c>
      <c r="M73" s="6" t="str">
        <f>IF(OR($A73="EHT Trace"),IF(AND($AA73&lt;&gt;"",$AB73&lt;&gt;""),"YES","NO"),"N/A")</f>
        <v>N/A</v>
      </c>
      <c r="N73" s="6" t="str">
        <f>IF(OR($A73="Power Cable"),IF(AND($AD73&lt;&gt;""),"YES","NO"),"N/A")</f>
        <v>NO</v>
      </c>
      <c r="O73" s="6" t="str">
        <f>IF(OR($A73="Power Cable",$A73="RTD Cable",$A73="Fieldbus Cable"),IF(AND($AE73&lt;&gt;""),"YES","NO"),"N/A")</f>
        <v>NO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Teck</t>
        </is>
      </c>
      <c r="AK73" s="15" t="inlineStr">
        <is>
          <t>10AWG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Power Cable</t>
        </is>
      </c>
      <c r="B74" s="15" t="inlineStr">
        <is>
          <t>29103-ET-P001A-4-PWK-1</t>
        </is>
      </c>
      <c r="C74" s="15" t="inlineStr">
        <is>
          <t>29103-ET-P001A-4</t>
        </is>
      </c>
      <c r="D74" s="15" t="inlineStr"/>
      <c r="E74" s="15" t="inlineStr">
        <is>
          <t>29103-HTP-102</t>
        </is>
      </c>
      <c r="F74" s="15" t="inlineStr"/>
      <c r="G74" s="15" t="inlineStr">
        <is>
          <t>113</t>
        </is>
      </c>
      <c r="H74" s="15" t="inlineStr">
        <is>
          <t>1.1. 29103-HTP-102/3. Power Cables/29103-ET-P001A-4-PWK-1.pdf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N/A</v>
      </c>
      <c r="L74" s="6" t="str">
        <f>IF(OR($A74="EHT Trace"),IF(AND($X74&lt;&gt;"",$Y74&lt;&gt;""),"YES","NO"),"N/A")</f>
        <v>N/A</v>
      </c>
      <c r="M74" s="6" t="str">
        <f>IF(OR($A74="EHT Trace"),IF(AND($AA74&lt;&gt;"",$AB74&lt;&gt;""),"YES","NO"),"N/A")</f>
        <v>N/A</v>
      </c>
      <c r="N74" s="6" t="str">
        <f>IF(OR($A74="Power Cable"),IF(AND($AD74&lt;&gt;""),"YES","NO"),"N/A")</f>
        <v>NO</v>
      </c>
      <c r="O74" s="6" t="str">
        <f>IF(OR($A74="Power Cable",$A74="RTD Cable",$A74="Fieldbus Cable"),IF(AND($AE74&lt;&gt;""),"YES","NO"),"N/A")</f>
        <v>NO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Teck</t>
        </is>
      </c>
      <c r="AK74" s="15" t="inlineStr">
        <is>
          <t>10AWG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Power Cable</t>
        </is>
      </c>
      <c r="B75" s="15" t="inlineStr">
        <is>
          <t>29103-ET-P001B-1-PWK-1</t>
        </is>
      </c>
      <c r="C75" s="15" t="inlineStr">
        <is>
          <t>29103-ET-P001B-1</t>
        </is>
      </c>
      <c r="D75" s="15" t="inlineStr"/>
      <c r="E75" s="15" t="inlineStr">
        <is>
          <t>29103-HTP-102</t>
        </is>
      </c>
      <c r="F75" s="15" t="inlineStr"/>
      <c r="G75" s="15" t="inlineStr">
        <is>
          <t>113</t>
        </is>
      </c>
      <c r="H75" s="15" t="inlineStr">
        <is>
          <t>1.1. 29103-HTP-102/3. Power Cables/29103-ET-P001B-1-PWK-1.pdf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N/A</v>
      </c>
      <c r="L75" s="6" t="str">
        <f>IF(OR($A75="EHT Trace"),IF(AND($X75&lt;&gt;"",$Y75&lt;&gt;""),"YES","NO"),"N/A")</f>
        <v>N/A</v>
      </c>
      <c r="M75" s="6" t="str">
        <f>IF(OR($A75="EHT Trace"),IF(AND($AA75&lt;&gt;"",$AB75&lt;&gt;""),"YES","NO"),"N/A")</f>
        <v>N/A</v>
      </c>
      <c r="N75" s="6" t="str">
        <f>IF(OR($A75="Power Cable"),IF(AND($AD75&lt;&gt;""),"YES","NO"),"N/A")</f>
        <v>NO</v>
      </c>
      <c r="O75" s="6" t="str">
        <f>IF(OR($A75="Power Cable",$A75="RTD Cable",$A75="Fieldbus Cable"),IF(AND($AE75&lt;&gt;""),"YES","NO"),"N/A")</f>
        <v>NO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Teck</t>
        </is>
      </c>
      <c r="AK75" s="15" t="inlineStr">
        <is>
          <t>10AWG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Power Cable</t>
        </is>
      </c>
      <c r="B76" s="15" t="inlineStr">
        <is>
          <t>29103-ET-P001B-2-PWK-1</t>
        </is>
      </c>
      <c r="C76" s="15" t="inlineStr">
        <is>
          <t>29103-ET-P001B-2</t>
        </is>
      </c>
      <c r="D76" s="15" t="inlineStr"/>
      <c r="E76" s="15" t="inlineStr">
        <is>
          <t>29103-HTP-102</t>
        </is>
      </c>
      <c r="F76" s="15" t="inlineStr"/>
      <c r="G76" s="15" t="inlineStr">
        <is>
          <t>113</t>
        </is>
      </c>
      <c r="H76" s="15" t="inlineStr">
        <is>
          <t>1.1. 29103-HTP-102/3. Power Cables/29103-ET-P001B-2-PWK-1.pdf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N/A</v>
      </c>
      <c r="L76" s="6" t="str">
        <f>IF(OR($A76="EHT Trace"),IF(AND($X76&lt;&gt;"",$Y76&lt;&gt;""),"YES","NO"),"N/A")</f>
        <v>N/A</v>
      </c>
      <c r="M76" s="6" t="str">
        <f>IF(OR($A76="EHT Trace"),IF(AND($AA76&lt;&gt;"",$AB76&lt;&gt;""),"YES","NO"),"N/A")</f>
        <v>N/A</v>
      </c>
      <c r="N76" s="6" t="str">
        <f>IF(OR($A76="Power Cable"),IF(AND($AD76&lt;&gt;""),"YES","NO"),"N/A")</f>
        <v>NO</v>
      </c>
      <c r="O76" s="6" t="str">
        <f>IF(OR($A76="Power Cable",$A76="RTD Cable",$A76="Fieldbus Cable"),IF(AND($AE76&lt;&gt;""),"YES","NO"),"N/A")</f>
        <v>NO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Teck</t>
        </is>
      </c>
      <c r="AK76" s="15" t="inlineStr">
        <is>
          <t>10AWG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Power Cable</t>
        </is>
      </c>
      <c r="B77" s="15" t="inlineStr">
        <is>
          <t>29103-ET-P001B-3-PWK-1</t>
        </is>
      </c>
      <c r="C77" s="15" t="inlineStr">
        <is>
          <t>29103-ET-P001B-3</t>
        </is>
      </c>
      <c r="D77" s="15" t="inlineStr"/>
      <c r="E77" s="15" t="inlineStr">
        <is>
          <t>29103-HTP-102</t>
        </is>
      </c>
      <c r="F77" s="15" t="inlineStr"/>
      <c r="G77" s="15" t="inlineStr">
        <is>
          <t>113</t>
        </is>
      </c>
      <c r="H77" s="15" t="inlineStr">
        <is>
          <t>1.1. 29103-HTP-102/3. Power Cables/29103-ET-P001B-3-PWK-1.pdf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N/A</v>
      </c>
      <c r="L77" s="6" t="str">
        <f>IF(OR($A77="EHT Trace"),IF(AND($X77&lt;&gt;"",$Y77&lt;&gt;""),"YES","NO"),"N/A")</f>
        <v>N/A</v>
      </c>
      <c r="M77" s="6" t="str">
        <f>IF(OR($A77="EHT Trace"),IF(AND($AA77&lt;&gt;"",$AB77&lt;&gt;""),"YES","NO"),"N/A")</f>
        <v>N/A</v>
      </c>
      <c r="N77" s="6" t="str">
        <f>IF(OR($A77="Power Cable"),IF(AND($AD77&lt;&gt;""),"YES","NO"),"N/A")</f>
        <v>NO</v>
      </c>
      <c r="O77" s="6" t="str">
        <f>IF(OR($A77="Power Cable",$A77="RTD Cable",$A77="Fieldbus Cable"),IF(AND($AE77&lt;&gt;""),"YES","NO"),"N/A")</f>
        <v>NO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Teck</t>
        </is>
      </c>
      <c r="AK77" s="15" t="inlineStr">
        <is>
          <t>10AWG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Power Cable</t>
        </is>
      </c>
      <c r="B78" s="15" t="inlineStr">
        <is>
          <t>29103-ET-P001B-4-PWK-1</t>
        </is>
      </c>
      <c r="C78" s="15" t="inlineStr">
        <is>
          <t>29103-ET-P001B-4</t>
        </is>
      </c>
      <c r="D78" s="15" t="inlineStr"/>
      <c r="E78" s="15" t="inlineStr">
        <is>
          <t>29103-HTP-102</t>
        </is>
      </c>
      <c r="F78" s="15" t="inlineStr"/>
      <c r="G78" s="15" t="inlineStr">
        <is>
          <t>113</t>
        </is>
      </c>
      <c r="H78" s="15" t="inlineStr">
        <is>
          <t>1.1. 29103-HTP-102/3. Power Cables/29103-ET-P001B-4-PWK-1.pdf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N/A</v>
      </c>
      <c r="L78" s="6" t="str">
        <f>IF(OR($A78="EHT Trace"),IF(AND($X78&lt;&gt;"",$Y78&lt;&gt;""),"YES","NO"),"N/A")</f>
        <v>N/A</v>
      </c>
      <c r="M78" s="6" t="str">
        <f>IF(OR($A78="EHT Trace"),IF(AND($AA78&lt;&gt;"",$AB78&lt;&gt;""),"YES","NO"),"N/A")</f>
        <v>N/A</v>
      </c>
      <c r="N78" s="6" t="str">
        <f>IF(OR($A78="Power Cable"),IF(AND($AD78&lt;&gt;""),"YES","NO"),"N/A")</f>
        <v>NO</v>
      </c>
      <c r="O78" s="6" t="str">
        <f>IF(OR($A78="Power Cable",$A78="RTD Cable",$A78="Fieldbus Cable"),IF(AND($AE78&lt;&gt;""),"YES","NO"),"N/A")</f>
        <v>NO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Teck</t>
        </is>
      </c>
      <c r="AK78" s="15" t="inlineStr">
        <is>
          <t>10AWG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Power Cable</t>
        </is>
      </c>
      <c r="B79" s="15" t="inlineStr">
        <is>
          <t>29103-ET-P1003-1-PWK-1</t>
        </is>
      </c>
      <c r="C79" s="15" t="inlineStr">
        <is>
          <t>29103-ET-P1003-1</t>
        </is>
      </c>
      <c r="D79" s="15" t="inlineStr"/>
      <c r="E79" s="15" t="inlineStr">
        <is>
          <t>29103-HTP-102</t>
        </is>
      </c>
      <c r="F79" s="15" t="inlineStr"/>
      <c r="G79" s="15" t="inlineStr">
        <is>
          <t>113</t>
        </is>
      </c>
      <c r="H79" s="15" t="inlineStr">
        <is>
          <t>1.1. 29103-HTP-102/3. Power Cables/29103-ET-P1003-1-PWK-1.pdf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N/A</v>
      </c>
      <c r="L79" s="6" t="str">
        <f>IF(OR($A79="EHT Trace"),IF(AND($X79&lt;&gt;"",$Y79&lt;&gt;""),"YES","NO"),"N/A")</f>
        <v>N/A</v>
      </c>
      <c r="M79" s="6" t="str">
        <f>IF(OR($A79="EHT Trace"),IF(AND($AA79&lt;&gt;"",$AB79&lt;&gt;""),"YES","NO"),"N/A")</f>
        <v>N/A</v>
      </c>
      <c r="N79" s="6" t="str">
        <f>IF(OR($A79="Power Cable"),IF(AND($AD79&lt;&gt;""),"YES","NO"),"N/A")</f>
        <v>NO</v>
      </c>
      <c r="O79" s="6" t="str">
        <f>IF(OR($A79="Power Cable",$A79="RTD Cable",$A79="Fieldbus Cable"),IF(AND($AE79&lt;&gt;""),"YES","NO"),"N/A")</f>
        <v>NO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Teck</t>
        </is>
      </c>
      <c r="AK79" s="15" t="inlineStr">
        <is>
          <t>8AWG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Power Cable</t>
        </is>
      </c>
      <c r="B80" s="15" t="inlineStr">
        <is>
          <t>29103-ET-P1004-1-PWK-1</t>
        </is>
      </c>
      <c r="C80" s="15" t="inlineStr">
        <is>
          <t>29103-ET-P1004-1</t>
        </is>
      </c>
      <c r="D80" s="15" t="inlineStr"/>
      <c r="E80" s="15" t="inlineStr">
        <is>
          <t>29103-HTP-102</t>
        </is>
      </c>
      <c r="F80" s="15" t="inlineStr"/>
      <c r="G80" s="15" t="inlineStr">
        <is>
          <t>113</t>
        </is>
      </c>
      <c r="H80" s="15" t="inlineStr">
        <is>
          <t>1.1. 29103-HTP-102/3. Power Cables/29103-ET-P1004-1-PWK-1.pdf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N/A</v>
      </c>
      <c r="L80" s="6" t="str">
        <f>IF(OR($A80="EHT Trace"),IF(AND($X80&lt;&gt;"",$Y80&lt;&gt;""),"YES","NO"),"N/A")</f>
        <v>N/A</v>
      </c>
      <c r="M80" s="6" t="str">
        <f>IF(OR($A80="EHT Trace"),IF(AND($AA80&lt;&gt;"",$AB80&lt;&gt;""),"YES","NO"),"N/A")</f>
        <v>N/A</v>
      </c>
      <c r="N80" s="6" t="str">
        <f>IF(OR($A80="Power Cable"),IF(AND($AD80&lt;&gt;""),"YES","NO"),"N/A")</f>
        <v>NO</v>
      </c>
      <c r="O80" s="6" t="str">
        <f>IF(OR($A80="Power Cable",$A80="RTD Cable",$A80="Fieldbus Cable"),IF(AND($AE80&lt;&gt;""),"YES","NO"),"N/A")</f>
        <v>NO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Teck</t>
        </is>
      </c>
      <c r="AK80" s="15" t="inlineStr">
        <is>
          <t>10AWG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Power Cable</t>
        </is>
      </c>
      <c r="B81" s="15" t="inlineStr">
        <is>
          <t>29103-ET-P1920-1-PWK-1</t>
        </is>
      </c>
      <c r="C81" s="15" t="inlineStr">
        <is>
          <t>29103-ET-P1920-1</t>
        </is>
      </c>
      <c r="D81" s="15" t="inlineStr"/>
      <c r="E81" s="15" t="inlineStr">
        <is>
          <t>29103-HTP-102</t>
        </is>
      </c>
      <c r="F81" s="15" t="inlineStr"/>
      <c r="G81" s="15" t="inlineStr">
        <is>
          <t>113</t>
        </is>
      </c>
      <c r="H81" s="15" t="inlineStr">
        <is>
          <t>1.1. 29103-HTP-102/3. Power Cables/29103-ET-P1920-1-PWK-1.pdf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N/A</v>
      </c>
      <c r="L81" s="6" t="str">
        <f>IF(OR($A81="EHT Trace"),IF(AND($X81&lt;&gt;"",$Y81&lt;&gt;""),"YES","NO"),"N/A")</f>
        <v>N/A</v>
      </c>
      <c r="M81" s="6" t="str">
        <f>IF(OR($A81="EHT Trace"),IF(AND($AA81&lt;&gt;"",$AB81&lt;&gt;""),"YES","NO"),"N/A")</f>
        <v>N/A</v>
      </c>
      <c r="N81" s="6" t="str">
        <f>IF(OR($A81="Power Cable"),IF(AND($AD81&lt;&gt;""),"YES","NO"),"N/A")</f>
        <v>NO</v>
      </c>
      <c r="O81" s="6" t="str">
        <f>IF(OR($A81="Power Cable",$A81="RTD Cable",$A81="Fieldbus Cable"),IF(AND($AE81&lt;&gt;""),"YES","NO"),"N/A")</f>
        <v>NO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Teck</t>
        </is>
      </c>
      <c r="AK81" s="15" t="inlineStr">
        <is>
          <t>10AWG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Power Cable</t>
        </is>
      </c>
      <c r="B82" s="15" t="inlineStr">
        <is>
          <t>29103-ET-P1920-2-PWK-1</t>
        </is>
      </c>
      <c r="C82" s="15" t="inlineStr">
        <is>
          <t>29103-ET-P1920-2</t>
        </is>
      </c>
      <c r="D82" s="15" t="inlineStr"/>
      <c r="E82" s="15" t="inlineStr">
        <is>
          <t>29103-HTP-102</t>
        </is>
      </c>
      <c r="F82" s="15" t="inlineStr"/>
      <c r="G82" s="15" t="inlineStr">
        <is>
          <t>113</t>
        </is>
      </c>
      <c r="H82" s="15" t="inlineStr">
        <is>
          <t>1.1. 29103-HTP-102/3. Power Cables/29103-ET-P1920-2-PWK-1.pdf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N/A</v>
      </c>
      <c r="L82" s="6" t="str">
        <f>IF(OR($A82="EHT Trace"),IF(AND($X82&lt;&gt;"",$Y82&lt;&gt;""),"YES","NO"),"N/A")</f>
        <v>N/A</v>
      </c>
      <c r="M82" s="6" t="str">
        <f>IF(OR($A82="EHT Trace"),IF(AND($AA82&lt;&gt;"",$AB82&lt;&gt;""),"YES","NO"),"N/A")</f>
        <v>N/A</v>
      </c>
      <c r="N82" s="6" t="str">
        <f>IF(OR($A82="Power Cable"),IF(AND($AD82&lt;&gt;""),"YES","NO"),"N/A")</f>
        <v>NO</v>
      </c>
      <c r="O82" s="6" t="str">
        <f>IF(OR($A82="Power Cable",$A82="RTD Cable",$A82="Fieldbus Cable"),IF(AND($AE82&lt;&gt;""),"YES","NO"),"N/A")</f>
        <v>NO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Teck</t>
        </is>
      </c>
      <c r="AK82" s="15" t="inlineStr">
        <is>
          <t>10AWG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Power Cable</t>
        </is>
      </c>
      <c r="B83" s="15" t="inlineStr">
        <is>
          <t>29103-ET-PG1901-1-PWK-1</t>
        </is>
      </c>
      <c r="C83" s="15" t="inlineStr">
        <is>
          <t>29103-ET-PG1901-1</t>
        </is>
      </c>
      <c r="D83" s="15" t="inlineStr"/>
      <c r="E83" s="15" t="inlineStr">
        <is>
          <t>29103-HTP-102</t>
        </is>
      </c>
      <c r="F83" s="15" t="inlineStr"/>
      <c r="G83" s="15" t="inlineStr">
        <is>
          <t>113</t>
        </is>
      </c>
      <c r="H83" s="15" t="inlineStr">
        <is>
          <t>1.1. 29103-HTP-102/3. Power Cables/29103-ET-PG1901-1-PWK-1.pdf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N/A</v>
      </c>
      <c r="L83" s="6" t="str">
        <f>IF(OR($A83="EHT Trace"),IF(AND($X83&lt;&gt;"",$Y83&lt;&gt;""),"YES","NO"),"N/A")</f>
        <v>N/A</v>
      </c>
      <c r="M83" s="6" t="str">
        <f>IF(OR($A83="EHT Trace"),IF(AND($AA83&lt;&gt;"",$AB83&lt;&gt;""),"YES","NO"),"N/A")</f>
        <v>N/A</v>
      </c>
      <c r="N83" s="6" t="str">
        <f>IF(OR($A83="Power Cable"),IF(AND($AD83&lt;&gt;""),"YES","NO"),"N/A")</f>
        <v>NO</v>
      </c>
      <c r="O83" s="6" t="str">
        <f>IF(OR($A83="Power Cable",$A83="RTD Cable",$A83="Fieldbus Cable"),IF(AND($AE83&lt;&gt;""),"YES","NO"),"N/A")</f>
        <v>NO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Teck</t>
        </is>
      </c>
      <c r="AK83" s="15" t="inlineStr">
        <is>
          <t>10AWG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Power Cable</t>
        </is>
      </c>
      <c r="B84" s="15" t="inlineStr">
        <is>
          <t>29103-ET-PG1903-1-PWK-1</t>
        </is>
      </c>
      <c r="C84" s="15" t="inlineStr">
        <is>
          <t>29103-ET-PG1903-1</t>
        </is>
      </c>
      <c r="D84" s="15" t="inlineStr"/>
      <c r="E84" s="15" t="inlineStr">
        <is>
          <t>29103-HTP-102</t>
        </is>
      </c>
      <c r="F84" s="15" t="inlineStr"/>
      <c r="G84" s="15" t="inlineStr">
        <is>
          <t>113</t>
        </is>
      </c>
      <c r="H84" s="15" t="inlineStr">
        <is>
          <t>1.1. 29103-HTP-102/3. Power Cables/29103-ET-PG1903-1-PWK-1.pdf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N/A</v>
      </c>
      <c r="L84" s="6" t="str">
        <f>IF(OR($A84="EHT Trace"),IF(AND($X84&lt;&gt;"",$Y84&lt;&gt;""),"YES","NO"),"N/A")</f>
        <v>N/A</v>
      </c>
      <c r="M84" s="6" t="str">
        <f>IF(OR($A84="EHT Trace"),IF(AND($AA84&lt;&gt;"",$AB84&lt;&gt;""),"YES","NO"),"N/A")</f>
        <v>N/A</v>
      </c>
      <c r="N84" s="6" t="str">
        <f>IF(OR($A84="Power Cable"),IF(AND($AD84&lt;&gt;""),"YES","NO"),"N/A")</f>
        <v>NO</v>
      </c>
      <c r="O84" s="6" t="str">
        <f>IF(OR($A84="Power Cable",$A84="RTD Cable",$A84="Fieldbus Cable"),IF(AND($AE84&lt;&gt;""),"YES","NO"),"N/A")</f>
        <v>NO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Teck</t>
        </is>
      </c>
      <c r="AK84" s="15" t="inlineStr">
        <is>
          <t>10AWG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Power Cable</t>
        </is>
      </c>
      <c r="B85" s="15" t="inlineStr">
        <is>
          <t>29103-ET-ST0001-1-PWK-1</t>
        </is>
      </c>
      <c r="C85" s="15" t="inlineStr">
        <is>
          <t>29103-ET-ST0001-1</t>
        </is>
      </c>
      <c r="D85" s="15" t="inlineStr"/>
      <c r="E85" s="15" t="inlineStr">
        <is>
          <t>29103-HTP-102</t>
        </is>
      </c>
      <c r="F85" s="15" t="inlineStr"/>
      <c r="G85" s="15" t="inlineStr">
        <is>
          <t>113</t>
        </is>
      </c>
      <c r="H85" s="15" t="inlineStr">
        <is>
          <t>1.1. 29103-HTP-102/3. Power Cables/29103-ET-ST0001-1-PWK-1.pdf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N/A</v>
      </c>
      <c r="L85" s="6" t="str">
        <f>IF(OR($A85="EHT Trace"),IF(AND($X85&lt;&gt;"",$Y85&lt;&gt;""),"YES","NO"),"N/A")</f>
        <v>N/A</v>
      </c>
      <c r="M85" s="6" t="str">
        <f>IF(OR($A85="EHT Trace"),IF(AND($AA85&lt;&gt;"",$AB85&lt;&gt;""),"YES","NO"),"N/A")</f>
        <v>N/A</v>
      </c>
      <c r="N85" s="6" t="str">
        <f>IF(OR($A85="Power Cable"),IF(AND($AD85&lt;&gt;""),"YES","NO"),"N/A")</f>
        <v>NO</v>
      </c>
      <c r="O85" s="6" t="str">
        <f>IF(OR($A85="Power Cable",$A85="RTD Cable",$A85="Fieldbus Cable"),IF(AND($AE85&lt;&gt;""),"YES","NO"),"N/A")</f>
        <v>NO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Teck</t>
        </is>
      </c>
      <c r="AK85" s="15" t="inlineStr">
        <is>
          <t>10AWG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Power Cable</t>
        </is>
      </c>
      <c r="B86" s="15" t="inlineStr">
        <is>
          <t>29103-ET-ST0003-1-PWK-1</t>
        </is>
      </c>
      <c r="C86" s="15" t="inlineStr">
        <is>
          <t>29103-ET-ST0003-1</t>
        </is>
      </c>
      <c r="D86" s="15" t="inlineStr"/>
      <c r="E86" s="15" t="inlineStr">
        <is>
          <t>29103-HTP-102</t>
        </is>
      </c>
      <c r="F86" s="15" t="inlineStr"/>
      <c r="G86" s="15" t="inlineStr">
        <is>
          <t>113</t>
        </is>
      </c>
      <c r="H86" s="15" t="inlineStr">
        <is>
          <t>1.1. 29103-HTP-102/3. Power Cables/29103-ET-ST0003-1-PWK-1.pdf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N/A</v>
      </c>
      <c r="L86" s="6" t="str">
        <f>IF(OR($A86="EHT Trace"),IF(AND($X86&lt;&gt;"",$Y86&lt;&gt;""),"YES","NO"),"N/A")</f>
        <v>N/A</v>
      </c>
      <c r="M86" s="6" t="str">
        <f>IF(OR($A86="EHT Trace"),IF(AND($AA86&lt;&gt;"",$AB86&lt;&gt;""),"YES","NO"),"N/A")</f>
        <v>N/A</v>
      </c>
      <c r="N86" s="6" t="str">
        <f>IF(OR($A86="Power Cable"),IF(AND($AD86&lt;&gt;""),"YES","NO"),"N/A")</f>
        <v>NO</v>
      </c>
      <c r="O86" s="6" t="str">
        <f>IF(OR($A86="Power Cable",$A86="RTD Cable",$A86="Fieldbus Cable"),IF(AND($AE86&lt;&gt;""),"YES","NO"),"N/A")</f>
        <v>NO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Teck</t>
        </is>
      </c>
      <c r="AK86" s="15" t="inlineStr">
        <is>
          <t>10AWG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Power Cable</t>
        </is>
      </c>
      <c r="B87" s="15" t="inlineStr">
        <is>
          <t>29103-ET-ST1816-1-PWK-1</t>
        </is>
      </c>
      <c r="C87" s="15" t="inlineStr">
        <is>
          <t>29103-ET-ST1816-1</t>
        </is>
      </c>
      <c r="D87" s="15" t="inlineStr"/>
      <c r="E87" s="15" t="inlineStr">
        <is>
          <t>29103-HTP-102</t>
        </is>
      </c>
      <c r="F87" s="15" t="inlineStr"/>
      <c r="G87" s="15" t="inlineStr">
        <is>
          <t>113</t>
        </is>
      </c>
      <c r="H87" s="15" t="inlineStr">
        <is>
          <t>1.1. 29103-HTP-102/3. Power Cables/29103-ET-ST1816-1-PWK-1.pdf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N/A</v>
      </c>
      <c r="L87" s="6" t="str">
        <f>IF(OR($A87="EHT Trace"),IF(AND($X87&lt;&gt;"",$Y87&lt;&gt;""),"YES","NO"),"N/A")</f>
        <v>N/A</v>
      </c>
      <c r="M87" s="6" t="str">
        <f>IF(OR($A87="EHT Trace"),IF(AND($AA87&lt;&gt;"",$AB87&lt;&gt;""),"YES","NO"),"N/A")</f>
        <v>N/A</v>
      </c>
      <c r="N87" s="6" t="str">
        <f>IF(OR($A87="Power Cable"),IF(AND($AD87&lt;&gt;""),"YES","NO"),"N/A")</f>
        <v>NO</v>
      </c>
      <c r="O87" s="6" t="str">
        <f>IF(OR($A87="Power Cable",$A87="RTD Cable",$A87="Fieldbus Cable"),IF(AND($AE87&lt;&gt;""),"YES","NO"),"N/A")</f>
        <v>NO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Teck</t>
        </is>
      </c>
      <c r="AK87" s="15" t="inlineStr">
        <is>
          <t>10AWG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Power Cable</t>
        </is>
      </c>
      <c r="B88" s="15" t="inlineStr">
        <is>
          <t>29103-ET-V004-1-PWK-1</t>
        </is>
      </c>
      <c r="C88" s="15" t="inlineStr">
        <is>
          <t>29103-ET-V004-1</t>
        </is>
      </c>
      <c r="D88" s="15" t="inlineStr"/>
      <c r="E88" s="15" t="inlineStr">
        <is>
          <t>29103-HTP-102</t>
        </is>
      </c>
      <c r="F88" s="15" t="inlineStr"/>
      <c r="G88" s="15" t="inlineStr">
        <is>
          <t>113</t>
        </is>
      </c>
      <c r="H88" s="15" t="inlineStr">
        <is>
          <t>1.1. 29103-HTP-102/3. Power Cables/29103-ET-V004-1-PWK-1.pdf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N/A</v>
      </c>
      <c r="L88" s="6" t="str">
        <f>IF(OR($A88="EHT Trace"),IF(AND($X88&lt;&gt;"",$Y88&lt;&gt;""),"YES","NO"),"N/A")</f>
        <v>N/A</v>
      </c>
      <c r="M88" s="6" t="str">
        <f>IF(OR($A88="EHT Trace"),IF(AND($AA88&lt;&gt;"",$AB88&lt;&gt;""),"YES","NO"),"N/A")</f>
        <v>N/A</v>
      </c>
      <c r="N88" s="6" t="str">
        <f>IF(OR($A88="Power Cable"),IF(AND($AD88&lt;&gt;""),"YES","NO"),"N/A")</f>
        <v>NO</v>
      </c>
      <c r="O88" s="6" t="str">
        <f>IF(OR($A88="Power Cable",$A88="RTD Cable",$A88="Fieldbus Cable"),IF(AND($AE88&lt;&gt;""),"YES","NO"),"N/A")</f>
        <v>NO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Teck</t>
        </is>
      </c>
      <c r="AK88" s="15" t="inlineStr">
        <is>
          <t>10AWG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Power Cable</t>
        </is>
      </c>
      <c r="B89" s="15" t="inlineStr">
        <is>
          <t>29103-ET-V004-1-PWK-2</t>
        </is>
      </c>
      <c r="C89" s="15" t="inlineStr">
        <is>
          <t>29103-ET-V004-1</t>
        </is>
      </c>
      <c r="D89" s="15" t="inlineStr"/>
      <c r="E89" s="15" t="inlineStr">
        <is>
          <t>29103-HTP-102</t>
        </is>
      </c>
      <c r="F89" s="15" t="inlineStr"/>
      <c r="G89" s="15" t="inlineStr">
        <is>
          <t>113</t>
        </is>
      </c>
      <c r="H89" s="15" t="inlineStr">
        <is>
          <t>1.1. 29103-HTP-102/3. Power Cables/29103-ET-V004-1-PWK-2.pdf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N/A</v>
      </c>
      <c r="L89" s="6" t="str">
        <f>IF(OR($A89="EHT Trace"),IF(AND($X89&lt;&gt;"",$Y89&lt;&gt;""),"YES","NO"),"N/A")</f>
        <v>N/A</v>
      </c>
      <c r="M89" s="6" t="str">
        <f>IF(OR($A89="EHT Trace"),IF(AND($AA89&lt;&gt;"",$AB89&lt;&gt;""),"YES","NO"),"N/A")</f>
        <v>N/A</v>
      </c>
      <c r="N89" s="6" t="str">
        <f>IF(OR($A89="Power Cable"),IF(AND($AD89&lt;&gt;""),"YES","NO"),"N/A")</f>
        <v>NO</v>
      </c>
      <c r="O89" s="6" t="str">
        <f>IF(OR($A89="Power Cable",$A89="RTD Cable",$A89="Fieldbus Cable"),IF(AND($AE89&lt;&gt;""),"YES","NO"),"N/A")</f>
        <v>NO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Teck</t>
        </is>
      </c>
      <c r="AK89" s="15" t="inlineStr">
        <is>
          <t>10AWG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Power Cable</t>
        </is>
      </c>
      <c r="B90" s="15" t="inlineStr">
        <is>
          <t>29103-ET-V1900-1-PWK-1</t>
        </is>
      </c>
      <c r="C90" s="15" t="inlineStr">
        <is>
          <t>29103-ET-V1900-1</t>
        </is>
      </c>
      <c r="D90" s="15" t="inlineStr"/>
      <c r="E90" s="15" t="inlineStr">
        <is>
          <t>29103-HTP-102</t>
        </is>
      </c>
      <c r="F90" s="15" t="inlineStr"/>
      <c r="G90" s="15" t="inlineStr">
        <is>
          <t>113</t>
        </is>
      </c>
      <c r="H90" s="15" t="inlineStr">
        <is>
          <t>1.1. 29103-HTP-102/3. Power Cables/29103-ET-V1900-1-PWK-1.pdf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N/A</v>
      </c>
      <c r="L90" s="6" t="str">
        <f>IF(OR($A90="EHT Trace"),IF(AND($X90&lt;&gt;"",$Y90&lt;&gt;""),"YES","NO"),"N/A")</f>
        <v>N/A</v>
      </c>
      <c r="M90" s="6" t="str">
        <f>IF(OR($A90="EHT Trace"),IF(AND($AA90&lt;&gt;"",$AB90&lt;&gt;""),"YES","NO"),"N/A")</f>
        <v>N/A</v>
      </c>
      <c r="N90" s="6" t="str">
        <f>IF(OR($A90="Power Cable"),IF(AND($AD90&lt;&gt;""),"YES","NO"),"N/A")</f>
        <v>NO</v>
      </c>
      <c r="O90" s="6" t="str">
        <f>IF(OR($A90="Power Cable",$A90="RTD Cable",$A90="Fieldbus Cable"),IF(AND($AE90&lt;&gt;""),"YES","NO"),"N/A")</f>
        <v>NO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Teck</t>
        </is>
      </c>
      <c r="AK90" s="15" t="inlineStr">
        <is>
          <t>10AWG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Power Cable</t>
        </is>
      </c>
      <c r="B91" s="15" t="inlineStr">
        <is>
          <t>29209-ET-A001-1-PWK-1</t>
        </is>
      </c>
      <c r="C91" s="15" t="inlineStr">
        <is>
          <t>29209-ET-A001-1</t>
        </is>
      </c>
      <c r="D91" s="15" t="inlineStr"/>
      <c r="E91" s="15" t="inlineStr">
        <is>
          <t>29103-HTP-102</t>
        </is>
      </c>
      <c r="F91" s="15" t="inlineStr"/>
      <c r="G91" s="15" t="inlineStr">
        <is>
          <t>113</t>
        </is>
      </c>
      <c r="H91" s="15" t="inlineStr">
        <is>
          <t>1.1. 29103-HTP-102/3. Power Cables/29209-ET-A001-1-PWK-1.pdf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N/A</v>
      </c>
      <c r="L91" s="6" t="str">
        <f>IF(OR($A91="EHT Trace"),IF(AND($X91&lt;&gt;"",$Y91&lt;&gt;""),"YES","NO"),"N/A")</f>
        <v>N/A</v>
      </c>
      <c r="M91" s="6" t="str">
        <f>IF(OR($A91="EHT Trace"),IF(AND($AA91&lt;&gt;"",$AB91&lt;&gt;""),"YES","NO"),"N/A")</f>
        <v>N/A</v>
      </c>
      <c r="N91" s="6" t="str">
        <f>IF(OR($A91="Power Cable"),IF(AND($AD91&lt;&gt;""),"YES","NO"),"N/A")</f>
        <v>NO</v>
      </c>
      <c r="O91" s="6" t="str">
        <f>IF(OR($A91="Power Cable",$A91="RTD Cable",$A91="Fieldbus Cable"),IF(AND($AE91&lt;&gt;""),"YES","NO"),"N/A")</f>
        <v>NO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Teck</t>
        </is>
      </c>
      <c r="AK91" s="15" t="inlineStr">
        <is>
          <t>10AWG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Power Cable</t>
        </is>
      </c>
      <c r="B92" s="15" t="inlineStr">
        <is>
          <t>29209-ET-HC6010-1-PWK-1</t>
        </is>
      </c>
      <c r="C92" s="15" t="inlineStr">
        <is>
          <t>29209-ET-HC6010-1</t>
        </is>
      </c>
      <c r="D92" s="15" t="inlineStr"/>
      <c r="E92" s="15" t="inlineStr">
        <is>
          <t>29103-HTP-102</t>
        </is>
      </c>
      <c r="F92" s="15" t="inlineStr"/>
      <c r="G92" s="15" t="inlineStr">
        <is>
          <t>113</t>
        </is>
      </c>
      <c r="H92" s="15" t="inlineStr">
        <is>
          <t>1.1. 29103-HTP-102/3. Power Cables/29209-ET-HC6010-1-PWK-1.pdf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N/A</v>
      </c>
      <c r="L92" s="6" t="str">
        <f>IF(OR($A92="EHT Trace"),IF(AND($X92&lt;&gt;"",$Y92&lt;&gt;""),"YES","NO"),"N/A")</f>
        <v>N/A</v>
      </c>
      <c r="M92" s="6" t="str">
        <f>IF(OR($A92="EHT Trace"),IF(AND($AA92&lt;&gt;"",$AB92&lt;&gt;""),"YES","NO"),"N/A")</f>
        <v>N/A</v>
      </c>
      <c r="N92" s="6" t="str">
        <f>IF(OR($A92="Power Cable"),IF(AND($AD92&lt;&gt;""),"YES","NO"),"N/A")</f>
        <v>NO</v>
      </c>
      <c r="O92" s="6" t="str">
        <f>IF(OR($A92="Power Cable",$A92="RTD Cable",$A92="Fieldbus Cable"),IF(AND($AE92&lt;&gt;""),"YES","NO"),"N/A")</f>
        <v>NO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Teck</t>
        </is>
      </c>
      <c r="AK92" s="15" t="inlineStr">
        <is>
          <t>10AWG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Power Cable</t>
        </is>
      </c>
      <c r="B93" s="15" t="inlineStr">
        <is>
          <t>29209-ET-P6020-1-PWK-1</t>
        </is>
      </c>
      <c r="C93" s="15" t="inlineStr">
        <is>
          <t>29209-ET-P6020-1</t>
        </is>
      </c>
      <c r="D93" s="15" t="inlineStr"/>
      <c r="E93" s="15" t="inlineStr">
        <is>
          <t>29103-HTP-102</t>
        </is>
      </c>
      <c r="F93" s="15" t="inlineStr"/>
      <c r="G93" s="15" t="inlineStr">
        <is>
          <t>113</t>
        </is>
      </c>
      <c r="H93" s="15" t="inlineStr">
        <is>
          <t>1.1. 29103-HTP-102/3. Power Cables/29209-ET-P6020-1-PWK-1.pdf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N/A</v>
      </c>
      <c r="L93" s="6" t="str">
        <f>IF(OR($A93="EHT Trace"),IF(AND($X93&lt;&gt;"",$Y93&lt;&gt;""),"YES","NO"),"N/A")</f>
        <v>N/A</v>
      </c>
      <c r="M93" s="6" t="str">
        <f>IF(OR($A93="EHT Trace"),IF(AND($AA93&lt;&gt;"",$AB93&lt;&gt;""),"YES","NO"),"N/A")</f>
        <v>N/A</v>
      </c>
      <c r="N93" s="6" t="str">
        <f>IF(OR($A93="Power Cable"),IF(AND($AD93&lt;&gt;""),"YES","NO"),"N/A")</f>
        <v>NO</v>
      </c>
      <c r="O93" s="6" t="str">
        <f>IF(OR($A93="Power Cable",$A93="RTD Cable",$A93="Fieldbus Cable"),IF(AND($AE93&lt;&gt;""),"YES","NO"),"N/A")</f>
        <v>NO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Teck</t>
        </is>
      </c>
      <c r="AK93" s="15" t="inlineStr">
        <is>
          <t>10AWG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Power Cable</t>
        </is>
      </c>
      <c r="B94" s="15" t="inlineStr">
        <is>
          <t>29209-ET-P6021-1-PWK-1</t>
        </is>
      </c>
      <c r="C94" s="15" t="inlineStr">
        <is>
          <t>29209-ET-P6021-1</t>
        </is>
      </c>
      <c r="D94" s="15" t="inlineStr"/>
      <c r="E94" s="15" t="inlineStr">
        <is>
          <t>29103-HTP-102</t>
        </is>
      </c>
      <c r="F94" s="15" t="inlineStr"/>
      <c r="G94" s="15" t="inlineStr">
        <is>
          <t>113</t>
        </is>
      </c>
      <c r="H94" s="15" t="inlineStr">
        <is>
          <t>1.1. 29103-HTP-102/3. Power Cables/29209-ET-P6021-1-PWK-1.pdf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N/A</v>
      </c>
      <c r="L94" s="6" t="str">
        <f>IF(OR($A94="EHT Trace"),IF(AND($X94&lt;&gt;"",$Y94&lt;&gt;""),"YES","NO"),"N/A")</f>
        <v>N/A</v>
      </c>
      <c r="M94" s="6" t="str">
        <f>IF(OR($A94="EHT Trace"),IF(AND($AA94&lt;&gt;"",$AB94&lt;&gt;""),"YES","NO"),"N/A")</f>
        <v>N/A</v>
      </c>
      <c r="N94" s="6" t="str">
        <f>IF(OR($A94="Power Cable"),IF(AND($AD94&lt;&gt;""),"YES","NO"),"N/A")</f>
        <v>NO</v>
      </c>
      <c r="O94" s="6" t="str">
        <f>IF(OR($A94="Power Cable",$A94="RTD Cable",$A94="Fieldbus Cable"),IF(AND($AE94&lt;&gt;""),"YES","NO"),"N/A")</f>
        <v>NO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Teck</t>
        </is>
      </c>
      <c r="AK94" s="15" t="inlineStr">
        <is>
          <t>10AWG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Power Cable</t>
        </is>
      </c>
      <c r="B95" s="15" t="inlineStr">
        <is>
          <t>29209-ET-P6022-1-PWK-1</t>
        </is>
      </c>
      <c r="C95" s="15" t="inlineStr">
        <is>
          <t>29209-ET-P6022-1</t>
        </is>
      </c>
      <c r="D95" s="15" t="inlineStr"/>
      <c r="E95" s="15" t="inlineStr">
        <is>
          <t>29103-HTP-102</t>
        </is>
      </c>
      <c r="F95" s="15" t="inlineStr"/>
      <c r="G95" s="15" t="inlineStr">
        <is>
          <t>113</t>
        </is>
      </c>
      <c r="H95" s="15" t="inlineStr">
        <is>
          <t>1.1. 29103-HTP-102/3. Power Cables/29209-ET-P6022-1-PWK-1.pdf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N/A</v>
      </c>
      <c r="L95" s="6" t="str">
        <f>IF(OR($A95="EHT Trace"),IF(AND($X95&lt;&gt;"",$Y95&lt;&gt;""),"YES","NO"),"N/A")</f>
        <v>N/A</v>
      </c>
      <c r="M95" s="6" t="str">
        <f>IF(OR($A95="EHT Trace"),IF(AND($AA95&lt;&gt;"",$AB95&lt;&gt;""),"YES","NO"),"N/A")</f>
        <v>N/A</v>
      </c>
      <c r="N95" s="6" t="str">
        <f>IF(OR($A95="Power Cable"),IF(AND($AD95&lt;&gt;""),"YES","NO"),"N/A")</f>
        <v>NO</v>
      </c>
      <c r="O95" s="6" t="str">
        <f>IF(OR($A95="Power Cable",$A95="RTD Cable",$A95="Fieldbus Cable"),IF(AND($AE95&lt;&gt;""),"YES","NO"),"N/A")</f>
        <v>NO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Teck</t>
        </is>
      </c>
      <c r="AK95" s="15" t="inlineStr">
        <is>
          <t>10AWG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Power Cable</t>
        </is>
      </c>
      <c r="B96" s="15" t="inlineStr">
        <is>
          <t>29209-ET-PG6003-1-PWK-1</t>
        </is>
      </c>
      <c r="C96" s="15" t="inlineStr">
        <is>
          <t>29209-ET-PG6003-1</t>
        </is>
      </c>
      <c r="D96" s="15" t="inlineStr"/>
      <c r="E96" s="15" t="inlineStr">
        <is>
          <t>29103-HTP-102</t>
        </is>
      </c>
      <c r="F96" s="15" t="inlineStr"/>
      <c r="G96" s="15" t="inlineStr">
        <is>
          <t>113</t>
        </is>
      </c>
      <c r="H96" s="15" t="inlineStr">
        <is>
          <t>1.1. 29103-HTP-102/3. Power Cables/29209-ET-PG6003-1-PWK-1.pdf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N/A</v>
      </c>
      <c r="L96" s="6" t="str">
        <f>IF(OR($A96="EHT Trace"),IF(AND($X96&lt;&gt;"",$Y96&lt;&gt;""),"YES","NO"),"N/A")</f>
        <v>N/A</v>
      </c>
      <c r="M96" s="6" t="str">
        <f>IF(OR($A96="EHT Trace"),IF(AND($AA96&lt;&gt;"",$AB96&lt;&gt;""),"YES","NO"),"N/A")</f>
        <v>N/A</v>
      </c>
      <c r="N96" s="6" t="str">
        <f>IF(OR($A96="Power Cable"),IF(AND($AD96&lt;&gt;""),"YES","NO"),"N/A")</f>
        <v>NO</v>
      </c>
      <c r="O96" s="6" t="str">
        <f>IF(OR($A96="Power Cable",$A96="RTD Cable",$A96="Fieldbus Cable"),IF(AND($AE96&lt;&gt;""),"YES","NO"),"N/A")</f>
        <v>NO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Teck</t>
        </is>
      </c>
      <c r="AK96" s="15" t="inlineStr">
        <is>
          <t>10AWG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Power Cable</t>
        </is>
      </c>
      <c r="B97" s="15" t="inlineStr">
        <is>
          <t>29209-ET-ST6005-1-PWK-1</t>
        </is>
      </c>
      <c r="C97" s="15" t="inlineStr">
        <is>
          <t>29209-ET-ST6005-1</t>
        </is>
      </c>
      <c r="D97" s="15" t="inlineStr"/>
      <c r="E97" s="15" t="inlineStr">
        <is>
          <t>29103-HTP-102</t>
        </is>
      </c>
      <c r="F97" s="15" t="inlineStr"/>
      <c r="G97" s="15" t="inlineStr">
        <is>
          <t>113</t>
        </is>
      </c>
      <c r="H97" s="15" t="inlineStr">
        <is>
          <t>1.1. 29103-HTP-102/3. Power Cables/29209-ET-ST6005-1-PWK-1.pdf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N/A</v>
      </c>
      <c r="L97" s="6" t="str">
        <f>IF(OR($A97="EHT Trace"),IF(AND($X97&lt;&gt;"",$Y97&lt;&gt;""),"YES","NO"),"N/A")</f>
        <v>N/A</v>
      </c>
      <c r="M97" s="6" t="str">
        <f>IF(OR($A97="EHT Trace"),IF(AND($AA97&lt;&gt;"",$AB97&lt;&gt;""),"YES","NO"),"N/A")</f>
        <v>N/A</v>
      </c>
      <c r="N97" s="6" t="str">
        <f>IF(OR($A97="Power Cable"),IF(AND($AD97&lt;&gt;""),"YES","NO"),"N/A")</f>
        <v>NO</v>
      </c>
      <c r="O97" s="6" t="str">
        <f>IF(OR($A97="Power Cable",$A97="RTD Cable",$A97="Fieldbus Cable"),IF(AND($AE97&lt;&gt;""),"YES","NO"),"N/A")</f>
        <v>NO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Teck</t>
        </is>
      </c>
      <c r="AK97" s="15" t="inlineStr">
        <is>
          <t>10AWG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Power Cable</t>
        </is>
      </c>
      <c r="B98" s="15" t="inlineStr">
        <is>
          <t>29209-ET-ST6005-2-PWK-1</t>
        </is>
      </c>
      <c r="C98" s="15" t="inlineStr">
        <is>
          <t>29209-ET-ST6005-2</t>
        </is>
      </c>
      <c r="D98" s="15" t="inlineStr"/>
      <c r="E98" s="15" t="inlineStr">
        <is>
          <t>29103-HTP-102</t>
        </is>
      </c>
      <c r="F98" s="15" t="inlineStr"/>
      <c r="G98" s="15" t="inlineStr">
        <is>
          <t>113</t>
        </is>
      </c>
      <c r="H98" s="15" t="inlineStr">
        <is>
          <t>1.1. 29103-HTP-102/3. Power Cables/29209-ET-ST6005-2-PWK-1.pdf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N/A</v>
      </c>
      <c r="L98" s="6" t="str">
        <f>IF(OR($A98="EHT Trace"),IF(AND($X98&lt;&gt;"",$Y98&lt;&gt;""),"YES","NO"),"N/A")</f>
        <v>N/A</v>
      </c>
      <c r="M98" s="6" t="str">
        <f>IF(OR($A98="EHT Trace"),IF(AND($AA98&lt;&gt;"",$AB98&lt;&gt;""),"YES","NO"),"N/A")</f>
        <v>N/A</v>
      </c>
      <c r="N98" s="6" t="str">
        <f>IF(OR($A98="Power Cable"),IF(AND($AD98&lt;&gt;""),"YES","NO"),"N/A")</f>
        <v>NO</v>
      </c>
      <c r="O98" s="6" t="str">
        <f>IF(OR($A98="Power Cable",$A98="RTD Cable",$A98="Fieldbus Cable"),IF(AND($AE98&lt;&gt;""),"YES","NO"),"N/A")</f>
        <v>NO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Teck</t>
        </is>
      </c>
      <c r="AK98" s="15" t="inlineStr">
        <is>
          <t>10AWG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RTD</t>
        </is>
      </c>
      <c r="B99" s="15" t="inlineStr">
        <is>
          <t>29103-ET-HC1901-1-R-1</t>
        </is>
      </c>
      <c r="C99" s="15" t="inlineStr">
        <is>
          <t>29103-ET-HC1901-1</t>
        </is>
      </c>
      <c r="D99" s="15" t="inlineStr">
        <is>
          <t>29103-HTP-102 HTC-05</t>
        </is>
      </c>
      <c r="E99" s="15" t="inlineStr">
        <is>
          <t>PRODUCED EMULSION</t>
        </is>
      </c>
      <c r="F99" s="15" t="inlineStr">
        <is>
          <t>29103-65R-ET-HC1901-01-01</t>
        </is>
      </c>
      <c r="G99" s="15" t="inlineStr">
        <is>
          <t>13.2</t>
        </is>
      </c>
      <c r="H99" s="15" t="inlineStr">
        <is>
          <t>1.1. 29103-HTP-102/2. RTD Inspection/29103-ET-HC1901-1-R-1.pdf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N/A</v>
      </c>
      <c r="L99" s="6" t="str">
        <f>IF(OR($A99="EHT Trace"),IF(AND($X99&lt;&gt;"",$Y99&lt;&gt;""),"YES","NO"),"N/A")</f>
        <v>N/A</v>
      </c>
      <c r="M99" s="6" t="str">
        <f>IF(OR($A99="EHT Trace"),IF(AND($AA99&lt;&gt;"",$AB99&lt;&gt;""),"YES","NO"),"N/A")</f>
        <v>N/A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NO</v>
      </c>
      <c r="Q99" s="6" t="str">
        <f>IF(OR($A99="RTD"),IF(AND($AI99&lt;&gt;""),"YES","NO"),"N/A")</f>
        <v>NO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n"/>
      <c r="AK99" s="15" t="n"/>
      <c r="AL99" s="15" t="inlineStr">
        <is>
          <t>Levy Ostrup</t>
        </is>
      </c>
      <c r="AM99" s="15" t="n"/>
      <c r="AN99" s="15" t="n"/>
    </row>
    <row r="100">
      <c r="A100" s="15" t="inlineStr">
        <is>
          <t>RTD</t>
        </is>
      </c>
      <c r="B100" s="15" t="inlineStr">
        <is>
          <t>29103-ET-MT0001-1-R-1</t>
        </is>
      </c>
      <c r="C100" s="15" t="inlineStr">
        <is>
          <t>29103-ET-MT0001-1</t>
        </is>
      </c>
      <c r="D100" s="15" t="inlineStr">
        <is>
          <t>29103-HTP-102 HTC-09</t>
        </is>
      </c>
      <c r="E100" s="15" t="inlineStr"/>
      <c r="F100" s="15" t="inlineStr">
        <is>
          <t>29103-65R-ET-MT0001-01-01</t>
        </is>
      </c>
      <c r="G100" s="15" t="inlineStr">
        <is>
          <t>13.2</t>
        </is>
      </c>
      <c r="H100" s="15" t="inlineStr">
        <is>
          <t>1.1. 29103-HTP-102/2. RTD Inspection/29103-ET-MT0001-1-R-1.pdf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N/A</v>
      </c>
      <c r="L100" s="6" t="str">
        <f>IF(OR($A100="EHT Trace"),IF(AND($X100&lt;&gt;"",$Y100&lt;&gt;""),"YES","NO"),"N/A")</f>
        <v>N/A</v>
      </c>
      <c r="M100" s="6" t="str">
        <f>IF(OR($A100="EHT Trace"),IF(AND($AA100&lt;&gt;"",$AB100&lt;&gt;""),"YES","NO"),"N/A")</f>
        <v>N/A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NO</v>
      </c>
      <c r="Q100" s="6" t="str">
        <f>IF(OR($A100="RTD"),IF(AND($AI100&lt;&gt;""),"YES","NO"),"N/A")</f>
        <v>NO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n"/>
      <c r="AK100" s="15" t="n"/>
      <c r="AL100" s="15" t="inlineStr">
        <is>
          <t>Levy Ostrup</t>
        </is>
      </c>
      <c r="AM100" s="15" t="n"/>
      <c r="AN100" s="15" t="n"/>
    </row>
    <row r="101">
      <c r="A101" s="15" t="inlineStr">
        <is>
          <t>RTD</t>
        </is>
      </c>
      <c r="B101" s="15" t="inlineStr">
        <is>
          <t>29103-ET-MT0001-1-R-2</t>
        </is>
      </c>
      <c r="C101" s="15" t="inlineStr">
        <is>
          <t>29103-ET-MT0001-1</t>
        </is>
      </c>
      <c r="D101" s="15" t="inlineStr">
        <is>
          <t>29103-HTP-102 I/O-1-3</t>
        </is>
      </c>
      <c r="E101" s="15" t="inlineStr"/>
      <c r="F101" s="15" t="inlineStr">
        <is>
          <t>29103-65R-ET-MT0001-01-01</t>
        </is>
      </c>
      <c r="G101" s="15" t="inlineStr">
        <is>
          <t>13.2</t>
        </is>
      </c>
      <c r="H101" s="15" t="inlineStr">
        <is>
          <t>1.1. 29103-HTP-102/2. RTD Inspection/29103-ET-MT0001-1-R-2.pdf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N/A</v>
      </c>
      <c r="L101" s="6" t="str">
        <f>IF(OR($A101="EHT Trace"),IF(AND($X101&lt;&gt;"",$Y101&lt;&gt;""),"YES","NO"),"N/A")</f>
        <v>N/A</v>
      </c>
      <c r="M101" s="6" t="str">
        <f>IF(OR($A101="EHT Trace"),IF(AND($AA101&lt;&gt;"",$AB101&lt;&gt;""),"YES","NO"),"N/A")</f>
        <v>N/A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NO</v>
      </c>
      <c r="Q101" s="6" t="str">
        <f>IF(OR($A101="RTD"),IF(AND($AI101&lt;&gt;""),"YES","NO"),"N/A")</f>
        <v>NO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n"/>
      <c r="AK101" s="15" t="n"/>
      <c r="AL101" s="15" t="inlineStr">
        <is>
          <t>Levy Ostrup</t>
        </is>
      </c>
      <c r="AM101" s="15" t="n"/>
      <c r="AN101" s="15" t="n"/>
    </row>
    <row r="102">
      <c r="A102" s="15" t="inlineStr">
        <is>
          <t>RTD</t>
        </is>
      </c>
      <c r="B102" s="15" t="inlineStr">
        <is>
          <t>29103-ET-P001A-2-R-1</t>
        </is>
      </c>
      <c r="C102" s="15" t="inlineStr">
        <is>
          <t>29103-ET-P001A-2</t>
        </is>
      </c>
      <c r="D102" s="15" t="inlineStr">
        <is>
          <t>29103-HTP-102 HTC-07</t>
        </is>
      </c>
      <c r="E102" s="15" t="inlineStr">
        <is>
          <t>PRODUCED EMULSION</t>
        </is>
      </c>
      <c r="F102" s="15" t="inlineStr">
        <is>
          <t>29103-65R-ET-P001A-02-01</t>
        </is>
      </c>
      <c r="G102" s="15" t="inlineStr">
        <is>
          <t>13.2</t>
        </is>
      </c>
      <c r="H102" s="15" t="inlineStr">
        <is>
          <t>1.1. 29103-HTP-102/2. RTD Inspection/29103-ET-P001A-2-R-1.pdf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N/A</v>
      </c>
      <c r="L102" s="6" t="str">
        <f>IF(OR($A102="EHT Trace"),IF(AND($X102&lt;&gt;"",$Y102&lt;&gt;""),"YES","NO"),"N/A")</f>
        <v>N/A</v>
      </c>
      <c r="M102" s="6" t="str">
        <f>IF(OR($A102="EHT Trace"),IF(AND($AA102&lt;&gt;"",$AB102&lt;&gt;""),"YES","NO"),"N/A")</f>
        <v>N/A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NO</v>
      </c>
      <c r="Q102" s="6" t="str">
        <f>IF(OR($A102="RTD"),IF(AND($AI102&lt;&gt;""),"YES","NO"),"N/A")</f>
        <v>NO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n"/>
      <c r="AK102" s="15" t="n"/>
      <c r="AL102" s="15" t="inlineStr">
        <is>
          <t>Levy Ostrup</t>
        </is>
      </c>
      <c r="AM102" s="15" t="n"/>
      <c r="AN102" s="15" t="n"/>
    </row>
    <row r="103">
      <c r="A103" s="15" t="inlineStr">
        <is>
          <t>RTD</t>
        </is>
      </c>
      <c r="B103" s="15" t="inlineStr">
        <is>
          <t>29103-ET-P001A-2-R-2</t>
        </is>
      </c>
      <c r="C103" s="15" t="inlineStr">
        <is>
          <t>29103-ET-P001A-2</t>
        </is>
      </c>
      <c r="D103" s="15" t="inlineStr">
        <is>
          <t>29103-HTP-102 I/O-1-4</t>
        </is>
      </c>
      <c r="E103" s="15" t="inlineStr">
        <is>
          <t>PRODUCED EMULSION</t>
        </is>
      </c>
      <c r="F103" s="15" t="inlineStr">
        <is>
          <t>29103-65R-ET-P001A-02-01</t>
        </is>
      </c>
      <c r="G103" s="15" t="inlineStr">
        <is>
          <t>13.2</t>
        </is>
      </c>
      <c r="H103" s="15" t="inlineStr">
        <is>
          <t>1.1. 29103-HTP-102/2. RTD Inspection/29103-ET-P001A-2-R-2.pdf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N/A</v>
      </c>
      <c r="L103" s="6" t="str">
        <f>IF(OR($A103="EHT Trace"),IF(AND($X103&lt;&gt;"",$Y103&lt;&gt;""),"YES","NO"),"N/A")</f>
        <v>N/A</v>
      </c>
      <c r="M103" s="6" t="str">
        <f>IF(OR($A103="EHT Trace"),IF(AND($AA103&lt;&gt;"",$AB103&lt;&gt;""),"YES","NO"),"N/A")</f>
        <v>N/A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NO</v>
      </c>
      <c r="Q103" s="6" t="str">
        <f>IF(OR($A103="RTD"),IF(AND($AI103&lt;&gt;""),"YES","NO"),"N/A")</f>
        <v>NO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inlineStr">
        <is>
          <t>Levy Ostrup</t>
        </is>
      </c>
      <c r="AM103" s="15" t="n"/>
      <c r="AN103" s="15" t="n"/>
    </row>
    <row r="104">
      <c r="A104" s="15" t="inlineStr">
        <is>
          <t>RTD</t>
        </is>
      </c>
      <c r="B104" s="15" t="inlineStr">
        <is>
          <t>29103-ET-P001A-2-R-3</t>
        </is>
      </c>
      <c r="C104" s="15" t="inlineStr">
        <is>
          <t>29103-ET-P001A-2</t>
        </is>
      </c>
      <c r="D104" s="15" t="inlineStr">
        <is>
          <t>29103-HTP-102 I/O-2-1</t>
        </is>
      </c>
      <c r="E104" s="15" t="inlineStr">
        <is>
          <t>PRODUCED EMULSION</t>
        </is>
      </c>
      <c r="F104" s="15" t="inlineStr">
        <is>
          <t>29103-65R-ET-P001A-02-01</t>
        </is>
      </c>
      <c r="G104" s="15" t="inlineStr">
        <is>
          <t>13.2</t>
        </is>
      </c>
      <c r="H104" s="15" t="inlineStr">
        <is>
          <t>1.1. 29103-HTP-102/2. RTD Inspection/29103-ET-P001A-2-R-3.pdf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N/A</v>
      </c>
      <c r="L104" s="6" t="str">
        <f>IF(OR($A104="EHT Trace"),IF(AND($X104&lt;&gt;"",$Y104&lt;&gt;""),"YES","NO"),"N/A")</f>
        <v>N/A</v>
      </c>
      <c r="M104" s="6" t="str">
        <f>IF(OR($A104="EHT Trace"),IF(AND($AA104&lt;&gt;"",$AB104&lt;&gt;""),"YES","NO"),"N/A")</f>
        <v>N/A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NO</v>
      </c>
      <c r="Q104" s="6" t="str">
        <f>IF(OR($A104="RTD"),IF(AND($AI104&lt;&gt;""),"YES","NO"),"N/A")</f>
        <v>NO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n"/>
      <c r="AK104" s="15" t="n"/>
      <c r="AL104" s="15" t="inlineStr">
        <is>
          <t>Levy Ostrup</t>
        </is>
      </c>
      <c r="AM104" s="15" t="n"/>
      <c r="AN104" s="15" t="n"/>
    </row>
    <row r="105">
      <c r="A105" s="15" t="inlineStr">
        <is>
          <t>RTD</t>
        </is>
      </c>
      <c r="B105" s="15" t="inlineStr">
        <is>
          <t>29103-ET-P001B-2-R-1</t>
        </is>
      </c>
      <c r="C105" s="15" t="inlineStr">
        <is>
          <t>29103-ET-P001B-2</t>
        </is>
      </c>
      <c r="D105" s="15" t="inlineStr">
        <is>
          <t>29103-HTP-102 HTC-15</t>
        </is>
      </c>
      <c r="E105" s="15" t="inlineStr">
        <is>
          <t>PRODUCED EMULSION</t>
        </is>
      </c>
      <c r="F105" s="15" t="inlineStr">
        <is>
          <t>29103-65R-ET-P001B-02-01</t>
        </is>
      </c>
      <c r="G105" s="15" t="inlineStr">
        <is>
          <t>13.2</t>
        </is>
      </c>
      <c r="H105" s="15" t="inlineStr">
        <is>
          <t>1.1. 29103-HTP-102/2. RTD Inspection/29103-ET-P001B-2-R-1.pdf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N/A</v>
      </c>
      <c r="L105" s="6" t="str">
        <f>IF(OR($A105="EHT Trace"),IF(AND($X105&lt;&gt;"",$Y105&lt;&gt;""),"YES","NO"),"N/A")</f>
        <v>N/A</v>
      </c>
      <c r="M105" s="6" t="str">
        <f>IF(OR($A105="EHT Trace"),IF(AND($AA105&lt;&gt;"",$AB105&lt;&gt;""),"YES","NO"),"N/A")</f>
        <v>N/A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NO</v>
      </c>
      <c r="Q105" s="6" t="str">
        <f>IF(OR($A105="RTD"),IF(AND($AI105&lt;&gt;""),"YES","NO"),"N/A")</f>
        <v>NO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n"/>
      <c r="AK105" s="15" t="n"/>
      <c r="AL105" s="15" t="inlineStr">
        <is>
          <t>Levy Ostrup</t>
        </is>
      </c>
      <c r="AM105" s="15" t="n"/>
      <c r="AN105" s="15" t="n"/>
    </row>
    <row r="106">
      <c r="A106" s="15" t="inlineStr">
        <is>
          <t>RTD</t>
        </is>
      </c>
      <c r="B106" s="15" t="inlineStr">
        <is>
          <t>29103-ET-P001B-2-R-2</t>
        </is>
      </c>
      <c r="C106" s="15" t="inlineStr">
        <is>
          <t>29103-ET-P001B-2</t>
        </is>
      </c>
      <c r="D106" s="15" t="inlineStr">
        <is>
          <t>29103-HTP-102 I/O-2-4</t>
        </is>
      </c>
      <c r="E106" s="15" t="inlineStr">
        <is>
          <t>PRODUCED EMULSION</t>
        </is>
      </c>
      <c r="F106" s="15" t="inlineStr">
        <is>
          <t>29103-65R-ET-P001B-02-01</t>
        </is>
      </c>
      <c r="G106" s="15" t="inlineStr">
        <is>
          <t>13.2</t>
        </is>
      </c>
      <c r="H106" s="15" t="inlineStr">
        <is>
          <t>1.1. 29103-HTP-102/2. RTD Inspection/29103-ET-P001B-2-R-2.pdf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N/A</v>
      </c>
      <c r="L106" s="6" t="str">
        <f>IF(OR($A106="EHT Trace"),IF(AND($X106&lt;&gt;"",$Y106&lt;&gt;""),"YES","NO"),"N/A")</f>
        <v>N/A</v>
      </c>
      <c r="M106" s="6" t="str">
        <f>IF(OR($A106="EHT Trace"),IF(AND($AA106&lt;&gt;"",$AB106&lt;&gt;""),"YES","NO"),"N/A")</f>
        <v>N/A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NO</v>
      </c>
      <c r="Q106" s="6" t="str">
        <f>IF(OR($A106="RTD"),IF(AND($AI106&lt;&gt;""),"YES","NO"),"N/A")</f>
        <v>NO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n"/>
      <c r="AK106" s="15" t="n"/>
      <c r="AL106" s="15" t="inlineStr">
        <is>
          <t>Levy Ostrup</t>
        </is>
      </c>
      <c r="AM106" s="15" t="n"/>
      <c r="AN106" s="15" t="n"/>
    </row>
    <row r="107">
      <c r="A107" s="15" t="inlineStr">
        <is>
          <t>RTD</t>
        </is>
      </c>
      <c r="B107" s="15" t="inlineStr">
        <is>
          <t>29103-ET-P001B-2-R-3</t>
        </is>
      </c>
      <c r="C107" s="15" t="inlineStr">
        <is>
          <t>29103-ET-P001B-2</t>
        </is>
      </c>
      <c r="D107" s="15" t="inlineStr">
        <is>
          <t>29103-HTP-102 I/O-3-1</t>
        </is>
      </c>
      <c r="E107" s="15" t="inlineStr">
        <is>
          <t>PRODUCED EMULSION</t>
        </is>
      </c>
      <c r="F107" s="15" t="inlineStr">
        <is>
          <t>29103-65R-ET-P001B-02-01</t>
        </is>
      </c>
      <c r="G107" s="15" t="inlineStr">
        <is>
          <t>13.2</t>
        </is>
      </c>
      <c r="H107" s="15" t="inlineStr">
        <is>
          <t>1.1. 29103-HTP-102/2. RTD Inspection/29103-ET-P001B-2-R-3.pdf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N/A</v>
      </c>
      <c r="L107" s="6" t="str">
        <f>IF(OR($A107="EHT Trace"),IF(AND($X107&lt;&gt;"",$Y107&lt;&gt;""),"YES","NO"),"N/A")</f>
        <v>N/A</v>
      </c>
      <c r="M107" s="6" t="str">
        <f>IF(OR($A107="EHT Trace"),IF(AND($AA107&lt;&gt;"",$AB107&lt;&gt;""),"YES","NO"),"N/A")</f>
        <v>N/A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NO</v>
      </c>
      <c r="Q107" s="6" t="str">
        <f>IF(OR($A107="RTD"),IF(AND($AI107&lt;&gt;""),"YES","NO"),"N/A")</f>
        <v>NO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n"/>
      <c r="AK107" s="15" t="n"/>
      <c r="AL107" s="15" t="inlineStr">
        <is>
          <t>Levy Ostrup</t>
        </is>
      </c>
      <c r="AM107" s="15" t="n"/>
      <c r="AN107" s="15" t="n"/>
    </row>
    <row r="108">
      <c r="A108" s="15" t="inlineStr">
        <is>
          <t>RTD</t>
        </is>
      </c>
      <c r="B108" s="15" t="inlineStr">
        <is>
          <t>29103-ET-P1003-1-R-1</t>
        </is>
      </c>
      <c r="C108" s="15" t="inlineStr">
        <is>
          <t>29103-ET-P1003-1</t>
        </is>
      </c>
      <c r="D108" s="15" t="inlineStr">
        <is>
          <t>29103-HTP-102 HTC-19</t>
        </is>
      </c>
      <c r="E108" s="15" t="inlineStr">
        <is>
          <t>PRODUCED EMULSION</t>
        </is>
      </c>
      <c r="F108" s="15" t="inlineStr">
        <is>
          <t>29103-65R-ET-P1003-01-01</t>
        </is>
      </c>
      <c r="G108" s="15" t="inlineStr">
        <is>
          <t>13.2</t>
        </is>
      </c>
      <c r="H108" s="15" t="inlineStr">
        <is>
          <t>1.1. 29103-HTP-102/2. RTD Inspection/29103-ET-P1003-1-R-1.pdf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N/A</v>
      </c>
      <c r="L108" s="6" t="str">
        <f>IF(OR($A108="EHT Trace"),IF(AND($X108&lt;&gt;"",$Y108&lt;&gt;""),"YES","NO"),"N/A")</f>
        <v>N/A</v>
      </c>
      <c r="M108" s="6" t="str">
        <f>IF(OR($A108="EHT Trace"),IF(AND($AA108&lt;&gt;"",$AB108&lt;&gt;""),"YES","NO"),"N/A")</f>
        <v>N/A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NO</v>
      </c>
      <c r="Q108" s="6" t="str">
        <f>IF(OR($A108="RTD"),IF(AND($AI108&lt;&gt;""),"YES","NO"),"N/A")</f>
        <v>NO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n"/>
      <c r="AK108" s="15" t="n"/>
      <c r="AL108" s="15" t="inlineStr">
        <is>
          <t>Levy Ostrup</t>
        </is>
      </c>
      <c r="AM108" s="15" t="n"/>
      <c r="AN108" s="15" t="n"/>
    </row>
    <row r="109">
      <c r="A109" s="15" t="inlineStr">
        <is>
          <t>RTD</t>
        </is>
      </c>
      <c r="B109" s="15" t="inlineStr">
        <is>
          <t>29103-ET-P1004-1-R-1</t>
        </is>
      </c>
      <c r="C109" s="15" t="inlineStr">
        <is>
          <t>29103-ET-P1004-1</t>
        </is>
      </c>
      <c r="D109" s="15" t="inlineStr">
        <is>
          <t>29103-HTP-102 HTC-20</t>
        </is>
      </c>
      <c r="E109" s="15" t="inlineStr">
        <is>
          <t>PRODUCED EMULSION</t>
        </is>
      </c>
      <c r="F109" s="15" t="inlineStr">
        <is>
          <t>29103-65R-ET-P1004-01-01</t>
        </is>
      </c>
      <c r="G109" s="15" t="inlineStr">
        <is>
          <t>13.2</t>
        </is>
      </c>
      <c r="H109" s="15" t="inlineStr">
        <is>
          <t>1.1. 29103-HTP-102/2. RTD Inspection/29103-ET-P1004-1-R-1.pdf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N/A</v>
      </c>
      <c r="L109" s="6" t="str">
        <f>IF(OR($A109="EHT Trace"),IF(AND($X109&lt;&gt;"",$Y109&lt;&gt;""),"YES","NO"),"N/A")</f>
        <v>N/A</v>
      </c>
      <c r="M109" s="6" t="str">
        <f>IF(OR($A109="EHT Trace"),IF(AND($AA109&lt;&gt;"",$AB109&lt;&gt;""),"YES","NO"),"N/A")</f>
        <v>N/A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NO</v>
      </c>
      <c r="Q109" s="6" t="str">
        <f>IF(OR($A109="RTD"),IF(AND($AI109&lt;&gt;""),"YES","NO"),"N/A")</f>
        <v>NO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n"/>
      <c r="AK109" s="15" t="n"/>
      <c r="AL109" s="15" t="inlineStr">
        <is>
          <t>Levy Ostrup</t>
        </is>
      </c>
      <c r="AM109" s="15" t="n"/>
      <c r="AN109" s="15" t="n"/>
    </row>
    <row r="110">
      <c r="A110" s="15" t="inlineStr">
        <is>
          <t>RTD</t>
        </is>
      </c>
      <c r="B110" s="15" t="inlineStr">
        <is>
          <t>29103-ET-V004-1-R-1</t>
        </is>
      </c>
      <c r="C110" s="15" t="inlineStr">
        <is>
          <t>29103-ET-V004-1</t>
        </is>
      </c>
      <c r="D110" s="15" t="inlineStr">
        <is>
          <t>29103-HTP-102 HTC-30</t>
        </is>
      </c>
      <c r="E110" s="15" t="inlineStr"/>
      <c r="F110" s="15" t="inlineStr"/>
      <c r="G110" s="15" t="inlineStr">
        <is>
          <t>13.2</t>
        </is>
      </c>
      <c r="H110" s="15" t="inlineStr">
        <is>
          <t>1.1. 29103-HTP-102/2. RTD Inspection/29103-ET-V004-1-R-1.pdf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N/A</v>
      </c>
      <c r="L110" s="6" t="str">
        <f>IF(OR($A110="EHT Trace"),IF(AND($X110&lt;&gt;"",$Y110&lt;&gt;""),"YES","NO"),"N/A")</f>
        <v>N/A</v>
      </c>
      <c r="M110" s="6" t="str">
        <f>IF(OR($A110="EHT Trace"),IF(AND($AA110&lt;&gt;"",$AB110&lt;&gt;""),"YES","NO"),"N/A")</f>
        <v>N/A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NO</v>
      </c>
      <c r="Q110" s="6" t="str">
        <f>IF(OR($A110="RTD"),IF(AND($AI110&lt;&gt;""),"YES","NO"),"N/A")</f>
        <v>NO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n"/>
      <c r="AK110" s="15" t="n"/>
      <c r="AL110" s="15" t="inlineStr">
        <is>
          <t>Levy Ostrup</t>
        </is>
      </c>
      <c r="AM110" s="15" t="n"/>
      <c r="AN110" s="15" t="n"/>
    </row>
    <row r="111">
      <c r="A111" s="15" t="inlineStr">
        <is>
          <t>RTD</t>
        </is>
      </c>
      <c r="B111" s="15" t="inlineStr">
        <is>
          <t>29103-ET-V004-1-R-2</t>
        </is>
      </c>
      <c r="C111" s="15" t="inlineStr">
        <is>
          <t>29103-ET-V004-1</t>
        </is>
      </c>
      <c r="D111" s="15" t="inlineStr">
        <is>
          <t>29103-HTP-102 HTC-32</t>
        </is>
      </c>
      <c r="E111" s="15" t="inlineStr"/>
      <c r="F111" s="15" t="inlineStr"/>
      <c r="G111" s="15" t="inlineStr">
        <is>
          <t>13.2</t>
        </is>
      </c>
      <c r="H111" s="15" t="inlineStr">
        <is>
          <t>1.1. 29103-HTP-102/2. RTD Inspection/29103-ET-V004-1-R-2.pdf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N/A</v>
      </c>
      <c r="L111" s="6" t="str">
        <f>IF(OR($A111="EHT Trace"),IF(AND($X111&lt;&gt;"",$Y111&lt;&gt;""),"YES","NO"),"N/A")</f>
        <v>N/A</v>
      </c>
      <c r="M111" s="6" t="str">
        <f>IF(OR($A111="EHT Trace"),IF(AND($AA111&lt;&gt;"",$AB111&lt;&gt;""),"YES","NO"),"N/A")</f>
        <v>N/A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NO</v>
      </c>
      <c r="Q111" s="6" t="str">
        <f>IF(OR($A111="RTD"),IF(AND($AI111&lt;&gt;""),"YES","NO"),"N/A")</f>
        <v>NO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n"/>
      <c r="AK111" s="15" t="n"/>
      <c r="AL111" s="15" t="inlineStr">
        <is>
          <t>Levy Ostrup</t>
        </is>
      </c>
      <c r="AM111" s="15" t="n"/>
      <c r="AN111" s="15" t="n"/>
    </row>
    <row r="112">
      <c r="A112" s="15" t="inlineStr">
        <is>
          <t>RTD</t>
        </is>
      </c>
      <c r="B112" s="15" t="inlineStr">
        <is>
          <t>29103-ET-V1900-1-R-1</t>
        </is>
      </c>
      <c r="C112" s="15" t="inlineStr">
        <is>
          <t>29103-ET-V1900-1</t>
        </is>
      </c>
      <c r="D112" s="15" t="inlineStr">
        <is>
          <t>29103-HTP-102 HTC-17</t>
        </is>
      </c>
      <c r="E112" s="15" t="inlineStr"/>
      <c r="F112" s="15" t="inlineStr">
        <is>
          <t>29103-65R-ET-V1900-01-01</t>
        </is>
      </c>
      <c r="G112" s="15" t="inlineStr">
        <is>
          <t>13.2</t>
        </is>
      </c>
      <c r="H112" s="15" t="inlineStr">
        <is>
          <t>1.1. 29103-HTP-102/2. RTD Inspection/29103-ET-V1900-1-R-1.pdf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N/A</v>
      </c>
      <c r="L112" s="6" t="str">
        <f>IF(OR($A112="EHT Trace"),IF(AND($X112&lt;&gt;"",$Y112&lt;&gt;""),"YES","NO"),"N/A")</f>
        <v>N/A</v>
      </c>
      <c r="M112" s="6" t="str">
        <f>IF(OR($A112="EHT Trace"),IF(AND($AA112&lt;&gt;"",$AB112&lt;&gt;""),"YES","NO"),"N/A")</f>
        <v>N/A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NO</v>
      </c>
      <c r="Q112" s="6" t="str">
        <f>IF(OR($A112="RTD"),IF(AND($AI112&lt;&gt;""),"YES","NO"),"N/A")</f>
        <v>NO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n"/>
      <c r="AK112" s="15" t="n"/>
      <c r="AL112" s="15" t="inlineStr">
        <is>
          <t>Levy Ostrup</t>
        </is>
      </c>
      <c r="AM112" s="15" t="n"/>
      <c r="AN112" s="15" t="n"/>
    </row>
    <row r="113">
      <c r="A113" s="15" t="inlineStr">
        <is>
          <t>RTD</t>
        </is>
      </c>
      <c r="B113" s="15" t="inlineStr">
        <is>
          <t>29209-ET-P6020-1-R-1</t>
        </is>
      </c>
      <c r="C113" s="15" t="inlineStr">
        <is>
          <t>29209-ET-P6020-1</t>
        </is>
      </c>
      <c r="D113" s="15" t="inlineStr">
        <is>
          <t>29103-HTP-102 HTC-23</t>
        </is>
      </c>
      <c r="E113" s="15" t="inlineStr">
        <is>
          <t>PRODUCED EMULSION</t>
        </is>
      </c>
      <c r="F113" s="15" t="inlineStr">
        <is>
          <t>29209-65R-ET-P6020-01-01</t>
        </is>
      </c>
      <c r="G113" s="15" t="inlineStr">
        <is>
          <t>13.2</t>
        </is>
      </c>
      <c r="H113" s="15" t="inlineStr">
        <is>
          <t>1.1. 29103-HTP-102/2. RTD Inspection/29209-ET-P6020-1-R-1.pdf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NO</v>
      </c>
      <c r="Q113" s="6" t="str">
        <f>IF(OR($A113="RTD"),IF(AND($AI113&lt;&gt;""),"YES","NO"),"N/A")</f>
        <v>NO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n"/>
      <c r="AK113" s="15" t="n"/>
      <c r="AL113" s="15" t="inlineStr">
        <is>
          <t>Levy Ostrup</t>
        </is>
      </c>
      <c r="AM113" s="15" t="n"/>
      <c r="AN113" s="15" t="n"/>
    </row>
    <row r="114">
      <c r="A114" s="15" t="inlineStr">
        <is>
          <t>RTD</t>
        </is>
      </c>
      <c r="B114" s="15" t="inlineStr">
        <is>
          <t>29209-ET-P6020-1-R-2</t>
        </is>
      </c>
      <c r="C114" s="15" t="inlineStr">
        <is>
          <t>29209-ET-P6020-1</t>
        </is>
      </c>
      <c r="D114" s="15" t="inlineStr">
        <is>
          <t>29103-HTP-102 HTC-38</t>
        </is>
      </c>
      <c r="E114" s="15" t="inlineStr">
        <is>
          <t>PRODUCED EMULSION</t>
        </is>
      </c>
      <c r="F114" s="15" t="inlineStr">
        <is>
          <t>29209-65R-ET-P6020-01-01</t>
        </is>
      </c>
      <c r="G114" s="15" t="inlineStr">
        <is>
          <t>13.2</t>
        </is>
      </c>
      <c r="H114" s="15" t="inlineStr">
        <is>
          <t>1.1. 29103-HTP-102/2. RTD Inspection/29209-ET-P6020-1-R-2.pdf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NO</v>
      </c>
      <c r="Q114" s="6" t="str">
        <f>IF(OR($A114="RTD"),IF(AND($AI114&lt;&gt;""),"YES","NO"),"N/A")</f>
        <v>NO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n"/>
      <c r="AK114" s="15" t="n"/>
      <c r="AL114" s="15" t="inlineStr">
        <is>
          <t>Levy Ostrup</t>
        </is>
      </c>
      <c r="AM114" s="15" t="n"/>
      <c r="AN114" s="15" t="n"/>
    </row>
    <row r="115">
      <c r="A115" s="15" t="inlineStr">
        <is>
          <t>RTD</t>
        </is>
      </c>
      <c r="B115" s="15" t="inlineStr">
        <is>
          <t>29209-ET-P6021-1-R-1</t>
        </is>
      </c>
      <c r="C115" s="15" t="inlineStr">
        <is>
          <t>29209-ET-P6021-1</t>
        </is>
      </c>
      <c r="D115" s="15" t="inlineStr">
        <is>
          <t>29103-HTP-102 HTC-18</t>
        </is>
      </c>
      <c r="E115" s="15" t="inlineStr">
        <is>
          <t>PRODUCED EMULSION</t>
        </is>
      </c>
      <c r="F115" s="15" t="inlineStr">
        <is>
          <t>29209-65R-ET-P6021-01-01</t>
        </is>
      </c>
      <c r="G115" s="15" t="inlineStr">
        <is>
          <t>13.2</t>
        </is>
      </c>
      <c r="H115" s="15" t="inlineStr">
        <is>
          <t>1.1. 29103-HTP-102/2. RTD Inspection/29209-ET-P6021-1-R-1.pdf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NO</v>
      </c>
      <c r="Q115" s="6" t="str">
        <f>IF(OR($A115="RTD"),IF(AND($AI115&lt;&gt;""),"YES","NO"),"N/A")</f>
        <v>NO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n"/>
      <c r="AK115" s="15" t="n"/>
      <c r="AL115" s="15" t="inlineStr">
        <is>
          <t>Levy Ostrup</t>
        </is>
      </c>
      <c r="AM115" s="15" t="n"/>
      <c r="AN115" s="15" t="n"/>
    </row>
    <row r="116">
      <c r="A116" s="15" t="inlineStr">
        <is>
          <t>RTD</t>
        </is>
      </c>
      <c r="B116" s="15" t="inlineStr">
        <is>
          <t>29209-ET-P6021-1-R-2</t>
        </is>
      </c>
      <c r="C116" s="15" t="inlineStr">
        <is>
          <t>29209-ET-P6021-1</t>
        </is>
      </c>
      <c r="D116" s="15" t="inlineStr">
        <is>
          <t>29103-HTP-102 HTC-39</t>
        </is>
      </c>
      <c r="E116" s="15" t="inlineStr">
        <is>
          <t>PRODUCED EMULSION</t>
        </is>
      </c>
      <c r="F116" s="15" t="inlineStr">
        <is>
          <t>29209-65R-ET-P6021-01-01</t>
        </is>
      </c>
      <c r="G116" s="15" t="inlineStr">
        <is>
          <t>13.2</t>
        </is>
      </c>
      <c r="H116" s="15" t="inlineStr">
        <is>
          <t>1.1. 29103-HTP-102/2. RTD Inspection/29209-ET-P6021-1-R-2.pdf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NO</v>
      </c>
      <c r="Q116" s="6" t="str">
        <f>IF(OR($A116="RTD"),IF(AND($AI116&lt;&gt;""),"YES","NO"),"N/A")</f>
        <v>NO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n"/>
      <c r="AK116" s="15" t="n"/>
      <c r="AL116" s="15" t="inlineStr">
        <is>
          <t>Levy Ostrup</t>
        </is>
      </c>
      <c r="AM116" s="15" t="n"/>
      <c r="AN116" s="15" t="n"/>
    </row>
    <row r="117">
      <c r="A117" s="15" t="inlineStr">
        <is>
          <t>RTD</t>
        </is>
      </c>
      <c r="B117" s="15" t="inlineStr">
        <is>
          <t>29209-ET-P6022-1-R-1</t>
        </is>
      </c>
      <c r="C117" s="15" t="inlineStr">
        <is>
          <t>29209-ET-P6022-1</t>
        </is>
      </c>
      <c r="D117" s="15" t="inlineStr">
        <is>
          <t>29103-HTP-102 HTC-21</t>
        </is>
      </c>
      <c r="E117" s="15" t="inlineStr">
        <is>
          <t>PRODUCED EMULSION</t>
        </is>
      </c>
      <c r="F117" s="15" t="inlineStr">
        <is>
          <t>29209-65R-ET-P6022-01-01</t>
        </is>
      </c>
      <c r="G117" s="15" t="inlineStr">
        <is>
          <t>13.2</t>
        </is>
      </c>
      <c r="H117" s="15" t="inlineStr">
        <is>
          <t>1.1. 29103-HTP-102/2. RTD Inspection/29209-ET-P6022-1-R-1.pdf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NO</v>
      </c>
      <c r="Q117" s="6" t="str">
        <f>IF(OR($A117="RTD"),IF(AND($AI117&lt;&gt;""),"YES","NO"),"N/A")</f>
        <v>NO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n"/>
      <c r="AK117" s="15" t="n"/>
      <c r="AL117" s="15" t="inlineStr">
        <is>
          <t>Levy Ostrup</t>
        </is>
      </c>
      <c r="AM117" s="15" t="n"/>
      <c r="AN117" s="15" t="n"/>
    </row>
    <row r="118">
      <c r="A118" s="15" t="inlineStr">
        <is>
          <t>RTD</t>
        </is>
      </c>
      <c r="B118" s="15" t="inlineStr">
        <is>
          <t>29209-ET-P6022-1-R-2</t>
        </is>
      </c>
      <c r="C118" s="15" t="inlineStr">
        <is>
          <t>29209-ET-P6022-1</t>
        </is>
      </c>
      <c r="D118" s="15" t="inlineStr">
        <is>
          <t>29103-HTP-102 HTC-40</t>
        </is>
      </c>
      <c r="E118" s="15" t="inlineStr">
        <is>
          <t>PRODUCED EMULSION</t>
        </is>
      </c>
      <c r="F118" s="15" t="inlineStr">
        <is>
          <t>29209-65R-ET-P6022-01-01</t>
        </is>
      </c>
      <c r="G118" s="15" t="inlineStr">
        <is>
          <t>13.2</t>
        </is>
      </c>
      <c r="H118" s="15" t="inlineStr">
        <is>
          <t>1.1. 29103-HTP-102/2. RTD Inspection/29209-ET-P6022-1-R-2.pdf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NO</v>
      </c>
      <c r="Q118" s="6" t="str">
        <f>IF(OR($A118="RTD"),IF(AND($AI118&lt;&gt;""),"YES","NO"),"N/A")</f>
        <v>NO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n"/>
      <c r="AK118" s="15" t="n"/>
      <c r="AL118" s="15" t="inlineStr">
        <is>
          <t>Levy Ostrup</t>
        </is>
      </c>
      <c r="AM118" s="15" t="n"/>
      <c r="AN118" s="15" t="n"/>
    </row>
    <row r="119">
      <c r="A119" s="15" t="inlineStr">
        <is>
          <t>RTD</t>
        </is>
      </c>
      <c r="B119" s="15" t="inlineStr">
        <is>
          <t>29209-ET-PG6003-1-R-1</t>
        </is>
      </c>
      <c r="C119" s="15" t="inlineStr">
        <is>
          <t>29209-ET-PG6003-1</t>
        </is>
      </c>
      <c r="D119" s="15" t="inlineStr">
        <is>
          <t>29103-HTP-102 HTC-27</t>
        </is>
      </c>
      <c r="E119" s="15" t="inlineStr">
        <is>
          <t>PRODUCED GAS</t>
        </is>
      </c>
      <c r="F119" s="15" t="inlineStr">
        <is>
          <t>29209-65R-ET-PG6003-01-01</t>
        </is>
      </c>
      <c r="G119" s="15" t="inlineStr">
        <is>
          <t>13.2</t>
        </is>
      </c>
      <c r="H119" s="15" t="inlineStr">
        <is>
          <t>1.1. 29103-HTP-102/2. RTD Inspection/29209-ET-PG6003-1-R-1.pdf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NO</v>
      </c>
      <c r="Q119" s="6" t="str">
        <f>IF(OR($A119="RTD"),IF(AND($AI119&lt;&gt;""),"YES","NO"),"N/A")</f>
        <v>NO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n"/>
      <c r="AK119" s="15" t="n"/>
      <c r="AL119" s="15" t="inlineStr">
        <is>
          <t>Levy Ostrup</t>
        </is>
      </c>
      <c r="AM119" s="15" t="n"/>
      <c r="AN119" s="15" t="n"/>
    </row>
    <row r="120">
      <c r="A120" s="15" t="inlineStr">
        <is>
          <t>RTD</t>
        </is>
      </c>
      <c r="B120" s="15" t="inlineStr">
        <is>
          <t>29209-ET-PG6003-1-R-2</t>
        </is>
      </c>
      <c r="C120" s="15" t="inlineStr">
        <is>
          <t>29209-ET-PG6003-1</t>
        </is>
      </c>
      <c r="D120" s="15" t="inlineStr">
        <is>
          <t>29103-HTP-102 I/O-3-4</t>
        </is>
      </c>
      <c r="E120" s="15" t="inlineStr">
        <is>
          <t>PRODUCED GAS</t>
        </is>
      </c>
      <c r="F120" s="15" t="inlineStr">
        <is>
          <t>29209-65R-ET-PG6003-01-01</t>
        </is>
      </c>
      <c r="G120" s="15" t="inlineStr">
        <is>
          <t>13.2</t>
        </is>
      </c>
      <c r="H120" s="15" t="inlineStr">
        <is>
          <t>1.1. 29103-HTP-102/2. RTD Inspection/29209-ET-PG6003-1-R-2.pdf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NO</v>
      </c>
      <c r="Q120" s="6" t="str">
        <f>IF(OR($A120="RTD"),IF(AND($AI120&lt;&gt;""),"YES","NO"),"N/A")</f>
        <v>NO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n"/>
      <c r="AK120" s="15" t="n"/>
      <c r="AL120" s="15" t="inlineStr">
        <is>
          <t>Levy Ostrup</t>
        </is>
      </c>
      <c r="AM120" s="15" t="n"/>
      <c r="AN120" s="15" t="n"/>
    </row>
    <row r="121">
      <c r="A121" s="15" t="inlineStr">
        <is>
          <t>RTD Cable</t>
        </is>
      </c>
      <c r="B121" s="15" t="inlineStr">
        <is>
          <t>29103-ET-HC1901-1-R-1</t>
        </is>
      </c>
      <c r="C121" s="15" t="inlineStr">
        <is>
          <t>29103-ET-HC1901-1</t>
        </is>
      </c>
      <c r="D121" s="15" t="inlineStr"/>
      <c r="E121" s="15" t="inlineStr">
        <is>
          <t>29103-HTP-102</t>
        </is>
      </c>
      <c r="F121" s="15" t="inlineStr"/>
      <c r="G121" s="15" t="inlineStr">
        <is>
          <t>113</t>
        </is>
      </c>
      <c r="H121" s="15" t="inlineStr">
        <is>
          <t>1.1. 29103-HTP-102/4. RTD Cables/29103-ET-HC1901-1-R-1.pdf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N/A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ACIC</t>
        </is>
      </c>
      <c r="AK121" s="15" t="inlineStr">
        <is>
          <t>16AWG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RTD Cable</t>
        </is>
      </c>
      <c r="B122" s="15" t="inlineStr">
        <is>
          <t>29103-ET-MT0001-1-R-1</t>
        </is>
      </c>
      <c r="C122" s="15" t="inlineStr">
        <is>
          <t>29103-ET-MT0001-1</t>
        </is>
      </c>
      <c r="D122" s="15" t="inlineStr"/>
      <c r="E122" s="15" t="inlineStr">
        <is>
          <t>29103-HTP-102</t>
        </is>
      </c>
      <c r="F122" s="15" t="inlineStr"/>
      <c r="G122" s="15" t="inlineStr">
        <is>
          <t>113</t>
        </is>
      </c>
      <c r="H122" s="15" t="inlineStr">
        <is>
          <t>1.1. 29103-HTP-102/4. RTD Cables/29103-ET-MT0001-1-R-1.pdf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N/A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ACIC</t>
        </is>
      </c>
      <c r="AK122" s="15" t="inlineStr">
        <is>
          <t>16AWG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RTD Cable</t>
        </is>
      </c>
      <c r="B123" s="15" t="inlineStr">
        <is>
          <t>29103-ET-MT0001-1-R-2</t>
        </is>
      </c>
      <c r="C123" s="15" t="inlineStr">
        <is>
          <t>29103-ET-MT0001-1</t>
        </is>
      </c>
      <c r="D123" s="15" t="inlineStr"/>
      <c r="E123" s="15" t="inlineStr">
        <is>
          <t>29103-HTP-102</t>
        </is>
      </c>
      <c r="F123" s="15" t="inlineStr"/>
      <c r="G123" s="15" t="inlineStr">
        <is>
          <t>113</t>
        </is>
      </c>
      <c r="H123" s="15" t="inlineStr">
        <is>
          <t>1.1. 29103-HTP-102/4. RTD Cables/29103-ET-MT0001-1-R-2.pdf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N/A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ACIC</t>
        </is>
      </c>
      <c r="AK123" s="15" t="inlineStr">
        <is>
          <t>16AWG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RTD Cable</t>
        </is>
      </c>
      <c r="B124" s="15" t="inlineStr">
        <is>
          <t>29103-ET-P001A-2-R-1</t>
        </is>
      </c>
      <c r="C124" s="15" t="inlineStr">
        <is>
          <t>29103-ET-P001A-2</t>
        </is>
      </c>
      <c r="D124" s="15" t="inlineStr"/>
      <c r="E124" s="15" t="inlineStr">
        <is>
          <t>29103-HTP-102</t>
        </is>
      </c>
      <c r="F124" s="15" t="inlineStr"/>
      <c r="G124" s="15" t="inlineStr">
        <is>
          <t>113</t>
        </is>
      </c>
      <c r="H124" s="15" t="inlineStr">
        <is>
          <t>1.1. 29103-HTP-102/4. RTD Cables/29103-ET-P001A-2-R-1.pdf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N/A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ACIC</t>
        </is>
      </c>
      <c r="AK124" s="15" t="inlineStr">
        <is>
          <t>16AWG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RTD Cable</t>
        </is>
      </c>
      <c r="B125" s="15" t="inlineStr">
        <is>
          <t>29103-ET-P001A-2-R-2</t>
        </is>
      </c>
      <c r="C125" s="15" t="inlineStr">
        <is>
          <t>29103-ET-P001A-2</t>
        </is>
      </c>
      <c r="D125" s="15" t="inlineStr"/>
      <c r="E125" s="15" t="inlineStr">
        <is>
          <t>29103-HTP-102</t>
        </is>
      </c>
      <c r="F125" s="15" t="inlineStr"/>
      <c r="G125" s="15" t="inlineStr">
        <is>
          <t>113</t>
        </is>
      </c>
      <c r="H125" s="15" t="inlineStr">
        <is>
          <t>1.1. 29103-HTP-102/4. RTD Cables/29103-ET-P001A-2-R-2.pdf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N/A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ACIC</t>
        </is>
      </c>
      <c r="AK125" s="15" t="inlineStr">
        <is>
          <t>16AWG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RTD Cable</t>
        </is>
      </c>
      <c r="B126" s="15" t="inlineStr">
        <is>
          <t>29103-ET-P001A-2-R-3</t>
        </is>
      </c>
      <c r="C126" s="15" t="inlineStr">
        <is>
          <t>29103-ET-P001A-2</t>
        </is>
      </c>
      <c r="D126" s="15" t="inlineStr"/>
      <c r="E126" s="15" t="inlineStr">
        <is>
          <t>29103-HTP-102</t>
        </is>
      </c>
      <c r="F126" s="15" t="inlineStr"/>
      <c r="G126" s="15" t="inlineStr">
        <is>
          <t>113</t>
        </is>
      </c>
      <c r="H126" s="15" t="inlineStr">
        <is>
          <t>1.1. 29103-HTP-102/4. RTD Cables/29103-ET-P001A-2-R-3.pdf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N/A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ACIC</t>
        </is>
      </c>
      <c r="AK126" s="15" t="inlineStr">
        <is>
          <t>16AWG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RTD Cable</t>
        </is>
      </c>
      <c r="B127" s="15" t="inlineStr">
        <is>
          <t>29103-ET-P001B-2-R-1</t>
        </is>
      </c>
      <c r="C127" s="15" t="inlineStr">
        <is>
          <t>29103-ET-P001B-2</t>
        </is>
      </c>
      <c r="D127" s="15" t="inlineStr"/>
      <c r="E127" s="15" t="inlineStr">
        <is>
          <t>29103-HTP-102</t>
        </is>
      </c>
      <c r="F127" s="15" t="inlineStr"/>
      <c r="G127" s="15" t="inlineStr">
        <is>
          <t>113</t>
        </is>
      </c>
      <c r="H127" s="15" t="inlineStr">
        <is>
          <t>1.1. 29103-HTP-102/4. RTD Cables/29103-ET-P001B-2-R-1.pdf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N/A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ACIC</t>
        </is>
      </c>
      <c r="AK127" s="15" t="inlineStr">
        <is>
          <t>16AWG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RTD Cable</t>
        </is>
      </c>
      <c r="B128" s="15" t="inlineStr">
        <is>
          <t>29103-ET-P001B-2-R-2</t>
        </is>
      </c>
      <c r="C128" s="15" t="inlineStr">
        <is>
          <t>29103-ET-P001B-2</t>
        </is>
      </c>
      <c r="D128" s="15" t="inlineStr"/>
      <c r="E128" s="15" t="inlineStr">
        <is>
          <t>29103-HTP-102</t>
        </is>
      </c>
      <c r="F128" s="15" t="inlineStr"/>
      <c r="G128" s="15" t="inlineStr">
        <is>
          <t>113</t>
        </is>
      </c>
      <c r="H128" s="15" t="inlineStr">
        <is>
          <t>1.1. 29103-HTP-102/4. RTD Cables/29103-ET-P001B-2-R-2.pdf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N/A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ACIC</t>
        </is>
      </c>
      <c r="AK128" s="15" t="inlineStr">
        <is>
          <t>16AWG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RTD Cable</t>
        </is>
      </c>
      <c r="B129" s="15" t="inlineStr">
        <is>
          <t>29103-ET-P001B-2-R-3</t>
        </is>
      </c>
      <c r="C129" s="15" t="inlineStr">
        <is>
          <t>29103-ET-P001B-2</t>
        </is>
      </c>
      <c r="D129" s="15" t="inlineStr"/>
      <c r="E129" s="15" t="inlineStr">
        <is>
          <t>29103-HTP-102</t>
        </is>
      </c>
      <c r="F129" s="15" t="inlineStr"/>
      <c r="G129" s="15" t="inlineStr">
        <is>
          <t>113</t>
        </is>
      </c>
      <c r="H129" s="15" t="inlineStr">
        <is>
          <t>1.1. 29103-HTP-102/4. RTD Cables/29103-ET-P001B-2-R-3.pdf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N/A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ACIC</t>
        </is>
      </c>
      <c r="AK129" s="15" t="inlineStr">
        <is>
          <t>16AWG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RTD Cable</t>
        </is>
      </c>
      <c r="B130" s="15" t="inlineStr">
        <is>
          <t>29103-ET-P1003-1-R-1</t>
        </is>
      </c>
      <c r="C130" s="15" t="inlineStr">
        <is>
          <t>29103-ET-P1003-1</t>
        </is>
      </c>
      <c r="D130" s="15" t="inlineStr"/>
      <c r="E130" s="15" t="inlineStr">
        <is>
          <t>29103-HTP-102</t>
        </is>
      </c>
      <c r="F130" s="15" t="inlineStr"/>
      <c r="G130" s="15" t="inlineStr">
        <is>
          <t>113</t>
        </is>
      </c>
      <c r="H130" s="15" t="inlineStr">
        <is>
          <t>1.1. 29103-HTP-102/4. RTD Cables/29103-ET-P1003-1-R-1.pdf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N/A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ACIC</t>
        </is>
      </c>
      <c r="AK130" s="15" t="inlineStr">
        <is>
          <t>16AWG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RTD Cable</t>
        </is>
      </c>
      <c r="B131" s="15" t="inlineStr">
        <is>
          <t>29103-ET-P1004-1-R-1</t>
        </is>
      </c>
      <c r="C131" s="15" t="inlineStr">
        <is>
          <t>29103-ET-P1004-1</t>
        </is>
      </c>
      <c r="D131" s="15" t="inlineStr"/>
      <c r="E131" s="15" t="inlineStr">
        <is>
          <t>29103-HTP-102</t>
        </is>
      </c>
      <c r="F131" s="15" t="inlineStr"/>
      <c r="G131" s="15" t="inlineStr">
        <is>
          <t>113</t>
        </is>
      </c>
      <c r="H131" s="15" t="inlineStr">
        <is>
          <t>1.1. 29103-HTP-102/4. RTD Cables/29103-ET-P1004-1-R-1.pdf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N/A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ACIC</t>
        </is>
      </c>
      <c r="AK131" s="15" t="inlineStr">
        <is>
          <t>16AWG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RTD Cable</t>
        </is>
      </c>
      <c r="B132" s="15" t="inlineStr">
        <is>
          <t>29103-ET-V004-1-R-1</t>
        </is>
      </c>
      <c r="C132" s="15" t="inlineStr">
        <is>
          <t>29103-ET-V004-1</t>
        </is>
      </c>
      <c r="D132" s="15" t="inlineStr"/>
      <c r="E132" s="15" t="inlineStr">
        <is>
          <t>29103-HTP-102</t>
        </is>
      </c>
      <c r="F132" s="15" t="inlineStr"/>
      <c r="G132" s="15" t="inlineStr">
        <is>
          <t>113</t>
        </is>
      </c>
      <c r="H132" s="15" t="inlineStr">
        <is>
          <t>1.1. 29103-HTP-102/4. RTD Cables/29103-ET-V004-1-R-1.pdf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N/A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ACIC</t>
        </is>
      </c>
      <c r="AK132" s="15" t="inlineStr">
        <is>
          <t>16AWG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RTD Cable</t>
        </is>
      </c>
      <c r="B133" s="15" t="inlineStr">
        <is>
          <t>29103-ET-V004-1-R-2</t>
        </is>
      </c>
      <c r="C133" s="15" t="inlineStr">
        <is>
          <t>29103-ET-V004-1</t>
        </is>
      </c>
      <c r="D133" s="15" t="inlineStr"/>
      <c r="E133" s="15" t="inlineStr">
        <is>
          <t>29103-HTP-102</t>
        </is>
      </c>
      <c r="F133" s="15" t="inlineStr"/>
      <c r="G133" s="15" t="inlineStr">
        <is>
          <t>113</t>
        </is>
      </c>
      <c r="H133" s="15" t="inlineStr">
        <is>
          <t>1.1. 29103-HTP-102/4. RTD Cables/29103-ET-V004-1-R-2.pdf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N/A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ACIC</t>
        </is>
      </c>
      <c r="AK133" s="15" t="inlineStr">
        <is>
          <t>16AWG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RTD Cable</t>
        </is>
      </c>
      <c r="B134" s="15" t="inlineStr">
        <is>
          <t>29103-ET-V1900-1-R-1</t>
        </is>
      </c>
      <c r="C134" s="15" t="inlineStr">
        <is>
          <t>29103-ET-V1900-1</t>
        </is>
      </c>
      <c r="D134" s="15" t="inlineStr"/>
      <c r="E134" s="15" t="inlineStr">
        <is>
          <t>29103-HTP-102</t>
        </is>
      </c>
      <c r="F134" s="15" t="inlineStr"/>
      <c r="G134" s="15" t="inlineStr">
        <is>
          <t>113</t>
        </is>
      </c>
      <c r="H134" s="15" t="inlineStr">
        <is>
          <t>1.1. 29103-HTP-102/4. RTD Cables/29103-ET-V1900-1-R-1.pdf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N/A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ACIC</t>
        </is>
      </c>
      <c r="AK134" s="15" t="inlineStr">
        <is>
          <t>16AWG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RTD Cable</t>
        </is>
      </c>
      <c r="B135" s="15" t="inlineStr">
        <is>
          <t>29103-RJB-016</t>
        </is>
      </c>
      <c r="C135" s="15" t="inlineStr"/>
      <c r="D135" s="15" t="inlineStr"/>
      <c r="E135" s="15" t="inlineStr">
        <is>
          <t>29103-HTP-102</t>
        </is>
      </c>
      <c r="F135" s="15" t="inlineStr"/>
      <c r="G135" s="15" t="inlineStr">
        <is>
          <t>113</t>
        </is>
      </c>
      <c r="H135" s="15" t="inlineStr">
        <is>
          <t>1.1. 29103-HTP-102/4. RTD Cables/29103-RJB-016.pdf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N/A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ACIC</t>
        </is>
      </c>
      <c r="AK135" s="15" t="inlineStr">
        <is>
          <t>16AWG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RTD Cable</t>
        </is>
      </c>
      <c r="B136" s="15" t="inlineStr">
        <is>
          <t>29103-RJB-017</t>
        </is>
      </c>
      <c r="C136" s="15" t="inlineStr"/>
      <c r="D136" s="15" t="inlineStr"/>
      <c r="E136" s="15" t="inlineStr">
        <is>
          <t>29103-HTP-102</t>
        </is>
      </c>
      <c r="F136" s="15" t="inlineStr"/>
      <c r="G136" s="15" t="inlineStr">
        <is>
          <t>113</t>
        </is>
      </c>
      <c r="H136" s="15" t="inlineStr">
        <is>
          <t>1.1. 29103-HTP-102/4. RTD Cables/29103-RJB-017.pdf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N/A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ACIC</t>
        </is>
      </c>
      <c r="AK136" s="15" t="inlineStr">
        <is>
          <t>16AWG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RTD Cable</t>
        </is>
      </c>
      <c r="B137" s="15" t="inlineStr">
        <is>
          <t>29103-RJB-019</t>
        </is>
      </c>
      <c r="C137" s="15" t="inlineStr"/>
      <c r="D137" s="15" t="inlineStr"/>
      <c r="E137" s="15" t="inlineStr">
        <is>
          <t>29103-HTP-102</t>
        </is>
      </c>
      <c r="F137" s="15" t="inlineStr"/>
      <c r="G137" s="15" t="inlineStr">
        <is>
          <t>113</t>
        </is>
      </c>
      <c r="H137" s="15" t="inlineStr">
        <is>
          <t>1.1. 29103-HTP-102/4. RTD Cables/29103-RJB-019.pdf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N/A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ACIC</t>
        </is>
      </c>
      <c r="AK137" s="15" t="inlineStr">
        <is>
          <t>16AWG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RTD Cable</t>
        </is>
      </c>
      <c r="B138" s="15" t="inlineStr">
        <is>
          <t>29103-RJB-020</t>
        </is>
      </c>
      <c r="C138" s="15" t="inlineStr"/>
      <c r="D138" s="15" t="inlineStr"/>
      <c r="E138" s="15" t="inlineStr">
        <is>
          <t>29103-HTP-102</t>
        </is>
      </c>
      <c r="F138" s="15" t="inlineStr"/>
      <c r="G138" s="15" t="inlineStr">
        <is>
          <t>113</t>
        </is>
      </c>
      <c r="H138" s="15" t="inlineStr">
        <is>
          <t>1.1. 29103-HTP-102/4. RTD Cables/29103-RJB-020.pdf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N/A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ACIC</t>
        </is>
      </c>
      <c r="AK138" s="15" t="inlineStr">
        <is>
          <t>16AWG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RTD Cable</t>
        </is>
      </c>
      <c r="B139" s="15" t="inlineStr">
        <is>
          <t>29103-RJB-021</t>
        </is>
      </c>
      <c r="C139" s="15" t="inlineStr"/>
      <c r="D139" s="15" t="inlineStr"/>
      <c r="E139" s="15" t="inlineStr">
        <is>
          <t>29103-HTP-102</t>
        </is>
      </c>
      <c r="F139" s="15" t="inlineStr"/>
      <c r="G139" s="15" t="inlineStr">
        <is>
          <t>113</t>
        </is>
      </c>
      <c r="H139" s="15" t="inlineStr">
        <is>
          <t>1.1. 29103-HTP-102/4. RTD Cables/29103-RJB-021.pdf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N/A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ACIC</t>
        </is>
      </c>
      <c r="AK139" s="15" t="inlineStr">
        <is>
          <t>16AWG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RTD Cable</t>
        </is>
      </c>
      <c r="B140" s="15" t="inlineStr">
        <is>
          <t>29103-RJB-022</t>
        </is>
      </c>
      <c r="C140" s="15" t="inlineStr"/>
      <c r="D140" s="15" t="inlineStr"/>
      <c r="E140" s="15" t="inlineStr">
        <is>
          <t>29103-HTP-102</t>
        </is>
      </c>
      <c r="F140" s="15" t="inlineStr"/>
      <c r="G140" s="15" t="inlineStr">
        <is>
          <t>113</t>
        </is>
      </c>
      <c r="H140" s="15" t="inlineStr">
        <is>
          <t>1.1. 29103-HTP-102/4. RTD Cables/29103-RJB-022.pdf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N/A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ACIC</t>
        </is>
      </c>
      <c r="AK140" s="15" t="inlineStr">
        <is>
          <t>16AWG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RTD Cable</t>
        </is>
      </c>
      <c r="B141" s="15" t="inlineStr">
        <is>
          <t>29209-ET-P6020-1-R-1</t>
        </is>
      </c>
      <c r="C141" s="15" t="inlineStr">
        <is>
          <t>29209-ET-P6020-1</t>
        </is>
      </c>
      <c r="D141" s="15" t="inlineStr"/>
      <c r="E141" s="15" t="inlineStr">
        <is>
          <t>29103-HTP-102</t>
        </is>
      </c>
      <c r="F141" s="15" t="inlineStr"/>
      <c r="G141" s="15" t="inlineStr">
        <is>
          <t>113</t>
        </is>
      </c>
      <c r="H141" s="15" t="inlineStr">
        <is>
          <t>1.1. 29103-HTP-102/4. RTD Cables/29209-ET-P6020-1-R-1.pdf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N/A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ACIC</t>
        </is>
      </c>
      <c r="AK141" s="15" t="inlineStr">
        <is>
          <t>16AWG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RTD Cable</t>
        </is>
      </c>
      <c r="B142" s="15" t="inlineStr">
        <is>
          <t>29209-ET-P6020-1-R-2</t>
        </is>
      </c>
      <c r="C142" s="15" t="inlineStr">
        <is>
          <t>29209-ET-P6020-1</t>
        </is>
      </c>
      <c r="D142" s="15" t="inlineStr"/>
      <c r="E142" s="15" t="inlineStr">
        <is>
          <t>29103-HTP-102</t>
        </is>
      </c>
      <c r="F142" s="15" t="inlineStr"/>
      <c r="G142" s="15" t="inlineStr">
        <is>
          <t>113</t>
        </is>
      </c>
      <c r="H142" s="15" t="inlineStr">
        <is>
          <t>1.1. 29103-HTP-102/4. RTD Cables/29209-ET-P6020-1-R-2.pdf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N/A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ACIC</t>
        </is>
      </c>
      <c r="AK142" s="15" t="inlineStr">
        <is>
          <t>16AWG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RTD Cable</t>
        </is>
      </c>
      <c r="B143" s="15" t="inlineStr">
        <is>
          <t>29209-ET-P6021-1-R-1</t>
        </is>
      </c>
      <c r="C143" s="15" t="inlineStr">
        <is>
          <t>29209-ET-P6021-1</t>
        </is>
      </c>
      <c r="D143" s="15" t="inlineStr"/>
      <c r="E143" s="15" t="inlineStr">
        <is>
          <t>29103-HTP-102</t>
        </is>
      </c>
      <c r="F143" s="15" t="inlineStr"/>
      <c r="G143" s="15" t="inlineStr">
        <is>
          <t>113</t>
        </is>
      </c>
      <c r="H143" s="15" t="inlineStr">
        <is>
          <t>1.1. 29103-HTP-102/4. RTD Cables/29209-ET-P6021-1-R-1.pdf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N/A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ACIC</t>
        </is>
      </c>
      <c r="AK143" s="15" t="inlineStr">
        <is>
          <t>16AWG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RTD Cable</t>
        </is>
      </c>
      <c r="B144" s="15" t="inlineStr">
        <is>
          <t>29209-ET-P6021-1-R-2</t>
        </is>
      </c>
      <c r="C144" s="15" t="inlineStr">
        <is>
          <t>29209-ET-P6021-1</t>
        </is>
      </c>
      <c r="D144" s="15" t="inlineStr"/>
      <c r="E144" s="15" t="inlineStr">
        <is>
          <t>29103-HTP-102</t>
        </is>
      </c>
      <c r="F144" s="15" t="inlineStr"/>
      <c r="G144" s="15" t="inlineStr">
        <is>
          <t>113</t>
        </is>
      </c>
      <c r="H144" s="15" t="inlineStr">
        <is>
          <t>1.1. 29103-HTP-102/4. RTD Cables/29209-ET-P6021-1-R-2.pdf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N/A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ACIC</t>
        </is>
      </c>
      <c r="AK144" s="15" t="inlineStr">
        <is>
          <t>16AWG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RTD Cable</t>
        </is>
      </c>
      <c r="B145" s="15" t="inlineStr">
        <is>
          <t>29209-ET-P6022-1-R-1</t>
        </is>
      </c>
      <c r="C145" s="15" t="inlineStr">
        <is>
          <t>29209-ET-P6022-1</t>
        </is>
      </c>
      <c r="D145" s="15" t="inlineStr"/>
      <c r="E145" s="15" t="inlineStr">
        <is>
          <t>29103-HTP-102</t>
        </is>
      </c>
      <c r="F145" s="15" t="inlineStr"/>
      <c r="G145" s="15" t="inlineStr">
        <is>
          <t>113</t>
        </is>
      </c>
      <c r="H145" s="15" t="inlineStr">
        <is>
          <t>1.1. 29103-HTP-102/4. RTD Cables/29209-ET-P6022-1-R-1.pdf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N/A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ACIC</t>
        </is>
      </c>
      <c r="AK145" s="15" t="inlineStr">
        <is>
          <t>16AWG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RTD Cable</t>
        </is>
      </c>
      <c r="B146" s="15" t="inlineStr">
        <is>
          <t>29209-ET-P6022-1-R-2</t>
        </is>
      </c>
      <c r="C146" s="15" t="inlineStr">
        <is>
          <t>29209-ET-P6022-1</t>
        </is>
      </c>
      <c r="D146" s="15" t="inlineStr"/>
      <c r="E146" s="15" t="inlineStr">
        <is>
          <t>29103-HTP-102</t>
        </is>
      </c>
      <c r="F146" s="15" t="inlineStr"/>
      <c r="G146" s="15" t="inlineStr">
        <is>
          <t>113</t>
        </is>
      </c>
      <c r="H146" s="15" t="inlineStr">
        <is>
          <t>1.1. 29103-HTP-102/4. RTD Cables/29209-ET-P6022-1-R-2.pdf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N/A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ACIC</t>
        </is>
      </c>
      <c r="AK146" s="15" t="inlineStr">
        <is>
          <t>16AWG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RTD Cable</t>
        </is>
      </c>
      <c r="B147" s="15" t="inlineStr">
        <is>
          <t>29209-ET-PG6003-1-R-1</t>
        </is>
      </c>
      <c r="C147" s="15" t="inlineStr">
        <is>
          <t>29209-ET-PG6003-1</t>
        </is>
      </c>
      <c r="D147" s="15" t="inlineStr"/>
      <c r="E147" s="15" t="inlineStr">
        <is>
          <t>29103-HTP-102</t>
        </is>
      </c>
      <c r="F147" s="15" t="inlineStr"/>
      <c r="G147" s="15" t="inlineStr">
        <is>
          <t>113</t>
        </is>
      </c>
      <c r="H147" s="15" t="inlineStr">
        <is>
          <t>1.1. 29103-HTP-102/4. RTD Cables/29209-ET-PG6003-1-R-1.pdf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N/A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ACIC</t>
        </is>
      </c>
      <c r="AK147" s="15" t="inlineStr">
        <is>
          <t>16AWG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RTD Cable</t>
        </is>
      </c>
      <c r="B148" s="15" t="inlineStr">
        <is>
          <t>29209-ET-PG6003-1-R-2</t>
        </is>
      </c>
      <c r="C148" s="15" t="inlineStr">
        <is>
          <t>29209-ET-PG6003-1</t>
        </is>
      </c>
      <c r="D148" s="15" t="inlineStr"/>
      <c r="E148" s="15" t="inlineStr">
        <is>
          <t>29103-HTP-102</t>
        </is>
      </c>
      <c r="F148" s="15" t="inlineStr"/>
      <c r="G148" s="15" t="inlineStr">
        <is>
          <t>113</t>
        </is>
      </c>
      <c r="H148" s="15" t="inlineStr">
        <is>
          <t>1.1. 29103-HTP-102/4. RTD Cables/29209-ET-PG6003-1-R-2.pdf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N/A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ACIC</t>
        </is>
      </c>
      <c r="AK148" s="15" t="inlineStr">
        <is>
          <t>16AWG</t>
        </is>
      </c>
      <c r="AL148" s="15" t="inlineStr">
        <is>
          <t>Levy Ostrup</t>
        </is>
      </c>
      <c r="AM148" s="15" t="n"/>
      <c r="AN148" s="15" t="n"/>
    </row>
  </sheetData>
  <autoFilter ref="A4:AN148"/>
  <mergeCells count="3">
    <mergeCell ref="A3:H3"/>
    <mergeCell ref="I3:S3"/>
    <mergeCell ref="T3:AN3"/>
  </mergeCells>
  <conditionalFormatting sqref="I5:S1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29103-HTP-100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29103-ET-P1800-4-1</t>
        </is>
      </c>
      <c r="C5" s="15" t="inlineStr">
        <is>
          <t>29103-ET-P1800-4</t>
        </is>
      </c>
      <c r="D5" s="15" t="inlineStr">
        <is>
          <t>HTC-05 / CB-05</t>
        </is>
      </c>
      <c r="E5" s="15" t="inlineStr">
        <is>
          <t>29103-P-1800</t>
        </is>
      </c>
      <c r="F5" s="15" t="inlineStr">
        <is>
          <t>29103-65R-ET-P1800-04-01</t>
        </is>
      </c>
      <c r="G5" s="15" t="inlineStr">
        <is>
          <t>13.1</t>
        </is>
      </c>
      <c r="H5" s="15" t="inlineStr">
        <is>
          <t>1.2. 29103-HTP-100/1. EHT Insulation/29103-ET-P1800-4-1.pdf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D/32SQ3200/36.8M/2859/277/2.1M/LS23A/X/N12</t>
        </is>
      </c>
      <c r="AK5" s="15" t="inlineStr">
        <is>
          <t>36.8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29103-ET-P1800-5-1</t>
        </is>
      </c>
      <c r="C6" s="15" t="inlineStr">
        <is>
          <t>29103-ET-P1800-5</t>
        </is>
      </c>
      <c r="D6" s="15" t="inlineStr">
        <is>
          <t>HTC-02 / CB-02</t>
        </is>
      </c>
      <c r="E6" s="15" t="inlineStr">
        <is>
          <t>29103-P-1800</t>
        </is>
      </c>
      <c r="F6" s="15" t="inlineStr">
        <is>
          <t>29103-65R-ET-P1800-05-01</t>
        </is>
      </c>
      <c r="G6" s="15" t="inlineStr">
        <is>
          <t>13.1</t>
        </is>
      </c>
      <c r="H6" s="15" t="inlineStr">
        <is>
          <t>1.2. 29103-HTP-100/1. EHT Insulation/29103-ET-P1800-5-1.pdf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D/32SP4583/70.3M/4577/277/2.1M/LS23A/X/N12</t>
        </is>
      </c>
      <c r="AK6" s="15" t="inlineStr">
        <is>
          <t>70.3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29103-ET-P1800-6-1</t>
        </is>
      </c>
      <c r="C7" s="15" t="inlineStr">
        <is>
          <t>29103-ET-P1800-6</t>
        </is>
      </c>
      <c r="D7" s="15" t="inlineStr">
        <is>
          <t>HTC-06 / CB-06</t>
        </is>
      </c>
      <c r="E7" s="15" t="inlineStr">
        <is>
          <t>29103-P-1800</t>
        </is>
      </c>
      <c r="F7" s="15" t="inlineStr">
        <is>
          <t>29103-65R-ET-P1800-06-01</t>
        </is>
      </c>
      <c r="G7" s="15" t="inlineStr">
        <is>
          <t>13.1</t>
        </is>
      </c>
      <c r="H7" s="15" t="inlineStr">
        <is>
          <t>1.2. 29103-HTP-100/1. EHT Insulation/29103-ET-P1800-6-1.pdf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YES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inlineStr">
        <is>
          <t>&gt;2.2 GΩ</t>
        </is>
      </c>
      <c r="V7" s="15" t="inlineStr">
        <is>
          <t>15.2 Ω</t>
        </is>
      </c>
      <c r="W7" s="15" t="inlineStr">
        <is>
          <t>2026-05-17</t>
        </is>
      </c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D/32SP4583/76.2M/4282/277/2.1M/LS23A/X/N12</t>
        </is>
      </c>
      <c r="AK7" s="15" t="inlineStr">
        <is>
          <t>76.2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29103-ET-P1800-7-1</t>
        </is>
      </c>
      <c r="C8" s="15" t="inlineStr">
        <is>
          <t>29103-ET-P1800-7</t>
        </is>
      </c>
      <c r="D8" s="15" t="inlineStr">
        <is>
          <t>HTC-16 / CB-16</t>
        </is>
      </c>
      <c r="E8" s="15" t="inlineStr">
        <is>
          <t>29103-P-1810, 29103-P-1800</t>
        </is>
      </c>
      <c r="F8" s="15" t="inlineStr">
        <is>
          <t>29103-65R-ET-P1800-07-01</t>
        </is>
      </c>
      <c r="G8" s="15" t="inlineStr">
        <is>
          <t>13.1</t>
        </is>
      </c>
      <c r="H8" s="15" t="inlineStr">
        <is>
          <t>1.2. 29103-HTP-100/1. EHT Insulation/29103-ET-P1800-7-1.pdf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YES</v>
      </c>
      <c r="L8" s="6" t="str">
        <f>IF(OR($A8="EHT Trace"),IF(AND($X8&lt;&gt;"",$Y8&lt;&gt;""),"YES","NO"),"N/A")</f>
        <v>YES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YES</v>
      </c>
      <c r="S8" s="6" t="str">
        <f>IF(COUNTIF(I8:R8,"NO")=0,"YES","NO")</f>
        <v>NO</v>
      </c>
      <c r="T8" s="15" t="n">
        <v>0</v>
      </c>
      <c r="U8" s="15" t="inlineStr">
        <is>
          <t>&gt;2.2 GΩ</t>
        </is>
      </c>
      <c r="V8" s="15" t="inlineStr">
        <is>
          <t>15.1 Ω</t>
        </is>
      </c>
      <c r="W8" s="15" t="inlineStr">
        <is>
          <t>2026-05-17</t>
        </is>
      </c>
      <c r="X8" s="15" t="inlineStr">
        <is>
          <t>550 MΩ</t>
        </is>
      </c>
      <c r="Y8" s="15" t="inlineStr">
        <is>
          <t>15.2 Ω</t>
        </is>
      </c>
      <c r="Z8" s="15" t="inlineStr">
        <is>
          <t>2026-09-21</t>
        </is>
      </c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D/32SP4583/76.3M/4280/277/2.1M/LS23A/X/N12</t>
        </is>
      </c>
      <c r="AK8" s="15" t="inlineStr">
        <is>
          <t>76.3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29103-ET-PE1802-3-1</t>
        </is>
      </c>
      <c r="C9" s="15" t="inlineStr">
        <is>
          <t>29103-ET-PE1802-3</t>
        </is>
      </c>
      <c r="D9" s="15" t="inlineStr">
        <is>
          <t>HTC-03 / CB-03</t>
        </is>
      </c>
      <c r="E9" s="15" t="inlineStr">
        <is>
          <t>29103-PE-1802</t>
        </is>
      </c>
      <c r="F9" s="15" t="inlineStr">
        <is>
          <t>29103-65R-ET-PE1802-03-01</t>
        </is>
      </c>
      <c r="G9" s="15" t="inlineStr">
        <is>
          <t>13.1</t>
        </is>
      </c>
      <c r="H9" s="15" t="inlineStr">
        <is>
          <t>1.2. 29103-HTP-100/1. EHT Insulation/29103-ET-PE1802-3-1.pdf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D/32SP4458/18M/1580/74.1/2.1M/LS23A/X/N12</t>
        </is>
      </c>
      <c r="AK9" s="15" t="inlineStr">
        <is>
          <t>18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29103-ET-PE1802-3-2</t>
        </is>
      </c>
      <c r="C10" s="15" t="inlineStr">
        <is>
          <t>29103-ET-PE1802-3</t>
        </is>
      </c>
      <c r="D10" s="15" t="inlineStr">
        <is>
          <t>HTC-03 / CB-03</t>
        </is>
      </c>
      <c r="E10" s="15" t="inlineStr">
        <is>
          <t>29103-PE-1802</t>
        </is>
      </c>
      <c r="F10" s="15" t="inlineStr">
        <is>
          <t>29103-65R-ET-PE1802-03-01</t>
        </is>
      </c>
      <c r="G10" s="15" t="inlineStr">
        <is>
          <t>13.1</t>
        </is>
      </c>
      <c r="H10" s="15" t="inlineStr">
        <is>
          <t>1.2. 29103-HTP-100/1. EHT Insulation/29103-ET-PE1802-3-2.pdf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D/32SP4458/49.3M/4329/203/1.2M/LS23A/X/N12</t>
        </is>
      </c>
      <c r="AK10" s="15" t="inlineStr">
        <is>
          <t>49.3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29103-ET-PE1802-4-1</t>
        </is>
      </c>
      <c r="C11" s="15" t="inlineStr">
        <is>
          <t>29103-ET-PE1802-4</t>
        </is>
      </c>
      <c r="D11" s="15" t="inlineStr">
        <is>
          <t>HTC-07 / CB-07</t>
        </is>
      </c>
      <c r="E11" s="15" t="inlineStr">
        <is>
          <t>29103-PE-1802</t>
        </is>
      </c>
      <c r="F11" s="15" t="inlineStr">
        <is>
          <t>29103-65R-ET-PE1802-04-01</t>
        </is>
      </c>
      <c r="G11" s="15" t="inlineStr">
        <is>
          <t>13.1</t>
        </is>
      </c>
      <c r="H11" s="15" t="inlineStr">
        <is>
          <t>1.2. 29103-HTP-100/1. EHT Insulation/29103-ET-PE1802-4-1.pdf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D/32SQ3150/40.8M/3435/277/1.2M/LS23A/X/N12</t>
        </is>
      </c>
      <c r="AK11" s="15" t="inlineStr">
        <is>
          <t>40.8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29103-ET-PE1802-5-1</t>
        </is>
      </c>
      <c r="C12" s="15" t="inlineStr">
        <is>
          <t>29103-ET-PE1802-5</t>
        </is>
      </c>
      <c r="D12" s="15" t="inlineStr">
        <is>
          <t>HTC-17 / CB-17</t>
        </is>
      </c>
      <c r="E12" s="15" t="inlineStr">
        <is>
          <t>29103-PE-1812, 29103-PE-1802</t>
        </is>
      </c>
      <c r="F12" s="15" t="inlineStr">
        <is>
          <t>29103-65R-ET-PE1802-05-01</t>
        </is>
      </c>
      <c r="G12" s="15" t="inlineStr">
        <is>
          <t>13.1</t>
        </is>
      </c>
      <c r="H12" s="15" t="inlineStr">
        <is>
          <t>1.2. 29103-HTP-100/1. EHT Insulation/29103-ET-PE1802-5-1.pdf</t>
        </is>
      </c>
      <c r="I12" s="6" t="str">
        <f>IF($H12&lt;&gt;"","YES","NO")</f>
        <v>YES</v>
      </c>
      <c r="J12" s="6" t="str">
        <f>IF(N($T12)&gt;0,"YES","NO")</f>
        <v>YES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YES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NO</v>
      </c>
      <c r="T12" s="15" t="n">
        <v>1</v>
      </c>
      <c r="U12" s="15" t="n"/>
      <c r="V12" s="15" t="n"/>
      <c r="W12" s="15" t="n"/>
      <c r="X12" s="15" t="inlineStr">
        <is>
          <t>550 MΩ</t>
        </is>
      </c>
      <c r="Y12" s="15" t="inlineStr">
        <is>
          <t>14.8 Ω</t>
        </is>
      </c>
      <c r="Z12" s="15" t="inlineStr">
        <is>
          <t>2026-09-20</t>
        </is>
      </c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D/32SP4458/90.7M/4626/277/1.2M/LS23A/X/N12</t>
        </is>
      </c>
      <c r="AK12" s="15" t="inlineStr">
        <is>
          <t>90.7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29103-ET-PE1803-3-1</t>
        </is>
      </c>
      <c r="C13" s="15" t="inlineStr">
        <is>
          <t>29103-ET-PE1803-3</t>
        </is>
      </c>
      <c r="D13" s="15" t="inlineStr">
        <is>
          <t>HTC-04 / CB-04</t>
        </is>
      </c>
      <c r="E13" s="15" t="inlineStr">
        <is>
          <t>29103-PE-1803</t>
        </is>
      </c>
      <c r="F13" s="15" t="inlineStr">
        <is>
          <t>29103-65R-ET-PE1803-03-01</t>
        </is>
      </c>
      <c r="G13" s="15" t="inlineStr">
        <is>
          <t>13.1</t>
        </is>
      </c>
      <c r="H13" s="15" t="inlineStr">
        <is>
          <t>1.2. 29103-HTP-100/1. EHT Insulation/29103-ET-PE1803-3-1.pdf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E/32SQ3200/6.9M/328/40.2/1.2M/LS23A/X/N12/XNF</t>
        </is>
      </c>
      <c r="AK13" s="15" t="inlineStr">
        <is>
          <t>6.9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29103-ET-PE1803-3-2</t>
        </is>
      </c>
      <c r="C14" s="15" t="inlineStr">
        <is>
          <t>29103-ET-PE1803-3</t>
        </is>
      </c>
      <c r="D14" s="15" t="inlineStr">
        <is>
          <t>HTC-04 / CB-04</t>
        </is>
      </c>
      <c r="E14" s="15" t="inlineStr">
        <is>
          <t>29103-PE-2803</t>
        </is>
      </c>
      <c r="F14" s="15" t="inlineStr">
        <is>
          <t>29103-65R-ET-PE1803-03-01</t>
        </is>
      </c>
      <c r="G14" s="15" t="inlineStr">
        <is>
          <t>13.1</t>
        </is>
      </c>
      <c r="H14" s="15" t="inlineStr">
        <is>
          <t>1.2. 29103-HTP-100/1. EHT Insulation/29103-ET-PE1803-3-2.pdf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D/32SQ3200/18.4M/874/107/1.2M/LS23A/X/N12/XMN</t>
        </is>
      </c>
      <c r="AK14" s="15" t="inlineStr">
        <is>
          <t>18.4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29103-ET-PE1803-3-3</t>
        </is>
      </c>
      <c r="C15" s="15" t="inlineStr">
        <is>
          <t>29103-ET-PE1803-3</t>
        </is>
      </c>
      <c r="D15" s="15" t="inlineStr">
        <is>
          <t>HTC-04 / CB-04</t>
        </is>
      </c>
      <c r="E15" s="15" t="inlineStr">
        <is>
          <t>29103-PE-1803</t>
        </is>
      </c>
      <c r="F15" s="15" t="inlineStr">
        <is>
          <t>29103-65R-ET-PE1803-03-01</t>
        </is>
      </c>
      <c r="G15" s="15" t="inlineStr">
        <is>
          <t>13.1</t>
        </is>
      </c>
      <c r="H15" s="15" t="inlineStr">
        <is>
          <t>1.2. 29103-HTP-100/1. EHT Insulation/29103-ET-PE1803-3-3.pdf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D/32SA2200/14.2M/811/277/1.2M/LS23A/X/N12</t>
        </is>
      </c>
      <c r="AK15" s="15" t="inlineStr">
        <is>
          <t>14.2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29103-ET-PE1803-3-4</t>
        </is>
      </c>
      <c r="C16" s="15" t="inlineStr">
        <is>
          <t>29103-ET-PE1803-3</t>
        </is>
      </c>
      <c r="D16" s="15" t="inlineStr">
        <is>
          <t>HTC-04 / CB-04</t>
        </is>
      </c>
      <c r="E16" s="15" t="inlineStr">
        <is>
          <t>29103-PE-1803</t>
        </is>
      </c>
      <c r="F16" s="15" t="inlineStr">
        <is>
          <t>29103-65R-ET-PE1803-03-01</t>
        </is>
      </c>
      <c r="G16" s="15" t="inlineStr">
        <is>
          <t>13.1</t>
        </is>
      </c>
      <c r="H16" s="15" t="inlineStr">
        <is>
          <t>1.2. 29103-HTP-100/1. EHT Insulation/29103-ET-PE1803-3-4.pdf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D/32SQ3200/22.3M/1059/130/1.2M/LS23A/X/N12</t>
        </is>
      </c>
      <c r="AK16" s="15" t="inlineStr">
        <is>
          <t>22.3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29103-ET-PE1803-5-1</t>
        </is>
      </c>
      <c r="C17" s="15" t="inlineStr">
        <is>
          <t>29103-ET-PE1803-5</t>
        </is>
      </c>
      <c r="D17" s="15" t="inlineStr">
        <is>
          <t>HTC-08 / CB-08</t>
        </is>
      </c>
      <c r="E17" s="15" t="inlineStr">
        <is>
          <t>29103-PE-1803</t>
        </is>
      </c>
      <c r="F17" s="15" t="inlineStr">
        <is>
          <t>29103-65R-ET-PE1803-05-01</t>
        </is>
      </c>
      <c r="G17" s="15" t="inlineStr">
        <is>
          <t>13.1</t>
        </is>
      </c>
      <c r="H17" s="15" t="inlineStr">
        <is>
          <t>1.2. 29103-HTP-100/1. EHT Insulation/29103-ET-PE1803-5-1.pdf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D/32SQ3374/46.9M/1257/277/1.2M/LS23A/X/N12</t>
        </is>
      </c>
      <c r="AK17" s="15" t="inlineStr">
        <is>
          <t>46.9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29103-ET-PE1803-6-1</t>
        </is>
      </c>
      <c r="C18" s="15" t="inlineStr">
        <is>
          <t>29103-ET-PE1803-6</t>
        </is>
      </c>
      <c r="D18" s="15" t="inlineStr">
        <is>
          <t>HTC-09 / CB-09</t>
        </is>
      </c>
      <c r="E18" s="15" t="inlineStr">
        <is>
          <t>29103-PE-1803</t>
        </is>
      </c>
      <c r="F18" s="15" t="inlineStr">
        <is>
          <t>29103-65R-ET-PE1803-06-01</t>
        </is>
      </c>
      <c r="G18" s="15" t="inlineStr">
        <is>
          <t>13.1</t>
        </is>
      </c>
      <c r="H18" s="15" t="inlineStr">
        <is>
          <t>1.2. 29103-HTP-100/1. EHT Insulation/29103-ET-PE1803-6-1.pdf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D/32SQ3200/44.4M/2411/277/1.2M/LS23A/X/N12</t>
        </is>
      </c>
      <c r="AK18" s="15" t="inlineStr">
        <is>
          <t>44.4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29103-ET-PE1806-1-1</t>
        </is>
      </c>
      <c r="C19" s="15" t="inlineStr">
        <is>
          <t>29103-ET-PE1806-1</t>
        </is>
      </c>
      <c r="D19" s="15" t="inlineStr">
        <is>
          <t>HTC-13 / CB-13</t>
        </is>
      </c>
      <c r="E19" s="15" t="inlineStr"/>
      <c r="F19" s="15" t="inlineStr">
        <is>
          <t>29103-65R-ET-PE1806-01-01</t>
        </is>
      </c>
      <c r="G19" s="15" t="inlineStr">
        <is>
          <t>13.1</t>
        </is>
      </c>
      <c r="H19" s="15" t="inlineStr">
        <is>
          <t>1.2. 29103-HTP-100/1. EHT Insulation/29103-ET-PE1806-1-1.pdf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E/32SA2318/12.2M/346/211/1.2M/LS23A/X/N12</t>
        </is>
      </c>
      <c r="AK19" s="15" t="inlineStr">
        <is>
          <t>12.2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29103-ET-PE1806-1-2</t>
        </is>
      </c>
      <c r="C20" s="15" t="inlineStr">
        <is>
          <t>29103-ET-PE1806-1</t>
        </is>
      </c>
      <c r="D20" s="15" t="inlineStr">
        <is>
          <t>HTC-13 / CB-13</t>
        </is>
      </c>
      <c r="E20" s="15" t="inlineStr">
        <is>
          <t>29103-PE-1807, 29103-PE-1806</t>
        </is>
      </c>
      <c r="F20" s="15" t="inlineStr">
        <is>
          <t>29103-65R-ET-PE1806-01-01</t>
        </is>
      </c>
      <c r="G20" s="15" t="inlineStr">
        <is>
          <t>13.1</t>
        </is>
      </c>
      <c r="H20" s="15" t="inlineStr">
        <is>
          <t>1.2. 29103-HTP-100/1. EHT Insulation/29103-ET-PE1806-1-2.pdf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D/32SA2318/3.8M/108/65.8/1.2M/LS23A/X/N12</t>
        </is>
      </c>
      <c r="AK20" s="15" t="inlineStr">
        <is>
          <t>3.8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29103-ET-ST1801-1-1</t>
        </is>
      </c>
      <c r="C21" s="15" t="inlineStr">
        <is>
          <t>29103-ET-ST1801-1</t>
        </is>
      </c>
      <c r="D21" s="15" t="inlineStr">
        <is>
          <t>29103-AMB-013</t>
        </is>
      </c>
      <c r="E21" s="15" t="inlineStr">
        <is>
          <t>29103-ST-1801, 29103-ST-1800</t>
        </is>
      </c>
      <c r="F21" s="15" t="inlineStr">
        <is>
          <t>29103-65R-ET-ST1801-01-01</t>
        </is>
      </c>
      <c r="G21" s="15" t="inlineStr">
        <is>
          <t>13.1</t>
        </is>
      </c>
      <c r="H21" s="15" t="inlineStr">
        <is>
          <t>1.2. 29103-HTP-100/1. EHT Insulation/29103-ET-ST1801-1-1.pdf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D/32SA2400/22.1M/265/277/1.2M/LS23A/X/N12</t>
        </is>
      </c>
      <c r="AK21" s="15" t="inlineStr">
        <is>
          <t>22.1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29103-ET-ST1803-1-1</t>
        </is>
      </c>
      <c r="C22" s="15" t="inlineStr">
        <is>
          <t>29103-ET-ST1803-1</t>
        </is>
      </c>
      <c r="D22" s="15" t="inlineStr">
        <is>
          <t>29103-AMB-013</t>
        </is>
      </c>
      <c r="E22" s="15" t="inlineStr">
        <is>
          <t>29103-ST-1803</t>
        </is>
      </c>
      <c r="F22" s="15" t="inlineStr">
        <is>
          <t>29103-65R-ET-ST1803-01-01</t>
        </is>
      </c>
      <c r="G22" s="15" t="inlineStr">
        <is>
          <t>13.1</t>
        </is>
      </c>
      <c r="H22" s="15" t="inlineStr">
        <is>
          <t>1.2. 29103-HTP-100/1. EHT Insulation/29103-ET-ST1803-1-1.pdf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D/32SB3700/22.5M/608/178/1.2M/LS23A/X/N12</t>
        </is>
      </c>
      <c r="AK22" s="15" t="inlineStr">
        <is>
          <t>22.5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29103-ET-ST1803-1-2</t>
        </is>
      </c>
      <c r="C23" s="15" t="inlineStr">
        <is>
          <t>29103-ET-ST1803-1</t>
        </is>
      </c>
      <c r="D23" s="15" t="inlineStr">
        <is>
          <t>29103-AMB-013</t>
        </is>
      </c>
      <c r="E23" s="15" t="inlineStr">
        <is>
          <t>29103-ST-1804</t>
        </is>
      </c>
      <c r="F23" s="15" t="inlineStr">
        <is>
          <t>29103-65R-ET-ST1803-01-01</t>
        </is>
      </c>
      <c r="G23" s="15" t="inlineStr">
        <is>
          <t>13.1</t>
        </is>
      </c>
      <c r="H23" s="15" t="inlineStr">
        <is>
          <t>1.2. 29103-HTP-100/1. EHT Insulation/29103-ET-ST1803-1-2.pdf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D/32SB3700/12.6M/340/99.4/1.2M/LS23A/X/N12</t>
        </is>
      </c>
      <c r="AK23" s="15" t="inlineStr">
        <is>
          <t>12.6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29103-ET-ST1805-1-1</t>
        </is>
      </c>
      <c r="C24" s="15" t="inlineStr">
        <is>
          <t>29103-ET-ST1805-1</t>
        </is>
      </c>
      <c r="D24" s="15" t="inlineStr">
        <is>
          <t>29103-AMB-013</t>
        </is>
      </c>
      <c r="E24" s="15" t="inlineStr">
        <is>
          <t>29103-ST-1805</t>
        </is>
      </c>
      <c r="F24" s="15" t="inlineStr">
        <is>
          <t>29103-65R-ET-ST1805-01-01</t>
        </is>
      </c>
      <c r="G24" s="15" t="inlineStr">
        <is>
          <t>13.1</t>
        </is>
      </c>
      <c r="H24" s="15" t="inlineStr">
        <is>
          <t>1.2. 29103-HTP-100/1. EHT Insulation/29103-ET-ST1805-1-1.pdf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D/32SB3700/22.3M/611/177/1.2M/LS23A/X/N12</t>
        </is>
      </c>
      <c r="AK24" s="15" t="inlineStr">
        <is>
          <t>22.3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29103-ET-ST1805-1-2</t>
        </is>
      </c>
      <c r="C25" s="15" t="inlineStr">
        <is>
          <t>29103-ET-ST1805-1</t>
        </is>
      </c>
      <c r="D25" s="15" t="inlineStr">
        <is>
          <t>29103-AMB-013</t>
        </is>
      </c>
      <c r="E25" s="15" t="inlineStr">
        <is>
          <t>29103-ST-1806</t>
        </is>
      </c>
      <c r="F25" s="15" t="inlineStr">
        <is>
          <t>29103-65R-ET-ST1805-01-01</t>
        </is>
      </c>
      <c r="G25" s="15" t="inlineStr">
        <is>
          <t>13.1</t>
        </is>
      </c>
      <c r="H25" s="15" t="inlineStr">
        <is>
          <t>1.2. 29103-HTP-100/1. EHT Insulation/29103-ET-ST1805-1-2.pdf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D/32SB3700/12.6M/345/100/1.2M/LS23A/X/N12</t>
        </is>
      </c>
      <c r="AK25" s="15" t="inlineStr">
        <is>
          <t>12.6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Power Cable</t>
        </is>
      </c>
      <c r="B26" s="15" t="inlineStr">
        <is>
          <t>29103-AMB-013</t>
        </is>
      </c>
      <c r="C26" s="15" t="inlineStr"/>
      <c r="D26" s="15" t="inlineStr"/>
      <c r="E26" s="15" t="inlineStr">
        <is>
          <t>29103-HTP-100</t>
        </is>
      </c>
      <c r="F26" s="15" t="inlineStr"/>
      <c r="G26" s="15" t="inlineStr">
        <is>
          <t>113</t>
        </is>
      </c>
      <c r="H26" s="15" t="inlineStr">
        <is>
          <t>1.2. 29103-HTP-100/3. Power Cables/29103-AMB-013.pdf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NO</v>
      </c>
      <c r="O26" s="6" t="str">
        <f>IF(OR($A26="Power Cable",$A26="RTD Cable",$A26="Fieldbus Cable"),IF(AND($AE26&lt;&gt;""),"YES","NO"),"N/A")</f>
        <v>NO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Teck</t>
        </is>
      </c>
      <c r="AK26" s="15" t="inlineStr">
        <is>
          <t>8AWG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Power Cable</t>
        </is>
      </c>
      <c r="B27" s="15" t="inlineStr">
        <is>
          <t>29103-ET-P1800-4-PWK-1</t>
        </is>
      </c>
      <c r="C27" s="15" t="inlineStr">
        <is>
          <t>29103-ET-P1800-4</t>
        </is>
      </c>
      <c r="D27" s="15" t="inlineStr"/>
      <c r="E27" s="15" t="inlineStr">
        <is>
          <t>29103-HTP-100</t>
        </is>
      </c>
      <c r="F27" s="15" t="inlineStr"/>
      <c r="G27" s="15" t="inlineStr">
        <is>
          <t>113</t>
        </is>
      </c>
      <c r="H27" s="15" t="inlineStr">
        <is>
          <t>1.2. 29103-HTP-100/3. Power Cables/29103-ET-P1800-4-PWK-1.pdf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NO</v>
      </c>
      <c r="O27" s="6" t="str">
        <f>IF(OR($A27="Power Cable",$A27="RTD Cable",$A27="Fieldbus Cable"),IF(AND($AE27&lt;&gt;""),"YES","NO"),"N/A")</f>
        <v>NO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Teck</t>
        </is>
      </c>
      <c r="AK27" s="15" t="inlineStr">
        <is>
          <t>10AWG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Power Cable</t>
        </is>
      </c>
      <c r="B28" s="15" t="inlineStr">
        <is>
          <t>29103-ET-P1800-5-PWK-1</t>
        </is>
      </c>
      <c r="C28" s="15" t="inlineStr">
        <is>
          <t>29103-ET-P1800-5</t>
        </is>
      </c>
      <c r="D28" s="15" t="inlineStr"/>
      <c r="E28" s="15" t="inlineStr">
        <is>
          <t>29103-HTP-100</t>
        </is>
      </c>
      <c r="F28" s="15" t="inlineStr"/>
      <c r="G28" s="15" t="inlineStr">
        <is>
          <t>113</t>
        </is>
      </c>
      <c r="H28" s="15" t="inlineStr">
        <is>
          <t>1.2. 29103-HTP-100/3. Power Cables/29103-ET-P1800-5-PWK-1.pdf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NO</v>
      </c>
      <c r="O28" s="6" t="str">
        <f>IF(OR($A28="Power Cable",$A28="RTD Cable",$A28="Fieldbus Cable"),IF(AND($AE28&lt;&gt;""),"YES","NO"),"N/A")</f>
        <v>NO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Teck</t>
        </is>
      </c>
      <c r="AK28" s="15" t="inlineStr">
        <is>
          <t>10AWG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Power Cable</t>
        </is>
      </c>
      <c r="B29" s="15" t="inlineStr">
        <is>
          <t>29103-ET-P1800-6-PWK-1</t>
        </is>
      </c>
      <c r="C29" s="15" t="inlineStr">
        <is>
          <t>29103-ET-P1800-6</t>
        </is>
      </c>
      <c r="D29" s="15" t="inlineStr"/>
      <c r="E29" s="15" t="inlineStr">
        <is>
          <t>29103-HTP-100</t>
        </is>
      </c>
      <c r="F29" s="15" t="inlineStr"/>
      <c r="G29" s="15" t="inlineStr">
        <is>
          <t>113</t>
        </is>
      </c>
      <c r="H29" s="15" t="inlineStr">
        <is>
          <t>1.2. 29103-HTP-100/3. Power Cables/29103-ET-P1800-6-PWK-1.pdf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NO</v>
      </c>
      <c r="O29" s="6" t="str">
        <f>IF(OR($A29="Power Cable",$A29="RTD Cable",$A29="Fieldbus Cable"),IF(AND($AE29&lt;&gt;""),"YES","NO"),"N/A")</f>
        <v>NO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Teck</t>
        </is>
      </c>
      <c r="AK29" s="15" t="inlineStr">
        <is>
          <t>10AWG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Power Cable</t>
        </is>
      </c>
      <c r="B30" s="15" t="inlineStr">
        <is>
          <t>29103-ET-P1800-7-PWK-1</t>
        </is>
      </c>
      <c r="C30" s="15" t="inlineStr">
        <is>
          <t>29103-ET-P1800-7</t>
        </is>
      </c>
      <c r="D30" s="15" t="inlineStr"/>
      <c r="E30" s="15" t="inlineStr">
        <is>
          <t>29103-HTP-100</t>
        </is>
      </c>
      <c r="F30" s="15" t="inlineStr"/>
      <c r="G30" s="15" t="inlineStr">
        <is>
          <t>113</t>
        </is>
      </c>
      <c r="H30" s="15" t="inlineStr">
        <is>
          <t>1.2. 29103-HTP-100/3. Power Cables/29103-ET-P1800-7-PWK-1.pdf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NO</v>
      </c>
      <c r="O30" s="6" t="str">
        <f>IF(OR($A30="Power Cable",$A30="RTD Cable",$A30="Fieldbus Cable"),IF(AND($AE30&lt;&gt;""),"YES","NO"),"N/A")</f>
        <v>NO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Teck</t>
        </is>
      </c>
      <c r="AK30" s="15" t="inlineStr">
        <is>
          <t>10AWG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Power Cable</t>
        </is>
      </c>
      <c r="B31" s="15" t="inlineStr">
        <is>
          <t>29103-ET-PE1802-3-PWK-1</t>
        </is>
      </c>
      <c r="C31" s="15" t="inlineStr">
        <is>
          <t>29103-ET-PE1802-3</t>
        </is>
      </c>
      <c r="D31" s="15" t="inlineStr"/>
      <c r="E31" s="15" t="inlineStr">
        <is>
          <t>29103-HTP-100</t>
        </is>
      </c>
      <c r="F31" s="15" t="inlineStr"/>
      <c r="G31" s="15" t="inlineStr">
        <is>
          <t>113</t>
        </is>
      </c>
      <c r="H31" s="15" t="inlineStr">
        <is>
          <t>1.2. 29103-HTP-100/3. Power Cables/29103-ET-PE1802-3-PWK-1.pdf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NO</v>
      </c>
      <c r="O31" s="6" t="str">
        <f>IF(OR($A31="Power Cable",$A31="RTD Cable",$A31="Fieldbus Cable"),IF(AND($AE31&lt;&gt;""),"YES","NO"),"N/A")</f>
        <v>NO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Teck</t>
        </is>
      </c>
      <c r="AK31" s="15" t="inlineStr">
        <is>
          <t>8AWG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Power Cable</t>
        </is>
      </c>
      <c r="B32" s="15" t="inlineStr">
        <is>
          <t>29103-ET-PE1802-4-PWK-1</t>
        </is>
      </c>
      <c r="C32" s="15" t="inlineStr">
        <is>
          <t>29103-ET-PE1802-4</t>
        </is>
      </c>
      <c r="D32" s="15" t="inlineStr"/>
      <c r="E32" s="15" t="inlineStr">
        <is>
          <t>29103-HTP-100</t>
        </is>
      </c>
      <c r="F32" s="15" t="inlineStr"/>
      <c r="G32" s="15" t="inlineStr">
        <is>
          <t>113</t>
        </is>
      </c>
      <c r="H32" s="15" t="inlineStr">
        <is>
          <t>1.2. 29103-HTP-100/3. Power Cables/29103-ET-PE1802-4-PWK-1.pdf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NO</v>
      </c>
      <c r="O32" s="6" t="str">
        <f>IF(OR($A32="Power Cable",$A32="RTD Cable",$A32="Fieldbus Cable"),IF(AND($AE32&lt;&gt;""),"YES","NO"),"N/A")</f>
        <v>NO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Teck</t>
        </is>
      </c>
      <c r="AK32" s="15" t="inlineStr">
        <is>
          <t>10AWG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29103-ET-PE1802-5-PWK-1</t>
        </is>
      </c>
      <c r="C33" s="15" t="inlineStr">
        <is>
          <t>29103-ET-PE1802-5</t>
        </is>
      </c>
      <c r="D33" s="15" t="inlineStr"/>
      <c r="E33" s="15" t="inlineStr">
        <is>
          <t>29103-HTP-100</t>
        </is>
      </c>
      <c r="F33" s="15" t="inlineStr"/>
      <c r="G33" s="15" t="inlineStr">
        <is>
          <t>113</t>
        </is>
      </c>
      <c r="H33" s="15" t="inlineStr">
        <is>
          <t>1.2. 29103-HTP-100/3. Power Cables/29103-ET-PE1802-5-PWK-1.pdf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NO</v>
      </c>
      <c r="O33" s="6" t="str">
        <f>IF(OR($A33="Power Cable",$A33="RTD Cable",$A33="Fieldbus Cable"),IF(AND($AE33&lt;&gt;""),"YES","NO"),"N/A")</f>
        <v>NO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Teck</t>
        </is>
      </c>
      <c r="AK33" s="15" t="inlineStr">
        <is>
          <t>10AWG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29103-ET-PE1803-3-PWK-1</t>
        </is>
      </c>
      <c r="C34" s="15" t="inlineStr">
        <is>
          <t>29103-ET-PE1803-3</t>
        </is>
      </c>
      <c r="D34" s="15" t="inlineStr"/>
      <c r="E34" s="15" t="inlineStr">
        <is>
          <t>29103-HTP-100</t>
        </is>
      </c>
      <c r="F34" s="15" t="inlineStr"/>
      <c r="G34" s="15" t="inlineStr">
        <is>
          <t>113</t>
        </is>
      </c>
      <c r="H34" s="15" t="inlineStr">
        <is>
          <t>1.2. 29103-HTP-100/3. Power Cables/29103-ET-PE1803-3-PWK-1.pdf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NO</v>
      </c>
      <c r="O34" s="6" t="str">
        <f>IF(OR($A34="Power Cable",$A34="RTD Cable",$A34="Fieldbus Cable"),IF(AND($AE34&lt;&gt;""),"YES","NO"),"N/A")</f>
        <v>NO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Teck</t>
        </is>
      </c>
      <c r="AK34" s="15" t="inlineStr">
        <is>
          <t>10AWG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29103-ET-PE1803-5-PWK-1</t>
        </is>
      </c>
      <c r="C35" s="15" t="inlineStr">
        <is>
          <t>29103-ET-PE1803-5</t>
        </is>
      </c>
      <c r="D35" s="15" t="inlineStr"/>
      <c r="E35" s="15" t="inlineStr">
        <is>
          <t>29103-HTP-100</t>
        </is>
      </c>
      <c r="F35" s="15" t="inlineStr"/>
      <c r="G35" s="15" t="inlineStr">
        <is>
          <t>113</t>
        </is>
      </c>
      <c r="H35" s="15" t="inlineStr">
        <is>
          <t>1.2. 29103-HTP-100/3. Power Cables/29103-ET-PE1803-5-PWK-1.pdf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NO</v>
      </c>
      <c r="O35" s="6" t="str">
        <f>IF(OR($A35="Power Cable",$A35="RTD Cable",$A35="Fieldbus Cable"),IF(AND($AE35&lt;&gt;""),"YES","NO"),"N/A")</f>
        <v>NO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Teck</t>
        </is>
      </c>
      <c r="AK35" s="15" t="inlineStr">
        <is>
          <t>10AWG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29103-ET-PE1803-6-PWK-1</t>
        </is>
      </c>
      <c r="C36" s="15" t="inlineStr">
        <is>
          <t>29103-ET-PE1803-6</t>
        </is>
      </c>
      <c r="D36" s="15" t="inlineStr"/>
      <c r="E36" s="15" t="inlineStr">
        <is>
          <t>29103-HTP-100</t>
        </is>
      </c>
      <c r="F36" s="15" t="inlineStr"/>
      <c r="G36" s="15" t="inlineStr">
        <is>
          <t>113</t>
        </is>
      </c>
      <c r="H36" s="15" t="inlineStr">
        <is>
          <t>1.2. 29103-HTP-100/3. Power Cables/29103-ET-PE1803-6-PWK-1.pdf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NO</v>
      </c>
      <c r="O36" s="6" t="str">
        <f>IF(OR($A36="Power Cable",$A36="RTD Cable",$A36="Fieldbus Cable"),IF(AND($AE36&lt;&gt;""),"YES","NO"),"N/A")</f>
        <v>NO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Teck</t>
        </is>
      </c>
      <c r="AK36" s="15" t="inlineStr">
        <is>
          <t>10AWG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29103-ET-PE1806-1-PWK-1</t>
        </is>
      </c>
      <c r="C37" s="15" t="inlineStr">
        <is>
          <t>29103-ET-PE1806-1</t>
        </is>
      </c>
      <c r="D37" s="15" t="inlineStr"/>
      <c r="E37" s="15" t="inlineStr">
        <is>
          <t>29103-HTP-100</t>
        </is>
      </c>
      <c r="F37" s="15" t="inlineStr"/>
      <c r="G37" s="15" t="inlineStr">
        <is>
          <t>113</t>
        </is>
      </c>
      <c r="H37" s="15" t="inlineStr">
        <is>
          <t>1.2. 29103-HTP-100/3. Power Cables/29103-ET-PE1806-1-PWK-1.pdf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NO</v>
      </c>
      <c r="O37" s="6" t="str">
        <f>IF(OR($A37="Power Cable",$A37="RTD Cable",$A37="Fieldbus Cable"),IF(AND($AE37&lt;&gt;""),"YES","NO"),"N/A")</f>
        <v>NO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Teck</t>
        </is>
      </c>
      <c r="AK37" s="15" t="inlineStr">
        <is>
          <t>10AWG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Power Cable</t>
        </is>
      </c>
      <c r="B38" s="15" t="inlineStr">
        <is>
          <t>29103-ET-ST1801-1-PWK-1</t>
        </is>
      </c>
      <c r="C38" s="15" t="inlineStr">
        <is>
          <t>29103-ET-ST1801-1</t>
        </is>
      </c>
      <c r="D38" s="15" t="inlineStr"/>
      <c r="E38" s="15" t="inlineStr">
        <is>
          <t>29103-HTP-100</t>
        </is>
      </c>
      <c r="F38" s="15" t="inlineStr"/>
      <c r="G38" s="15" t="inlineStr">
        <is>
          <t>113</t>
        </is>
      </c>
      <c r="H38" s="15" t="inlineStr">
        <is>
          <t>1.2. 29103-HTP-100/3. Power Cables/29103-ET-ST1801-1-PWK-1.pdf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NO</v>
      </c>
      <c r="O38" s="6" t="str">
        <f>IF(OR($A38="Power Cable",$A38="RTD Cable",$A38="Fieldbus Cable"),IF(AND($AE38&lt;&gt;""),"YES","NO"),"N/A")</f>
        <v>NO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Teck</t>
        </is>
      </c>
      <c r="AK38" s="15" t="inlineStr">
        <is>
          <t>10AWG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Power Cable</t>
        </is>
      </c>
      <c r="B39" s="15" t="inlineStr">
        <is>
          <t>29103-ET-ST1803-1-PWK-1</t>
        </is>
      </c>
      <c r="C39" s="15" t="inlineStr">
        <is>
          <t>29103-ET-ST1803-1</t>
        </is>
      </c>
      <c r="D39" s="15" t="inlineStr"/>
      <c r="E39" s="15" t="inlineStr">
        <is>
          <t>29103-HTP-100</t>
        </is>
      </c>
      <c r="F39" s="15" t="inlineStr"/>
      <c r="G39" s="15" t="inlineStr">
        <is>
          <t>113</t>
        </is>
      </c>
      <c r="H39" s="15" t="inlineStr">
        <is>
          <t>1.2. 29103-HTP-100/3. Power Cables/29103-ET-ST1803-1-PWK-1.pdf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NO</v>
      </c>
      <c r="O39" s="6" t="str">
        <f>IF(OR($A39="Power Cable",$A39="RTD Cable",$A39="Fieldbus Cable"),IF(AND($AE39&lt;&gt;""),"YES","NO"),"N/A")</f>
        <v>NO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Teck</t>
        </is>
      </c>
      <c r="AK39" s="15" t="inlineStr">
        <is>
          <t>10AWG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Power Cable</t>
        </is>
      </c>
      <c r="B40" s="15" t="inlineStr">
        <is>
          <t>29103-ET-ST1805-1-PWK-1</t>
        </is>
      </c>
      <c r="C40" s="15" t="inlineStr">
        <is>
          <t>29103-ET-ST1805-1</t>
        </is>
      </c>
      <c r="D40" s="15" t="inlineStr"/>
      <c r="E40" s="15" t="inlineStr">
        <is>
          <t>29103-HTP-100</t>
        </is>
      </c>
      <c r="F40" s="15" t="inlineStr"/>
      <c r="G40" s="15" t="inlineStr">
        <is>
          <t>113</t>
        </is>
      </c>
      <c r="H40" s="15" t="inlineStr">
        <is>
          <t>1.2. 29103-HTP-100/3. Power Cables/29103-ET-ST1805-1-PWK-1.pdf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N/A</v>
      </c>
      <c r="L40" s="6" t="str">
        <f>IF(OR($A40="EHT Trace"),IF(AND($X40&lt;&gt;"",$Y40&lt;&gt;""),"YES","NO"),"N/A")</f>
        <v>N/A</v>
      </c>
      <c r="M40" s="6" t="str">
        <f>IF(OR($A40="EHT Trace"),IF(AND($AA40&lt;&gt;"",$AB40&lt;&gt;""),"YES","NO"),"N/A")</f>
        <v>N/A</v>
      </c>
      <c r="N40" s="6" t="str">
        <f>IF(OR($A40="Power Cable"),IF(AND($AD40&lt;&gt;""),"YES","NO"),"N/A")</f>
        <v>NO</v>
      </c>
      <c r="O40" s="6" t="str">
        <f>IF(OR($A40="Power Cable",$A40="RTD Cable",$A40="Fieldbus Cable"),IF(AND($AE40&lt;&gt;""),"YES","NO"),"N/A")</f>
        <v>NO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Teck</t>
        </is>
      </c>
      <c r="AK40" s="15" t="inlineStr">
        <is>
          <t>10AWG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RTD</t>
        </is>
      </c>
      <c r="B41" s="15" t="inlineStr">
        <is>
          <t>29103-ET-P1800-4-R-1</t>
        </is>
      </c>
      <c r="C41" s="15" t="inlineStr">
        <is>
          <t>29103-ET-P1800-4</t>
        </is>
      </c>
      <c r="D41" s="15" t="inlineStr">
        <is>
          <t>29103-HTP-100 HTC-05</t>
        </is>
      </c>
      <c r="E41" s="15" t="inlineStr">
        <is>
          <t>PRODUCED EMULSION</t>
        </is>
      </c>
      <c r="F41" s="15" t="inlineStr">
        <is>
          <t>29103-65R-ET-P1800-04-01</t>
        </is>
      </c>
      <c r="G41" s="15" t="inlineStr">
        <is>
          <t>13.2</t>
        </is>
      </c>
      <c r="H41" s="15" t="inlineStr">
        <is>
          <t>1.2. 29103-HTP-100/2. RTD Inspection/29103-ET-P1800-4-R-1.pdf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N/A</v>
      </c>
      <c r="L41" s="6" t="str">
        <f>IF(OR($A41="EHT Trace"),IF(AND($X41&lt;&gt;"",$Y41&lt;&gt;""),"YES","NO"),"N/A")</f>
        <v>N/A</v>
      </c>
      <c r="M41" s="6" t="str">
        <f>IF(OR($A41="EHT Trace"),IF(AND($AA41&lt;&gt;"",$AB41&lt;&gt;""),"YES","NO"),"N/A")</f>
        <v>N/A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NO</v>
      </c>
      <c r="Q41" s="6" t="str">
        <f>IF(OR($A41="RTD"),IF(AND($AI41&lt;&gt;""),"YES","NO"),"N/A")</f>
        <v>NO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inlineStr">
        <is>
          <t>Levy Ostrup</t>
        </is>
      </c>
      <c r="AM41" s="15" t="n"/>
      <c r="AN41" s="15" t="n"/>
    </row>
    <row r="42">
      <c r="A42" s="15" t="inlineStr">
        <is>
          <t>RTD</t>
        </is>
      </c>
      <c r="B42" s="15" t="inlineStr">
        <is>
          <t>29103-ET-P1800-5-R-1</t>
        </is>
      </c>
      <c r="C42" s="15" t="inlineStr">
        <is>
          <t>29103-ET-P1800-5</t>
        </is>
      </c>
      <c r="D42" s="15" t="inlineStr">
        <is>
          <t>29103-HTP-100 HTC-02</t>
        </is>
      </c>
      <c r="E42" s="15" t="inlineStr">
        <is>
          <t>PRODUCED EMULSION</t>
        </is>
      </c>
      <c r="F42" s="15" t="inlineStr">
        <is>
          <t>29103-65R-ET-P1800-05-01</t>
        </is>
      </c>
      <c r="G42" s="15" t="inlineStr">
        <is>
          <t>13.2</t>
        </is>
      </c>
      <c r="H42" s="15" t="inlineStr">
        <is>
          <t>1.2. 29103-HTP-100/2. RTD Inspection/29103-ET-P1800-5-R-1.pdf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N/A</v>
      </c>
      <c r="L42" s="6" t="str">
        <f>IF(OR($A42="EHT Trace"),IF(AND($X42&lt;&gt;"",$Y42&lt;&gt;""),"YES","NO"),"N/A")</f>
        <v>N/A</v>
      </c>
      <c r="M42" s="6" t="str">
        <f>IF(OR($A42="EHT Trace"),IF(AND($AA42&lt;&gt;"",$AB42&lt;&gt;""),"YES","NO"),"N/A")</f>
        <v>N/A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NO</v>
      </c>
      <c r="Q42" s="6" t="str">
        <f>IF(OR($A42="RTD"),IF(AND($AI42&lt;&gt;""),"YES","NO"),"N/A")</f>
        <v>NO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inlineStr">
        <is>
          <t>Levy Ostrup</t>
        </is>
      </c>
      <c r="AM42" s="15" t="n"/>
      <c r="AN42" s="15" t="n"/>
    </row>
    <row r="43">
      <c r="A43" s="15" t="inlineStr">
        <is>
          <t>RTD</t>
        </is>
      </c>
      <c r="B43" s="15" t="inlineStr">
        <is>
          <t>29103-ET-P1800-6-R-1</t>
        </is>
      </c>
      <c r="C43" s="15" t="inlineStr">
        <is>
          <t>29103-ET-P1800-6</t>
        </is>
      </c>
      <c r="D43" s="15" t="inlineStr">
        <is>
          <t>29103-HTP-100 HTC-06</t>
        </is>
      </c>
      <c r="E43" s="15" t="inlineStr">
        <is>
          <t>PRODUCED EMULSION</t>
        </is>
      </c>
      <c r="F43" s="15" t="inlineStr">
        <is>
          <t>29103-65R-ET-P1800-06-01</t>
        </is>
      </c>
      <c r="G43" s="15" t="inlineStr">
        <is>
          <t>13.2</t>
        </is>
      </c>
      <c r="H43" s="15" t="inlineStr">
        <is>
          <t>1.2. 29103-HTP-100/2. RTD Inspection/29103-ET-P1800-6-R-1.pdf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N/A</v>
      </c>
      <c r="L43" s="6" t="str">
        <f>IF(OR($A43="EHT Trace"),IF(AND($X43&lt;&gt;"",$Y43&lt;&gt;""),"YES","NO"),"N/A")</f>
        <v>N/A</v>
      </c>
      <c r="M43" s="6" t="str">
        <f>IF(OR($A43="EHT Trace"),IF(AND($AA43&lt;&gt;"",$AB43&lt;&gt;""),"YES","NO"),"N/A")</f>
        <v>N/A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NO</v>
      </c>
      <c r="Q43" s="6" t="str">
        <f>IF(OR($A43="RTD"),IF(AND($AI43&lt;&gt;""),"YES","NO"),"N/A")</f>
        <v>NO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inlineStr">
        <is>
          <t>Levy Ostrup</t>
        </is>
      </c>
      <c r="AM43" s="15" t="n"/>
      <c r="AN43" s="15" t="n"/>
    </row>
    <row r="44">
      <c r="A44" s="15" t="inlineStr">
        <is>
          <t>RTD</t>
        </is>
      </c>
      <c r="B44" s="15" t="inlineStr">
        <is>
          <t>29103-ET-P1800-7-R-1</t>
        </is>
      </c>
      <c r="C44" s="15" t="inlineStr">
        <is>
          <t>29103-ET-P1800-7</t>
        </is>
      </c>
      <c r="D44" s="15" t="inlineStr">
        <is>
          <t>29103-HTP-100 HTC-16</t>
        </is>
      </c>
      <c r="E44" s="15" t="inlineStr">
        <is>
          <t>PRODUCED EMULSION</t>
        </is>
      </c>
      <c r="F44" s="15" t="inlineStr">
        <is>
          <t>Trace: 29103-ET-P1800-7-1</t>
        </is>
      </c>
      <c r="G44" s="15" t="inlineStr">
        <is>
          <t>13.2</t>
        </is>
      </c>
      <c r="H44" s="15" t="inlineStr">
        <is>
          <t>10-01_GIM_GONCHO/EHT Cable ITRS/2. RTD Inspection/29103-ET-P1800-7-R-1.pdf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N/A</v>
      </c>
      <c r="L44" s="6" t="str">
        <f>IF(OR($A44="EHT Trace"),IF(AND($X44&lt;&gt;"",$Y44&lt;&gt;""),"YES","NO"),"N/A")</f>
        <v>N/A</v>
      </c>
      <c r="M44" s="6" t="str">
        <f>IF(OR($A44="EHT Trace"),IF(AND($AA44&lt;&gt;"",$AB44&lt;&gt;""),"YES","NO"),"N/A")</f>
        <v>N/A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NO</v>
      </c>
      <c r="Q44" s="6" t="str">
        <f>IF(OR($A44="RTD"),IF(AND($AI44&lt;&gt;""),"YES","NO"),"N/A")</f>
        <v>NO</v>
      </c>
      <c r="R44" s="6" t="str">
        <f>IF(OR($AM44&lt;&gt;"",$Z44&lt;&gt;"",$AC44&lt;&gt;""),"YES","NO")</f>
        <v>YES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inlineStr">
        <is>
          <t>Levy Ostrup</t>
        </is>
      </c>
      <c r="AM44" s="15" t="inlineStr">
        <is>
          <t>09/21/2026</t>
        </is>
      </c>
      <c r="AN44" s="15" t="n"/>
    </row>
    <row r="45">
      <c r="A45" s="15" t="inlineStr">
        <is>
          <t>RTD</t>
        </is>
      </c>
      <c r="B45" s="15" t="inlineStr">
        <is>
          <t>29103-ET-PE1802-3-R-1</t>
        </is>
      </c>
      <c r="C45" s="15" t="inlineStr">
        <is>
          <t>29103-ET-PE1802-3</t>
        </is>
      </c>
      <c r="D45" s="15" t="inlineStr">
        <is>
          <t>29103-HTP-100 HTC-03</t>
        </is>
      </c>
      <c r="E45" s="15" t="inlineStr">
        <is>
          <t>PRODUCED EMULSION</t>
        </is>
      </c>
      <c r="F45" s="15" t="inlineStr">
        <is>
          <t>29103-65R-ET-PE1802-03-01</t>
        </is>
      </c>
      <c r="G45" s="15" t="inlineStr">
        <is>
          <t>13.2</t>
        </is>
      </c>
      <c r="H45" s="15" t="inlineStr">
        <is>
          <t>1.2. 29103-HTP-100/2. RTD Inspection/29103-ET-PE1802-3-R-1.pdf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N/A</v>
      </c>
      <c r="L45" s="6" t="str">
        <f>IF(OR($A45="EHT Trace"),IF(AND($X45&lt;&gt;"",$Y45&lt;&gt;""),"YES","NO"),"N/A")</f>
        <v>N/A</v>
      </c>
      <c r="M45" s="6" t="str">
        <f>IF(OR($A45="EHT Trace"),IF(AND($AA45&lt;&gt;"",$AB45&lt;&gt;""),"YES","NO"),"N/A")</f>
        <v>N/A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NO</v>
      </c>
      <c r="Q45" s="6" t="str">
        <f>IF(OR($A45="RTD"),IF(AND($AI45&lt;&gt;""),"YES","NO"),"N/A")</f>
        <v>NO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inlineStr">
        <is>
          <t>Levy Ostrup</t>
        </is>
      </c>
      <c r="AM45" s="15" t="n"/>
      <c r="AN45" s="15" t="n"/>
    </row>
    <row r="46">
      <c r="A46" s="15" t="inlineStr">
        <is>
          <t>RTD</t>
        </is>
      </c>
      <c r="B46" s="15" t="inlineStr">
        <is>
          <t>29103-ET-PE1802-4-R-1</t>
        </is>
      </c>
      <c r="C46" s="15" t="inlineStr">
        <is>
          <t>29103-ET-PE1802-4</t>
        </is>
      </c>
      <c r="D46" s="15" t="inlineStr">
        <is>
          <t>29103-HTP-100 HTC-07</t>
        </is>
      </c>
      <c r="E46" s="15" t="inlineStr">
        <is>
          <t>PRODUCED EMULSION</t>
        </is>
      </c>
      <c r="F46" s="15" t="inlineStr">
        <is>
          <t>29103-65R-ET-PE1802-04-01</t>
        </is>
      </c>
      <c r="G46" s="15" t="inlineStr">
        <is>
          <t>13.2</t>
        </is>
      </c>
      <c r="H46" s="15" t="inlineStr">
        <is>
          <t>1.2. 29103-HTP-100/2. RTD Inspection/29103-ET-PE1802-4-R-1.pdf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N/A</v>
      </c>
      <c r="L46" s="6" t="str">
        <f>IF(OR($A46="EHT Trace"),IF(AND($X46&lt;&gt;"",$Y46&lt;&gt;""),"YES","NO"),"N/A")</f>
        <v>N/A</v>
      </c>
      <c r="M46" s="6" t="str">
        <f>IF(OR($A46="EHT Trace"),IF(AND($AA46&lt;&gt;"",$AB46&lt;&gt;""),"YES","NO"),"N/A")</f>
        <v>N/A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NO</v>
      </c>
      <c r="Q46" s="6" t="str">
        <f>IF(OR($A46="RTD"),IF(AND($AI46&lt;&gt;""),"YES","NO"),"N/A")</f>
        <v>NO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inlineStr">
        <is>
          <t>Levy Ostrup</t>
        </is>
      </c>
      <c r="AM46" s="15" t="n"/>
      <c r="AN46" s="15" t="n"/>
    </row>
    <row r="47">
      <c r="A47" s="15" t="inlineStr">
        <is>
          <t>RTD</t>
        </is>
      </c>
      <c r="B47" s="15" t="inlineStr">
        <is>
          <t>29103-ET-PE1802-5-R-1</t>
        </is>
      </c>
      <c r="C47" s="15" t="inlineStr">
        <is>
          <t>29103-ET-PE1802-5</t>
        </is>
      </c>
      <c r="D47" s="15" t="inlineStr">
        <is>
          <t>29103-HTP-100 HTC-17 / CB-17</t>
        </is>
      </c>
      <c r="E47" s="15" t="inlineStr">
        <is>
          <t>PRODUCED EMULSION</t>
        </is>
      </c>
      <c r="F47" s="15" t="inlineStr">
        <is>
          <t>29103-65R-ET-PE1802-05-01 Rev 1A0   Trace: 29103-ET-PE1802-5-1</t>
        </is>
      </c>
      <c r="G47" s="15" t="inlineStr">
        <is>
          <t>13.2</t>
        </is>
      </c>
      <c r="H47" s="15" t="inlineStr">
        <is>
          <t>10-01_GIM_GONCHO/EHT Cable ITRS/2. RTD Inspection/29103-ET-PE1802-5-R-1.pdf</t>
        </is>
      </c>
      <c r="I47" s="6" t="str">
        <f>IF($H47&lt;&gt;"","YES","NO")</f>
        <v>YES</v>
      </c>
      <c r="J47" s="6" t="str">
        <f>IF(N($T47)&gt;0,"YES","NO")</f>
        <v>YES</v>
      </c>
      <c r="K47" s="6" t="str">
        <f>IF(OR($A47="EHT Trace"),IF(AND($U47&lt;&gt;"",$V47&lt;&gt;""),"YES","NO"),"N/A")</f>
        <v>N/A</v>
      </c>
      <c r="L47" s="6" t="str">
        <f>IF(OR($A47="EHT Trace"),IF(AND($X47&lt;&gt;"",$Y47&lt;&gt;""),"YES","NO"),"N/A")</f>
        <v>N/A</v>
      </c>
      <c r="M47" s="6" t="str">
        <f>IF(OR($A47="EHT Trace"),IF(AND($AA47&lt;&gt;"",$AB47&lt;&gt;""),"YES","NO"),"N/A")</f>
        <v>N/A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NO</v>
      </c>
      <c r="Q47" s="6" t="str">
        <f>IF(OR($A47="RTD"),IF(AND($AI47&lt;&gt;""),"YES","NO"),"N/A")</f>
        <v>NO</v>
      </c>
      <c r="R47" s="6" t="str">
        <f>IF(OR($AM47&lt;&gt;"",$Z47&lt;&gt;"",$AC47&lt;&gt;""),"YES","NO")</f>
        <v>YES</v>
      </c>
      <c r="S47" s="6" t="str">
        <f>IF(COUNTIF(I47:R47,"NO")=0,"YES","NO")</f>
        <v>NO</v>
      </c>
      <c r="T47" s="15" t="n">
        <v>5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inlineStr">
        <is>
          <t>Levy Ostrup</t>
        </is>
      </c>
      <c r="AM47" s="15" t="inlineStr">
        <is>
          <t>09/20/2026</t>
        </is>
      </c>
      <c r="AN47" s="15" t="inlineStr">
        <is>
          <t>P-cable not installed</t>
        </is>
      </c>
    </row>
    <row r="48">
      <c r="A48" s="15" t="inlineStr">
        <is>
          <t>RTD</t>
        </is>
      </c>
      <c r="B48" s="15" t="inlineStr">
        <is>
          <t>29103-ET-PE1803-3-R-1</t>
        </is>
      </c>
      <c r="C48" s="15" t="inlineStr">
        <is>
          <t>29103-ET-PE1803-3</t>
        </is>
      </c>
      <c r="D48" s="15" t="inlineStr">
        <is>
          <t>29103-HTP-100 HTC-04</t>
        </is>
      </c>
      <c r="E48" s="15" t="inlineStr">
        <is>
          <t>PRODUCED EMULSION</t>
        </is>
      </c>
      <c r="F48" s="15" t="inlineStr">
        <is>
          <t>29103-65R-ET-PE1803-03-01</t>
        </is>
      </c>
      <c r="G48" s="15" t="inlineStr">
        <is>
          <t>13.2</t>
        </is>
      </c>
      <c r="H48" s="15" t="inlineStr">
        <is>
          <t>1.2. 29103-HTP-100/2. RTD Inspection/29103-ET-PE1803-3-R-1.pdf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N/A</v>
      </c>
      <c r="L48" s="6" t="str">
        <f>IF(OR($A48="EHT Trace"),IF(AND($X48&lt;&gt;"",$Y48&lt;&gt;""),"YES","NO"),"N/A")</f>
        <v>N/A</v>
      </c>
      <c r="M48" s="6" t="str">
        <f>IF(OR($A48="EHT Trace"),IF(AND($AA48&lt;&gt;"",$AB48&lt;&gt;""),"YES","NO"),"N/A")</f>
        <v>N/A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NO</v>
      </c>
      <c r="Q48" s="6" t="str">
        <f>IF(OR($A48="RTD"),IF(AND($AI48&lt;&gt;""),"YES","NO"),"N/A")</f>
        <v>NO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inlineStr">
        <is>
          <t>Levy Ostrup</t>
        </is>
      </c>
      <c r="AM48" s="15" t="n"/>
      <c r="AN48" s="15" t="n"/>
    </row>
    <row r="49">
      <c r="A49" s="15" t="inlineStr">
        <is>
          <t>RTD</t>
        </is>
      </c>
      <c r="B49" s="15" t="inlineStr">
        <is>
          <t>29103-ET-PE1803-3-R-2</t>
        </is>
      </c>
      <c r="C49" s="15" t="inlineStr">
        <is>
          <t>29103-ET-PE1803-3</t>
        </is>
      </c>
      <c r="D49" s="15" t="inlineStr">
        <is>
          <t>29103-HTP-100 I/O-1-3</t>
        </is>
      </c>
      <c r="E49" s="15" t="inlineStr">
        <is>
          <t>PRODUCED EMULSION</t>
        </is>
      </c>
      <c r="F49" s="15" t="inlineStr">
        <is>
          <t>29103-65R-ET-PE1803-03-01</t>
        </is>
      </c>
      <c r="G49" s="15" t="inlineStr">
        <is>
          <t>13.2</t>
        </is>
      </c>
      <c r="H49" s="15" t="inlineStr">
        <is>
          <t>1.2. 29103-HTP-100/2. RTD Inspection/29103-ET-PE1803-3-R-2.pdf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N/A</v>
      </c>
      <c r="L49" s="6" t="str">
        <f>IF(OR($A49="EHT Trace"),IF(AND($X49&lt;&gt;"",$Y49&lt;&gt;""),"YES","NO"),"N/A")</f>
        <v>N/A</v>
      </c>
      <c r="M49" s="6" t="str">
        <f>IF(OR($A49="EHT Trace"),IF(AND($AA49&lt;&gt;"",$AB49&lt;&gt;""),"YES","NO"),"N/A")</f>
        <v>N/A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NO</v>
      </c>
      <c r="Q49" s="6" t="str">
        <f>IF(OR($A49="RTD"),IF(AND($AI49&lt;&gt;""),"YES","NO"),"N/A")</f>
        <v>NO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inlineStr">
        <is>
          <t>Levy Ostrup</t>
        </is>
      </c>
      <c r="AM49" s="15" t="n"/>
      <c r="AN49" s="15" t="n"/>
    </row>
    <row r="50">
      <c r="A50" s="15" t="inlineStr">
        <is>
          <t>RTD</t>
        </is>
      </c>
      <c r="B50" s="15" t="inlineStr">
        <is>
          <t>29103-ET-PE1803-5-R-1</t>
        </is>
      </c>
      <c r="C50" s="15" t="inlineStr">
        <is>
          <t>29103-ET-PE1803-5</t>
        </is>
      </c>
      <c r="D50" s="15" t="inlineStr">
        <is>
          <t>29103-HTP-100 HTC-08</t>
        </is>
      </c>
      <c r="E50" s="15" t="inlineStr">
        <is>
          <t>PRODUCED EMULSION</t>
        </is>
      </c>
      <c r="F50" s="15" t="inlineStr">
        <is>
          <t>29103-65R-ET-PE1803-05-01</t>
        </is>
      </c>
      <c r="G50" s="15" t="inlineStr">
        <is>
          <t>13.2</t>
        </is>
      </c>
      <c r="H50" s="15" t="inlineStr">
        <is>
          <t>1.2. 29103-HTP-100/2. RTD Inspection/29103-ET-PE1803-5-R-1.pdf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N/A</v>
      </c>
      <c r="L50" s="6" t="str">
        <f>IF(OR($A50="EHT Trace"),IF(AND($X50&lt;&gt;"",$Y50&lt;&gt;""),"YES","NO"),"N/A")</f>
        <v>N/A</v>
      </c>
      <c r="M50" s="6" t="str">
        <f>IF(OR($A50="EHT Trace"),IF(AND($AA50&lt;&gt;"",$AB50&lt;&gt;""),"YES","NO"),"N/A")</f>
        <v>N/A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NO</v>
      </c>
      <c r="Q50" s="6" t="str">
        <f>IF(OR($A50="RTD"),IF(AND($AI50&lt;&gt;""),"YES","NO"),"N/A")</f>
        <v>NO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inlineStr">
        <is>
          <t>Levy Ostrup</t>
        </is>
      </c>
      <c r="AM50" s="15" t="n"/>
      <c r="AN50" s="15" t="n"/>
    </row>
    <row r="51">
      <c r="A51" s="15" t="inlineStr">
        <is>
          <t>RTD</t>
        </is>
      </c>
      <c r="B51" s="15" t="inlineStr">
        <is>
          <t>29103-ET-PE1803-6-R-1</t>
        </is>
      </c>
      <c r="C51" s="15" t="inlineStr">
        <is>
          <t>29103-ET-PE1803-6</t>
        </is>
      </c>
      <c r="D51" s="15" t="inlineStr">
        <is>
          <t>29103-HTP-100 HTC-09</t>
        </is>
      </c>
      <c r="E51" s="15" t="inlineStr">
        <is>
          <t>PRODUCED EMULSION</t>
        </is>
      </c>
      <c r="F51" s="15" t="inlineStr">
        <is>
          <t>29103-65R-ET-PE1803-06-01</t>
        </is>
      </c>
      <c r="G51" s="15" t="inlineStr">
        <is>
          <t>13.2</t>
        </is>
      </c>
      <c r="H51" s="15" t="inlineStr">
        <is>
          <t>1.2. 29103-HTP-100/2. RTD Inspection/29103-ET-PE1803-6-R-1.pdf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N/A</v>
      </c>
      <c r="L51" s="6" t="str">
        <f>IF(OR($A51="EHT Trace"),IF(AND($X51&lt;&gt;"",$Y51&lt;&gt;""),"YES","NO"),"N/A")</f>
        <v>N/A</v>
      </c>
      <c r="M51" s="6" t="str">
        <f>IF(OR($A51="EHT Trace"),IF(AND($AA51&lt;&gt;"",$AB51&lt;&gt;""),"YES","NO"),"N/A")</f>
        <v>N/A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NO</v>
      </c>
      <c r="Q51" s="6" t="str">
        <f>IF(OR($A51="RTD"),IF(AND($AI51&lt;&gt;""),"YES","NO"),"N/A")</f>
        <v>NO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inlineStr">
        <is>
          <t>Levy Ostrup</t>
        </is>
      </c>
      <c r="AM51" s="15" t="n"/>
      <c r="AN51" s="15" t="n"/>
    </row>
    <row r="52">
      <c r="A52" s="15" t="inlineStr">
        <is>
          <t>RTD</t>
        </is>
      </c>
      <c r="B52" s="15" t="inlineStr">
        <is>
          <t>29103-ET-PE1806-1-R-1</t>
        </is>
      </c>
      <c r="C52" s="15" t="inlineStr">
        <is>
          <t>29103-ET-PE1806-1</t>
        </is>
      </c>
      <c r="D52" s="15" t="inlineStr">
        <is>
          <t>29103-HTP-100 HTC-10</t>
        </is>
      </c>
      <c r="E52" s="15" t="inlineStr">
        <is>
          <t>PRODUCED EMULSION</t>
        </is>
      </c>
      <c r="F52" s="15" t="inlineStr">
        <is>
          <t>29103-65R-ET-PE1806-01-01</t>
        </is>
      </c>
      <c r="G52" s="15" t="inlineStr">
        <is>
          <t>13.2</t>
        </is>
      </c>
      <c r="H52" s="15" t="inlineStr">
        <is>
          <t>1.2. 29103-HTP-100/2. RTD Inspection/29103-ET-PE1806-1-R-1.pdf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N/A</v>
      </c>
      <c r="L52" s="6" t="str">
        <f>IF(OR($A52="EHT Trace"),IF(AND($X52&lt;&gt;"",$Y52&lt;&gt;""),"YES","NO"),"N/A")</f>
        <v>N/A</v>
      </c>
      <c r="M52" s="6" t="str">
        <f>IF(OR($A52="EHT Trace"),IF(AND($AA52&lt;&gt;"",$AB52&lt;&gt;""),"YES","NO"),"N/A")</f>
        <v>N/A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NO</v>
      </c>
      <c r="Q52" s="6" t="str">
        <f>IF(OR($A52="RTD"),IF(AND($AI52&lt;&gt;""),"YES","NO"),"N/A")</f>
        <v>NO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inlineStr">
        <is>
          <t>Levy Ostrup</t>
        </is>
      </c>
      <c r="AM52" s="15" t="n"/>
      <c r="AN52" s="15" t="n"/>
    </row>
    <row r="53">
      <c r="A53" s="15" t="inlineStr">
        <is>
          <t>RTD Cable</t>
        </is>
      </c>
      <c r="B53" s="15" t="inlineStr">
        <is>
          <t>29103-ET-P1800-4-R-1</t>
        </is>
      </c>
      <c r="C53" s="15" t="inlineStr">
        <is>
          <t>29103-ET-P1800-4</t>
        </is>
      </c>
      <c r="D53" s="15" t="inlineStr"/>
      <c r="E53" s="15" t="inlineStr">
        <is>
          <t>29103-HTP-100</t>
        </is>
      </c>
      <c r="F53" s="15" t="inlineStr"/>
      <c r="G53" s="15" t="inlineStr">
        <is>
          <t>113</t>
        </is>
      </c>
      <c r="H53" s="15" t="inlineStr">
        <is>
          <t>1.2. 29103-HTP-100/4. RTD Cables/29103-ET-P1800-4-R-1.pdf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N/A</v>
      </c>
      <c r="L53" s="6" t="str">
        <f>IF(OR($A53="EHT Trace"),IF(AND($X53&lt;&gt;"",$Y53&lt;&gt;""),"YES","NO"),"N/A")</f>
        <v>N/A</v>
      </c>
      <c r="M53" s="6" t="str">
        <f>IF(OR($A53="EHT Trace"),IF(AND($AA53&lt;&gt;"",$AB53&lt;&gt;""),"YES","NO"),"N/A")</f>
        <v>N/A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NO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ACIC</t>
        </is>
      </c>
      <c r="AK53" s="15" t="inlineStr">
        <is>
          <t>16AWG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RTD Cable</t>
        </is>
      </c>
      <c r="B54" s="15" t="inlineStr">
        <is>
          <t>29103-ET-P1800-5-R-1</t>
        </is>
      </c>
      <c r="C54" s="15" t="inlineStr">
        <is>
          <t>29103-ET-P1800-5</t>
        </is>
      </c>
      <c r="D54" s="15" t="inlineStr"/>
      <c r="E54" s="15" t="inlineStr">
        <is>
          <t>29103-HTP-100</t>
        </is>
      </c>
      <c r="F54" s="15" t="inlineStr"/>
      <c r="G54" s="15" t="inlineStr">
        <is>
          <t>113</t>
        </is>
      </c>
      <c r="H54" s="15" t="inlineStr">
        <is>
          <t>1.2. 29103-HTP-100/4. RTD Cables/29103-ET-P1800-5-R-1.pdf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N/A</v>
      </c>
      <c r="L54" s="6" t="str">
        <f>IF(OR($A54="EHT Trace"),IF(AND($X54&lt;&gt;"",$Y54&lt;&gt;""),"YES","NO"),"N/A")</f>
        <v>N/A</v>
      </c>
      <c r="M54" s="6" t="str">
        <f>IF(OR($A54="EHT Trace"),IF(AND($AA54&lt;&gt;"",$AB54&lt;&gt;""),"YES","NO"),"N/A")</f>
        <v>N/A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NO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ACIC</t>
        </is>
      </c>
      <c r="AK54" s="15" t="inlineStr">
        <is>
          <t>16AWG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RTD Cable</t>
        </is>
      </c>
      <c r="B55" s="15" t="inlineStr">
        <is>
          <t>29103-ET-P1800-6-R-1</t>
        </is>
      </c>
      <c r="C55" s="15" t="inlineStr">
        <is>
          <t>29103-ET-P1800-6</t>
        </is>
      </c>
      <c r="D55" s="15" t="inlineStr"/>
      <c r="E55" s="15" t="inlineStr">
        <is>
          <t>29103-HTP-100</t>
        </is>
      </c>
      <c r="F55" s="15" t="inlineStr"/>
      <c r="G55" s="15" t="inlineStr">
        <is>
          <t>113</t>
        </is>
      </c>
      <c r="H55" s="15" t="inlineStr">
        <is>
          <t>1.2. 29103-HTP-100/4. RTD Cables/29103-ET-P1800-6-R-1.pdf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N/A</v>
      </c>
      <c r="L55" s="6" t="str">
        <f>IF(OR($A55="EHT Trace"),IF(AND($X55&lt;&gt;"",$Y55&lt;&gt;""),"YES","NO"),"N/A")</f>
        <v>N/A</v>
      </c>
      <c r="M55" s="6" t="str">
        <f>IF(OR($A55="EHT Trace"),IF(AND($AA55&lt;&gt;"",$AB55&lt;&gt;""),"YES","NO"),"N/A")</f>
        <v>N/A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NO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ACIC</t>
        </is>
      </c>
      <c r="AK55" s="15" t="inlineStr">
        <is>
          <t>16AWG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RTD Cable</t>
        </is>
      </c>
      <c r="B56" s="15" t="inlineStr">
        <is>
          <t>29103-ET-P1800-7-R-1</t>
        </is>
      </c>
      <c r="C56" s="15" t="inlineStr">
        <is>
          <t>29103-ET-P1800-7</t>
        </is>
      </c>
      <c r="D56" s="15" t="inlineStr"/>
      <c r="E56" s="15" t="inlineStr">
        <is>
          <t>29103-HTP-100</t>
        </is>
      </c>
      <c r="F56" s="15" t="inlineStr"/>
      <c r="G56" s="15" t="inlineStr">
        <is>
          <t>113</t>
        </is>
      </c>
      <c r="H56" s="15" t="inlineStr">
        <is>
          <t>1.2. 29103-HTP-100/4. RTD Cables/29103-ET-P1800-7-R-1.pdf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N/A</v>
      </c>
      <c r="L56" s="6" t="str">
        <f>IF(OR($A56="EHT Trace"),IF(AND($X56&lt;&gt;"",$Y56&lt;&gt;""),"YES","NO"),"N/A")</f>
        <v>N/A</v>
      </c>
      <c r="M56" s="6" t="str">
        <f>IF(OR($A56="EHT Trace"),IF(AND($AA56&lt;&gt;"",$AB56&lt;&gt;""),"YES","NO"),"N/A")</f>
        <v>N/A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NO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ACIC</t>
        </is>
      </c>
      <c r="AK56" s="15" t="inlineStr">
        <is>
          <t>16AWG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RTD Cable</t>
        </is>
      </c>
      <c r="B57" s="15" t="inlineStr">
        <is>
          <t>29103-ET-PE1802-3-R-1</t>
        </is>
      </c>
      <c r="C57" s="15" t="inlineStr">
        <is>
          <t>29103-ET-PE1802-3</t>
        </is>
      </c>
      <c r="D57" s="15" t="inlineStr"/>
      <c r="E57" s="15" t="inlineStr">
        <is>
          <t>29103-HTP-100</t>
        </is>
      </c>
      <c r="F57" s="15" t="inlineStr"/>
      <c r="G57" s="15" t="inlineStr">
        <is>
          <t>113</t>
        </is>
      </c>
      <c r="H57" s="15" t="inlineStr">
        <is>
          <t>1.2. 29103-HTP-100/4. RTD Cables/29103-ET-PE1802-3-R-1.pdf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N/A</v>
      </c>
      <c r="L57" s="6" t="str">
        <f>IF(OR($A57="EHT Trace"),IF(AND($X57&lt;&gt;"",$Y57&lt;&gt;""),"YES","NO"),"N/A")</f>
        <v>N/A</v>
      </c>
      <c r="M57" s="6" t="str">
        <f>IF(OR($A57="EHT Trace"),IF(AND($AA57&lt;&gt;"",$AB57&lt;&gt;""),"YES","NO"),"N/A")</f>
        <v>N/A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NO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ACIC</t>
        </is>
      </c>
      <c r="AK57" s="15" t="inlineStr">
        <is>
          <t>16AWG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RTD Cable</t>
        </is>
      </c>
      <c r="B58" s="15" t="inlineStr">
        <is>
          <t>29103-ET-PE1802-4-R-1</t>
        </is>
      </c>
      <c r="C58" s="15" t="inlineStr">
        <is>
          <t>29103-ET-PE1802-4</t>
        </is>
      </c>
      <c r="D58" s="15" t="inlineStr"/>
      <c r="E58" s="15" t="inlineStr">
        <is>
          <t>29103-HTP-100</t>
        </is>
      </c>
      <c r="F58" s="15" t="inlineStr"/>
      <c r="G58" s="15" t="inlineStr">
        <is>
          <t>113</t>
        </is>
      </c>
      <c r="H58" s="15" t="inlineStr">
        <is>
          <t>1.2. 29103-HTP-100/4. RTD Cables/29103-ET-PE1802-4-R-1.pdf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N/A</v>
      </c>
      <c r="L58" s="6" t="str">
        <f>IF(OR($A58="EHT Trace"),IF(AND($X58&lt;&gt;"",$Y58&lt;&gt;""),"YES","NO"),"N/A")</f>
        <v>N/A</v>
      </c>
      <c r="M58" s="6" t="str">
        <f>IF(OR($A58="EHT Trace"),IF(AND($AA58&lt;&gt;"",$AB58&lt;&gt;""),"YES","NO"),"N/A")</f>
        <v>N/A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NO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ACIC</t>
        </is>
      </c>
      <c r="AK58" s="15" t="inlineStr">
        <is>
          <t>16AWG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RTD Cable</t>
        </is>
      </c>
      <c r="B59" s="15" t="inlineStr">
        <is>
          <t>29103-ET-PE1802-5-R-1</t>
        </is>
      </c>
      <c r="C59" s="15" t="inlineStr">
        <is>
          <t>29103-ET-PE1802-5</t>
        </is>
      </c>
      <c r="D59" s="15" t="inlineStr"/>
      <c r="E59" s="15" t="inlineStr">
        <is>
          <t>29103-HTP-100</t>
        </is>
      </c>
      <c r="F59" s="15" t="inlineStr"/>
      <c r="G59" s="15" t="inlineStr">
        <is>
          <t>113</t>
        </is>
      </c>
      <c r="H59" s="15" t="inlineStr">
        <is>
          <t>1.2. 29103-HTP-100/4. RTD Cables/29103-ET-PE1802-5-R-1.pdf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N/A</v>
      </c>
      <c r="L59" s="6" t="str">
        <f>IF(OR($A59="EHT Trace"),IF(AND($X59&lt;&gt;"",$Y59&lt;&gt;""),"YES","NO"),"N/A")</f>
        <v>N/A</v>
      </c>
      <c r="M59" s="6" t="str">
        <f>IF(OR($A59="EHT Trace"),IF(AND($AA59&lt;&gt;"",$AB59&lt;&gt;""),"YES","NO"),"N/A")</f>
        <v>N/A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NO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ACIC</t>
        </is>
      </c>
      <c r="AK59" s="15" t="inlineStr">
        <is>
          <t>16AWG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RTD Cable</t>
        </is>
      </c>
      <c r="B60" s="15" t="inlineStr">
        <is>
          <t>29103-ET-PE1803-3-R-1</t>
        </is>
      </c>
      <c r="C60" s="15" t="inlineStr">
        <is>
          <t>29103-ET-PE1803-3</t>
        </is>
      </c>
      <c r="D60" s="15" t="inlineStr"/>
      <c r="E60" s="15" t="inlineStr">
        <is>
          <t>29103-HTP-100</t>
        </is>
      </c>
      <c r="F60" s="15" t="inlineStr"/>
      <c r="G60" s="15" t="inlineStr">
        <is>
          <t>113</t>
        </is>
      </c>
      <c r="H60" s="15" t="inlineStr">
        <is>
          <t>1.2. 29103-HTP-100/4. RTD Cables/29103-ET-PE1803-3-R-1.pdf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N/A</v>
      </c>
      <c r="L60" s="6" t="str">
        <f>IF(OR($A60="EHT Trace"),IF(AND($X60&lt;&gt;"",$Y60&lt;&gt;""),"YES","NO"),"N/A")</f>
        <v>N/A</v>
      </c>
      <c r="M60" s="6" t="str">
        <f>IF(OR($A60="EHT Trace"),IF(AND($AA60&lt;&gt;"",$AB60&lt;&gt;""),"YES","NO"),"N/A")</f>
        <v>N/A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NO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ACIC</t>
        </is>
      </c>
      <c r="AK60" s="15" t="inlineStr">
        <is>
          <t>16AWG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RTD Cable</t>
        </is>
      </c>
      <c r="B61" s="15" t="inlineStr">
        <is>
          <t>29103-ET-PE1803-3-R-2</t>
        </is>
      </c>
      <c r="C61" s="15" t="inlineStr">
        <is>
          <t>29103-ET-PE1803-3</t>
        </is>
      </c>
      <c r="D61" s="15" t="inlineStr"/>
      <c r="E61" s="15" t="inlineStr">
        <is>
          <t>29103-HTP-100</t>
        </is>
      </c>
      <c r="F61" s="15" t="inlineStr"/>
      <c r="G61" s="15" t="inlineStr">
        <is>
          <t>113</t>
        </is>
      </c>
      <c r="H61" s="15" t="inlineStr">
        <is>
          <t>1.2. 29103-HTP-100/4. RTD Cables/29103-ET-PE1803-3-R-2.pdf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NO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ACIC</t>
        </is>
      </c>
      <c r="AK61" s="15" t="inlineStr">
        <is>
          <t>16AWG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RTD Cable</t>
        </is>
      </c>
      <c r="B62" s="15" t="inlineStr">
        <is>
          <t>29103-ET-PE1803-5-R-1</t>
        </is>
      </c>
      <c r="C62" s="15" t="inlineStr">
        <is>
          <t>29103-ET-PE1803-5</t>
        </is>
      </c>
      <c r="D62" s="15" t="inlineStr"/>
      <c r="E62" s="15" t="inlineStr">
        <is>
          <t>29103-HTP-100</t>
        </is>
      </c>
      <c r="F62" s="15" t="inlineStr"/>
      <c r="G62" s="15" t="inlineStr">
        <is>
          <t>113</t>
        </is>
      </c>
      <c r="H62" s="15" t="inlineStr">
        <is>
          <t>1.2. 29103-HTP-100/4. RTD Cables/29103-ET-PE1803-5-R-1.pdf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NO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ACIC</t>
        </is>
      </c>
      <c r="AK62" s="15" t="inlineStr">
        <is>
          <t>16AWG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RTD Cable</t>
        </is>
      </c>
      <c r="B63" s="15" t="inlineStr">
        <is>
          <t>29103-ET-PE1803-6-R-1</t>
        </is>
      </c>
      <c r="C63" s="15" t="inlineStr">
        <is>
          <t>29103-ET-PE1803-6</t>
        </is>
      </c>
      <c r="D63" s="15" t="inlineStr"/>
      <c r="E63" s="15" t="inlineStr">
        <is>
          <t>29103-HTP-100</t>
        </is>
      </c>
      <c r="F63" s="15" t="inlineStr"/>
      <c r="G63" s="15" t="inlineStr">
        <is>
          <t>113</t>
        </is>
      </c>
      <c r="H63" s="15" t="inlineStr">
        <is>
          <t>1.2. 29103-HTP-100/4. RTD Cables/29103-ET-PE1803-6-R-1.pdf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NO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ACIC</t>
        </is>
      </c>
      <c r="AK63" s="15" t="inlineStr">
        <is>
          <t>16AWG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RTD Cable</t>
        </is>
      </c>
      <c r="B64" s="15" t="inlineStr">
        <is>
          <t>29103-ET-PE1806-1-R-1</t>
        </is>
      </c>
      <c r="C64" s="15" t="inlineStr">
        <is>
          <t>29103-ET-PE1806-1</t>
        </is>
      </c>
      <c r="D64" s="15" t="inlineStr"/>
      <c r="E64" s="15" t="inlineStr">
        <is>
          <t>29103-HTP-100</t>
        </is>
      </c>
      <c r="F64" s="15" t="inlineStr"/>
      <c r="G64" s="15" t="inlineStr">
        <is>
          <t>113</t>
        </is>
      </c>
      <c r="H64" s="15" t="inlineStr">
        <is>
          <t>1.2. 29103-HTP-100/4. RTD Cables/29103-ET-PE1806-1-R-1.pdf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NO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ACIC</t>
        </is>
      </c>
      <c r="AK64" s="15" t="inlineStr">
        <is>
          <t>16AWG</t>
        </is>
      </c>
      <c r="AL64" s="15" t="inlineStr">
        <is>
          <t>Levy Ostrup</t>
        </is>
      </c>
      <c r="AM64" s="15" t="n"/>
      <c r="AN64" s="15" t="n"/>
    </row>
  </sheetData>
  <autoFilter ref="A4:AN64"/>
  <mergeCells count="3">
    <mergeCell ref="A3:H3"/>
    <mergeCell ref="I3:S3"/>
    <mergeCell ref="T3:AN3"/>
  </mergeCells>
  <conditionalFormatting sqref="I5:S64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29103-ET-P1001-1-1</t>
        </is>
      </c>
      <c r="C5" s="15" t="inlineStr">
        <is>
          <t>29103-ET-P1001-1</t>
        </is>
      </c>
      <c r="D5" s="15" t="inlineStr">
        <is>
          <t>HTC-39 / CB-39</t>
        </is>
      </c>
      <c r="E5" s="15" t="inlineStr">
        <is>
          <t>29103-P-1001</t>
        </is>
      </c>
      <c r="F5" s="15" t="inlineStr">
        <is>
          <t>29103-65R-ET-P1001-01-01</t>
        </is>
      </c>
      <c r="G5" s="15" t="inlineStr">
        <is>
          <t>13.1</t>
        </is>
      </c>
      <c r="H5" s="15" t="inlineStr">
        <is>
          <t>1.3. 29103-HTP-101/1. EHT Insulation/29103-ET-P1001-1-1.pdf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YES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inlineStr">
        <is>
          <t>&gt;2.2 GΩ</t>
        </is>
      </c>
      <c r="V5" s="15" t="inlineStr">
        <is>
          <t>27.7 Ω</t>
        </is>
      </c>
      <c r="W5" s="15" t="inlineStr">
        <is>
          <t>2026-05-17</t>
        </is>
      </c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D/32SQ3150/53.7M/2674/277/2.1M/LS23A/X/N12</t>
        </is>
      </c>
      <c r="AK5" s="15" t="inlineStr">
        <is>
          <t>53.7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29103-ET-P1001-1-2</t>
        </is>
      </c>
      <c r="C6" s="15" t="inlineStr">
        <is>
          <t>29103-ET-P1001-1</t>
        </is>
      </c>
      <c r="D6" s="15" t="inlineStr">
        <is>
          <t>HTC-39 / CB-39</t>
        </is>
      </c>
      <c r="E6" s="15" t="inlineStr">
        <is>
          <t>29103-P-1001</t>
        </is>
      </c>
      <c r="F6" s="15" t="inlineStr">
        <is>
          <t>29103-65R-ET-P1001-01-01</t>
        </is>
      </c>
      <c r="G6" s="15" t="inlineStr">
        <is>
          <t>13.1</t>
        </is>
      </c>
      <c r="H6" s="15" t="inlineStr">
        <is>
          <t>1.3. 29103-HTP-101/1. EHT Insulation/29103-ET-P1001-1-2.pdf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YES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inlineStr">
        <is>
          <t>&gt;2.2 GΩ</t>
        </is>
      </c>
      <c r="V6" s="15" t="inlineStr">
        <is>
          <t>27.7 Ω</t>
        </is>
      </c>
      <c r="W6" s="15" t="inlineStr">
        <is>
          <t>2026-05-17</t>
        </is>
      </c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D/32SQ3150/53.7M/2674/277/2.1M/LS23A/X/N12</t>
        </is>
      </c>
      <c r="AK6" s="15" t="inlineStr">
        <is>
          <t>53.7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29103-ET-P1001-2-1</t>
        </is>
      </c>
      <c r="C7" s="15" t="inlineStr">
        <is>
          <t>29103-ET-P1001-2</t>
        </is>
      </c>
      <c r="D7" s="15" t="inlineStr">
        <is>
          <t>HTC-07 / CB-07</t>
        </is>
      </c>
      <c r="E7" s="15" t="inlineStr"/>
      <c r="F7" s="15" t="inlineStr">
        <is>
          <t>29103-65R-ET-P1001-02-01</t>
        </is>
      </c>
      <c r="G7" s="15" t="inlineStr">
        <is>
          <t>13.1</t>
        </is>
      </c>
      <c r="H7" s="15" t="inlineStr">
        <is>
          <t>1.3. 29103-HTP-101/1. EHT Insulation/29103-ET-P1001-2-1.pdf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YES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inlineStr">
        <is>
          <t>&gt;2.2 GΩ</t>
        </is>
      </c>
      <c r="V7" s="15" t="inlineStr">
        <is>
          <t>121.3 Ω</t>
        </is>
      </c>
      <c r="W7" s="15" t="inlineStr">
        <is>
          <t>2026-05-17</t>
        </is>
      </c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D/32SA2275/13.1M/639/277/2.1M/LS23A/X/N12</t>
        </is>
      </c>
      <c r="AK7" s="15" t="inlineStr">
        <is>
          <t>13.1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29103-ET-P2800-4-1</t>
        </is>
      </c>
      <c r="C8" s="15" t="inlineStr">
        <is>
          <t>29103-ET-P2800-4</t>
        </is>
      </c>
      <c r="D8" s="15" t="inlineStr">
        <is>
          <t>HTC-05 / CB-05</t>
        </is>
      </c>
      <c r="E8" s="15" t="inlineStr">
        <is>
          <t>29103-P-2800</t>
        </is>
      </c>
      <c r="F8" s="15" t="inlineStr">
        <is>
          <t>29103-65R-ET-P2800-04-01</t>
        </is>
      </c>
      <c r="G8" s="15" t="inlineStr">
        <is>
          <t>13.1</t>
        </is>
      </c>
      <c r="H8" s="15" t="inlineStr">
        <is>
          <t>1.3. 29103-HTP-101/1. EHT Insulation/29103-ET-P2800-4-1.pdf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D/32SQ3200/36.8M/2859/277/2.1M/LS23A/X/N12</t>
        </is>
      </c>
      <c r="AK8" s="15" t="inlineStr">
        <is>
          <t>36.8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29103-ET-P2800-5-1</t>
        </is>
      </c>
      <c r="C9" s="15" t="inlineStr">
        <is>
          <t>29103-ET-P2800-5</t>
        </is>
      </c>
      <c r="D9" s="15" t="inlineStr">
        <is>
          <t>HTC-02 / CB-02</t>
        </is>
      </c>
      <c r="E9" s="15" t="inlineStr">
        <is>
          <t>29103-P-2800</t>
        </is>
      </c>
      <c r="F9" s="15" t="inlineStr">
        <is>
          <t>29103-65R-ET-P2800-05-01</t>
        </is>
      </c>
      <c r="G9" s="15" t="inlineStr">
        <is>
          <t>13.1</t>
        </is>
      </c>
      <c r="H9" s="15" t="inlineStr">
        <is>
          <t>1.3. 29103-HTP-101/1. EHT Insulation/29103-ET-P2800-5-1.pdf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D/32SP4583/70.3M/4577/277/2.1M/LS23A/X/N12</t>
        </is>
      </c>
      <c r="AK9" s="15" t="inlineStr">
        <is>
          <t>70.3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29103-ET-P2800-6-1</t>
        </is>
      </c>
      <c r="C10" s="15" t="inlineStr">
        <is>
          <t>29103-ET-P2800-6</t>
        </is>
      </c>
      <c r="D10" s="15" t="inlineStr">
        <is>
          <t>HTC-06 / CB-06</t>
        </is>
      </c>
      <c r="E10" s="15" t="inlineStr">
        <is>
          <t>29103-P-2800</t>
        </is>
      </c>
      <c r="F10" s="15" t="inlineStr">
        <is>
          <t>29103-65R-ET-P2800-06-01</t>
        </is>
      </c>
      <c r="G10" s="15" t="inlineStr">
        <is>
          <t>13.1</t>
        </is>
      </c>
      <c r="H10" s="15" t="inlineStr">
        <is>
          <t>1.3. 29103-HTP-101/1. EHT Insulation/29103-ET-P2800-6-1.pdf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YES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inlineStr">
        <is>
          <t>&gt;2.2 GΩ</t>
        </is>
      </c>
      <c r="V10" s="15" t="inlineStr">
        <is>
          <t>26.9 Ω</t>
        </is>
      </c>
      <c r="W10" s="15" t="inlineStr">
        <is>
          <t>2026-05-17</t>
        </is>
      </c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D/32SQ3150/51.6M/2771/277/2.1M/LS23A/X/N12</t>
        </is>
      </c>
      <c r="AK10" s="15" t="inlineStr">
        <is>
          <t>51.6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29103-ET-P2800-6-2</t>
        </is>
      </c>
      <c r="C11" s="15" t="inlineStr">
        <is>
          <t>29103-ET-P2800-6</t>
        </is>
      </c>
      <c r="D11" s="15" t="inlineStr">
        <is>
          <t>HTC-06 / CB-06</t>
        </is>
      </c>
      <c r="E11" s="15" t="inlineStr">
        <is>
          <t>29103-P-2800</t>
        </is>
      </c>
      <c r="F11" s="15" t="inlineStr">
        <is>
          <t>29103-65R-ET-P2800-06-01</t>
        </is>
      </c>
      <c r="G11" s="15" t="inlineStr">
        <is>
          <t>13.1</t>
        </is>
      </c>
      <c r="H11" s="15" t="inlineStr">
        <is>
          <t>1.3. 29103-HTP-101/1. EHT Insulation/29103-ET-P2800-6-2.pdf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YES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inlineStr">
        <is>
          <t>&gt;2.2 GΩ</t>
        </is>
      </c>
      <c r="V11" s="15" t="inlineStr">
        <is>
          <t>26.8 Ω</t>
        </is>
      </c>
      <c r="W11" s="15" t="inlineStr">
        <is>
          <t>2026-05-17</t>
        </is>
      </c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D/32SQ3150/51.6M/2771/277/2.1M/LS23A/X/N12</t>
        </is>
      </c>
      <c r="AK11" s="15" t="inlineStr">
        <is>
          <t>51.6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29103-ET-P2800-7-1</t>
        </is>
      </c>
      <c r="C12" s="15" t="inlineStr">
        <is>
          <t>29103-ET-P2800-7</t>
        </is>
      </c>
      <c r="D12" s="15" t="inlineStr">
        <is>
          <t>HTC-38 / CB-38</t>
        </is>
      </c>
      <c r="E12" s="15" t="inlineStr">
        <is>
          <t>29103-P-2810, 29103-P-2800</t>
        </is>
      </c>
      <c r="F12" s="15" t="inlineStr">
        <is>
          <t>29103-65R-ET-P2800-07-01</t>
        </is>
      </c>
      <c r="G12" s="15" t="inlineStr">
        <is>
          <t>13.1</t>
        </is>
      </c>
      <c r="H12" s="15" t="inlineStr">
        <is>
          <t>1.3. 29103-HTP-101/1. EHT Insulation/29103-ET-P2800-7-1.pdf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YES</v>
      </c>
      <c r="L12" s="6" t="str">
        <f>IF(OR($A12="EHT Trace"),IF(AND($X12&lt;&gt;"",$Y12&lt;&gt;""),"YES","NO"),"N/A")</f>
        <v>YES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NO</v>
      </c>
      <c r="T12" s="15" t="n">
        <v>0</v>
      </c>
      <c r="U12" s="15" t="inlineStr">
        <is>
          <t>&gt;2.2 GΩ</t>
        </is>
      </c>
      <c r="V12" s="15" t="inlineStr">
        <is>
          <t>23 Ω</t>
        </is>
      </c>
      <c r="W12" s="15" t="inlineStr">
        <is>
          <t>2026-05-17</t>
        </is>
      </c>
      <c r="X12" s="15" t="inlineStr">
        <is>
          <t>550 MΩ</t>
        </is>
      </c>
      <c r="Y12" s="15" t="inlineStr">
        <is>
          <t>23.0 Ω</t>
        </is>
      </c>
      <c r="Z12" s="15" t="inlineStr">
        <is>
          <t>2026-09-20</t>
        </is>
      </c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D/32SQ3150/45.8M/3092/277/2.1M/LS23A/X/N12</t>
        </is>
      </c>
      <c r="AK12" s="15" t="inlineStr">
        <is>
          <t>45.8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29103-ET-P2800-7-2</t>
        </is>
      </c>
      <c r="C13" s="15" t="inlineStr">
        <is>
          <t>29103-ET-P2800-7</t>
        </is>
      </c>
      <c r="D13" s="15" t="inlineStr">
        <is>
          <t>HTC-38 / CB-38</t>
        </is>
      </c>
      <c r="E13" s="15" t="inlineStr">
        <is>
          <t>29103-P-2810, 29103-P-2800</t>
        </is>
      </c>
      <c r="F13" s="15" t="inlineStr">
        <is>
          <t>29103-65R-ET-P2800-07-01</t>
        </is>
      </c>
      <c r="G13" s="15" t="inlineStr">
        <is>
          <t>13.1</t>
        </is>
      </c>
      <c r="H13" s="15" t="inlineStr">
        <is>
          <t>1.3. 29103-HTP-101/1. EHT Insulation/29103-ET-P2800-7-2.pdf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YES</v>
      </c>
      <c r="L13" s="6" t="str">
        <f>IF(OR($A13="EHT Trace"),IF(AND($X13&lt;&gt;"",$Y13&lt;&gt;""),"YES","NO"),"N/A")</f>
        <v>YES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YES</v>
      </c>
      <c r="S13" s="6" t="str">
        <f>IF(COUNTIF(I13:R13,"NO")=0,"YES","NO")</f>
        <v>NO</v>
      </c>
      <c r="T13" s="15" t="n">
        <v>0</v>
      </c>
      <c r="U13" s="15" t="inlineStr">
        <is>
          <t>&gt;2.2 GΩ</t>
        </is>
      </c>
      <c r="V13" s="15" t="inlineStr">
        <is>
          <t>23.1 Ω</t>
        </is>
      </c>
      <c r="W13" s="15" t="inlineStr">
        <is>
          <t>2026-05-17</t>
        </is>
      </c>
      <c r="X13" s="15" t="inlineStr">
        <is>
          <t>550 MΩ</t>
        </is>
      </c>
      <c r="Y13" s="15" t="inlineStr">
        <is>
          <t>23.1 Ω</t>
        </is>
      </c>
      <c r="Z13" s="15" t="inlineStr">
        <is>
          <t>2026-09-20</t>
        </is>
      </c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D/32SQ3150/45.8M/3092/277/2.1M/LS23A/X/N12</t>
        </is>
      </c>
      <c r="AK13" s="15" t="inlineStr">
        <is>
          <t>45.8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29103-ET-PE1001-1-1</t>
        </is>
      </c>
      <c r="C14" s="15" t="inlineStr">
        <is>
          <t>29103-ET-PE1001-1</t>
        </is>
      </c>
      <c r="D14" s="15" t="inlineStr">
        <is>
          <t>HTC-12 / CB-12</t>
        </is>
      </c>
      <c r="E14" s="15" t="inlineStr">
        <is>
          <t>29103-PE-1002, 29103-PE-1001</t>
        </is>
      </c>
      <c r="F14" s="15" t="inlineStr">
        <is>
          <t>29103-65R-ET-PE1001-01-01</t>
        </is>
      </c>
      <c r="G14" s="15" t="inlineStr">
        <is>
          <t>13.1</t>
        </is>
      </c>
      <c r="H14" s="15" t="inlineStr">
        <is>
          <t>1.3. 29103-HTP-101/1. EHT Insulation/29103-ET-PE1001-1-1.pdf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D/32SQ3150/51.4M/2781/277/2.1M/LS23A/X/N12</t>
        </is>
      </c>
      <c r="AK14" s="15" t="inlineStr">
        <is>
          <t>51.4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29103-ET-PE1001-1-2</t>
        </is>
      </c>
      <c r="C15" s="15" t="inlineStr">
        <is>
          <t>29103-ET-PE1001-1</t>
        </is>
      </c>
      <c r="D15" s="15" t="inlineStr">
        <is>
          <t>HTC-12 / CB-12</t>
        </is>
      </c>
      <c r="E15" s="15" t="inlineStr">
        <is>
          <t>29103-PE-1002, 29103-PE-1001</t>
        </is>
      </c>
      <c r="F15" s="15" t="inlineStr">
        <is>
          <t>29103-65R-ET-PE1001-01-01</t>
        </is>
      </c>
      <c r="G15" s="15" t="inlineStr">
        <is>
          <t>13.1</t>
        </is>
      </c>
      <c r="H15" s="15" t="inlineStr">
        <is>
          <t>1.3. 29103-HTP-101/1. EHT Insulation/29103-ET-PE1001-1-2.pdf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D/32SQ3150/51.4M/2781/277/2.1M/LS23A/X/N12</t>
        </is>
      </c>
      <c r="AK15" s="15" t="inlineStr">
        <is>
          <t>51.4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29103-ET-PE1002-1-1</t>
        </is>
      </c>
      <c r="C16" s="15" t="inlineStr">
        <is>
          <t>29103-ET-PE1002-1</t>
        </is>
      </c>
      <c r="D16" s="15" t="inlineStr">
        <is>
          <t>HTC-23 / CB-23</t>
        </is>
      </c>
      <c r="E16" s="15" t="inlineStr">
        <is>
          <t>29103-PE-1002</t>
        </is>
      </c>
      <c r="F16" s="15" t="inlineStr">
        <is>
          <t>29103-65R-ET-PE1002-01-01</t>
        </is>
      </c>
      <c r="G16" s="15" t="inlineStr">
        <is>
          <t>13.1</t>
        </is>
      </c>
      <c r="H16" s="15" t="inlineStr">
        <is>
          <t>1.3. 29103-HTP-101/1. EHT Insulation/29103-ET-PE1002-1-1.pdf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D/32SA2200/13.8M/835/277/2.1M/LS23A/X/N12</t>
        </is>
      </c>
      <c r="AK16" s="15" t="inlineStr">
        <is>
          <t>13.8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29103-ET-PE1803-4-1</t>
        </is>
      </c>
      <c r="C17" s="15" t="inlineStr">
        <is>
          <t>29103-ET-PE1803-4</t>
        </is>
      </c>
      <c r="D17" s="15" t="inlineStr">
        <is>
          <t>HTC-18 / CB-18</t>
        </is>
      </c>
      <c r="E17" s="15" t="inlineStr">
        <is>
          <t>29103-PE-1805</t>
        </is>
      </c>
      <c r="F17" s="15" t="inlineStr">
        <is>
          <t>29103-65R-ET-PE1803-04-01</t>
        </is>
      </c>
      <c r="G17" s="15" t="inlineStr">
        <is>
          <t>13.1</t>
        </is>
      </c>
      <c r="H17" s="15" t="inlineStr">
        <is>
          <t>1.3. 29103-HTP-101/1. EHT Insulation/29103-ET-PE1803-4-1.pdf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E/32SQ3472/10.8M/423/87.2/1.2M/LS23A/X/N12/XNF</t>
        </is>
      </c>
      <c r="AK17" s="15" t="inlineStr">
        <is>
          <t>10.8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29103-ET-PE1803-4-2</t>
        </is>
      </c>
      <c r="C18" s="15" t="inlineStr">
        <is>
          <t>29103-ET-PE1803-4</t>
        </is>
      </c>
      <c r="D18" s="15" t="inlineStr">
        <is>
          <t>HTC-18 / CB-18</t>
        </is>
      </c>
      <c r="E18" s="15" t="inlineStr">
        <is>
          <t>29103-PE-1805</t>
        </is>
      </c>
      <c r="F18" s="15" t="inlineStr">
        <is>
          <t>29103-65R-ET-PE1803-04-01</t>
        </is>
      </c>
      <c r="G18" s="15" t="inlineStr">
        <is>
          <t>13.1</t>
        </is>
      </c>
      <c r="H18" s="15" t="inlineStr">
        <is>
          <t>1.3. 29103-HTP-101/1. EHT Insulation/29103-ET-PE1803-4-2.pdf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E/32SQ3472/15.1M/592/122/1.2M/LS23A/X/N12/XMF</t>
        </is>
      </c>
      <c r="AK18" s="15" t="inlineStr">
        <is>
          <t>15.1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29103-ET-PE1803-4-3</t>
        </is>
      </c>
      <c r="C19" s="15" t="inlineStr">
        <is>
          <t>29103-ET-PE1803-4</t>
        </is>
      </c>
      <c r="D19" s="15" t="inlineStr">
        <is>
          <t>HTC-18 / CB-18</t>
        </is>
      </c>
      <c r="E19" s="15" t="inlineStr">
        <is>
          <t>29103-PE-1804, 29103-PE-1803</t>
        </is>
      </c>
      <c r="F19" s="15" t="inlineStr">
        <is>
          <t>29103-65R-ET-PE1803-04-01</t>
        </is>
      </c>
      <c r="G19" s="15" t="inlineStr">
        <is>
          <t>13.1</t>
        </is>
      </c>
      <c r="H19" s="15" t="inlineStr">
        <is>
          <t>1.3. 29103-HTP-101/1. EHT Insulation/29103-ET-PE1803-4-3.pdf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D/32SQ3472/8.4M/329/67.8/1.2M/LS23A/X/N12/XMN</t>
        </is>
      </c>
      <c r="AK19" s="15" t="inlineStr">
        <is>
          <t>8.4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29103-ET-PE2802-3-1</t>
        </is>
      </c>
      <c r="C20" s="15" t="inlineStr">
        <is>
          <t>29103-ET-PE2802-3</t>
        </is>
      </c>
      <c r="D20" s="15" t="inlineStr">
        <is>
          <t>HTC-03 / CB-03</t>
        </is>
      </c>
      <c r="E20" s="15" t="inlineStr">
        <is>
          <t>29103-PE-2802</t>
        </is>
      </c>
      <c r="F20" s="15" t="inlineStr">
        <is>
          <t>29103-65R-ET-PE2802-03-01</t>
        </is>
      </c>
      <c r="G20" s="15" t="inlineStr">
        <is>
          <t>13.1</t>
        </is>
      </c>
      <c r="H20" s="15" t="inlineStr">
        <is>
          <t>1.3. 29103-HTP-101/1. EHT Insulation/29103-ET-PE2802-3-1.pdf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D/32SP4458/18M/1580/74.1/2.1M/LS23A/X/N12</t>
        </is>
      </c>
      <c r="AK20" s="15" t="inlineStr">
        <is>
          <t>18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29103-ET-PE2802-3-2</t>
        </is>
      </c>
      <c r="C21" s="15" t="inlineStr">
        <is>
          <t>29103-ET-PE2802-3</t>
        </is>
      </c>
      <c r="D21" s="15" t="inlineStr">
        <is>
          <t>HTC-03 / CB-03</t>
        </is>
      </c>
      <c r="E21" s="15" t="inlineStr">
        <is>
          <t>29103-PE-2802</t>
        </is>
      </c>
      <c r="F21" s="15" t="inlineStr">
        <is>
          <t>29103-65R-ET-PE2802-03-01</t>
        </is>
      </c>
      <c r="G21" s="15" t="inlineStr">
        <is>
          <t>13.1</t>
        </is>
      </c>
      <c r="H21" s="15" t="inlineStr">
        <is>
          <t>1.3. 29103-HTP-101/1. EHT Insulation/29103-ET-PE2802-3-2.pdf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D/32SP4458/49.3M/4329/203/1.2M/LS23A/X/N12</t>
        </is>
      </c>
      <c r="AK21" s="15" t="inlineStr">
        <is>
          <t>49.3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29103-ET-PE2802-4-1</t>
        </is>
      </c>
      <c r="C22" s="15" t="inlineStr">
        <is>
          <t>29103-ET-PE2802-4</t>
        </is>
      </c>
      <c r="D22" s="15" t="inlineStr">
        <is>
          <t>HTC-10 / CB-10</t>
        </is>
      </c>
      <c r="E22" s="15" t="inlineStr">
        <is>
          <t>29103-PE-2802</t>
        </is>
      </c>
      <c r="F22" s="15" t="inlineStr">
        <is>
          <t>29103-65R-ET-PE2802-04-01</t>
        </is>
      </c>
      <c r="G22" s="15" t="inlineStr">
        <is>
          <t>13.1</t>
        </is>
      </c>
      <c r="H22" s="15" t="inlineStr">
        <is>
          <t>1.3. 29103-HTP-101/1. EHT Insulation/29103-ET-PE2802-4-1.pdf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D/32SQ3100/47.3M/4441/277/1.2M/LS23A/X/N12</t>
        </is>
      </c>
      <c r="AK22" s="15" t="inlineStr">
        <is>
          <t>47.3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29103-ET-PE2802-5-1</t>
        </is>
      </c>
      <c r="C23" s="15" t="inlineStr">
        <is>
          <t>29103-ET-PE2802-5</t>
        </is>
      </c>
      <c r="D23" s="15" t="inlineStr">
        <is>
          <t>HTC-37 / CB-37</t>
        </is>
      </c>
      <c r="E23" s="15" t="inlineStr">
        <is>
          <t>29103-PE-2812, 29103-PE-2802</t>
        </is>
      </c>
      <c r="F23" s="15" t="inlineStr">
        <is>
          <t>29103-65R-ET-PE2802-05-01</t>
        </is>
      </c>
      <c r="G23" s="15" t="inlineStr">
        <is>
          <t>13.1</t>
        </is>
      </c>
      <c r="H23" s="15" t="inlineStr">
        <is>
          <t>1.3. 29103-HTP-101/1. EHT Insulation/29103-ET-PE2802-5-1.pdf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D/32SQ3200/51.7M/2094/277/2.1M/LS23A/X/N12</t>
        </is>
      </c>
      <c r="AK23" s="15" t="inlineStr">
        <is>
          <t>51.7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29103-ET-PE2802-5-2</t>
        </is>
      </c>
      <c r="C24" s="15" t="inlineStr">
        <is>
          <t>29103-ET-PE2802-5</t>
        </is>
      </c>
      <c r="D24" s="15" t="inlineStr">
        <is>
          <t>HTC-37 / CB-37</t>
        </is>
      </c>
      <c r="E24" s="15" t="inlineStr">
        <is>
          <t>29103-PE-2812, 29103-PE-2802</t>
        </is>
      </c>
      <c r="F24" s="15" t="inlineStr">
        <is>
          <t>29103-65R-ET-PE2802-05-01</t>
        </is>
      </c>
      <c r="G24" s="15" t="inlineStr">
        <is>
          <t>13.1</t>
        </is>
      </c>
      <c r="H24" s="15" t="inlineStr">
        <is>
          <t>1.3. 29103-HTP-101/1. EHT Insulation/29103-ET-PE2802-5-2.pdf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D/32SQ3200/51.7M/2094/277/2.1M/LS23A/X/N12</t>
        </is>
      </c>
      <c r="AK24" s="15" t="inlineStr">
        <is>
          <t>51.7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29103-ET-PE2803-3-1</t>
        </is>
      </c>
      <c r="C25" s="15" t="inlineStr">
        <is>
          <t>29103-ET-PE2803-3</t>
        </is>
      </c>
      <c r="D25" s="15" t="inlineStr">
        <is>
          <t>HTC-04 / CB-04</t>
        </is>
      </c>
      <c r="E25" s="15" t="inlineStr">
        <is>
          <t>29103-PE-2803</t>
        </is>
      </c>
      <c r="F25" s="15" t="inlineStr">
        <is>
          <t>29103-65R-ET-PE2803-03-01</t>
        </is>
      </c>
      <c r="G25" s="15" t="inlineStr">
        <is>
          <t>13.1</t>
        </is>
      </c>
      <c r="H25" s="15" t="inlineStr">
        <is>
          <t>1.3. 29103-HTP-101/1. EHT Insulation/29103-ET-PE2803-3-1.pdf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D/32SQ3150/53.8M/2668/277/1.2M/LS23A/X/N12</t>
        </is>
      </c>
      <c r="AK25" s="15" t="inlineStr">
        <is>
          <t>53.8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29103-ET-ST1809-1-1</t>
        </is>
      </c>
      <c r="C26" s="15" t="inlineStr">
        <is>
          <t>29103-ET-ST1809-1</t>
        </is>
      </c>
      <c r="D26" s="15" t="inlineStr">
        <is>
          <t>HTC-17 / CB-17</t>
        </is>
      </c>
      <c r="E26" s="15" t="inlineStr">
        <is>
          <t>29103-ST-1811, 29103-ST-1810, 29103-ST-1809, 29103- SC-1802, 29103-SC-1801</t>
        </is>
      </c>
      <c r="F26" s="15" t="inlineStr">
        <is>
          <t>29103-65R-ET-ST1809-01-01</t>
        </is>
      </c>
      <c r="G26" s="15" t="inlineStr">
        <is>
          <t>13.1</t>
        </is>
      </c>
      <c r="H26" s="15" t="inlineStr">
        <is>
          <t>1.3. 29103-HTP-101/1. EHT Insulation/29103-ET-ST1809-1-1.pdf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&gt;550 MΩ</t>
        </is>
      </c>
      <c r="V26" s="15" t="inlineStr">
        <is>
          <t>95.4 Ω</t>
        </is>
      </c>
      <c r="W26" s="15" t="inlineStr">
        <is>
          <t>2026-05-18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D/32SB3700/40.6M/820/277/1.2M/LS23A/X/N12</t>
        </is>
      </c>
      <c r="AK26" s="15" t="inlineStr">
        <is>
          <t>40.6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29103-ET-ST2801-1-1</t>
        </is>
      </c>
      <c r="C27" s="15" t="inlineStr">
        <is>
          <t>29103-ET-ST2801-1</t>
        </is>
      </c>
      <c r="D27" s="15" t="inlineStr">
        <is>
          <t>29103-AMB-014</t>
        </is>
      </c>
      <c r="E27" s="15" t="inlineStr">
        <is>
          <t>29103-ST-2801, 29103-ST-2800</t>
        </is>
      </c>
      <c r="F27" s="15" t="inlineStr">
        <is>
          <t>29103-65R-ET-ST2801-01-01</t>
        </is>
      </c>
      <c r="G27" s="15" t="inlineStr">
        <is>
          <t>13.1</t>
        </is>
      </c>
      <c r="H27" s="15" t="inlineStr">
        <is>
          <t>1.3. 29103-HTP-101/1. EHT Insulation/29103-ET-ST2801-1-1.pdf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D/32SA2400/22.1M/265/277/1.2M/LS23A/X/N12</t>
        </is>
      </c>
      <c r="AK27" s="15" t="inlineStr">
        <is>
          <t>22.1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29103-ET-ST2803-1-1</t>
        </is>
      </c>
      <c r="C28" s="15" t="inlineStr">
        <is>
          <t>29103-ET-ST2803-1</t>
        </is>
      </c>
      <c r="D28" s="15" t="inlineStr">
        <is>
          <t>29103-AMB-014</t>
        </is>
      </c>
      <c r="E28" s="15" t="inlineStr">
        <is>
          <t>29103-ST-2803</t>
        </is>
      </c>
      <c r="F28" s="15" t="inlineStr">
        <is>
          <t>29103-65R-ET-ST2803-01-01</t>
        </is>
      </c>
      <c r="G28" s="15" t="inlineStr">
        <is>
          <t>13.1</t>
        </is>
      </c>
      <c r="H28" s="15" t="inlineStr">
        <is>
          <t>1.3. 29103-HTP-101/1. EHT Insulation/29103-ET-ST2803-1-1.pdf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D/32SB3700/22.5M/608/178/1.2M/LS23A/X/N12</t>
        </is>
      </c>
      <c r="AK28" s="15" t="inlineStr">
        <is>
          <t>22.5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29103-ET-ST2803-1-2</t>
        </is>
      </c>
      <c r="C29" s="15" t="inlineStr">
        <is>
          <t>29103-ET-ST2803-1</t>
        </is>
      </c>
      <c r="D29" s="15" t="inlineStr">
        <is>
          <t>29103-AMB-014</t>
        </is>
      </c>
      <c r="E29" s="15" t="inlineStr">
        <is>
          <t>29103-ST-2804</t>
        </is>
      </c>
      <c r="F29" s="15" t="inlineStr">
        <is>
          <t>29103-65R-ET-ST2803-01-01</t>
        </is>
      </c>
      <c r="G29" s="15" t="inlineStr">
        <is>
          <t>13.1</t>
        </is>
      </c>
      <c r="H29" s="15" t="inlineStr">
        <is>
          <t>1.3. 29103-HTP-101/1. EHT Insulation/29103-ET-ST2803-1-2.pdf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D/32SB3700/12.6M/340/99.4/1.2M/LS23A/X/N12</t>
        </is>
      </c>
      <c r="AK29" s="15" t="inlineStr">
        <is>
          <t>12.6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29103-ET-ST2805-1-1</t>
        </is>
      </c>
      <c r="C30" s="15" t="inlineStr">
        <is>
          <t>29103-ET-ST2805-1</t>
        </is>
      </c>
      <c r="D30" s="15" t="inlineStr">
        <is>
          <t>29103-AMB-014</t>
        </is>
      </c>
      <c r="E30" s="15" t="inlineStr">
        <is>
          <t>29103-ST-2805</t>
        </is>
      </c>
      <c r="F30" s="15" t="inlineStr">
        <is>
          <t>29103-65R-ET-ST2805-01-01</t>
        </is>
      </c>
      <c r="G30" s="15" t="inlineStr">
        <is>
          <t>13.1</t>
        </is>
      </c>
      <c r="H30" s="15" t="inlineStr">
        <is>
          <t>1.3. 29103-HTP-101/1. EHT Insulation/29103-ET-ST2805-1-1.pdf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D/32SB3700/22.3M/611/177/1.2M/LS23A/X/N12</t>
        </is>
      </c>
      <c r="AK30" s="15" t="inlineStr">
        <is>
          <t>22.3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29103-ET-ST2805-1-2</t>
        </is>
      </c>
      <c r="C31" s="15" t="inlineStr">
        <is>
          <t>29103-ET-ST2805-1</t>
        </is>
      </c>
      <c r="D31" s="15" t="inlineStr">
        <is>
          <t>29103-AMB-014</t>
        </is>
      </c>
      <c r="E31" s="15" t="inlineStr">
        <is>
          <t>29103-ST-2806</t>
        </is>
      </c>
      <c r="F31" s="15" t="inlineStr">
        <is>
          <t>29103-65R-ET-ST2805-01-01</t>
        </is>
      </c>
      <c r="G31" s="15" t="inlineStr">
        <is>
          <t>13.1</t>
        </is>
      </c>
      <c r="H31" s="15" t="inlineStr">
        <is>
          <t>1.3. 29103-HTP-101/1. EHT Insulation/29103-ET-ST2805-1-2.pdf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D/32SB3700/12.6M/345/100/1.2M/LS23A/X/N12</t>
        </is>
      </c>
      <c r="AK31" s="15" t="inlineStr">
        <is>
          <t>12.6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29103-ET-UT1400-1-1</t>
        </is>
      </c>
      <c r="C32" s="15" t="inlineStr">
        <is>
          <t>29103-ET-UT1400-1</t>
        </is>
      </c>
      <c r="D32" s="15" t="inlineStr">
        <is>
          <t>HTC-11 / CB-11</t>
        </is>
      </c>
      <c r="E32" s="15" t="inlineStr"/>
      <c r="F32" s="15" t="inlineStr">
        <is>
          <t>29103-65R-ET-UT1400-01-01</t>
        </is>
      </c>
      <c r="G32" s="15" t="inlineStr">
        <is>
          <t>13.1</t>
        </is>
      </c>
      <c r="H32" s="15" t="inlineStr">
        <is>
          <t>1.3. 29103-HTP-101/1. EHT Insulation/29103-ET-UT1400-1-1.pdf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NO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20XTVR2-CT</t>
        </is>
      </c>
      <c r="AK32" s="15" t="inlineStr">
        <is>
          <t>8.9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29103-AMB-014</t>
        </is>
      </c>
      <c r="C33" s="15" t="inlineStr"/>
      <c r="D33" s="15" t="inlineStr"/>
      <c r="E33" s="15" t="inlineStr">
        <is>
          <t>29103-HTP-101</t>
        </is>
      </c>
      <c r="F33" s="15" t="inlineStr"/>
      <c r="G33" s="15" t="inlineStr">
        <is>
          <t>113</t>
        </is>
      </c>
      <c r="H33" s="15" t="inlineStr">
        <is>
          <t>1.3. 29103-HTP-101/3. Power Cables/29103-AMB-014.pdf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NO</v>
      </c>
      <c r="O33" s="6" t="str">
        <f>IF(OR($A33="Power Cable",$A33="RTD Cable",$A33="Fieldbus Cable"),IF(AND($AE33&lt;&gt;""),"YES","NO"),"N/A")</f>
        <v>NO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Teck</t>
        </is>
      </c>
      <c r="AK33" s="15" t="inlineStr">
        <is>
          <t>8AWG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29103-ET-P1001-1-PWK-1</t>
        </is>
      </c>
      <c r="C34" s="15" t="inlineStr">
        <is>
          <t>29103-ET-P1001-1</t>
        </is>
      </c>
      <c r="D34" s="15" t="inlineStr"/>
      <c r="E34" s="15" t="inlineStr">
        <is>
          <t>29103-HTP-101</t>
        </is>
      </c>
      <c r="F34" s="15" t="inlineStr"/>
      <c r="G34" s="15" t="inlineStr">
        <is>
          <t>113</t>
        </is>
      </c>
      <c r="H34" s="15" t="inlineStr">
        <is>
          <t>1.3. 29103-HTP-101/3. Power Cables/29103-ET-P1001-1-PWK-1.pdf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NO</v>
      </c>
      <c r="O34" s="6" t="str">
        <f>IF(OR($A34="Power Cable",$A34="RTD Cable",$A34="Fieldbus Cable"),IF(AND($AE34&lt;&gt;""),"YES","NO"),"N/A")</f>
        <v>NO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Teck</t>
        </is>
      </c>
      <c r="AK34" s="15" t="inlineStr">
        <is>
          <t>8AWG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29103-ET-P1001-2-PWK-1</t>
        </is>
      </c>
      <c r="C35" s="15" t="inlineStr">
        <is>
          <t>29103-ET-P1001-2</t>
        </is>
      </c>
      <c r="D35" s="15" t="inlineStr"/>
      <c r="E35" s="15" t="inlineStr">
        <is>
          <t>29103-HTP-101</t>
        </is>
      </c>
      <c r="F35" s="15" t="inlineStr"/>
      <c r="G35" s="15" t="inlineStr">
        <is>
          <t>113</t>
        </is>
      </c>
      <c r="H35" s="15" t="inlineStr">
        <is>
          <t>1.3. 29103-HTP-101/3. Power Cables/29103-ET-P1001-2-PWK-1.pdf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NO</v>
      </c>
      <c r="O35" s="6" t="str">
        <f>IF(OR($A35="Power Cable",$A35="RTD Cable",$A35="Fieldbus Cable"),IF(AND($AE35&lt;&gt;""),"YES","NO"),"N/A")</f>
        <v>NO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Teck</t>
        </is>
      </c>
      <c r="AK35" s="15" t="inlineStr">
        <is>
          <t>10AWG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29103-ET-P2800-4-PWK-1</t>
        </is>
      </c>
      <c r="C36" s="15" t="inlineStr">
        <is>
          <t>29103-ET-P2800-4</t>
        </is>
      </c>
      <c r="D36" s="15" t="inlineStr"/>
      <c r="E36" s="15" t="inlineStr">
        <is>
          <t>29103-HTP-101</t>
        </is>
      </c>
      <c r="F36" s="15" t="inlineStr"/>
      <c r="G36" s="15" t="inlineStr">
        <is>
          <t>113</t>
        </is>
      </c>
      <c r="H36" s="15" t="inlineStr">
        <is>
          <t>1.3. 29103-HTP-101/3. Power Cables/29103-ET-P2800-4-PWK-1.pdf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NO</v>
      </c>
      <c r="O36" s="6" t="str">
        <f>IF(OR($A36="Power Cable",$A36="RTD Cable",$A36="Fieldbus Cable"),IF(AND($AE36&lt;&gt;""),"YES","NO"),"N/A")</f>
        <v>NO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Teck</t>
        </is>
      </c>
      <c r="AK36" s="15" t="inlineStr">
        <is>
          <t>10AWG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29103-ET-P2800-5-PWK-1</t>
        </is>
      </c>
      <c r="C37" s="15" t="inlineStr">
        <is>
          <t>29103-ET-P2800-5</t>
        </is>
      </c>
      <c r="D37" s="15" t="inlineStr"/>
      <c r="E37" s="15" t="inlineStr">
        <is>
          <t>29103-HTP-101</t>
        </is>
      </c>
      <c r="F37" s="15" t="inlineStr"/>
      <c r="G37" s="15" t="inlineStr">
        <is>
          <t>113</t>
        </is>
      </c>
      <c r="H37" s="15" t="inlineStr">
        <is>
          <t>1.3. 29103-HTP-101/3. Power Cables/29103-ET-P2800-5-PWK-1.pdf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NO</v>
      </c>
      <c r="O37" s="6" t="str">
        <f>IF(OR($A37="Power Cable",$A37="RTD Cable",$A37="Fieldbus Cable"),IF(AND($AE37&lt;&gt;""),"YES","NO"),"N/A")</f>
        <v>NO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Teck</t>
        </is>
      </c>
      <c r="AK37" s="15" t="inlineStr">
        <is>
          <t>10AWG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Power Cable</t>
        </is>
      </c>
      <c r="B38" s="15" t="inlineStr">
        <is>
          <t>29103-ET-P2800-6-PWK-1</t>
        </is>
      </c>
      <c r="C38" s="15" t="inlineStr">
        <is>
          <t>29103-ET-P2800-6</t>
        </is>
      </c>
      <c r="D38" s="15" t="inlineStr"/>
      <c r="E38" s="15" t="inlineStr">
        <is>
          <t>29103-HTP-101</t>
        </is>
      </c>
      <c r="F38" s="15" t="inlineStr"/>
      <c r="G38" s="15" t="inlineStr">
        <is>
          <t>113</t>
        </is>
      </c>
      <c r="H38" s="15" t="inlineStr">
        <is>
          <t>1.3. 29103-HTP-101/3. Power Cables/29103-ET-P2800-6-PWK-1.pdf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NO</v>
      </c>
      <c r="O38" s="6" t="str">
        <f>IF(OR($A38="Power Cable",$A38="RTD Cable",$A38="Fieldbus Cable"),IF(AND($AE38&lt;&gt;""),"YES","NO"),"N/A")</f>
        <v>NO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Teck</t>
        </is>
      </c>
      <c r="AK38" s="15" t="inlineStr">
        <is>
          <t>8AWG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Power Cable</t>
        </is>
      </c>
      <c r="B39" s="15" t="inlineStr">
        <is>
          <t>29103-ET-P2800-7-PWK-1</t>
        </is>
      </c>
      <c r="C39" s="15" t="inlineStr">
        <is>
          <t>29103-ET-P2800-7</t>
        </is>
      </c>
      <c r="D39" s="15" t="inlineStr"/>
      <c r="E39" s="15" t="inlineStr">
        <is>
          <t>29103-HTP-101</t>
        </is>
      </c>
      <c r="F39" s="15" t="inlineStr"/>
      <c r="G39" s="15" t="inlineStr">
        <is>
          <t>113</t>
        </is>
      </c>
      <c r="H39" s="15" t="inlineStr">
        <is>
          <t>1.3. 29103-HTP-101/3. Power Cables/29103-ET-P2800-7-PWK-1.pdf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NO</v>
      </c>
      <c r="O39" s="6" t="str">
        <f>IF(OR($A39="Power Cable",$A39="RTD Cable",$A39="Fieldbus Cable"),IF(AND($AE39&lt;&gt;""),"YES","NO"),"N/A")</f>
        <v>NO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Teck</t>
        </is>
      </c>
      <c r="AK39" s="15" t="inlineStr">
        <is>
          <t>8AWG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Power Cable</t>
        </is>
      </c>
      <c r="B40" s="15" t="inlineStr">
        <is>
          <t>29103-ET-PE1001-1-PWK-1</t>
        </is>
      </c>
      <c r="C40" s="15" t="inlineStr">
        <is>
          <t>29103-ET-PE1001-1</t>
        </is>
      </c>
      <c r="D40" s="15" t="inlineStr"/>
      <c r="E40" s="15" t="inlineStr">
        <is>
          <t>29103-HTP-101</t>
        </is>
      </c>
      <c r="F40" s="15" t="inlineStr"/>
      <c r="G40" s="15" t="inlineStr">
        <is>
          <t>113</t>
        </is>
      </c>
      <c r="H40" s="15" t="inlineStr">
        <is>
          <t>1.3. 29103-HTP-101/3. Power Cables/29103-ET-PE1001-1-PWK-1.pdf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N/A</v>
      </c>
      <c r="L40" s="6" t="str">
        <f>IF(OR($A40="EHT Trace"),IF(AND($X40&lt;&gt;"",$Y40&lt;&gt;""),"YES","NO"),"N/A")</f>
        <v>N/A</v>
      </c>
      <c r="M40" s="6" t="str">
        <f>IF(OR($A40="EHT Trace"),IF(AND($AA40&lt;&gt;"",$AB40&lt;&gt;""),"YES","NO"),"N/A")</f>
        <v>N/A</v>
      </c>
      <c r="N40" s="6" t="str">
        <f>IF(OR($A40="Power Cable"),IF(AND($AD40&lt;&gt;""),"YES","NO"),"N/A")</f>
        <v>NO</v>
      </c>
      <c r="O40" s="6" t="str">
        <f>IF(OR($A40="Power Cable",$A40="RTD Cable",$A40="Fieldbus Cable"),IF(AND($AE40&lt;&gt;""),"YES","NO"),"N/A")</f>
        <v>NO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Teck</t>
        </is>
      </c>
      <c r="AK40" s="15" t="inlineStr">
        <is>
          <t>8AWG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Power Cable</t>
        </is>
      </c>
      <c r="B41" s="15" t="inlineStr">
        <is>
          <t>29103-ET-PE1002-1-PWK-1</t>
        </is>
      </c>
      <c r="C41" s="15" t="inlineStr">
        <is>
          <t>29103-ET-PE1002-1</t>
        </is>
      </c>
      <c r="D41" s="15" t="inlineStr"/>
      <c r="E41" s="15" t="inlineStr">
        <is>
          <t>29103-HTP-101</t>
        </is>
      </c>
      <c r="F41" s="15" t="inlineStr"/>
      <c r="G41" s="15" t="inlineStr">
        <is>
          <t>113</t>
        </is>
      </c>
      <c r="H41" s="15" t="inlineStr">
        <is>
          <t>1.3. 29103-HTP-101/3. Power Cables/29103-ET-PE1002-1-PWK-1.pdf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N/A</v>
      </c>
      <c r="L41" s="6" t="str">
        <f>IF(OR($A41="EHT Trace"),IF(AND($X41&lt;&gt;"",$Y41&lt;&gt;""),"YES","NO"),"N/A")</f>
        <v>N/A</v>
      </c>
      <c r="M41" s="6" t="str">
        <f>IF(OR($A41="EHT Trace"),IF(AND($AA41&lt;&gt;"",$AB41&lt;&gt;""),"YES","NO"),"N/A")</f>
        <v>N/A</v>
      </c>
      <c r="N41" s="6" t="str">
        <f>IF(OR($A41="Power Cable"),IF(AND($AD41&lt;&gt;""),"YES","NO"),"N/A")</f>
        <v>NO</v>
      </c>
      <c r="O41" s="6" t="str">
        <f>IF(OR($A41="Power Cable",$A41="RTD Cable",$A41="Fieldbus Cable"),IF(AND($AE41&lt;&gt;""),"YES","NO"),"N/A")</f>
        <v>NO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Teck</t>
        </is>
      </c>
      <c r="AK41" s="15" t="inlineStr">
        <is>
          <t>10AWG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Power Cable</t>
        </is>
      </c>
      <c r="B42" s="15" t="inlineStr">
        <is>
          <t>29103-ET-PE1803-4-PWK-1</t>
        </is>
      </c>
      <c r="C42" s="15" t="inlineStr">
        <is>
          <t>29103-ET-PE1803-4</t>
        </is>
      </c>
      <c r="D42" s="15" t="inlineStr"/>
      <c r="E42" s="15" t="inlineStr">
        <is>
          <t>29103-HTP-101</t>
        </is>
      </c>
      <c r="F42" s="15" t="inlineStr"/>
      <c r="G42" s="15" t="inlineStr">
        <is>
          <t>113</t>
        </is>
      </c>
      <c r="H42" s="15" t="inlineStr">
        <is>
          <t>1.3. 29103-HTP-101/3. Power Cables/29103-ET-PE1803-4-PWK-1.pdf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N/A</v>
      </c>
      <c r="L42" s="6" t="str">
        <f>IF(OR($A42="EHT Trace"),IF(AND($X42&lt;&gt;"",$Y42&lt;&gt;""),"YES","NO"),"N/A")</f>
        <v>N/A</v>
      </c>
      <c r="M42" s="6" t="str">
        <f>IF(OR($A42="EHT Trace"),IF(AND($AA42&lt;&gt;"",$AB42&lt;&gt;""),"YES","NO"),"N/A")</f>
        <v>N/A</v>
      </c>
      <c r="N42" s="6" t="str">
        <f>IF(OR($A42="Power Cable"),IF(AND($AD42&lt;&gt;""),"YES","NO"),"N/A")</f>
        <v>NO</v>
      </c>
      <c r="O42" s="6" t="str">
        <f>IF(OR($A42="Power Cable",$A42="RTD Cable",$A42="Fieldbus Cable"),IF(AND($AE42&lt;&gt;""),"YES","NO"),"N/A")</f>
        <v>NO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Teck</t>
        </is>
      </c>
      <c r="AK42" s="15" t="inlineStr">
        <is>
          <t>10AWG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Power Cable</t>
        </is>
      </c>
      <c r="B43" s="15" t="inlineStr">
        <is>
          <t>29103-ET-PE2802-3-PWK-1</t>
        </is>
      </c>
      <c r="C43" s="15" t="inlineStr">
        <is>
          <t>29103-ET-PE2802-3</t>
        </is>
      </c>
      <c r="D43" s="15" t="inlineStr"/>
      <c r="E43" s="15" t="inlineStr">
        <is>
          <t>29103-HTP-101</t>
        </is>
      </c>
      <c r="F43" s="15" t="inlineStr"/>
      <c r="G43" s="15" t="inlineStr">
        <is>
          <t>113</t>
        </is>
      </c>
      <c r="H43" s="15" t="inlineStr">
        <is>
          <t>1.3. 29103-HTP-101/3. Power Cables/29103-ET-PE2802-3-PWK-1.pdf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N/A</v>
      </c>
      <c r="L43" s="6" t="str">
        <f>IF(OR($A43="EHT Trace"),IF(AND($X43&lt;&gt;"",$Y43&lt;&gt;""),"YES","NO"),"N/A")</f>
        <v>N/A</v>
      </c>
      <c r="M43" s="6" t="str">
        <f>IF(OR($A43="EHT Trace"),IF(AND($AA43&lt;&gt;"",$AB43&lt;&gt;""),"YES","NO"),"N/A")</f>
        <v>N/A</v>
      </c>
      <c r="N43" s="6" t="str">
        <f>IF(OR($A43="Power Cable"),IF(AND($AD43&lt;&gt;""),"YES","NO"),"N/A")</f>
        <v>NO</v>
      </c>
      <c r="O43" s="6" t="str">
        <f>IF(OR($A43="Power Cable",$A43="RTD Cable",$A43="Fieldbus Cable"),IF(AND($AE43&lt;&gt;""),"YES","NO"),"N/A")</f>
        <v>NO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Teck</t>
        </is>
      </c>
      <c r="AK43" s="15" t="inlineStr">
        <is>
          <t>8AWG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Power Cable</t>
        </is>
      </c>
      <c r="B44" s="15" t="inlineStr">
        <is>
          <t>29103-ET-PE2802-4-PWK-1</t>
        </is>
      </c>
      <c r="C44" s="15" t="inlineStr">
        <is>
          <t>29103-ET-PE2802-4</t>
        </is>
      </c>
      <c r="D44" s="15" t="inlineStr"/>
      <c r="E44" s="15" t="inlineStr">
        <is>
          <t>29103-HTP-101</t>
        </is>
      </c>
      <c r="F44" s="15" t="inlineStr"/>
      <c r="G44" s="15" t="inlineStr">
        <is>
          <t>113</t>
        </is>
      </c>
      <c r="H44" s="15" t="inlineStr">
        <is>
          <t>1.3. 29103-HTP-101/3. Power Cables/29103-ET-PE2802-4-PWK-1.pdf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N/A</v>
      </c>
      <c r="L44" s="6" t="str">
        <f>IF(OR($A44="EHT Trace"),IF(AND($X44&lt;&gt;"",$Y44&lt;&gt;""),"YES","NO"),"N/A")</f>
        <v>N/A</v>
      </c>
      <c r="M44" s="6" t="str">
        <f>IF(OR($A44="EHT Trace"),IF(AND($AA44&lt;&gt;"",$AB44&lt;&gt;""),"YES","NO"),"N/A")</f>
        <v>N/A</v>
      </c>
      <c r="N44" s="6" t="str">
        <f>IF(OR($A44="Power Cable"),IF(AND($AD44&lt;&gt;""),"YES","NO"),"N/A")</f>
        <v>NO</v>
      </c>
      <c r="O44" s="6" t="str">
        <f>IF(OR($A44="Power Cable",$A44="RTD Cable",$A44="Fieldbus Cable"),IF(AND($AE44&lt;&gt;""),"YES","NO"),"N/A")</f>
        <v>NO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Teck</t>
        </is>
      </c>
      <c r="AK44" s="15" t="inlineStr">
        <is>
          <t>10AWG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Power Cable</t>
        </is>
      </c>
      <c r="B45" s="15" t="inlineStr">
        <is>
          <t>29103-ET-PE2802-5-PWK-1</t>
        </is>
      </c>
      <c r="C45" s="15" t="inlineStr">
        <is>
          <t>29103-ET-PE2802-5</t>
        </is>
      </c>
      <c r="D45" s="15" t="inlineStr"/>
      <c r="E45" s="15" t="inlineStr">
        <is>
          <t>29103-HTP-101</t>
        </is>
      </c>
      <c r="F45" s="15" t="inlineStr"/>
      <c r="G45" s="15" t="inlineStr">
        <is>
          <t>113</t>
        </is>
      </c>
      <c r="H45" s="15" t="inlineStr">
        <is>
          <t>1.3. 29103-HTP-101/3. Power Cables/29103-ET-PE2802-5-PWK-1.pdf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N/A</v>
      </c>
      <c r="L45" s="6" t="str">
        <f>IF(OR($A45="EHT Trace"),IF(AND($X45&lt;&gt;"",$Y45&lt;&gt;""),"YES","NO"),"N/A")</f>
        <v>N/A</v>
      </c>
      <c r="M45" s="6" t="str">
        <f>IF(OR($A45="EHT Trace"),IF(AND($AA45&lt;&gt;"",$AB45&lt;&gt;""),"YES","NO"),"N/A")</f>
        <v>N/A</v>
      </c>
      <c r="N45" s="6" t="str">
        <f>IF(OR($A45="Power Cable"),IF(AND($AD45&lt;&gt;""),"YES","NO"),"N/A")</f>
        <v>NO</v>
      </c>
      <c r="O45" s="6" t="str">
        <f>IF(OR($A45="Power Cable",$A45="RTD Cable",$A45="Fieldbus Cable"),IF(AND($AE45&lt;&gt;""),"YES","NO"),"N/A")</f>
        <v>NO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Teck</t>
        </is>
      </c>
      <c r="AK45" s="15" t="inlineStr">
        <is>
          <t>10AWG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Power Cable</t>
        </is>
      </c>
      <c r="B46" s="15" t="inlineStr">
        <is>
          <t>29103-ET-PE2803-3-PWK-1</t>
        </is>
      </c>
      <c r="C46" s="15" t="inlineStr">
        <is>
          <t>29103-ET-PE2803-3</t>
        </is>
      </c>
      <c r="D46" s="15" t="inlineStr"/>
      <c r="E46" s="15" t="inlineStr">
        <is>
          <t>29103-HTP-101</t>
        </is>
      </c>
      <c r="F46" s="15" t="inlineStr"/>
      <c r="G46" s="15" t="inlineStr">
        <is>
          <t>113</t>
        </is>
      </c>
      <c r="H46" s="15" t="inlineStr">
        <is>
          <t>1.3. 29103-HTP-101/3. Power Cables/29103-ET-PE2803-3-PWK-1.pdf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N/A</v>
      </c>
      <c r="L46" s="6" t="str">
        <f>IF(OR($A46="EHT Trace"),IF(AND($X46&lt;&gt;"",$Y46&lt;&gt;""),"YES","NO"),"N/A")</f>
        <v>N/A</v>
      </c>
      <c r="M46" s="6" t="str">
        <f>IF(OR($A46="EHT Trace"),IF(AND($AA46&lt;&gt;"",$AB46&lt;&gt;""),"YES","NO"),"N/A")</f>
        <v>N/A</v>
      </c>
      <c r="N46" s="6" t="str">
        <f>IF(OR($A46="Power Cable"),IF(AND($AD46&lt;&gt;""),"YES","NO"),"N/A")</f>
        <v>NO</v>
      </c>
      <c r="O46" s="6" t="str">
        <f>IF(OR($A46="Power Cable",$A46="RTD Cable",$A46="Fieldbus Cable"),IF(AND($AE46&lt;&gt;""),"YES","NO"),"N/A")</f>
        <v>NO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Teck</t>
        </is>
      </c>
      <c r="AK46" s="15" t="inlineStr">
        <is>
          <t>10AWG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Power Cable</t>
        </is>
      </c>
      <c r="B47" s="15" t="inlineStr">
        <is>
          <t>29103-ET-ST1809-1-PWK-1</t>
        </is>
      </c>
      <c r="C47" s="15" t="inlineStr">
        <is>
          <t>29103-ET-ST1809-1</t>
        </is>
      </c>
      <c r="D47" s="15" t="inlineStr"/>
      <c r="E47" s="15" t="inlineStr">
        <is>
          <t>29103-HTP-101</t>
        </is>
      </c>
      <c r="F47" s="15" t="inlineStr"/>
      <c r="G47" s="15" t="inlineStr">
        <is>
          <t>113</t>
        </is>
      </c>
      <c r="H47" s="15" t="inlineStr">
        <is>
          <t>1.3. 29103-HTP-101/3. Power Cables/29103-ET-ST1809-1-PWK-1.pdf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N/A</v>
      </c>
      <c r="L47" s="6" t="str">
        <f>IF(OR($A47="EHT Trace"),IF(AND($X47&lt;&gt;"",$Y47&lt;&gt;""),"YES","NO"),"N/A")</f>
        <v>N/A</v>
      </c>
      <c r="M47" s="6" t="str">
        <f>IF(OR($A47="EHT Trace"),IF(AND($AA47&lt;&gt;"",$AB47&lt;&gt;""),"YES","NO"),"N/A")</f>
        <v>N/A</v>
      </c>
      <c r="N47" s="6" t="str">
        <f>IF(OR($A47="Power Cable"),IF(AND($AD47&lt;&gt;""),"YES","NO"),"N/A")</f>
        <v>NO</v>
      </c>
      <c r="O47" s="6" t="str">
        <f>IF(OR($A47="Power Cable",$A47="RTD Cable",$A47="Fieldbus Cable"),IF(AND($AE47&lt;&gt;""),"YES","NO"),"N/A")</f>
        <v>NO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Teck</t>
        </is>
      </c>
      <c r="AK47" s="15" t="inlineStr">
        <is>
          <t>10AWG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Power Cable</t>
        </is>
      </c>
      <c r="B48" s="15" t="inlineStr">
        <is>
          <t>29103-ET-ST2801-1-PWK-1</t>
        </is>
      </c>
      <c r="C48" s="15" t="inlineStr">
        <is>
          <t>29103-ET-ST2801-1</t>
        </is>
      </c>
      <c r="D48" s="15" t="inlineStr"/>
      <c r="E48" s="15" t="inlineStr">
        <is>
          <t>29103-HTP-101</t>
        </is>
      </c>
      <c r="F48" s="15" t="inlineStr"/>
      <c r="G48" s="15" t="inlineStr">
        <is>
          <t>113</t>
        </is>
      </c>
      <c r="H48" s="15" t="inlineStr">
        <is>
          <t>1.3. 29103-HTP-101/3. Power Cables/29103-ET-ST2801-1-PWK-1.pdf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N/A</v>
      </c>
      <c r="L48" s="6" t="str">
        <f>IF(OR($A48="EHT Trace"),IF(AND($X48&lt;&gt;"",$Y48&lt;&gt;""),"YES","NO"),"N/A")</f>
        <v>N/A</v>
      </c>
      <c r="M48" s="6" t="str">
        <f>IF(OR($A48="EHT Trace"),IF(AND($AA48&lt;&gt;"",$AB48&lt;&gt;""),"YES","NO"),"N/A")</f>
        <v>N/A</v>
      </c>
      <c r="N48" s="6" t="str">
        <f>IF(OR($A48="Power Cable"),IF(AND($AD48&lt;&gt;""),"YES","NO"),"N/A")</f>
        <v>NO</v>
      </c>
      <c r="O48" s="6" t="str">
        <f>IF(OR($A48="Power Cable",$A48="RTD Cable",$A48="Fieldbus Cable"),IF(AND($AE48&lt;&gt;""),"YES","NO"),"N/A")</f>
        <v>NO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Teck</t>
        </is>
      </c>
      <c r="AK48" s="15" t="inlineStr">
        <is>
          <t>10AWG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Power Cable</t>
        </is>
      </c>
      <c r="B49" s="15" t="inlineStr">
        <is>
          <t>29103-ET-ST2803-1-PWK-1</t>
        </is>
      </c>
      <c r="C49" s="15" t="inlineStr">
        <is>
          <t>29103-ET-ST2803-1</t>
        </is>
      </c>
      <c r="D49" s="15" t="inlineStr"/>
      <c r="E49" s="15" t="inlineStr">
        <is>
          <t>29103-HTP-101</t>
        </is>
      </c>
      <c r="F49" s="15" t="inlineStr"/>
      <c r="G49" s="15" t="inlineStr">
        <is>
          <t>113</t>
        </is>
      </c>
      <c r="H49" s="15" t="inlineStr">
        <is>
          <t>1.3. 29103-HTP-101/3. Power Cables/29103-ET-ST2803-1-PWK-1.pdf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N/A</v>
      </c>
      <c r="L49" s="6" t="str">
        <f>IF(OR($A49="EHT Trace"),IF(AND($X49&lt;&gt;"",$Y49&lt;&gt;""),"YES","NO"),"N/A")</f>
        <v>N/A</v>
      </c>
      <c r="M49" s="6" t="str">
        <f>IF(OR($A49="EHT Trace"),IF(AND($AA49&lt;&gt;"",$AB49&lt;&gt;""),"YES","NO"),"N/A")</f>
        <v>N/A</v>
      </c>
      <c r="N49" s="6" t="str">
        <f>IF(OR($A49="Power Cable"),IF(AND($AD49&lt;&gt;""),"YES","NO"),"N/A")</f>
        <v>NO</v>
      </c>
      <c r="O49" s="6" t="str">
        <f>IF(OR($A49="Power Cable",$A49="RTD Cable",$A49="Fieldbus Cable"),IF(AND($AE49&lt;&gt;""),"YES","NO"),"N/A")</f>
        <v>NO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Teck</t>
        </is>
      </c>
      <c r="AK49" s="15" t="inlineStr">
        <is>
          <t>10AWG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Power Cable</t>
        </is>
      </c>
      <c r="B50" s="15" t="inlineStr">
        <is>
          <t>29103-ET-ST2805-1-PWK-1</t>
        </is>
      </c>
      <c r="C50" s="15" t="inlineStr">
        <is>
          <t>29103-ET-ST2805-1</t>
        </is>
      </c>
      <c r="D50" s="15" t="inlineStr"/>
      <c r="E50" s="15" t="inlineStr">
        <is>
          <t>29103-HTP-101</t>
        </is>
      </c>
      <c r="F50" s="15" t="inlineStr"/>
      <c r="G50" s="15" t="inlineStr">
        <is>
          <t>113</t>
        </is>
      </c>
      <c r="H50" s="15" t="inlineStr">
        <is>
          <t>1.3. 29103-HTP-101/3. Power Cables/29103-ET-ST2805-1-PWK-1.pdf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N/A</v>
      </c>
      <c r="L50" s="6" t="str">
        <f>IF(OR($A50="EHT Trace"),IF(AND($X50&lt;&gt;"",$Y50&lt;&gt;""),"YES","NO"),"N/A")</f>
        <v>N/A</v>
      </c>
      <c r="M50" s="6" t="str">
        <f>IF(OR($A50="EHT Trace"),IF(AND($AA50&lt;&gt;"",$AB50&lt;&gt;""),"YES","NO"),"N/A")</f>
        <v>N/A</v>
      </c>
      <c r="N50" s="6" t="str">
        <f>IF(OR($A50="Power Cable"),IF(AND($AD50&lt;&gt;""),"YES","NO"),"N/A")</f>
        <v>NO</v>
      </c>
      <c r="O50" s="6" t="str">
        <f>IF(OR($A50="Power Cable",$A50="RTD Cable",$A50="Fieldbus Cable"),IF(AND($AE50&lt;&gt;""),"YES","NO"),"N/A")</f>
        <v>NO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Teck</t>
        </is>
      </c>
      <c r="AK50" s="15" t="inlineStr">
        <is>
          <t>10AWG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Power Cable</t>
        </is>
      </c>
      <c r="B51" s="15" t="inlineStr">
        <is>
          <t>29103-ET-UT1400-1-PWK-1</t>
        </is>
      </c>
      <c r="C51" s="15" t="inlineStr">
        <is>
          <t>29103-ET-UT1400-1</t>
        </is>
      </c>
      <c r="D51" s="15" t="inlineStr"/>
      <c r="E51" s="15" t="inlineStr">
        <is>
          <t>29103-HTP-101</t>
        </is>
      </c>
      <c r="F51" s="15" t="inlineStr"/>
      <c r="G51" s="15" t="inlineStr">
        <is>
          <t>113</t>
        </is>
      </c>
      <c r="H51" s="15" t="inlineStr">
        <is>
          <t>1.3. 29103-HTP-101/3. Power Cables/29103-ET-UT1400-1-PWK-1.pdf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N/A</v>
      </c>
      <c r="L51" s="6" t="str">
        <f>IF(OR($A51="EHT Trace"),IF(AND($X51&lt;&gt;"",$Y51&lt;&gt;""),"YES","NO"),"N/A")</f>
        <v>N/A</v>
      </c>
      <c r="M51" s="6" t="str">
        <f>IF(OR($A51="EHT Trace"),IF(AND($AA51&lt;&gt;"",$AB51&lt;&gt;""),"YES","NO"),"N/A")</f>
        <v>N/A</v>
      </c>
      <c r="N51" s="6" t="str">
        <f>IF(OR($A51="Power Cable"),IF(AND($AD51&lt;&gt;""),"YES","NO"),"N/A")</f>
        <v>NO</v>
      </c>
      <c r="O51" s="6" t="str">
        <f>IF(OR($A51="Power Cable",$A51="RTD Cable",$A51="Fieldbus Cable"),IF(AND($AE51&lt;&gt;""),"YES","NO"),"N/A")</f>
        <v>NO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Teck</t>
        </is>
      </c>
      <c r="AK51" s="15" t="inlineStr">
        <is>
          <t>10AWG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RTD</t>
        </is>
      </c>
      <c r="B52" s="15" t="inlineStr">
        <is>
          <t>29103-ET-P1001-1-R-1</t>
        </is>
      </c>
      <c r="C52" s="15" t="inlineStr">
        <is>
          <t>29103-ET-P1001-1</t>
        </is>
      </c>
      <c r="D52" s="15" t="inlineStr">
        <is>
          <t>29103-HTP-101 HTC-39</t>
        </is>
      </c>
      <c r="E52" s="15" t="inlineStr">
        <is>
          <t>PRODUCED EMULSION</t>
        </is>
      </c>
      <c r="F52" s="15" t="inlineStr">
        <is>
          <t>29103-65R-ET-P1001-01-01</t>
        </is>
      </c>
      <c r="G52" s="15" t="inlineStr">
        <is>
          <t>13.2</t>
        </is>
      </c>
      <c r="H52" s="15" t="inlineStr">
        <is>
          <t>1.3. 29103-HTP-101/2. RTD Inspection/29103-ET-P1001-1-R-1.pdf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N/A</v>
      </c>
      <c r="L52" s="6" t="str">
        <f>IF(OR($A52="EHT Trace"),IF(AND($X52&lt;&gt;"",$Y52&lt;&gt;""),"YES","NO"),"N/A")</f>
        <v>N/A</v>
      </c>
      <c r="M52" s="6" t="str">
        <f>IF(OR($A52="EHT Trace"),IF(AND($AA52&lt;&gt;"",$AB52&lt;&gt;""),"YES","NO"),"N/A")</f>
        <v>N/A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NO</v>
      </c>
      <c r="Q52" s="6" t="str">
        <f>IF(OR($A52="RTD"),IF(AND($AI52&lt;&gt;""),"YES","NO"),"N/A")</f>
        <v>NO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inlineStr">
        <is>
          <t>Levy Ostrup</t>
        </is>
      </c>
      <c r="AM52" s="15" t="n"/>
      <c r="AN52" s="15" t="n"/>
    </row>
    <row r="53">
      <c r="A53" s="15" t="inlineStr">
        <is>
          <t>RTD</t>
        </is>
      </c>
      <c r="B53" s="15" t="inlineStr">
        <is>
          <t>29103-ET-P2800-4-R-1</t>
        </is>
      </c>
      <c r="C53" s="15" t="inlineStr">
        <is>
          <t>29103-ET-P2800-4</t>
        </is>
      </c>
      <c r="D53" s="15" t="inlineStr">
        <is>
          <t>29103-HTP-101 HTC-05</t>
        </is>
      </c>
      <c r="E53" s="15" t="inlineStr">
        <is>
          <t>PRODUCED EMULSION</t>
        </is>
      </c>
      <c r="F53" s="15" t="inlineStr">
        <is>
          <t>29103-65R-ET-P2800-04-01</t>
        </is>
      </c>
      <c r="G53" s="15" t="inlineStr">
        <is>
          <t>13.2</t>
        </is>
      </c>
      <c r="H53" s="15" t="inlineStr">
        <is>
          <t>1.3. 29103-HTP-101/2. RTD Inspection/29103-ET-P2800-4-R-1.pdf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N/A</v>
      </c>
      <c r="L53" s="6" t="str">
        <f>IF(OR($A53="EHT Trace"),IF(AND($X53&lt;&gt;"",$Y53&lt;&gt;""),"YES","NO"),"N/A")</f>
        <v>N/A</v>
      </c>
      <c r="M53" s="6" t="str">
        <f>IF(OR($A53="EHT Trace"),IF(AND($AA53&lt;&gt;"",$AB53&lt;&gt;""),"YES","NO"),"N/A")</f>
        <v>N/A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NO</v>
      </c>
      <c r="Q53" s="6" t="str">
        <f>IF(OR($A53="RTD"),IF(AND($AI53&lt;&gt;""),"YES","NO"),"N/A")</f>
        <v>NO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inlineStr">
        <is>
          <t>Levy Ostrup</t>
        </is>
      </c>
      <c r="AM53" s="15" t="n"/>
      <c r="AN53" s="15" t="n"/>
    </row>
    <row r="54">
      <c r="A54" s="15" t="inlineStr">
        <is>
          <t>RTD</t>
        </is>
      </c>
      <c r="B54" s="15" t="inlineStr">
        <is>
          <t>29103-ET-P2800-5-R-1</t>
        </is>
      </c>
      <c r="C54" s="15" t="inlineStr">
        <is>
          <t>29103-ET-P2800-5</t>
        </is>
      </c>
      <c r="D54" s="15" t="inlineStr">
        <is>
          <t>29103-HTP-101 HTC-02</t>
        </is>
      </c>
      <c r="E54" s="15" t="inlineStr">
        <is>
          <t>PRODUCED EMULSION</t>
        </is>
      </c>
      <c r="F54" s="15" t="inlineStr">
        <is>
          <t>29103-65R-ET-P2800-05-01</t>
        </is>
      </c>
      <c r="G54" s="15" t="inlineStr">
        <is>
          <t>13.2</t>
        </is>
      </c>
      <c r="H54" s="15" t="inlineStr">
        <is>
          <t>1.3. 29103-HTP-101/2. RTD Inspection/29103-ET-P2800-5-R-1.pdf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N/A</v>
      </c>
      <c r="L54" s="6" t="str">
        <f>IF(OR($A54="EHT Trace"),IF(AND($X54&lt;&gt;"",$Y54&lt;&gt;""),"YES","NO"),"N/A")</f>
        <v>N/A</v>
      </c>
      <c r="M54" s="6" t="str">
        <f>IF(OR($A54="EHT Trace"),IF(AND($AA54&lt;&gt;"",$AB54&lt;&gt;""),"YES","NO"),"N/A")</f>
        <v>N/A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NO</v>
      </c>
      <c r="Q54" s="6" t="str">
        <f>IF(OR($A54="RTD"),IF(AND($AI54&lt;&gt;""),"YES","NO"),"N/A")</f>
        <v>NO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inlineStr">
        <is>
          <t>Levy Ostrup</t>
        </is>
      </c>
      <c r="AM54" s="15" t="n"/>
      <c r="AN54" s="15" t="n"/>
    </row>
    <row r="55">
      <c r="A55" s="15" t="inlineStr">
        <is>
          <t>RTD</t>
        </is>
      </c>
      <c r="B55" s="15" t="inlineStr">
        <is>
          <t>29103-ET-P2800-6-R-1</t>
        </is>
      </c>
      <c r="C55" s="15" t="inlineStr">
        <is>
          <t>29103-ET-P2800-6</t>
        </is>
      </c>
      <c r="D55" s="15" t="inlineStr">
        <is>
          <t>29103-HTP-101 HTC-06</t>
        </is>
      </c>
      <c r="E55" s="15" t="inlineStr">
        <is>
          <t>PRODUCED EMULSION</t>
        </is>
      </c>
      <c r="F55" s="15" t="inlineStr">
        <is>
          <t>29103-65R-ET-P2800-06-01</t>
        </is>
      </c>
      <c r="G55" s="15" t="inlineStr">
        <is>
          <t>13.2</t>
        </is>
      </c>
      <c r="H55" s="15" t="inlineStr">
        <is>
          <t>1.3. 29103-HTP-101/2. RTD Inspection/29103-ET-P2800-6-R-1.pdf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N/A</v>
      </c>
      <c r="L55" s="6" t="str">
        <f>IF(OR($A55="EHT Trace"),IF(AND($X55&lt;&gt;"",$Y55&lt;&gt;""),"YES","NO"),"N/A")</f>
        <v>N/A</v>
      </c>
      <c r="M55" s="6" t="str">
        <f>IF(OR($A55="EHT Trace"),IF(AND($AA55&lt;&gt;"",$AB55&lt;&gt;""),"YES","NO"),"N/A")</f>
        <v>N/A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NO</v>
      </c>
      <c r="Q55" s="6" t="str">
        <f>IF(OR($A55="RTD"),IF(AND($AI55&lt;&gt;""),"YES","NO"),"N/A")</f>
        <v>NO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n"/>
      <c r="AK55" s="15" t="n"/>
      <c r="AL55" s="15" t="inlineStr">
        <is>
          <t>Levy Ostrup</t>
        </is>
      </c>
      <c r="AM55" s="15" t="n"/>
      <c r="AN55" s="15" t="n"/>
    </row>
    <row r="56">
      <c r="A56" s="15" t="inlineStr">
        <is>
          <t>RTD</t>
        </is>
      </c>
      <c r="B56" s="15" t="inlineStr">
        <is>
          <t>29103-ET-P2800-7-R-1</t>
        </is>
      </c>
      <c r="C56" s="15" t="inlineStr">
        <is>
          <t>29103-ET-P2800-7</t>
        </is>
      </c>
      <c r="D56" s="15" t="inlineStr">
        <is>
          <t>29103-HTP-101 HTC-38 / CB-38</t>
        </is>
      </c>
      <c r="E56" s="15" t="inlineStr">
        <is>
          <t>PRODUCED EMULSION</t>
        </is>
      </c>
      <c r="F56" s="15" t="inlineStr">
        <is>
          <t>29103-65R-ET-P2800-07-01 Rev 1A0   Trace: 29103-ET-P2800-7-1</t>
        </is>
      </c>
      <c r="G56" s="15" t="inlineStr">
        <is>
          <t>13.2</t>
        </is>
      </c>
      <c r="H56" s="15" t="inlineStr">
        <is>
          <t>10-01_GIM_GONCHO/EHT Cable ITRS/2. RTD Inspection/29103-ET-P2800-7-R-1.pdf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N/A</v>
      </c>
      <c r="L56" s="6" t="str">
        <f>IF(OR($A56="EHT Trace"),IF(AND($X56&lt;&gt;"",$Y56&lt;&gt;""),"YES","NO"),"N/A")</f>
        <v>N/A</v>
      </c>
      <c r="M56" s="6" t="str">
        <f>IF(OR($A56="EHT Trace"),IF(AND($AA56&lt;&gt;"",$AB56&lt;&gt;""),"YES","NO"),"N/A")</f>
        <v>N/A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NO</v>
      </c>
      <c r="Q56" s="6" t="str">
        <f>IF(OR($A56="RTD"),IF(AND($AI56&lt;&gt;""),"YES","NO"),"N/A")</f>
        <v>NO</v>
      </c>
      <c r="R56" s="6" t="str">
        <f>IF(OR($AM56&lt;&gt;"",$Z56&lt;&gt;"",$AC56&lt;&gt;""),"YES","NO")</f>
        <v>YES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n"/>
      <c r="AK56" s="15" t="n"/>
      <c r="AL56" s="15" t="inlineStr">
        <is>
          <t>Levy Ostrup</t>
        </is>
      </c>
      <c r="AM56" s="15" t="inlineStr">
        <is>
          <t>09/20/2026</t>
        </is>
      </c>
      <c r="AN56" s="15" t="n"/>
    </row>
    <row r="57">
      <c r="A57" s="15" t="inlineStr">
        <is>
          <t>RTD</t>
        </is>
      </c>
      <c r="B57" s="15" t="inlineStr">
        <is>
          <t>29103-ET-P2800-7-R-2</t>
        </is>
      </c>
      <c r="C57" s="15" t="inlineStr">
        <is>
          <t>29103-ET-P2800-7</t>
        </is>
      </c>
      <c r="D57" s="15" t="inlineStr">
        <is>
          <t>29103-HTP-101</t>
        </is>
      </c>
      <c r="E57" s="15" t="inlineStr">
        <is>
          <t>PRODUCED EMULSION</t>
        </is>
      </c>
      <c r="F57" s="15" t="inlineStr">
        <is>
          <t>Zone drawing: 29103   Trace: 29103-ET-P2800-7-2</t>
        </is>
      </c>
      <c r="G57" s="15" t="inlineStr">
        <is>
          <t>13.2</t>
        </is>
      </c>
      <c r="H57" s="15" t="inlineStr">
        <is>
          <t>10-01_GIM_GONCHO/EHT Cable ITRS/2. RTD Inspection/29103-ET-P2800-7-R-2.pdf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N/A</v>
      </c>
      <c r="L57" s="6" t="str">
        <f>IF(OR($A57="EHT Trace"),IF(AND($X57&lt;&gt;"",$Y57&lt;&gt;""),"YES","NO"),"N/A")</f>
        <v>N/A</v>
      </c>
      <c r="M57" s="6" t="str">
        <f>IF(OR($A57="EHT Trace"),IF(AND($AA57&lt;&gt;"",$AB57&lt;&gt;""),"YES","NO"),"N/A")</f>
        <v>N/A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NO</v>
      </c>
      <c r="Q57" s="6" t="str">
        <f>IF(OR($A57="RTD"),IF(AND($AI57&lt;&gt;""),"YES","NO"),"N/A")</f>
        <v>NO</v>
      </c>
      <c r="R57" s="6" t="str">
        <f>IF(OR($AM57&lt;&gt;"",$Z57&lt;&gt;"",$AC57&lt;&gt;""),"YES","NO")</f>
        <v>YES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n"/>
      <c r="AK57" s="15" t="n"/>
      <c r="AL57" s="15" t="inlineStr">
        <is>
          <t>Levy Ostrup</t>
        </is>
      </c>
      <c r="AM57" s="15" t="inlineStr">
        <is>
          <t>09/20/2026</t>
        </is>
      </c>
      <c r="AN57" s="15" t="n"/>
    </row>
    <row r="58">
      <c r="A58" s="15" t="inlineStr">
        <is>
          <t>RTD</t>
        </is>
      </c>
      <c r="B58" s="15" t="inlineStr">
        <is>
          <t>29103-ET-PE1001-1-R-1</t>
        </is>
      </c>
      <c r="C58" s="15" t="inlineStr">
        <is>
          <t>29103-ET-PE1001-1</t>
        </is>
      </c>
      <c r="D58" s="15" t="inlineStr">
        <is>
          <t>29103-HTP-101 HTC-12</t>
        </is>
      </c>
      <c r="E58" s="15" t="inlineStr">
        <is>
          <t>PRODUCED EMULSION</t>
        </is>
      </c>
      <c r="F58" s="15" t="inlineStr">
        <is>
          <t>29103-65R-ET-PE1001-01-01</t>
        </is>
      </c>
      <c r="G58" s="15" t="inlineStr">
        <is>
          <t>13.2</t>
        </is>
      </c>
      <c r="H58" s="15" t="inlineStr">
        <is>
          <t>1.3. 29103-HTP-101/2. RTD Inspection/29103-ET-PE1001-1-R-1.pdf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N/A</v>
      </c>
      <c r="L58" s="6" t="str">
        <f>IF(OR($A58="EHT Trace"),IF(AND($X58&lt;&gt;"",$Y58&lt;&gt;""),"YES","NO"),"N/A")</f>
        <v>N/A</v>
      </c>
      <c r="M58" s="6" t="str">
        <f>IF(OR($A58="EHT Trace"),IF(AND($AA58&lt;&gt;"",$AB58&lt;&gt;""),"YES","NO"),"N/A")</f>
        <v>N/A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NO</v>
      </c>
      <c r="Q58" s="6" t="str">
        <f>IF(OR($A58="RTD"),IF(AND($AI58&lt;&gt;""),"YES","NO"),"N/A")</f>
        <v>NO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n"/>
      <c r="AK58" s="15" t="n"/>
      <c r="AL58" s="15" t="inlineStr">
        <is>
          <t>Levy Ostrup</t>
        </is>
      </c>
      <c r="AM58" s="15" t="n"/>
      <c r="AN58" s="15" t="n"/>
    </row>
    <row r="59">
      <c r="A59" s="15" t="inlineStr">
        <is>
          <t>RTD</t>
        </is>
      </c>
      <c r="B59" s="15" t="inlineStr">
        <is>
          <t>29103-ET-PE1001-1-R-2</t>
        </is>
      </c>
      <c r="C59" s="15" t="inlineStr">
        <is>
          <t>29103-ET-PE1001-1</t>
        </is>
      </c>
      <c r="D59" s="15" t="inlineStr">
        <is>
          <t>29103-HTP-101 I/O-1-4</t>
        </is>
      </c>
      <c r="E59" s="15" t="inlineStr">
        <is>
          <t>PRODUCED EMULSION</t>
        </is>
      </c>
      <c r="F59" s="15" t="inlineStr">
        <is>
          <t>29103-65R-ET-PE1001-01-01</t>
        </is>
      </c>
      <c r="G59" s="15" t="inlineStr">
        <is>
          <t>13.2</t>
        </is>
      </c>
      <c r="H59" s="15" t="inlineStr">
        <is>
          <t>1.3. 29103-HTP-101/2. RTD Inspection/29103-ET-PE1001-1-R-2.pdf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N/A</v>
      </c>
      <c r="L59" s="6" t="str">
        <f>IF(OR($A59="EHT Trace"),IF(AND($X59&lt;&gt;"",$Y59&lt;&gt;""),"YES","NO"),"N/A")</f>
        <v>N/A</v>
      </c>
      <c r="M59" s="6" t="str">
        <f>IF(OR($A59="EHT Trace"),IF(AND($AA59&lt;&gt;"",$AB59&lt;&gt;""),"YES","NO"),"N/A")</f>
        <v>N/A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NO</v>
      </c>
      <c r="Q59" s="6" t="str">
        <f>IF(OR($A59="RTD"),IF(AND($AI59&lt;&gt;""),"YES","NO"),"N/A")</f>
        <v>NO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n"/>
      <c r="AK59" s="15" t="n"/>
      <c r="AL59" s="15" t="inlineStr">
        <is>
          <t>Levy Ostrup</t>
        </is>
      </c>
      <c r="AM59" s="15" t="n"/>
      <c r="AN59" s="15" t="n"/>
    </row>
    <row r="60">
      <c r="A60" s="15" t="inlineStr">
        <is>
          <t>RTD</t>
        </is>
      </c>
      <c r="B60" s="15" t="inlineStr">
        <is>
          <t>29103-ET-PE1803-4-R-1</t>
        </is>
      </c>
      <c r="C60" s="15" t="inlineStr">
        <is>
          <t>29103-ET-PE1803-4</t>
        </is>
      </c>
      <c r="D60" s="15" t="inlineStr">
        <is>
          <t>29103-HTP-101 HTC-18</t>
        </is>
      </c>
      <c r="E60" s="15" t="inlineStr">
        <is>
          <t>PRODUCED EMULSION</t>
        </is>
      </c>
      <c r="F60" s="15" t="inlineStr">
        <is>
          <t>29103-65R-ET-PE1803-04-01</t>
        </is>
      </c>
      <c r="G60" s="15" t="inlineStr">
        <is>
          <t>13.2</t>
        </is>
      </c>
      <c r="H60" s="15" t="inlineStr">
        <is>
          <t>1.3. 29103-HTP-101/2. RTD Inspection/29103-ET-PE1803-4-R-1.pdf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N/A</v>
      </c>
      <c r="L60" s="6" t="str">
        <f>IF(OR($A60="EHT Trace"),IF(AND($X60&lt;&gt;"",$Y60&lt;&gt;""),"YES","NO"),"N/A")</f>
        <v>N/A</v>
      </c>
      <c r="M60" s="6" t="str">
        <f>IF(OR($A60="EHT Trace"),IF(AND($AA60&lt;&gt;"",$AB60&lt;&gt;""),"YES","NO"),"N/A")</f>
        <v>N/A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NO</v>
      </c>
      <c r="Q60" s="6" t="str">
        <f>IF(OR($A60="RTD"),IF(AND($AI60&lt;&gt;""),"YES","NO"),"N/A")</f>
        <v>NO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n"/>
      <c r="AK60" s="15" t="n"/>
      <c r="AL60" s="15" t="inlineStr">
        <is>
          <t>Levy Ostrup</t>
        </is>
      </c>
      <c r="AM60" s="15" t="n"/>
      <c r="AN60" s="15" t="n"/>
    </row>
    <row r="61">
      <c r="A61" s="15" t="inlineStr">
        <is>
          <t>RTD</t>
        </is>
      </c>
      <c r="B61" s="15" t="inlineStr">
        <is>
          <t>29103-ET-PE2802-3-R-1</t>
        </is>
      </c>
      <c r="C61" s="15" t="inlineStr">
        <is>
          <t>29103-ET-PE2802-3</t>
        </is>
      </c>
      <c r="D61" s="15" t="inlineStr">
        <is>
          <t>29103-HTP-101 HTC-03</t>
        </is>
      </c>
      <c r="E61" s="15" t="inlineStr">
        <is>
          <t>PRODUCED EMULSION</t>
        </is>
      </c>
      <c r="F61" s="15" t="inlineStr">
        <is>
          <t>29103-65R-ET-PE2802-03-01</t>
        </is>
      </c>
      <c r="G61" s="15" t="inlineStr">
        <is>
          <t>13.2</t>
        </is>
      </c>
      <c r="H61" s="15" t="inlineStr">
        <is>
          <t>1.3. 29103-HTP-101/2. RTD Inspection/29103-ET-PE2802-3-R-1.pdf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NO</v>
      </c>
      <c r="Q61" s="6" t="str">
        <f>IF(OR($A61="RTD"),IF(AND($AI61&lt;&gt;""),"YES","NO"),"N/A")</f>
        <v>NO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n"/>
      <c r="AK61" s="15" t="n"/>
      <c r="AL61" s="15" t="inlineStr">
        <is>
          <t>Levy Ostrup</t>
        </is>
      </c>
      <c r="AM61" s="15" t="n"/>
      <c r="AN61" s="15" t="n"/>
    </row>
    <row r="62">
      <c r="A62" s="15" t="inlineStr">
        <is>
          <t>RTD</t>
        </is>
      </c>
      <c r="B62" s="15" t="inlineStr">
        <is>
          <t>29103-ET-PE2802-4-R-1</t>
        </is>
      </c>
      <c r="C62" s="15" t="inlineStr">
        <is>
          <t>29103-ET-PE2802-4</t>
        </is>
      </c>
      <c r="D62" s="15" t="inlineStr">
        <is>
          <t>29103-HTP-101 HTC-10</t>
        </is>
      </c>
      <c r="E62" s="15" t="inlineStr">
        <is>
          <t>PRODUCED EMULSION</t>
        </is>
      </c>
      <c r="F62" s="15" t="inlineStr">
        <is>
          <t>29103-65R-ET-PE2802-04-01</t>
        </is>
      </c>
      <c r="G62" s="15" t="inlineStr">
        <is>
          <t>13.2</t>
        </is>
      </c>
      <c r="H62" s="15" t="inlineStr">
        <is>
          <t>1.3. 29103-HTP-101/2. RTD Inspection/29103-ET-PE2802-4-R-1.pdf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NO</v>
      </c>
      <c r="Q62" s="6" t="str">
        <f>IF(OR($A62="RTD"),IF(AND($AI62&lt;&gt;""),"YES","NO"),"N/A")</f>
        <v>NO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n"/>
      <c r="AK62" s="15" t="n"/>
      <c r="AL62" s="15" t="inlineStr">
        <is>
          <t>Levy Ostrup</t>
        </is>
      </c>
      <c r="AM62" s="15" t="n"/>
      <c r="AN62" s="15" t="n"/>
    </row>
    <row r="63">
      <c r="A63" s="15" t="inlineStr">
        <is>
          <t>RTD</t>
        </is>
      </c>
      <c r="B63" s="15" t="inlineStr">
        <is>
          <t>29103-ET-PE2802-5-R-1</t>
        </is>
      </c>
      <c r="C63" s="15" t="inlineStr">
        <is>
          <t>29103-ET-PE2802-5</t>
        </is>
      </c>
      <c r="D63" s="15" t="inlineStr">
        <is>
          <t>29103-HTP-101 HTC-37</t>
        </is>
      </c>
      <c r="E63" s="15" t="inlineStr">
        <is>
          <t>PRODUCED EMULSION</t>
        </is>
      </c>
      <c r="F63" s="15" t="inlineStr">
        <is>
          <t>29103-65R-ET-PE2802-05-01</t>
        </is>
      </c>
      <c r="G63" s="15" t="inlineStr">
        <is>
          <t>13.2</t>
        </is>
      </c>
      <c r="H63" s="15" t="inlineStr">
        <is>
          <t>1.3. 29103-HTP-101/2. RTD Inspection/29103-ET-PE2802-5-R-1.pdf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NO</v>
      </c>
      <c r="Q63" s="6" t="str">
        <f>IF(OR($A63="RTD"),IF(AND($AI63&lt;&gt;""),"YES","NO"),"N/A")</f>
        <v>NO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n"/>
      <c r="AK63" s="15" t="n"/>
      <c r="AL63" s="15" t="inlineStr">
        <is>
          <t>Levy Ostrup</t>
        </is>
      </c>
      <c r="AM63" s="15" t="n"/>
      <c r="AN63" s="15" t="n"/>
    </row>
    <row r="64">
      <c r="A64" s="15" t="inlineStr">
        <is>
          <t>RTD</t>
        </is>
      </c>
      <c r="B64" s="15" t="inlineStr">
        <is>
          <t>29103-ET-PE2803-3-R-1</t>
        </is>
      </c>
      <c r="C64" s="15" t="inlineStr">
        <is>
          <t>29103-ET-PE2803-3</t>
        </is>
      </c>
      <c r="D64" s="15" t="inlineStr">
        <is>
          <t>29103-HTP-101 HTC-04</t>
        </is>
      </c>
      <c r="E64" s="15" t="inlineStr">
        <is>
          <t>PRODUCED EMULSION</t>
        </is>
      </c>
      <c r="F64" s="15" t="inlineStr">
        <is>
          <t>29103-65R-ET-PE2803-03-01</t>
        </is>
      </c>
      <c r="G64" s="15" t="inlineStr">
        <is>
          <t>13.2</t>
        </is>
      </c>
      <c r="H64" s="15" t="inlineStr">
        <is>
          <t>1.3. 29103-HTP-101/2. RTD Inspection/29103-ET-PE2803-3-R-1.pdf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NO</v>
      </c>
      <c r="Q64" s="6" t="str">
        <f>IF(OR($A64="RTD"),IF(AND($AI64&lt;&gt;""),"YES","NO"),"N/A")</f>
        <v>NO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n"/>
      <c r="AK64" s="15" t="n"/>
      <c r="AL64" s="15" t="inlineStr">
        <is>
          <t>Levy Ostrup</t>
        </is>
      </c>
      <c r="AM64" s="15" t="n"/>
      <c r="AN64" s="15" t="n"/>
    </row>
    <row r="65">
      <c r="A65" s="15" t="inlineStr">
        <is>
          <t>RTD Cable</t>
        </is>
      </c>
      <c r="B65" s="15" t="inlineStr">
        <is>
          <t>29103-ET-P1001-1-R-1</t>
        </is>
      </c>
      <c r="C65" s="15" t="inlineStr">
        <is>
          <t>29103-ET-P1001-1</t>
        </is>
      </c>
      <c r="D65" s="15" t="inlineStr"/>
      <c r="E65" s="15" t="inlineStr">
        <is>
          <t>29103-HTP-101</t>
        </is>
      </c>
      <c r="F65" s="15" t="inlineStr"/>
      <c r="G65" s="15" t="inlineStr">
        <is>
          <t>113</t>
        </is>
      </c>
      <c r="H65" s="15" t="inlineStr">
        <is>
          <t>1.3. 29103-HTP-101/4. RTD Cables/29103-ET-P1001-1-R-1.pdf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N/A</v>
      </c>
      <c r="L65" s="6" t="str">
        <f>IF(OR($A65="EHT Trace"),IF(AND($X65&lt;&gt;"",$Y65&lt;&gt;""),"YES","NO"),"N/A")</f>
        <v>N/A</v>
      </c>
      <c r="M65" s="6" t="str">
        <f>IF(OR($A65="EHT Trace"),IF(AND($AA65&lt;&gt;"",$AB65&lt;&gt;""),"YES","NO"),"N/A")</f>
        <v>N/A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NO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ACIC</t>
        </is>
      </c>
      <c r="AK65" s="15" t="inlineStr">
        <is>
          <t>16AWG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RTD Cable</t>
        </is>
      </c>
      <c r="B66" s="15" t="inlineStr">
        <is>
          <t>29103-ET-P2800-4-R-1</t>
        </is>
      </c>
      <c r="C66" s="15" t="inlineStr">
        <is>
          <t>29103-ET-P2800-4</t>
        </is>
      </c>
      <c r="D66" s="15" t="inlineStr"/>
      <c r="E66" s="15" t="inlineStr">
        <is>
          <t>29103-HTP-101</t>
        </is>
      </c>
      <c r="F66" s="15" t="inlineStr"/>
      <c r="G66" s="15" t="inlineStr">
        <is>
          <t>113</t>
        </is>
      </c>
      <c r="H66" s="15" t="inlineStr">
        <is>
          <t>1.3. 29103-HTP-101/4. RTD Cables/29103-ET-P2800-4-R-1.pdf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N/A</v>
      </c>
      <c r="L66" s="6" t="str">
        <f>IF(OR($A66="EHT Trace"),IF(AND($X66&lt;&gt;"",$Y66&lt;&gt;""),"YES","NO"),"N/A")</f>
        <v>N/A</v>
      </c>
      <c r="M66" s="6" t="str">
        <f>IF(OR($A66="EHT Trace"),IF(AND($AA66&lt;&gt;"",$AB66&lt;&gt;""),"YES","NO"),"N/A")</f>
        <v>N/A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NO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ACIC</t>
        </is>
      </c>
      <c r="AK66" s="15" t="inlineStr">
        <is>
          <t>16AWG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RTD Cable</t>
        </is>
      </c>
      <c r="B67" s="15" t="inlineStr">
        <is>
          <t>29103-ET-P2800-5-R-1</t>
        </is>
      </c>
      <c r="C67" s="15" t="inlineStr">
        <is>
          <t>29103-ET-P2800-5</t>
        </is>
      </c>
      <c r="D67" s="15" t="inlineStr"/>
      <c r="E67" s="15" t="inlineStr">
        <is>
          <t>29103-HTP-101</t>
        </is>
      </c>
      <c r="F67" s="15" t="inlineStr"/>
      <c r="G67" s="15" t="inlineStr">
        <is>
          <t>113</t>
        </is>
      </c>
      <c r="H67" s="15" t="inlineStr">
        <is>
          <t>1.3. 29103-HTP-101/4. RTD Cables/29103-ET-P2800-5-R-1.pdf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N/A</v>
      </c>
      <c r="L67" s="6" t="str">
        <f>IF(OR($A67="EHT Trace"),IF(AND($X67&lt;&gt;"",$Y67&lt;&gt;""),"YES","NO"),"N/A")</f>
        <v>N/A</v>
      </c>
      <c r="M67" s="6" t="str">
        <f>IF(OR($A67="EHT Trace"),IF(AND($AA67&lt;&gt;"",$AB67&lt;&gt;""),"YES","NO"),"N/A")</f>
        <v>N/A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NO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ACIC</t>
        </is>
      </c>
      <c r="AK67" s="15" t="inlineStr">
        <is>
          <t>16AWG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RTD Cable</t>
        </is>
      </c>
      <c r="B68" s="15" t="inlineStr">
        <is>
          <t>29103-ET-P2800-6-R-1</t>
        </is>
      </c>
      <c r="C68" s="15" t="inlineStr">
        <is>
          <t>29103-ET-P2800-6</t>
        </is>
      </c>
      <c r="D68" s="15" t="inlineStr"/>
      <c r="E68" s="15" t="inlineStr">
        <is>
          <t>29103-HTP-101</t>
        </is>
      </c>
      <c r="F68" s="15" t="inlineStr"/>
      <c r="G68" s="15" t="inlineStr">
        <is>
          <t>113</t>
        </is>
      </c>
      <c r="H68" s="15" t="inlineStr">
        <is>
          <t>1.3. 29103-HTP-101/4. RTD Cables/29103-ET-P2800-6-R-1.pdf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N/A</v>
      </c>
      <c r="L68" s="6" t="str">
        <f>IF(OR($A68="EHT Trace"),IF(AND($X68&lt;&gt;"",$Y68&lt;&gt;""),"YES","NO"),"N/A")</f>
        <v>N/A</v>
      </c>
      <c r="M68" s="6" t="str">
        <f>IF(OR($A68="EHT Trace"),IF(AND($AA68&lt;&gt;"",$AB68&lt;&gt;""),"YES","NO"),"N/A")</f>
        <v>N/A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NO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ACIC</t>
        </is>
      </c>
      <c r="AK68" s="15" t="inlineStr">
        <is>
          <t>16AWG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RTD Cable</t>
        </is>
      </c>
      <c r="B69" s="15" t="inlineStr">
        <is>
          <t>29103-ET-P2800-7-R-1</t>
        </is>
      </c>
      <c r="C69" s="15" t="inlineStr">
        <is>
          <t>29103-ET-P2800-7</t>
        </is>
      </c>
      <c r="D69" s="15" t="inlineStr"/>
      <c r="E69" s="15" t="inlineStr">
        <is>
          <t>29103-HTP-101</t>
        </is>
      </c>
      <c r="F69" s="15" t="inlineStr"/>
      <c r="G69" s="15" t="inlineStr">
        <is>
          <t>113</t>
        </is>
      </c>
      <c r="H69" s="15" t="inlineStr">
        <is>
          <t>1.3. 29103-HTP-101/4. RTD Cables/29103-ET-P2800-7-R-1.pdf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N/A</v>
      </c>
      <c r="L69" s="6" t="str">
        <f>IF(OR($A69="EHT Trace"),IF(AND($X69&lt;&gt;"",$Y69&lt;&gt;""),"YES","NO"),"N/A")</f>
        <v>N/A</v>
      </c>
      <c r="M69" s="6" t="str">
        <f>IF(OR($A69="EHT Trace"),IF(AND($AA69&lt;&gt;"",$AB69&lt;&gt;""),"YES","NO"),"N/A")</f>
        <v>N/A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NO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ACIC</t>
        </is>
      </c>
      <c r="AK69" s="15" t="inlineStr">
        <is>
          <t>16AWG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RTD Cable</t>
        </is>
      </c>
      <c r="B70" s="15" t="inlineStr">
        <is>
          <t>29103-ET-PE1001-1-R-1</t>
        </is>
      </c>
      <c r="C70" s="15" t="inlineStr">
        <is>
          <t>29103-ET-PE1001-1</t>
        </is>
      </c>
      <c r="D70" s="15" t="inlineStr"/>
      <c r="E70" s="15" t="inlineStr">
        <is>
          <t>29103-HTP-101</t>
        </is>
      </c>
      <c r="F70" s="15" t="inlineStr"/>
      <c r="G70" s="15" t="inlineStr">
        <is>
          <t>113</t>
        </is>
      </c>
      <c r="H70" s="15" t="inlineStr">
        <is>
          <t>1.3. 29103-HTP-101/4. RTD Cables/29103-ET-PE1001-1-R-1.pdf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N/A</v>
      </c>
      <c r="L70" s="6" t="str">
        <f>IF(OR($A70="EHT Trace"),IF(AND($X70&lt;&gt;"",$Y70&lt;&gt;""),"YES","NO"),"N/A")</f>
        <v>N/A</v>
      </c>
      <c r="M70" s="6" t="str">
        <f>IF(OR($A70="EHT Trace"),IF(AND($AA70&lt;&gt;"",$AB70&lt;&gt;""),"YES","NO"),"N/A")</f>
        <v>N/A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NO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ACIC</t>
        </is>
      </c>
      <c r="AK70" s="15" t="inlineStr">
        <is>
          <t>16AWG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RTD Cable</t>
        </is>
      </c>
      <c r="B71" s="15" t="inlineStr">
        <is>
          <t>29103-ET-PE1001-1-R-2</t>
        </is>
      </c>
      <c r="C71" s="15" t="inlineStr">
        <is>
          <t>29103-ET-PE1001-1</t>
        </is>
      </c>
      <c r="D71" s="15" t="inlineStr"/>
      <c r="E71" s="15" t="inlineStr">
        <is>
          <t>29103-HTP-101</t>
        </is>
      </c>
      <c r="F71" s="15" t="inlineStr"/>
      <c r="G71" s="15" t="inlineStr">
        <is>
          <t>113</t>
        </is>
      </c>
      <c r="H71" s="15" t="inlineStr">
        <is>
          <t>1.3. 29103-HTP-101/4. RTD Cables/29103-ET-PE1001-1-R-2.pdf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N/A</v>
      </c>
      <c r="L71" s="6" t="str">
        <f>IF(OR($A71="EHT Trace"),IF(AND($X71&lt;&gt;"",$Y71&lt;&gt;""),"YES","NO"),"N/A")</f>
        <v>N/A</v>
      </c>
      <c r="M71" s="6" t="str">
        <f>IF(OR($A71="EHT Trace"),IF(AND($AA71&lt;&gt;"",$AB71&lt;&gt;""),"YES","NO"),"N/A")</f>
        <v>N/A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NO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ACIC</t>
        </is>
      </c>
      <c r="AK71" s="15" t="inlineStr">
        <is>
          <t>16AWG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RTD Cable</t>
        </is>
      </c>
      <c r="B72" s="15" t="inlineStr">
        <is>
          <t>29103-ET-PE1803-4-R-1</t>
        </is>
      </c>
      <c r="C72" s="15" t="inlineStr">
        <is>
          <t>29103-ET-PE1803-4</t>
        </is>
      </c>
      <c r="D72" s="15" t="inlineStr"/>
      <c r="E72" s="15" t="inlineStr">
        <is>
          <t>29103-HTP-101</t>
        </is>
      </c>
      <c r="F72" s="15" t="inlineStr"/>
      <c r="G72" s="15" t="inlineStr">
        <is>
          <t>113</t>
        </is>
      </c>
      <c r="H72" s="15" t="inlineStr">
        <is>
          <t>1.3. 29103-HTP-101/4. RTD Cables/29103-ET-PE1803-4-R-1.pdf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N/A</v>
      </c>
      <c r="L72" s="6" t="str">
        <f>IF(OR($A72="EHT Trace"),IF(AND($X72&lt;&gt;"",$Y72&lt;&gt;""),"YES","NO"),"N/A")</f>
        <v>N/A</v>
      </c>
      <c r="M72" s="6" t="str">
        <f>IF(OR($A72="EHT Trace"),IF(AND($AA72&lt;&gt;"",$AB72&lt;&gt;""),"YES","NO"),"N/A")</f>
        <v>N/A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NO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ACIC</t>
        </is>
      </c>
      <c r="AK72" s="15" t="inlineStr">
        <is>
          <t>16AWG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RTD Cable</t>
        </is>
      </c>
      <c r="B73" s="15" t="inlineStr">
        <is>
          <t>29103-ET-PE2802-3-R-1</t>
        </is>
      </c>
      <c r="C73" s="15" t="inlineStr">
        <is>
          <t>29103-ET-PE2802-3</t>
        </is>
      </c>
      <c r="D73" s="15" t="inlineStr"/>
      <c r="E73" s="15" t="inlineStr">
        <is>
          <t>29103-HTP-101</t>
        </is>
      </c>
      <c r="F73" s="15" t="inlineStr"/>
      <c r="G73" s="15" t="inlineStr">
        <is>
          <t>113</t>
        </is>
      </c>
      <c r="H73" s="15" t="inlineStr">
        <is>
          <t>1.3. 29103-HTP-101/4. RTD Cables/29103-ET-PE2802-3-R-1.pdf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N/A</v>
      </c>
      <c r="L73" s="6" t="str">
        <f>IF(OR($A73="EHT Trace"),IF(AND($X73&lt;&gt;"",$Y73&lt;&gt;""),"YES","NO"),"N/A")</f>
        <v>N/A</v>
      </c>
      <c r="M73" s="6" t="str">
        <f>IF(OR($A73="EHT Trace"),IF(AND($AA73&lt;&gt;"",$AB73&lt;&gt;""),"YES","NO"),"N/A")</f>
        <v>N/A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NO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ACIC</t>
        </is>
      </c>
      <c r="AK73" s="15" t="inlineStr">
        <is>
          <t>16AWG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RTD Cable</t>
        </is>
      </c>
      <c r="B74" s="15" t="inlineStr">
        <is>
          <t>29103-ET-PE2802-4-R-1</t>
        </is>
      </c>
      <c r="C74" s="15" t="inlineStr">
        <is>
          <t>29103-ET-PE2802-4</t>
        </is>
      </c>
      <c r="D74" s="15" t="inlineStr"/>
      <c r="E74" s="15" t="inlineStr">
        <is>
          <t>29103-HTP-101</t>
        </is>
      </c>
      <c r="F74" s="15" t="inlineStr"/>
      <c r="G74" s="15" t="inlineStr">
        <is>
          <t>113</t>
        </is>
      </c>
      <c r="H74" s="15" t="inlineStr">
        <is>
          <t>1.3. 29103-HTP-101/4. RTD Cables/29103-ET-PE2802-4-R-1.pdf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N/A</v>
      </c>
      <c r="L74" s="6" t="str">
        <f>IF(OR($A74="EHT Trace"),IF(AND($X74&lt;&gt;"",$Y74&lt;&gt;""),"YES","NO"),"N/A")</f>
        <v>N/A</v>
      </c>
      <c r="M74" s="6" t="str">
        <f>IF(OR($A74="EHT Trace"),IF(AND($AA74&lt;&gt;"",$AB74&lt;&gt;""),"YES","NO"),"N/A")</f>
        <v>N/A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NO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ACIC</t>
        </is>
      </c>
      <c r="AK74" s="15" t="inlineStr">
        <is>
          <t>16AWG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RTD Cable</t>
        </is>
      </c>
      <c r="B75" s="15" t="inlineStr">
        <is>
          <t>29103-ET-PE2802-5-R-1</t>
        </is>
      </c>
      <c r="C75" s="15" t="inlineStr">
        <is>
          <t>29103-ET-PE2802-5</t>
        </is>
      </c>
      <c r="D75" s="15" t="inlineStr"/>
      <c r="E75" s="15" t="inlineStr">
        <is>
          <t>29103-HTP-101</t>
        </is>
      </c>
      <c r="F75" s="15" t="inlineStr"/>
      <c r="G75" s="15" t="inlineStr">
        <is>
          <t>113</t>
        </is>
      </c>
      <c r="H75" s="15" t="inlineStr">
        <is>
          <t>1.3. 29103-HTP-101/4. RTD Cables/29103-ET-PE2802-5-R-1.pdf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N/A</v>
      </c>
      <c r="L75" s="6" t="str">
        <f>IF(OR($A75="EHT Trace"),IF(AND($X75&lt;&gt;"",$Y75&lt;&gt;""),"YES","NO"),"N/A")</f>
        <v>N/A</v>
      </c>
      <c r="M75" s="6" t="str">
        <f>IF(OR($A75="EHT Trace"),IF(AND($AA75&lt;&gt;"",$AB75&lt;&gt;""),"YES","NO"),"N/A")</f>
        <v>N/A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NO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ACIC</t>
        </is>
      </c>
      <c r="AK75" s="15" t="inlineStr">
        <is>
          <t>16AWG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RTD Cable</t>
        </is>
      </c>
      <c r="B76" s="15" t="inlineStr">
        <is>
          <t>29103-ET-PE2803-3-R-1</t>
        </is>
      </c>
      <c r="C76" s="15" t="inlineStr">
        <is>
          <t>29103-ET-PE2803-3</t>
        </is>
      </c>
      <c r="D76" s="15" t="inlineStr"/>
      <c r="E76" s="15" t="inlineStr">
        <is>
          <t>29103-HTP-101</t>
        </is>
      </c>
      <c r="F76" s="15" t="inlineStr"/>
      <c r="G76" s="15" t="inlineStr">
        <is>
          <t>113</t>
        </is>
      </c>
      <c r="H76" s="15" t="inlineStr">
        <is>
          <t>1.3. 29103-HTP-101/4. RTD Cables/29103-ET-PE2803-3-R-1.pdf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N/A</v>
      </c>
      <c r="L76" s="6" t="str">
        <f>IF(OR($A76="EHT Trace"),IF(AND($X76&lt;&gt;"",$Y76&lt;&gt;""),"YES","NO"),"N/A")</f>
        <v>N/A</v>
      </c>
      <c r="M76" s="6" t="str">
        <f>IF(OR($A76="EHT Trace"),IF(AND($AA76&lt;&gt;"",$AB76&lt;&gt;""),"YES","NO"),"N/A")</f>
        <v>N/A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NO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ACIC</t>
        </is>
      </c>
      <c r="AK76" s="15" t="inlineStr">
        <is>
          <t>16AWG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RTD Cable</t>
        </is>
      </c>
      <c r="B77" s="15" t="inlineStr">
        <is>
          <t>29103-RJB-015</t>
        </is>
      </c>
      <c r="C77" s="15" t="inlineStr"/>
      <c r="D77" s="15" t="inlineStr"/>
      <c r="E77" s="15" t="inlineStr">
        <is>
          <t>29103-HTP-101</t>
        </is>
      </c>
      <c r="F77" s="15" t="inlineStr"/>
      <c r="G77" s="15" t="inlineStr">
        <is>
          <t>113</t>
        </is>
      </c>
      <c r="H77" s="15" t="inlineStr">
        <is>
          <t>1.3. 29103-HTP-101/4. RTD Cables/29103-RJB-015.pdf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N/A</v>
      </c>
      <c r="L77" s="6" t="str">
        <f>IF(OR($A77="EHT Trace"),IF(AND($X77&lt;&gt;"",$Y77&lt;&gt;""),"YES","NO"),"N/A")</f>
        <v>N/A</v>
      </c>
      <c r="M77" s="6" t="str">
        <f>IF(OR($A77="EHT Trace"),IF(AND($AA77&lt;&gt;"",$AB77&lt;&gt;""),"YES","NO"),"N/A")</f>
        <v>N/A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NO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ACIC</t>
        </is>
      </c>
      <c r="AK77" s="15" t="inlineStr">
        <is>
          <t>16AWG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RTD Cable</t>
        </is>
      </c>
      <c r="B78" s="15" t="inlineStr">
        <is>
          <t>29103-RJB-024</t>
        </is>
      </c>
      <c r="C78" s="15" t="inlineStr"/>
      <c r="D78" s="15" t="inlineStr"/>
      <c r="E78" s="15" t="inlineStr">
        <is>
          <t>29103-HTP-101</t>
        </is>
      </c>
      <c r="F78" s="15" t="inlineStr"/>
      <c r="G78" s="15" t="inlineStr">
        <is>
          <t>113</t>
        </is>
      </c>
      <c r="H78" s="15" t="inlineStr">
        <is>
          <t>1.3. 29103-HTP-101/4. RTD Cables/29103-RJB-024.pdf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N/A</v>
      </c>
      <c r="L78" s="6" t="str">
        <f>IF(OR($A78="EHT Trace"),IF(AND($X78&lt;&gt;"",$Y78&lt;&gt;""),"YES","NO"),"N/A")</f>
        <v>N/A</v>
      </c>
      <c r="M78" s="6" t="str">
        <f>IF(OR($A78="EHT Trace"),IF(AND($AA78&lt;&gt;"",$AB78&lt;&gt;""),"YES","NO"),"N/A")</f>
        <v>N/A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NO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ACIC</t>
        </is>
      </c>
      <c r="AK78" s="15" t="inlineStr">
        <is>
          <t>16AWG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RTD Cable</t>
        </is>
      </c>
      <c r="B79" s="15" t="inlineStr">
        <is>
          <t>29103-RJB-025</t>
        </is>
      </c>
      <c r="C79" s="15" t="inlineStr"/>
      <c r="D79" s="15" t="inlineStr"/>
      <c r="E79" s="15" t="inlineStr">
        <is>
          <t>29103-HTP-101</t>
        </is>
      </c>
      <c r="F79" s="15" t="inlineStr"/>
      <c r="G79" s="15" t="inlineStr">
        <is>
          <t>113</t>
        </is>
      </c>
      <c r="H79" s="15" t="inlineStr">
        <is>
          <t>1.3. 29103-HTP-101/4. RTD Cables/29103-RJB-025.pdf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N/A</v>
      </c>
      <c r="L79" s="6" t="str">
        <f>IF(OR($A79="EHT Trace"),IF(AND($X79&lt;&gt;"",$Y79&lt;&gt;""),"YES","NO"),"N/A")</f>
        <v>N/A</v>
      </c>
      <c r="M79" s="6" t="str">
        <f>IF(OR($A79="EHT Trace"),IF(AND($AA79&lt;&gt;"",$AB79&lt;&gt;""),"YES","NO"),"N/A")</f>
        <v>N/A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NO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ACIC</t>
        </is>
      </c>
      <c r="AK79" s="15" t="inlineStr">
        <is>
          <t>16AWG</t>
        </is>
      </c>
      <c r="AL79" s="15" t="inlineStr">
        <is>
          <t>Levy Ostrup</t>
        </is>
      </c>
      <c r="AM79" s="15" t="n"/>
      <c r="AN79" s="15" t="n"/>
    </row>
  </sheetData>
  <autoFilter ref="A4:AN79"/>
  <mergeCells count="3">
    <mergeCell ref="A3:H3"/>
    <mergeCell ref="I3:S3"/>
    <mergeCell ref="T3:AN3"/>
  </mergeCells>
  <conditionalFormatting sqref="I5:S7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29103-HTP-004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29103-ET-FG2101-1-1</t>
        </is>
      </c>
      <c r="C5" s="15" t="inlineStr">
        <is>
          <t>29103-ET-FG2101-1</t>
        </is>
      </c>
      <c r="D5" s="15" t="inlineStr">
        <is>
          <t>HTC-34 / CB-34</t>
        </is>
      </c>
      <c r="E5" s="15" t="inlineStr">
        <is>
          <t>29103-FG-2101</t>
        </is>
      </c>
      <c r="F5" s="15" t="inlineStr">
        <is>
          <t>29103-65R-ET-FG2101-01-01</t>
        </is>
      </c>
      <c r="G5" s="15" t="inlineStr">
        <is>
          <t>13.1</t>
        </is>
      </c>
      <c r="H5" s="15" t="inlineStr">
        <is>
          <t>1.4. 29103-HTP-004/1. EHT Insulation/29103-ET-FG2101-1-1.pdf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25.4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29103-ET-FG2103-1-1</t>
        </is>
      </c>
      <c r="C6" s="15" t="inlineStr">
        <is>
          <t>29103-ET-FG2103-1</t>
        </is>
      </c>
      <c r="D6" s="15" t="inlineStr">
        <is>
          <t>HTC-30 / CB-30</t>
        </is>
      </c>
      <c r="E6" s="15" t="inlineStr">
        <is>
          <t>29103-FG-2103</t>
        </is>
      </c>
      <c r="F6" s="15" t="inlineStr">
        <is>
          <t>29103-65R-ET-FG2103-01-01</t>
        </is>
      </c>
      <c r="G6" s="15" t="inlineStr">
        <is>
          <t>13.1</t>
        </is>
      </c>
      <c r="H6" s="15" t="inlineStr">
        <is>
          <t>1.4. 29103-HTP-004/1. EHT Insulation/29103-ET-FG2103-1-1.pdf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15.5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29103-ET-FG2103-1-2</t>
        </is>
      </c>
      <c r="C7" s="15" t="inlineStr">
        <is>
          <t>29103-ET-FG2103-1</t>
        </is>
      </c>
      <c r="D7" s="15" t="inlineStr">
        <is>
          <t>HTC-30 / CB-30</t>
        </is>
      </c>
      <c r="E7" s="15" t="inlineStr">
        <is>
          <t>29103-FG-2103</t>
        </is>
      </c>
      <c r="F7" s="15" t="inlineStr">
        <is>
          <t>29103-65R-ET-FG2103-01-01</t>
        </is>
      </c>
      <c r="G7" s="15" t="inlineStr">
        <is>
          <t>13.1</t>
        </is>
      </c>
      <c r="H7" s="15" t="inlineStr">
        <is>
          <t>1.4. 29103-HTP-004/1. EHT Insulation/29103-ET-FG2103-1-2.pdf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11.7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29103-ET-FG2103-1-3</t>
        </is>
      </c>
      <c r="C8" s="15" t="inlineStr">
        <is>
          <t>29103-ET-FG2103-1</t>
        </is>
      </c>
      <c r="D8" s="15" t="inlineStr">
        <is>
          <t>HTC-30 / CB-30</t>
        </is>
      </c>
      <c r="E8" s="15" t="inlineStr"/>
      <c r="F8" s="15" t="inlineStr">
        <is>
          <t>29103-65R-ET-FG2103-01-01</t>
        </is>
      </c>
      <c r="G8" s="15" t="inlineStr">
        <is>
          <t>13.1</t>
        </is>
      </c>
      <c r="H8" s="15" t="inlineStr">
        <is>
          <t>1.4. 29103-HTP-004/1. EHT Insulation/29103-ET-FG2103-1-3.pdf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6.3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29103-ET-FG2103-1-4</t>
        </is>
      </c>
      <c r="C9" s="15" t="inlineStr">
        <is>
          <t>29103-ET-FG2103-1</t>
        </is>
      </c>
      <c r="D9" s="15" t="inlineStr">
        <is>
          <t>HTC-30 / CB-30</t>
        </is>
      </c>
      <c r="E9" s="15" t="inlineStr"/>
      <c r="F9" s="15" t="inlineStr">
        <is>
          <t>29103-65R-ET-FG2103-01-01</t>
        </is>
      </c>
      <c r="G9" s="15" t="inlineStr">
        <is>
          <t>13.1</t>
        </is>
      </c>
      <c r="H9" s="15" t="inlineStr">
        <is>
          <t>1.4. 29103-HTP-004/1. EHT Insulation/29103-ET-FG2103-1-4.pdf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13.1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29103-ET-FG2201-1-1</t>
        </is>
      </c>
      <c r="C10" s="15" t="inlineStr">
        <is>
          <t>29103-ET-FG2201-1</t>
        </is>
      </c>
      <c r="D10" s="15" t="inlineStr">
        <is>
          <t>29103-AMB-007</t>
        </is>
      </c>
      <c r="E10" s="15" t="inlineStr">
        <is>
          <t>29103-FG-2201</t>
        </is>
      </c>
      <c r="F10" s="15" t="inlineStr">
        <is>
          <t>29103-65R-ET-FG2201-01-01</t>
        </is>
      </c>
      <c r="G10" s="15" t="inlineStr">
        <is>
          <t>13.1</t>
        </is>
      </c>
      <c r="H10" s="15" t="inlineStr">
        <is>
          <t>1.4. 29103-HTP-004/1. EHT Insulation/29103-ET-FG2201-1-1.pdf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23.5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29103-ET-FG2201-1-2</t>
        </is>
      </c>
      <c r="C11" s="15" t="inlineStr">
        <is>
          <t>29103-ET-FG2201-1</t>
        </is>
      </c>
      <c r="D11" s="15" t="inlineStr">
        <is>
          <t>29103-AMB-007</t>
        </is>
      </c>
      <c r="E11" s="15" t="inlineStr"/>
      <c r="F11" s="15" t="inlineStr">
        <is>
          <t>29103-65R-ET-FG2201-01-01</t>
        </is>
      </c>
      <c r="G11" s="15" t="inlineStr">
        <is>
          <t>13.1</t>
        </is>
      </c>
      <c r="H11" s="15" t="inlineStr">
        <is>
          <t>1.4. 29103-HTP-004/1. EHT Insulation/29103-ET-FG2201-1-2.pdf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1.2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29103-ET-FG2203-1-1</t>
        </is>
      </c>
      <c r="C12" s="15" t="inlineStr">
        <is>
          <t>29103-ET-FG2203-1</t>
        </is>
      </c>
      <c r="D12" s="15" t="inlineStr">
        <is>
          <t>29103-AMB-007</t>
        </is>
      </c>
      <c r="E12" s="15" t="inlineStr">
        <is>
          <t>29103-FG-2203</t>
        </is>
      </c>
      <c r="F12" s="15" t="inlineStr">
        <is>
          <t>29103-65R-ET-FG2203-01-01</t>
        </is>
      </c>
      <c r="G12" s="15" t="inlineStr">
        <is>
          <t>13.1</t>
        </is>
      </c>
      <c r="H12" s="15" t="inlineStr">
        <is>
          <t>1.4. 29103-HTP-004/1. EHT Insulation/29103-ET-FG2203-1-1.pdf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11.3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29103-ET-FG2203-1-2</t>
        </is>
      </c>
      <c r="C13" s="15" t="inlineStr">
        <is>
          <t>29103-ET-FG2203-1</t>
        </is>
      </c>
      <c r="D13" s="15" t="inlineStr">
        <is>
          <t>29103-AMB-007</t>
        </is>
      </c>
      <c r="E13" s="15" t="inlineStr">
        <is>
          <t>29103-FG-2203</t>
        </is>
      </c>
      <c r="F13" s="15" t="inlineStr">
        <is>
          <t>29103-65R-ET-FG2203-01-01</t>
        </is>
      </c>
      <c r="G13" s="15" t="inlineStr">
        <is>
          <t>13.1</t>
        </is>
      </c>
      <c r="H13" s="15" t="inlineStr">
        <is>
          <t>1.4. 29103-HTP-004/1. EHT Insulation/29103-ET-FG2203-1-2.pdf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12.9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29103-ET-FG2203-1-3</t>
        </is>
      </c>
      <c r="C14" s="15" t="inlineStr">
        <is>
          <t>29103-ET-FG2203-1</t>
        </is>
      </c>
      <c r="D14" s="15" t="inlineStr">
        <is>
          <t>29103-AMB-007</t>
        </is>
      </c>
      <c r="E14" s="15" t="inlineStr"/>
      <c r="F14" s="15" t="inlineStr">
        <is>
          <t>29103-65R-ET-FG2203-01-01</t>
        </is>
      </c>
      <c r="G14" s="15" t="inlineStr">
        <is>
          <t>13.1</t>
        </is>
      </c>
      <c r="H14" s="15" t="inlineStr">
        <is>
          <t>1.4. 29103-HTP-004/1. EHT Insulation/29103-ET-FG2203-1-3.pdf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6.1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29103-ET-FG2203-1-4</t>
        </is>
      </c>
      <c r="C15" s="15" t="inlineStr">
        <is>
          <t>29103-ET-FG2203-1</t>
        </is>
      </c>
      <c r="D15" s="15" t="inlineStr">
        <is>
          <t>29103-AMB-007</t>
        </is>
      </c>
      <c r="E15" s="15" t="inlineStr"/>
      <c r="F15" s="15" t="inlineStr">
        <is>
          <t>29103-65R-ET-FG2203-01-01</t>
        </is>
      </c>
      <c r="G15" s="15" t="inlineStr">
        <is>
          <t>13.1</t>
        </is>
      </c>
      <c r="H15" s="15" t="inlineStr">
        <is>
          <t>1.4. 29103-HTP-004/1. EHT Insulation/29103-ET-FG2203-1-4.pdf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29103-ET-FG2205-1-1</t>
        </is>
      </c>
      <c r="C16" s="15" t="inlineStr">
        <is>
          <t>29103-ET-FG2205-1</t>
        </is>
      </c>
      <c r="D16" s="15" t="inlineStr">
        <is>
          <t>29103-AMB-008</t>
        </is>
      </c>
      <c r="E16" s="15" t="inlineStr">
        <is>
          <t>29103-FG-2206, 29103-FG-2205</t>
        </is>
      </c>
      <c r="F16" s="15" t="inlineStr">
        <is>
          <t>29103-65R-ET-FG2205-01-01</t>
        </is>
      </c>
      <c r="G16" s="15" t="inlineStr">
        <is>
          <t>13.1</t>
        </is>
      </c>
      <c r="H16" s="15" t="inlineStr">
        <is>
          <t>1.4. 29103-HTP-004/1. EHT Insulation/29103-ET-FG2205-1-1.pdf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YES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inlineStr">
        <is>
          <t>&gt;2.2 GΩ</t>
        </is>
      </c>
      <c r="V16" s="15" t="inlineStr">
        <is>
          <t>326.2 Ω</t>
        </is>
      </c>
      <c r="W16" s="15" t="inlineStr">
        <is>
          <t>2026-05-17</t>
        </is>
      </c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D/32SA2600/16M/243/277/1.2M/LS23A/X/N12</t>
        </is>
      </c>
      <c r="AK16" s="15" t="inlineStr">
        <is>
          <t>16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29103-ET-FG2301-1-1</t>
        </is>
      </c>
      <c r="C17" s="15" t="inlineStr">
        <is>
          <t>29103-ET-FG2301-1</t>
        </is>
      </c>
      <c r="D17" s="15" t="inlineStr">
        <is>
          <t>29103-AMB-007</t>
        </is>
      </c>
      <c r="E17" s="15" t="inlineStr">
        <is>
          <t>29103-FG-2301</t>
        </is>
      </c>
      <c r="F17" s="15" t="inlineStr">
        <is>
          <t>29103-65R-ET-FG2301-01-01</t>
        </is>
      </c>
      <c r="G17" s="15" t="inlineStr">
        <is>
          <t>13.1</t>
        </is>
      </c>
      <c r="H17" s="15" t="inlineStr">
        <is>
          <t>1.4. 29103-HTP-004/1. EHT Insulation/29103-ET-FG2301-1-1.pdf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23.2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29103-ET-FG2303-1-1</t>
        </is>
      </c>
      <c r="C18" s="15" t="inlineStr">
        <is>
          <t>29103-ET-FG2303-1</t>
        </is>
      </c>
      <c r="D18" s="15" t="inlineStr">
        <is>
          <t>29103-AMB-007</t>
        </is>
      </c>
      <c r="E18" s="15" t="inlineStr">
        <is>
          <t>29103-FG-2303</t>
        </is>
      </c>
      <c r="F18" s="15" t="inlineStr">
        <is>
          <t>29103-65R-ET-FG2303-01-01</t>
        </is>
      </c>
      <c r="G18" s="15" t="inlineStr">
        <is>
          <t>13.1</t>
        </is>
      </c>
      <c r="H18" s="15" t="inlineStr">
        <is>
          <t>1.4. 29103-HTP-004/1. EHT Insulation/29103-ET-FG2303-1-1.pdf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29103-ET-FG2303-1-2</t>
        </is>
      </c>
      <c r="C19" s="15" t="inlineStr">
        <is>
          <t>29103-ET-FG2303-1</t>
        </is>
      </c>
      <c r="D19" s="15" t="inlineStr">
        <is>
          <t>29103-AMB-007</t>
        </is>
      </c>
      <c r="E19" s="15" t="inlineStr">
        <is>
          <t>29103-FG-2303</t>
        </is>
      </c>
      <c r="F19" s="15" t="inlineStr">
        <is>
          <t>29103-65R-ET-FG2303-01-01</t>
        </is>
      </c>
      <c r="G19" s="15" t="inlineStr">
        <is>
          <t>13.1</t>
        </is>
      </c>
      <c r="H19" s="15" t="inlineStr">
        <is>
          <t>1.4. 29103-HTP-004/1. EHT Insulation/29103-ET-FG2303-1-2.pdf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17.3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29103-ET-FG2303-1-3</t>
        </is>
      </c>
      <c r="C20" s="15" t="inlineStr">
        <is>
          <t>29103-ET-FG2303-1</t>
        </is>
      </c>
      <c r="D20" s="15" t="inlineStr">
        <is>
          <t>29103-AMB-007</t>
        </is>
      </c>
      <c r="E20" s="15" t="inlineStr"/>
      <c r="F20" s="15" t="inlineStr">
        <is>
          <t>29103-65R-ET-FG2303-01-01</t>
        </is>
      </c>
      <c r="G20" s="15" t="inlineStr">
        <is>
          <t>13.1</t>
        </is>
      </c>
      <c r="H20" s="15" t="inlineStr">
        <is>
          <t>1.4. 29103-HTP-004/1. EHT Insulation/29103-ET-FG2303-1-3.pdf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29103-ET-FG2303-1-4</t>
        </is>
      </c>
      <c r="C21" s="15" t="inlineStr">
        <is>
          <t>29103-ET-FG2303-1</t>
        </is>
      </c>
      <c r="D21" s="15" t="inlineStr">
        <is>
          <t>29103-AMB-007</t>
        </is>
      </c>
      <c r="E21" s="15" t="inlineStr"/>
      <c r="F21" s="15" t="inlineStr">
        <is>
          <t>29103-65R-ET-FG2303-01-01</t>
        </is>
      </c>
      <c r="G21" s="15" t="inlineStr">
        <is>
          <t>13.1</t>
        </is>
      </c>
      <c r="H21" s="15" t="inlineStr">
        <is>
          <t>1.4. 29103-HTP-004/1. EHT Insulation/29103-ET-FG2303-1-4.pdf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13.1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29103-ET-FG2405-1-1</t>
        </is>
      </c>
      <c r="C22" s="15" t="inlineStr">
        <is>
          <t>29103-ET-FG2405-1</t>
        </is>
      </c>
      <c r="D22" s="15" t="inlineStr">
        <is>
          <t>29103-AMB-010</t>
        </is>
      </c>
      <c r="E22" s="15" t="inlineStr">
        <is>
          <t>29103-FG-2406, 29103-FG-2405</t>
        </is>
      </c>
      <c r="F22" s="15" t="inlineStr">
        <is>
          <t>29103-65R-ET-FG2405-01-01</t>
        </is>
      </c>
      <c r="G22" s="15" t="inlineStr">
        <is>
          <t>13.1</t>
        </is>
      </c>
      <c r="H22" s="15" t="inlineStr">
        <is>
          <t>1.4. 29103-HTP-004/1. EHT Insulation/29103-ET-FG2405-1-1.pdf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YES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inlineStr">
        <is>
          <t>&gt;2.2 GΩ</t>
        </is>
      </c>
      <c r="V22" s="15" t="inlineStr">
        <is>
          <t>323.8 Ω</t>
        </is>
      </c>
      <c r="W22" s="15" t="inlineStr">
        <is>
          <t>2026-05-17</t>
        </is>
      </c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D/32SA2600/16M/243/277/1.2M/LS23A/X/N12</t>
        </is>
      </c>
      <c r="AK22" s="15" t="inlineStr">
        <is>
          <t>16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29103-ET-P2101-1-1</t>
        </is>
      </c>
      <c r="C23" s="15" t="inlineStr">
        <is>
          <t>29103-ET-P2101-1</t>
        </is>
      </c>
      <c r="D23" s="15" t="inlineStr">
        <is>
          <t>HTC-19 / CB-19</t>
        </is>
      </c>
      <c r="E23" s="15" t="inlineStr">
        <is>
          <t>29103-P-2101</t>
        </is>
      </c>
      <c r="F23" s="15" t="inlineStr">
        <is>
          <t>29103-65R-ET-P2101-01-01</t>
        </is>
      </c>
      <c r="G23" s="15" t="inlineStr">
        <is>
          <t>13.1</t>
        </is>
      </c>
      <c r="H23" s="15" t="inlineStr">
        <is>
          <t>1.4. 29103-HTP-004/1. EHT Insulation/29103-ET-P2101-1-1.pdf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E/32SQ3374/20.5M/1007/166/1.2M/LS23A/X/N12/XNF</t>
        </is>
      </c>
      <c r="AK23" s="15" t="inlineStr">
        <is>
          <t>20.5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29103-ET-P2101-1-2</t>
        </is>
      </c>
      <c r="C24" s="15" t="inlineStr">
        <is>
          <t>29103-ET-P2101-1</t>
        </is>
      </c>
      <c r="D24" s="15" t="inlineStr">
        <is>
          <t>HTC-19 / CB-19</t>
        </is>
      </c>
      <c r="E24" s="15" t="inlineStr">
        <is>
          <t>29103-P-2101</t>
        </is>
      </c>
      <c r="F24" s="15" t="inlineStr">
        <is>
          <t>29103-65R-ET-P2101-01-01</t>
        </is>
      </c>
      <c r="G24" s="15" t="inlineStr">
        <is>
          <t>13.1</t>
        </is>
      </c>
      <c r="H24" s="15" t="inlineStr">
        <is>
          <t>1.4. 29103-HTP-004/1. EHT Insulation/29103-ET-P2101-1-2.pdf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D/32SQ3374/13.8M/678/111/1.2M/LS23A/X/N12/XMN</t>
        </is>
      </c>
      <c r="AK24" s="15" t="inlineStr">
        <is>
          <t>13.8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29103-ET-P2104-1-1</t>
        </is>
      </c>
      <c r="C25" s="15" t="inlineStr">
        <is>
          <t>29103-ET-P2104-1</t>
        </is>
      </c>
      <c r="D25" s="15" t="inlineStr">
        <is>
          <t>HTC-18 / CB-18</t>
        </is>
      </c>
      <c r="E25" s="15" t="inlineStr">
        <is>
          <t>29103-PE-2101, 29103-P-2104</t>
        </is>
      </c>
      <c r="F25" s="15" t="inlineStr">
        <is>
          <t>29103-65R-ET-P2104-01-01</t>
        </is>
      </c>
      <c r="G25" s="15" t="inlineStr">
        <is>
          <t>13.1</t>
        </is>
      </c>
      <c r="H25" s="15" t="inlineStr">
        <is>
          <t>1.4. 29103-HTP-004/1. EHT Insulation/29103-ET-P2104-1-1.pdf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D/32SA2200/20.9M/554/277/1.2M/LS23A/X/N12</t>
        </is>
      </c>
      <c r="AK25" s="15" t="inlineStr">
        <is>
          <t>20.9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29103-ET-P2104-1-2</t>
        </is>
      </c>
      <c r="C26" s="15" t="inlineStr">
        <is>
          <t>29103-ET-P2104-1</t>
        </is>
      </c>
      <c r="D26" s="15" t="inlineStr">
        <is>
          <t>HTC-18 / CB-18</t>
        </is>
      </c>
      <c r="E26" s="15" t="inlineStr">
        <is>
          <t>29103-P-2104</t>
        </is>
      </c>
      <c r="F26" s="15" t="inlineStr">
        <is>
          <t>29103-65R-ET-P2104-01-01</t>
        </is>
      </c>
      <c r="G26" s="15" t="inlineStr">
        <is>
          <t>13.1</t>
        </is>
      </c>
      <c r="H26" s="15" t="inlineStr">
        <is>
          <t>1.4. 29103-HTP-004/1. EHT Insulation/29103-ET-P2104-1-2.pdf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&gt;2.2 GΩ</t>
        </is>
      </c>
      <c r="V26" s="15" t="inlineStr">
        <is>
          <t>12.9 Ω</t>
        </is>
      </c>
      <c r="W26" s="15" t="inlineStr">
        <is>
          <t>2026-05-17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E/32SQ3472/8M/461/78.9/1.2M/LS23A/X/N12/XNF</t>
        </is>
      </c>
      <c r="AK26" s="15" t="inlineStr">
        <is>
          <t>8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29103-ET-P2104-1-3</t>
        </is>
      </c>
      <c r="C27" s="15" t="inlineStr">
        <is>
          <t>29103-ET-P2104-1</t>
        </is>
      </c>
      <c r="D27" s="15" t="inlineStr">
        <is>
          <t>HTC-18 / CB-18</t>
        </is>
      </c>
      <c r="E27" s="15" t="inlineStr">
        <is>
          <t>29103-P-2104</t>
        </is>
      </c>
      <c r="F27" s="15" t="inlineStr">
        <is>
          <t>29103-65R-ET-P2104-01-01</t>
        </is>
      </c>
      <c r="G27" s="15" t="inlineStr">
        <is>
          <t>13.1</t>
        </is>
      </c>
      <c r="H27" s="15" t="inlineStr">
        <is>
          <t>1.4. 29103-HTP-004/1. EHT Insulation/29103-ET-P2104-1-3.pdf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YES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inlineStr">
        <is>
          <t>&gt;2.2 GΩ</t>
        </is>
      </c>
      <c r="V27" s="15" t="inlineStr">
        <is>
          <t>11.4 Ω</t>
        </is>
      </c>
      <c r="W27" s="15" t="inlineStr">
        <is>
          <t>2026-05-17</t>
        </is>
      </c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E/32SQ3472/7M/403/69/1.2M/LS23A/X/N12/XMF</t>
        </is>
      </c>
      <c r="AK27" s="15" t="inlineStr">
        <is>
          <t>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29103-ET-P2104-1-4</t>
        </is>
      </c>
      <c r="C28" s="15" t="inlineStr">
        <is>
          <t>29103-ET-P2104-1</t>
        </is>
      </c>
      <c r="D28" s="15" t="inlineStr">
        <is>
          <t>HTC-18 / CB-18</t>
        </is>
      </c>
      <c r="E28" s="15" t="inlineStr">
        <is>
          <t>29103-P-2104</t>
        </is>
      </c>
      <c r="F28" s="15" t="inlineStr">
        <is>
          <t>29103-65R-ET-P2104-01-01</t>
        </is>
      </c>
      <c r="G28" s="15" t="inlineStr">
        <is>
          <t>13.1</t>
        </is>
      </c>
      <c r="H28" s="15" t="inlineStr">
        <is>
          <t>1.4. 29103-HTP-004/1. EHT Insulation/29103-ET-P2104-1-4.pdf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YES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inlineStr">
        <is>
          <t>&gt;2.2 GΩ</t>
        </is>
      </c>
      <c r="V28" s="15" t="inlineStr">
        <is>
          <t>20.9 Ω</t>
        </is>
      </c>
      <c r="W28" s="15" t="inlineStr">
        <is>
          <t>2026-05-17</t>
        </is>
      </c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D/32SQ3472/13.1M/755/129/1.2M/LS23A/X/N12/XMN</t>
        </is>
      </c>
      <c r="AK28" s="15" t="inlineStr">
        <is>
          <t>13.1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29103-ET-P2104-2-1</t>
        </is>
      </c>
      <c r="C29" s="15" t="inlineStr">
        <is>
          <t>29103-ET-P2104-2</t>
        </is>
      </c>
      <c r="D29" s="15" t="inlineStr">
        <is>
          <t>HTC-25 / CB-25</t>
        </is>
      </c>
      <c r="E29" s="15" t="inlineStr">
        <is>
          <t>29103-P-2104, 29103-FG-2102</t>
        </is>
      </c>
      <c r="F29" s="15" t="inlineStr">
        <is>
          <t>29103-65R-ET-P2104-02-01</t>
        </is>
      </c>
      <c r="G29" s="15" t="inlineStr">
        <is>
          <t>13.1</t>
        </is>
      </c>
      <c r="H29" s="15" t="inlineStr">
        <is>
          <t>1.4. 29103-HTP-004/1. EHT Insulation/29103-ET-P2104-2-1.pdf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YES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inlineStr">
        <is>
          <t>&gt;2.2 GΩ</t>
        </is>
      </c>
      <c r="V29" s="15" t="inlineStr">
        <is>
          <t>373.5 Ω</t>
        </is>
      </c>
      <c r="W29" s="15" t="inlineStr">
        <is>
          <t>2026-05-17</t>
        </is>
      </c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D/32SF1180/6.2M/207/277/1.2M/LS23A/X/N12</t>
        </is>
      </c>
      <c r="AK29" s="15" t="inlineStr">
        <is>
          <t>6.2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29103-ET-P2201-1-1</t>
        </is>
      </c>
      <c r="C30" s="15" t="inlineStr">
        <is>
          <t>29103-ET-P2201-1</t>
        </is>
      </c>
      <c r="D30" s="15" t="inlineStr">
        <is>
          <t>HTC-05 / CB-05</t>
        </is>
      </c>
      <c r="E30" s="15" t="inlineStr">
        <is>
          <t>29103-P-2201</t>
        </is>
      </c>
      <c r="F30" s="15" t="inlineStr">
        <is>
          <t>29103-65R-ET-P2201-01-01</t>
        </is>
      </c>
      <c r="G30" s="15" t="inlineStr">
        <is>
          <t>13.1</t>
        </is>
      </c>
      <c r="H30" s="15" t="inlineStr">
        <is>
          <t>1.4. 29103-HTP-004/1. EHT Insulation/29103-ET-P2201-1-1.pdf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E/32SQ3374/20.6M/1001/165/1.2M/LS23A/X/N12/XNF</t>
        </is>
      </c>
      <c r="AK30" s="15" t="inlineStr">
        <is>
          <t>20.6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29103-ET-P2201-1-2</t>
        </is>
      </c>
      <c r="C31" s="15" t="inlineStr">
        <is>
          <t>29103-ET-P2201-1</t>
        </is>
      </c>
      <c r="D31" s="15" t="inlineStr">
        <is>
          <t>HTC-05 / CB-05</t>
        </is>
      </c>
      <c r="E31" s="15" t="inlineStr">
        <is>
          <t>29103-P-2201</t>
        </is>
      </c>
      <c r="F31" s="15" t="inlineStr">
        <is>
          <t>29103-65R-ET-P2201-01-01</t>
        </is>
      </c>
      <c r="G31" s="15" t="inlineStr">
        <is>
          <t>13.1</t>
        </is>
      </c>
      <c r="H31" s="15" t="inlineStr">
        <is>
          <t>1.4. 29103-HTP-004/1. EHT Insulation/29103-ET-P2201-1-2.pdf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D/32SQ3374/13.9M/676/112/1.2M/LS23A/X/N12/XMN</t>
        </is>
      </c>
      <c r="AK31" s="15" t="inlineStr">
        <is>
          <t>13.9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29103-ET-P2204-1-1</t>
        </is>
      </c>
      <c r="C32" s="15" t="inlineStr">
        <is>
          <t>29103-ET-P2204-1</t>
        </is>
      </c>
      <c r="D32" s="15" t="inlineStr">
        <is>
          <t>HTC-09 / CB-09</t>
        </is>
      </c>
      <c r="E32" s="15" t="inlineStr">
        <is>
          <t>29103-PE-2201, 29103-P-2204</t>
        </is>
      </c>
      <c r="F32" s="15" t="inlineStr">
        <is>
          <t>29103-65R-ET-P2204-01-01</t>
        </is>
      </c>
      <c r="G32" s="15" t="inlineStr">
        <is>
          <t>13.1</t>
        </is>
      </c>
      <c r="H32" s="15" t="inlineStr">
        <is>
          <t>1.4. 29103-HTP-004/1. EHT Insulation/29103-ET-P2204-1-1.pdf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NO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D/32SA2200/20.9M/554/277/1.2M/LS23A/X/N12</t>
        </is>
      </c>
      <c r="AK32" s="15" t="inlineStr">
        <is>
          <t>20.9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29103-ET-P2204-1-2</t>
        </is>
      </c>
      <c r="C33" s="15" t="inlineStr">
        <is>
          <t>29103-ET-P2204-1</t>
        </is>
      </c>
      <c r="D33" s="15" t="inlineStr">
        <is>
          <t>HTC-09 / CB-09</t>
        </is>
      </c>
      <c r="E33" s="15" t="inlineStr">
        <is>
          <t>29103-P-2204</t>
        </is>
      </c>
      <c r="F33" s="15" t="inlineStr">
        <is>
          <t>29103-65R-ET-P2204-01-01</t>
        </is>
      </c>
      <c r="G33" s="15" t="inlineStr">
        <is>
          <t>13.1</t>
        </is>
      </c>
      <c r="H33" s="15" t="inlineStr">
        <is>
          <t>1.4. 29103-HTP-004/1. EHT Insulation/29103-ET-P2204-1-2.pdf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10.5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E/32SQ3472/6.5M/416/67.7/1.2M/LS23A/X/N12/XNF</t>
        </is>
      </c>
      <c r="AK33" s="15" t="inlineStr">
        <is>
          <t>6.5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29103-ET-P2204-1-3</t>
        </is>
      </c>
      <c r="C34" s="15" t="inlineStr">
        <is>
          <t>29103-ET-P2204-1</t>
        </is>
      </c>
      <c r="D34" s="15" t="inlineStr">
        <is>
          <t>HTC-09 / CB-09</t>
        </is>
      </c>
      <c r="E34" s="15" t="inlineStr">
        <is>
          <t>29103-P-2204</t>
        </is>
      </c>
      <c r="F34" s="15" t="inlineStr">
        <is>
          <t>29103-65R-ET-P2204-01-01</t>
        </is>
      </c>
      <c r="G34" s="15" t="inlineStr">
        <is>
          <t>13.1</t>
        </is>
      </c>
      <c r="H34" s="15" t="inlineStr">
        <is>
          <t>1.4. 29103-HTP-004/1. EHT Insulation/29103-ET-P2204-1-3.pdf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11.4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E/32SQ3472/7M/448/72.9/1.2M/LS23A/X/N12/XMF</t>
        </is>
      </c>
      <c r="AK34" s="15" t="inlineStr">
        <is>
          <t>7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29103-ET-P2204-1-4</t>
        </is>
      </c>
      <c r="C35" s="15" t="inlineStr">
        <is>
          <t>29103-ET-P2204-1</t>
        </is>
      </c>
      <c r="D35" s="15" t="inlineStr">
        <is>
          <t>HTC-09 / CB-09</t>
        </is>
      </c>
      <c r="E35" s="15" t="inlineStr">
        <is>
          <t>29103-P-2204</t>
        </is>
      </c>
      <c r="F35" s="15" t="inlineStr">
        <is>
          <t>29103-65R-ET-P2204-01-01</t>
        </is>
      </c>
      <c r="G35" s="15" t="inlineStr">
        <is>
          <t>13.1</t>
        </is>
      </c>
      <c r="H35" s="15" t="inlineStr">
        <is>
          <t>1.4. 29103-HTP-004/1. EHT Insulation/29103-ET-P2204-1-4.pdf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YES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inlineStr">
        <is>
          <t>&gt;2.2 GΩ</t>
        </is>
      </c>
      <c r="V35" s="15" t="inlineStr">
        <is>
          <t>20.9 Ω</t>
        </is>
      </c>
      <c r="W35" s="15" t="inlineStr">
        <is>
          <t>2026-05-17</t>
        </is>
      </c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D/32SQ3472/13.1M/838/136/1.2M/LS23A/X/N12/XMN</t>
        </is>
      </c>
      <c r="AK35" s="15" t="inlineStr">
        <is>
          <t>13.1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29103-ET-P2204-2-1</t>
        </is>
      </c>
      <c r="C36" s="15" t="inlineStr">
        <is>
          <t>29103-ET-P2204-2</t>
        </is>
      </c>
      <c r="D36" s="15" t="inlineStr">
        <is>
          <t>HTC-26 / CB-26</t>
        </is>
      </c>
      <c r="E36" s="15" t="inlineStr">
        <is>
          <t>29103-P-2204, 29103-FG-2202</t>
        </is>
      </c>
      <c r="F36" s="15" t="inlineStr">
        <is>
          <t>29103-65R-ET-P2204-02-01</t>
        </is>
      </c>
      <c r="G36" s="15" t="inlineStr">
        <is>
          <t>13.1</t>
        </is>
      </c>
      <c r="H36" s="15" t="inlineStr">
        <is>
          <t>1.4. 29103-HTP-004/1. EHT Insulation/29103-ET-P2204-2-1.pdf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YES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inlineStr">
        <is>
          <t>&gt;2.2 GΩ</t>
        </is>
      </c>
      <c r="V36" s="15" t="inlineStr">
        <is>
          <t>262.8 Ω</t>
        </is>
      </c>
      <c r="W36" s="15" t="inlineStr">
        <is>
          <t>2026-05-17</t>
        </is>
      </c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D/32SF1110/7M/299/277/1.2M/LS23A/X/N12</t>
        </is>
      </c>
      <c r="AK36" s="15" t="inlineStr">
        <is>
          <t>7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29103-ET-P2301-1-1</t>
        </is>
      </c>
      <c r="C37" s="15" t="inlineStr">
        <is>
          <t>29103-ET-P2301-1</t>
        </is>
      </c>
      <c r="D37" s="15" t="inlineStr">
        <is>
          <t>HTC-04 / CB-04</t>
        </is>
      </c>
      <c r="E37" s="15" t="inlineStr">
        <is>
          <t>29103-P-2301</t>
        </is>
      </c>
      <c r="F37" s="15" t="inlineStr">
        <is>
          <t>29103-65R-ET-P2301-01-01</t>
        </is>
      </c>
      <c r="G37" s="15" t="inlineStr">
        <is>
          <t>13.1</t>
        </is>
      </c>
      <c r="H37" s="15" t="inlineStr">
        <is>
          <t>1.4. 29103-HTP-004/1. EHT Insulation/29103-ET-P2301-1-1.pdf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E/32SQ3374/20.5M/1007/166/1.2M/LS23A/X/N12/XNF</t>
        </is>
      </c>
      <c r="AK37" s="15" t="inlineStr">
        <is>
          <t>20.5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29103-ET-P2301-1-2</t>
        </is>
      </c>
      <c r="C38" s="15" t="inlineStr">
        <is>
          <t>29103-ET-P2301-1</t>
        </is>
      </c>
      <c r="D38" s="15" t="inlineStr">
        <is>
          <t>HTC-04 / CB-04</t>
        </is>
      </c>
      <c r="E38" s="15" t="inlineStr">
        <is>
          <t>29103-P-2301</t>
        </is>
      </c>
      <c r="F38" s="15" t="inlineStr">
        <is>
          <t>29103-65R-ET-P2301-01-01</t>
        </is>
      </c>
      <c r="G38" s="15" t="inlineStr">
        <is>
          <t>13.1</t>
        </is>
      </c>
      <c r="H38" s="15" t="inlineStr">
        <is>
          <t>1.4. 29103-HTP-004/1. EHT Insulation/29103-ET-P2301-1-2.pdf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D/32SQ3374/13.8M/678/111/1.2M/LS23A/X/N12/XMN</t>
        </is>
      </c>
      <c r="AK38" s="15" t="inlineStr">
        <is>
          <t>13.8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29103-ET-P2304-1-1</t>
        </is>
      </c>
      <c r="C39" s="15" t="inlineStr">
        <is>
          <t>29103-ET-P2304-1</t>
        </is>
      </c>
      <c r="D39" s="15" t="inlineStr">
        <is>
          <t>HTC-02 / CB-02</t>
        </is>
      </c>
      <c r="E39" s="15" t="inlineStr">
        <is>
          <t>29103-PE-2301, 29103-P-2304</t>
        </is>
      </c>
      <c r="F39" s="15" t="inlineStr">
        <is>
          <t>29103-65R-ET-P2304-01-01</t>
        </is>
      </c>
      <c r="G39" s="15" t="inlineStr">
        <is>
          <t>13.1</t>
        </is>
      </c>
      <c r="H39" s="15" t="inlineStr">
        <is>
          <t>1.4. 29103-HTP-004/1. EHT Insulation/29103-ET-P2304-1-1.pdf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NO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D/32SA2200/20.9M/554/277/1.2M/LS23A/X/N12</t>
        </is>
      </c>
      <c r="AK39" s="15" t="inlineStr">
        <is>
          <t>20.9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29103-ET-P2304-1-2</t>
        </is>
      </c>
      <c r="C40" s="15" t="inlineStr">
        <is>
          <t>29103-ET-P2304-1</t>
        </is>
      </c>
      <c r="D40" s="15" t="inlineStr">
        <is>
          <t>HTC-02 / CB-02</t>
        </is>
      </c>
      <c r="E40" s="15" t="inlineStr">
        <is>
          <t>29103-P-2304</t>
        </is>
      </c>
      <c r="F40" s="15" t="inlineStr">
        <is>
          <t>29103-65R-ET-P2304-01-01</t>
        </is>
      </c>
      <c r="G40" s="15" t="inlineStr">
        <is>
          <t>13.1</t>
        </is>
      </c>
      <c r="H40" s="15" t="inlineStr">
        <is>
          <t>1.4. 29103-HTP-004/1. EHT Insulation/29103-ET-P2304-1-2.pdf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12.9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E/32SQ3472/8M/461/78.9/1.2M/LS23A/X/N12/XNF</t>
        </is>
      </c>
      <c r="AK40" s="15" t="inlineStr">
        <is>
          <t>8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29103-ET-P2304-1-3</t>
        </is>
      </c>
      <c r="C41" s="15" t="inlineStr">
        <is>
          <t>29103-ET-P2304-1</t>
        </is>
      </c>
      <c r="D41" s="15" t="inlineStr">
        <is>
          <t>HTC-02 / CB-02</t>
        </is>
      </c>
      <c r="E41" s="15" t="inlineStr">
        <is>
          <t>29103-P-2304</t>
        </is>
      </c>
      <c r="F41" s="15" t="inlineStr">
        <is>
          <t>29103-65R-ET-P2304-01-01</t>
        </is>
      </c>
      <c r="G41" s="15" t="inlineStr">
        <is>
          <t>13.1</t>
        </is>
      </c>
      <c r="H41" s="15" t="inlineStr">
        <is>
          <t>1.4. 29103-HTP-004/1. EHT Insulation/29103-ET-P2304-1-3.pdf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11.4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E/32SQ3472/7M/403/69/1.2M/LS23A/X/N12/XMF</t>
        </is>
      </c>
      <c r="AK41" s="15" t="inlineStr">
        <is>
          <t>7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29103-ET-P2304-1-4</t>
        </is>
      </c>
      <c r="C42" s="15" t="inlineStr">
        <is>
          <t>29103-ET-P2304-1</t>
        </is>
      </c>
      <c r="D42" s="15" t="inlineStr">
        <is>
          <t>HTC-02 / CB-02</t>
        </is>
      </c>
      <c r="E42" s="15" t="inlineStr">
        <is>
          <t>29103-P-2304</t>
        </is>
      </c>
      <c r="F42" s="15" t="inlineStr">
        <is>
          <t>29103-65R-ET-P2304-01-01</t>
        </is>
      </c>
      <c r="G42" s="15" t="inlineStr">
        <is>
          <t>13.1</t>
        </is>
      </c>
      <c r="H42" s="15" t="inlineStr">
        <is>
          <t>1.4. 29103-HTP-004/1. EHT Insulation/29103-ET-P2304-1-4.pdf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YES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inlineStr">
        <is>
          <t>&gt;2.2 GΩ</t>
        </is>
      </c>
      <c r="V42" s="15" t="inlineStr">
        <is>
          <t>21 Ω</t>
        </is>
      </c>
      <c r="W42" s="15" t="inlineStr">
        <is>
          <t>2026-05-17</t>
        </is>
      </c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D/32SQ3472/13.1M/755/129/1.2M/LS23A/X/N12/XMN</t>
        </is>
      </c>
      <c r="AK42" s="15" t="inlineStr">
        <is>
          <t>13.1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29103-ET-P2304-2-1</t>
        </is>
      </c>
      <c r="C43" s="15" t="inlineStr">
        <is>
          <t>29103-ET-P2304-2</t>
        </is>
      </c>
      <c r="D43" s="15" t="inlineStr">
        <is>
          <t>HTC-27 / CB-27</t>
        </is>
      </c>
      <c r="E43" s="15" t="inlineStr">
        <is>
          <t>29103-P-2304, 29103-FG-2302</t>
        </is>
      </c>
      <c r="F43" s="15" t="inlineStr">
        <is>
          <t>29103-65R-ET-P2304-02-01</t>
        </is>
      </c>
      <c r="G43" s="15" t="inlineStr">
        <is>
          <t>13.1</t>
        </is>
      </c>
      <c r="H43" s="15" t="inlineStr">
        <is>
          <t>1.4. 29103-HTP-004/1. EHT Insulation/29103-ET-P2304-2-1.pdf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YES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inlineStr">
        <is>
          <t>&gt;2.2 GΩ</t>
        </is>
      </c>
      <c r="V43" s="15" t="inlineStr">
        <is>
          <t>374.3 Ω</t>
        </is>
      </c>
      <c r="W43" s="15" t="inlineStr">
        <is>
          <t>2026-05-17</t>
        </is>
      </c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D/32SF1180/6.2M/207/277/1.2M/LS23A/X/N12</t>
        </is>
      </c>
      <c r="AK43" s="15" t="inlineStr">
        <is>
          <t>6.2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29103-ET-P2404-1-1</t>
        </is>
      </c>
      <c r="C44" s="15" t="inlineStr">
        <is>
          <t>29103-ET-P2404-1</t>
        </is>
      </c>
      <c r="D44" s="15" t="inlineStr">
        <is>
          <t>HTC-32 / CB-32</t>
        </is>
      </c>
      <c r="E44" s="15" t="inlineStr">
        <is>
          <t>29103-PE-2401, 29103-P-2404</t>
        </is>
      </c>
      <c r="F44" s="15" t="inlineStr">
        <is>
          <t>29103-65R-ET-P2404-01-01</t>
        </is>
      </c>
      <c r="G44" s="15" t="inlineStr">
        <is>
          <t>13.1</t>
        </is>
      </c>
      <c r="H44" s="15" t="inlineStr">
        <is>
          <t>1.4. 29103-HTP-004/1. EHT Insulation/29103-ET-P2404-1-1.pdf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D/32SA2200/20.9M/554/277/1.2M/LS23A/X/N12</t>
        </is>
      </c>
      <c r="AK44" s="15" t="inlineStr">
        <is>
          <t>20.9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29103-ET-P2404-1-2</t>
        </is>
      </c>
      <c r="C45" s="15" t="inlineStr">
        <is>
          <t>29103-ET-P2404-1</t>
        </is>
      </c>
      <c r="D45" s="15" t="inlineStr">
        <is>
          <t>HTC-32 / CB-32</t>
        </is>
      </c>
      <c r="E45" s="15" t="inlineStr">
        <is>
          <t>29103-P-2404</t>
        </is>
      </c>
      <c r="F45" s="15" t="inlineStr">
        <is>
          <t>29103-65R-ET-P2404-01-01</t>
        </is>
      </c>
      <c r="G45" s="15" t="inlineStr">
        <is>
          <t>13.1</t>
        </is>
      </c>
      <c r="H45" s="15" t="inlineStr">
        <is>
          <t>1.4. 29103-HTP-004/1. EHT Insulation/29103-ET-P2404-1-2.pdf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10.6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E/32SQ3472/6.5M/416/67.7/1.2M/LS23A/X/N12/XNF</t>
        </is>
      </c>
      <c r="AK45" s="15" t="inlineStr">
        <is>
          <t>6.5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29103-ET-P2404-1-3</t>
        </is>
      </c>
      <c r="C46" s="15" t="inlineStr">
        <is>
          <t>29103-ET-P2404-1</t>
        </is>
      </c>
      <c r="D46" s="15" t="inlineStr">
        <is>
          <t>HTC-32 / CB-32</t>
        </is>
      </c>
      <c r="E46" s="15" t="inlineStr">
        <is>
          <t>29103-P-2404</t>
        </is>
      </c>
      <c r="F46" s="15" t="inlineStr">
        <is>
          <t>29103-65R-ET-P2404-01-01</t>
        </is>
      </c>
      <c r="G46" s="15" t="inlineStr">
        <is>
          <t>13.1</t>
        </is>
      </c>
      <c r="H46" s="15" t="inlineStr">
        <is>
          <t>1.4. 29103-HTP-004/1. EHT Insulation/29103-ET-P2404-1-3.pdf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11.3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E/32SQ3472/7M/448/72.9/1.2M/LS23A/X/N12/XMF</t>
        </is>
      </c>
      <c r="AK46" s="15" t="inlineStr">
        <is>
          <t>7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29103-ET-P2404-1-4</t>
        </is>
      </c>
      <c r="C47" s="15" t="inlineStr">
        <is>
          <t>29103-ET-P2404-1</t>
        </is>
      </c>
      <c r="D47" s="15" t="inlineStr">
        <is>
          <t>HTC-32 / CB-32</t>
        </is>
      </c>
      <c r="E47" s="15" t="inlineStr">
        <is>
          <t>29103-P-2404</t>
        </is>
      </c>
      <c r="F47" s="15" t="inlineStr">
        <is>
          <t>29103-65R-ET-P2404-01-01</t>
        </is>
      </c>
      <c r="G47" s="15" t="inlineStr">
        <is>
          <t>13.1</t>
        </is>
      </c>
      <c r="H47" s="15" t="inlineStr">
        <is>
          <t>1.4. 29103-HTP-004/1. EHT Insulation/29103-ET-P2404-1-4.pdf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20.8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D/32SQ3472/13.1M/838/136/1.2M/LS23A/X/N12/XMN</t>
        </is>
      </c>
      <c r="AK47" s="15" t="inlineStr">
        <is>
          <t>13.1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29103-ET-P2404-2-1</t>
        </is>
      </c>
      <c r="C48" s="15" t="inlineStr">
        <is>
          <t>29103-ET-P2404-2</t>
        </is>
      </c>
      <c r="D48" s="15" t="inlineStr">
        <is>
          <t>HTC-41 / CB-41</t>
        </is>
      </c>
      <c r="E48" s="15" t="inlineStr">
        <is>
          <t>29103-P-2404, 29103-FG-2402</t>
        </is>
      </c>
      <c r="F48" s="15" t="inlineStr">
        <is>
          <t>29103-65R-ET-P2404-02-01</t>
        </is>
      </c>
      <c r="G48" s="15" t="inlineStr">
        <is>
          <t>13.1</t>
        </is>
      </c>
      <c r="H48" s="15" t="inlineStr">
        <is>
          <t>1.4. 29103-HTP-004/1. EHT Insulation/29103-ET-P2404-2-1.pdf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262.9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D/32SF1110/7M/299/277/1.2M/LS23A/X/N12</t>
        </is>
      </c>
      <c r="AK48" s="15" t="inlineStr">
        <is>
          <t>7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29103-ET-P2800-2-1</t>
        </is>
      </c>
      <c r="C49" s="15" t="inlineStr">
        <is>
          <t>29103-ET-P2800-2</t>
        </is>
      </c>
      <c r="D49" s="15" t="inlineStr">
        <is>
          <t>HTC-31 / CB-31</t>
        </is>
      </c>
      <c r="E49" s="15" t="inlineStr">
        <is>
          <t>29103-P-2800</t>
        </is>
      </c>
      <c r="F49" s="15" t="inlineStr">
        <is>
          <t>29103-65R-ET-P2800-02-01</t>
        </is>
      </c>
      <c r="G49" s="15" t="inlineStr">
        <is>
          <t>13.1</t>
        </is>
      </c>
      <c r="H49" s="15" t="inlineStr">
        <is>
          <t>1.4. 29103-HTP-004/1. EHT Insulation/29103-ET-P2800-2-1.pdf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D/32SQ3100/47.1M/2553/207/2.1M/LS23A/X/N12</t>
        </is>
      </c>
      <c r="AK49" s="15" t="inlineStr">
        <is>
          <t>47.1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29103-ET-P2800-2-2</t>
        </is>
      </c>
      <c r="C50" s="15" t="inlineStr">
        <is>
          <t>29103-ET-P2800-2</t>
        </is>
      </c>
      <c r="D50" s="15" t="inlineStr">
        <is>
          <t>HTC-31 / CB-31</t>
        </is>
      </c>
      <c r="E50" s="15" t="inlineStr">
        <is>
          <t>29103-P-2800</t>
        </is>
      </c>
      <c r="F50" s="15" t="inlineStr">
        <is>
          <t>29103-65R-ET-P2800-02-01</t>
        </is>
      </c>
      <c r="G50" s="15" t="inlineStr">
        <is>
          <t>13.1</t>
        </is>
      </c>
      <c r="H50" s="15" t="inlineStr">
        <is>
          <t>1.4. 29103-HTP-004/1. EHT Insulation/29103-ET-P2800-2-2.pdf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D/32SQ3100/15.9M/862/69.9/2.1M/LS23A/X/N12</t>
        </is>
      </c>
      <c r="AK50" s="15" t="inlineStr">
        <is>
          <t>15.9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29103-ET-P2800-3-1</t>
        </is>
      </c>
      <c r="C51" s="15" t="inlineStr">
        <is>
          <t>29103-ET-P2800-3</t>
        </is>
      </c>
      <c r="D51" s="15" t="inlineStr">
        <is>
          <t>HTC-24 / CB-24</t>
        </is>
      </c>
      <c r="E51" s="15" t="inlineStr">
        <is>
          <t>29103-P-2800</t>
        </is>
      </c>
      <c r="F51" s="15" t="inlineStr">
        <is>
          <t>29103-65R-ET-P2800-03-01</t>
        </is>
      </c>
      <c r="G51" s="15" t="inlineStr">
        <is>
          <t>13.1</t>
        </is>
      </c>
      <c r="H51" s="15" t="inlineStr">
        <is>
          <t>1.4. 29103-HTP-004/1. EHT Insulation/29103-ET-P2800-3-1.pdf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E/32SQ3374/9.7M/555/84.8/2.1M/LS23A/X/N12/XNF</t>
        </is>
      </c>
      <c r="AK51" s="15" t="inlineStr">
        <is>
          <t>9.7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29103-ET-P2800-3-2</t>
        </is>
      </c>
      <c r="C52" s="15" t="inlineStr">
        <is>
          <t>29103-ET-P2800-3</t>
        </is>
      </c>
      <c r="D52" s="15" t="inlineStr">
        <is>
          <t>HTC-24 / CB-24</t>
        </is>
      </c>
      <c r="E52" s="15" t="inlineStr">
        <is>
          <t>29103-P-2800</t>
        </is>
      </c>
      <c r="F52" s="15" t="inlineStr">
        <is>
          <t>29103-65R-ET-P2800-03-01</t>
        </is>
      </c>
      <c r="G52" s="15" t="inlineStr">
        <is>
          <t>13.1</t>
        </is>
      </c>
      <c r="H52" s="15" t="inlineStr">
        <is>
          <t>1.4. 29103-HTP-004/1. EHT Insulation/29103-ET-P2800-3-2.pdf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E/32SQ3374/9.7M/555/84.8/2.1M/LS23A/X/N12/XNF</t>
        </is>
      </c>
      <c r="AK52" s="15" t="inlineStr">
        <is>
          <t>9.7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29103-ET-P2800-3-3</t>
        </is>
      </c>
      <c r="C53" s="15" t="inlineStr">
        <is>
          <t>29103-ET-P2800-3</t>
        </is>
      </c>
      <c r="D53" s="15" t="inlineStr">
        <is>
          <t>HTC-24 / CB-24</t>
        </is>
      </c>
      <c r="E53" s="15" t="inlineStr">
        <is>
          <t>29103-P-2800</t>
        </is>
      </c>
      <c r="F53" s="15" t="inlineStr">
        <is>
          <t>29103-65R-ET-P2800-03-01</t>
        </is>
      </c>
      <c r="G53" s="15" t="inlineStr">
        <is>
          <t>13.1</t>
        </is>
      </c>
      <c r="H53" s="15" t="inlineStr">
        <is>
          <t>1.4. 29103-HTP-004/1. EHT Insulation/29103-ET-P2800-3-3.pdf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D/32SQ3374/22M/1258/192/2.1M/LS23A/X/N12/XMN</t>
        </is>
      </c>
      <c r="AK53" s="15" t="inlineStr">
        <is>
          <t>22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29103-ET-P2800-3-4</t>
        </is>
      </c>
      <c r="C54" s="15" t="inlineStr">
        <is>
          <t>29103-ET-P2800-3</t>
        </is>
      </c>
      <c r="D54" s="15" t="inlineStr">
        <is>
          <t>HTC-24 / CB-24</t>
        </is>
      </c>
      <c r="E54" s="15" t="inlineStr">
        <is>
          <t>29103-P-2800</t>
        </is>
      </c>
      <c r="F54" s="15" t="inlineStr">
        <is>
          <t>29103-65R-ET-P2800-03-01</t>
        </is>
      </c>
      <c r="G54" s="15" t="inlineStr">
        <is>
          <t>13.1</t>
        </is>
      </c>
      <c r="H54" s="15" t="inlineStr">
        <is>
          <t>1.4. 29103-HTP-004/1. EHT Insulation/29103-ET-P2800-3-4.pdf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D/32SQ3374/22M/1258/192/2.1M/LS23A/X/N12/XMN</t>
        </is>
      </c>
      <c r="AK54" s="15" t="inlineStr">
        <is>
          <t>22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29103-ET-PE2101-1-1</t>
        </is>
      </c>
      <c r="C55" s="15" t="inlineStr">
        <is>
          <t>29103-ET-PE2101-1</t>
        </is>
      </c>
      <c r="D55" s="15" t="inlineStr">
        <is>
          <t>HTC-23 / CB-23</t>
        </is>
      </c>
      <c r="E55" s="15" t="inlineStr">
        <is>
          <t>29103-PE-2101</t>
        </is>
      </c>
      <c r="F55" s="15" t="inlineStr">
        <is>
          <t>29103-65R-ET-PE2101-01-01</t>
        </is>
      </c>
      <c r="G55" s="15" t="inlineStr">
        <is>
          <t>13.1</t>
        </is>
      </c>
      <c r="H55" s="15" t="inlineStr">
        <is>
          <t>1.4. 29103-HTP-004/1. EHT Insulation/29103-ET-PE2101-1-1.pdf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D/32SF1110/7.8M/269/277/1.2M/LS23A/X/N12</t>
        </is>
      </c>
      <c r="AK55" s="15" t="inlineStr">
        <is>
          <t>7.8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29103-ET-PE2101-1-2</t>
        </is>
      </c>
      <c r="C56" s="15" t="inlineStr">
        <is>
          <t>29103-ET-PE2101-1</t>
        </is>
      </c>
      <c r="D56" s="15" t="inlineStr">
        <is>
          <t>HTC-23 / CB-23</t>
        </is>
      </c>
      <c r="E56" s="15" t="inlineStr">
        <is>
          <t>29103-PE-2101</t>
        </is>
      </c>
      <c r="F56" s="15" t="inlineStr">
        <is>
          <t>29103-65R-ET-PE2101-01-01</t>
        </is>
      </c>
      <c r="G56" s="15" t="inlineStr">
        <is>
          <t>13.1</t>
        </is>
      </c>
      <c r="H56" s="15" t="inlineStr">
        <is>
          <t>1.4. 29103-HTP-004/1. EHT Insulation/29103-ET-PE2101-1-2.pdf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E/32SQ3472/9.5M/505/89.8/1.2M/LS23A/X/N12/XNF</t>
        </is>
      </c>
      <c r="AK56" s="15" t="inlineStr">
        <is>
          <t>9.5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29103-ET-PE2101-1-3</t>
        </is>
      </c>
      <c r="C57" s="15" t="inlineStr">
        <is>
          <t>29103-ET-PE2101-1</t>
        </is>
      </c>
      <c r="D57" s="15" t="inlineStr">
        <is>
          <t>HTC-23 / CB-23</t>
        </is>
      </c>
      <c r="E57" s="15" t="inlineStr">
        <is>
          <t>29103-PE-2101</t>
        </is>
      </c>
      <c r="F57" s="15" t="inlineStr">
        <is>
          <t>29103-65R-ET-PE2101-01-01</t>
        </is>
      </c>
      <c r="G57" s="15" t="inlineStr">
        <is>
          <t>13.1</t>
        </is>
      </c>
      <c r="H57" s="15" t="inlineStr">
        <is>
          <t>1.4. 29103-HTP-004/1. EHT Insulation/29103-ET-PE2101-1-3.pdf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E/32SQ3472/6.6M/351/62.4/1.2M/LS23A/X/N12/XMF</t>
        </is>
      </c>
      <c r="AK57" s="15" t="inlineStr">
        <is>
          <t>6.6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29103-ET-PE2101-1-4</t>
        </is>
      </c>
      <c r="C58" s="15" t="inlineStr">
        <is>
          <t>29103-ET-PE2101-1</t>
        </is>
      </c>
      <c r="D58" s="15" t="inlineStr">
        <is>
          <t>HTC-23 / CB-23</t>
        </is>
      </c>
      <c r="E58" s="15" t="inlineStr">
        <is>
          <t>29103-PE-2101</t>
        </is>
      </c>
      <c r="F58" s="15" t="inlineStr">
        <is>
          <t>29103-65R-ET-PE2101-01-01</t>
        </is>
      </c>
      <c r="G58" s="15" t="inlineStr">
        <is>
          <t>13.1</t>
        </is>
      </c>
      <c r="H58" s="15" t="inlineStr">
        <is>
          <t>1.4. 29103-HTP-004/1. EHT Insulation/29103-ET-PE2101-1-4.pdf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D/32SQ3472/13.2M/702/125/1.2M/LS23A/X/N12/XMN</t>
        </is>
      </c>
      <c r="AK58" s="15" t="inlineStr">
        <is>
          <t>13.2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29103-ET-PE2101-2-1</t>
        </is>
      </c>
      <c r="C59" s="15" t="inlineStr">
        <is>
          <t>29103-ET-PE2101-2</t>
        </is>
      </c>
      <c r="D59" s="15" t="inlineStr">
        <is>
          <t>HTC-16 / CB-16</t>
        </is>
      </c>
      <c r="E59" s="15" t="inlineStr">
        <is>
          <t>29103-PE-2101</t>
        </is>
      </c>
      <c r="F59" s="15" t="inlineStr">
        <is>
          <t>29103-65R-ET-PE2101-02-01</t>
        </is>
      </c>
      <c r="G59" s="15" t="inlineStr">
        <is>
          <t>13.1</t>
        </is>
      </c>
      <c r="H59" s="15" t="inlineStr">
        <is>
          <t>1.4. 29103-HTP-004/1. EHT Insulation/29103-ET-PE2101-2-1.pdf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D/32SQ3200/52.5M/2063/277/1.2M/LS23A/X/N12</t>
        </is>
      </c>
      <c r="AK59" s="15" t="inlineStr">
        <is>
          <t>52.5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29103-ET-PE2101-2-2</t>
        </is>
      </c>
      <c r="C60" s="15" t="inlineStr">
        <is>
          <t>29103-ET-PE2101-2</t>
        </is>
      </c>
      <c r="D60" s="15" t="inlineStr">
        <is>
          <t>HTC-16 / CB-16</t>
        </is>
      </c>
      <c r="E60" s="15" t="inlineStr">
        <is>
          <t>29103-PE-2101</t>
        </is>
      </c>
      <c r="F60" s="15" t="inlineStr">
        <is>
          <t>29103-65R-ET-PE2101-02-01</t>
        </is>
      </c>
      <c r="G60" s="15" t="inlineStr">
        <is>
          <t>13.1</t>
        </is>
      </c>
      <c r="H60" s="15" t="inlineStr">
        <is>
          <t>1.4. 29103-HTP-004/1. EHT Insulation/29103-ET-PE2101-2-2.pdf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D/32SB2114/29.4M/694/277/1.2M/LS23A/X/N12</t>
        </is>
      </c>
      <c r="AK60" s="15" t="inlineStr">
        <is>
          <t>29.4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29103-ET-PE2102-1-1</t>
        </is>
      </c>
      <c r="C61" s="15" t="inlineStr">
        <is>
          <t>29103-ET-PE2102-1</t>
        </is>
      </c>
      <c r="D61" s="15" t="inlineStr">
        <is>
          <t>HTC-20 / CB-20</t>
        </is>
      </c>
      <c r="E61" s="15" t="inlineStr">
        <is>
          <t>29103-PE-2103, 29103-PE-2102</t>
        </is>
      </c>
      <c r="F61" s="15" t="inlineStr">
        <is>
          <t>29103-65R-ET-PE2102-01-01</t>
        </is>
      </c>
      <c r="G61" s="15" t="inlineStr">
        <is>
          <t>13.1</t>
        </is>
      </c>
      <c r="H61" s="15" t="inlineStr">
        <is>
          <t>1.4. 29103-HTP-004/1. EHT Insulation/29103-ET-PE2102-1-1.pdf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D/32SQ3374/34.9M/1658/277/1.2M/LS23A/X/N12</t>
        </is>
      </c>
      <c r="AK61" s="15" t="inlineStr">
        <is>
          <t>34.9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29103-ET-PE2201-1-1</t>
        </is>
      </c>
      <c r="C62" s="15" t="inlineStr">
        <is>
          <t>29103-ET-PE2201-1</t>
        </is>
      </c>
      <c r="D62" s="15" t="inlineStr">
        <is>
          <t>HTC-08 / CB-08</t>
        </is>
      </c>
      <c r="E62" s="15" t="inlineStr">
        <is>
          <t>29103-PE-2201</t>
        </is>
      </c>
      <c r="F62" s="15" t="inlineStr">
        <is>
          <t>29103-65R-ET-PE2201-01-01</t>
        </is>
      </c>
      <c r="G62" s="15" t="inlineStr">
        <is>
          <t>13.1</t>
        </is>
      </c>
      <c r="H62" s="15" t="inlineStr">
        <is>
          <t>1.4. 29103-HTP-004/1. EHT Insulation/29103-ET-PE2201-1-1.pdf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D/32SF1110/7.5M/280/277/1.2M/LS23A/X/N12</t>
        </is>
      </c>
      <c r="AK62" s="15" t="inlineStr">
        <is>
          <t>7.5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29103-ET-PE2201-1-2</t>
        </is>
      </c>
      <c r="C63" s="15" t="inlineStr">
        <is>
          <t>29103-ET-PE2201-1</t>
        </is>
      </c>
      <c r="D63" s="15" t="inlineStr">
        <is>
          <t>HTC-08 / CB-08</t>
        </is>
      </c>
      <c r="E63" s="15" t="inlineStr">
        <is>
          <t>29103-PE-2201</t>
        </is>
      </c>
      <c r="F63" s="15" t="inlineStr">
        <is>
          <t>29103-65R-ET-PE2201-01-01</t>
        </is>
      </c>
      <c r="G63" s="15" t="inlineStr">
        <is>
          <t>13.1</t>
        </is>
      </c>
      <c r="H63" s="15" t="inlineStr">
        <is>
          <t>1.4. 29103-HTP-004/1. EHT Insulation/29103-ET-PE2201-1-2.pdf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E/32SQ3472/10.8M/522/97.1/1.2M/LS23A/X/N12/XNF</t>
        </is>
      </c>
      <c r="AK63" s="15" t="inlineStr">
        <is>
          <t>10.8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29103-ET-PE2201-1-3</t>
        </is>
      </c>
      <c r="C64" s="15" t="inlineStr">
        <is>
          <t>29103-ET-PE2201-1</t>
        </is>
      </c>
      <c r="D64" s="15" t="inlineStr">
        <is>
          <t>HTC-08 / CB-08</t>
        </is>
      </c>
      <c r="E64" s="15" t="inlineStr">
        <is>
          <t>29103-PE-2201</t>
        </is>
      </c>
      <c r="F64" s="15" t="inlineStr">
        <is>
          <t>29103-65R-ET-PE2201-01-01</t>
        </is>
      </c>
      <c r="G64" s="15" t="inlineStr">
        <is>
          <t>13.1</t>
        </is>
      </c>
      <c r="H64" s="15" t="inlineStr">
        <is>
          <t>1.4. 29103-HTP-004/1. EHT Insulation/29103-ET-PE2201-1-3.pdf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E/32SQ3472/6.6M/319/59.4/1.2M/LS23A/X/N12/XMF</t>
        </is>
      </c>
      <c r="AK64" s="15" t="inlineStr">
        <is>
          <t>6.6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29103-ET-PE2201-1-4</t>
        </is>
      </c>
      <c r="C65" s="15" t="inlineStr">
        <is>
          <t>29103-ET-PE2201-1</t>
        </is>
      </c>
      <c r="D65" s="15" t="inlineStr">
        <is>
          <t>HTC-08 / CB-08</t>
        </is>
      </c>
      <c r="E65" s="15" t="inlineStr">
        <is>
          <t>29103-PE-2201</t>
        </is>
      </c>
      <c r="F65" s="15" t="inlineStr">
        <is>
          <t>29103-65R-ET-PE2201-01-01</t>
        </is>
      </c>
      <c r="G65" s="15" t="inlineStr">
        <is>
          <t>13.1</t>
        </is>
      </c>
      <c r="H65" s="15" t="inlineStr">
        <is>
          <t>1.4. 29103-HTP-004/1. EHT Insulation/29103-ET-PE2201-1-4.pdf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D/32SQ3472/13.4M/647/121/1.2M/LS23A/X/N12/XMN</t>
        </is>
      </c>
      <c r="AK65" s="15" t="inlineStr">
        <is>
          <t>13.4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29103-ET-PE2201-2-1</t>
        </is>
      </c>
      <c r="C66" s="15" t="inlineStr">
        <is>
          <t>29103-ET-PE2201-2</t>
        </is>
      </c>
      <c r="D66" s="15" t="inlineStr">
        <is>
          <t>HTC-12 / CB-12</t>
        </is>
      </c>
      <c r="E66" s="15" t="inlineStr">
        <is>
          <t>29103-PE-2201</t>
        </is>
      </c>
      <c r="F66" s="15" t="inlineStr">
        <is>
          <t>29103-65R-ET-PE2201-02-01</t>
        </is>
      </c>
      <c r="G66" s="15" t="inlineStr">
        <is>
          <t>13.1</t>
        </is>
      </c>
      <c r="H66" s="15" t="inlineStr">
        <is>
          <t>1.4. 29103-HTP-004/1. EHT Insulation/29103-ET-PE2201-2-1.pdf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D/32SQ3200/52.1M/2079/277/1.2M/LS23A/X/N12</t>
        </is>
      </c>
      <c r="AK66" s="15" t="inlineStr">
        <is>
          <t>52.1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29103-ET-PE2201-2-2</t>
        </is>
      </c>
      <c r="C67" s="15" t="inlineStr">
        <is>
          <t>29103-ET-PE2201-2</t>
        </is>
      </c>
      <c r="D67" s="15" t="inlineStr">
        <is>
          <t>HTC-12 / CB-12</t>
        </is>
      </c>
      <c r="E67" s="15" t="inlineStr">
        <is>
          <t>29103-PE-2201</t>
        </is>
      </c>
      <c r="F67" s="15" t="inlineStr">
        <is>
          <t>29103-65R-ET-PE2201-02-01</t>
        </is>
      </c>
      <c r="G67" s="15" t="inlineStr">
        <is>
          <t>13.1</t>
        </is>
      </c>
      <c r="H67" s="15" t="inlineStr">
        <is>
          <t>1.4. 29103-HTP-004/1. EHT Insulation/29103-ET-PE2201-2-2.pdf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D/32SB2114/29.2M/701/277/1.2M/LS23A/X/N12</t>
        </is>
      </c>
      <c r="AK67" s="15" t="inlineStr">
        <is>
          <t>29.2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29103-ET-PE2202-1-1</t>
        </is>
      </c>
      <c r="C68" s="15" t="inlineStr">
        <is>
          <t>29103-ET-PE2202-1</t>
        </is>
      </c>
      <c r="D68" s="15" t="inlineStr">
        <is>
          <t>HTC-15 / CB-15</t>
        </is>
      </c>
      <c r="E68" s="15" t="inlineStr">
        <is>
          <t>29103-PE-2202</t>
        </is>
      </c>
      <c r="F68" s="15" t="inlineStr">
        <is>
          <t>29103-65R-ET-PE2202-01-01</t>
        </is>
      </c>
      <c r="G68" s="15" t="inlineStr">
        <is>
          <t>13.1</t>
        </is>
      </c>
      <c r="H68" s="15" t="inlineStr">
        <is>
          <t>1.4. 29103-HTP-004/1. EHT Insulation/29103-ET-PE2202-1-1.pdf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D/32SQ3374/35.4M/1635/277/1.2M/LS23A/X/N12</t>
        </is>
      </c>
      <c r="AK68" s="15" t="inlineStr">
        <is>
          <t>35.4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29103-ET-PE2301-1-1</t>
        </is>
      </c>
      <c r="C69" s="15" t="inlineStr">
        <is>
          <t>29103-ET-PE2301-1</t>
        </is>
      </c>
      <c r="D69" s="15" t="inlineStr">
        <is>
          <t>HTC-10 / CB-10</t>
        </is>
      </c>
      <c r="E69" s="15" t="inlineStr">
        <is>
          <t>29103-PE-2301</t>
        </is>
      </c>
      <c r="F69" s="15" t="inlineStr">
        <is>
          <t>29103-65R-ET-PE2301-01-01</t>
        </is>
      </c>
      <c r="G69" s="15" t="inlineStr">
        <is>
          <t>13.1</t>
        </is>
      </c>
      <c r="H69" s="15" t="inlineStr">
        <is>
          <t>1.4. 29103-HTP-004/1. EHT Insulation/29103-ET-PE2301-1-1.pdf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D/32SF1110/7.8M/269/277/1.2M/LS23A/X/N12</t>
        </is>
      </c>
      <c r="AK69" s="15" t="inlineStr">
        <is>
          <t>7.8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29103-ET-PE2301-1-2</t>
        </is>
      </c>
      <c r="C70" s="15" t="inlineStr">
        <is>
          <t>29103-ET-PE2301-1</t>
        </is>
      </c>
      <c r="D70" s="15" t="inlineStr">
        <is>
          <t>HTC-10 / CB-10</t>
        </is>
      </c>
      <c r="E70" s="15" t="inlineStr">
        <is>
          <t>29103-PE-2301</t>
        </is>
      </c>
      <c r="F70" s="15" t="inlineStr">
        <is>
          <t>29103-65R-ET-PE2301-01-01</t>
        </is>
      </c>
      <c r="G70" s="15" t="inlineStr">
        <is>
          <t>13.1</t>
        </is>
      </c>
      <c r="H70" s="15" t="inlineStr">
        <is>
          <t>1.4. 29103-HTP-004/1. EHT Insulation/29103-ET-PE2301-1-2.pdf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E/32SQ3472/9.5M/505/89.8/1.2M/LS23A/X/N12/XNF</t>
        </is>
      </c>
      <c r="AK70" s="15" t="inlineStr">
        <is>
          <t>9.5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29103-ET-PE2301-1-3</t>
        </is>
      </c>
      <c r="C71" s="15" t="inlineStr">
        <is>
          <t>29103-ET-PE2301-1</t>
        </is>
      </c>
      <c r="D71" s="15" t="inlineStr">
        <is>
          <t>HTC-10 / CB-10</t>
        </is>
      </c>
      <c r="E71" s="15" t="inlineStr">
        <is>
          <t>29103-PE-2301</t>
        </is>
      </c>
      <c r="F71" s="15" t="inlineStr">
        <is>
          <t>29103-65R-ET-PE2301-01-01</t>
        </is>
      </c>
      <c r="G71" s="15" t="inlineStr">
        <is>
          <t>13.1</t>
        </is>
      </c>
      <c r="H71" s="15" t="inlineStr">
        <is>
          <t>1.4. 29103-HTP-004/1. EHT Insulation/29103-ET-PE2301-1-3.pdf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E/32SQ3472/6.6M/351/62.4/1.2M/LS23A/X/N12/XMF</t>
        </is>
      </c>
      <c r="AK71" s="15" t="inlineStr">
        <is>
          <t>6.6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29103-ET-PE2301-1-4</t>
        </is>
      </c>
      <c r="C72" s="15" t="inlineStr">
        <is>
          <t>29103-ET-PE2301-1</t>
        </is>
      </c>
      <c r="D72" s="15" t="inlineStr">
        <is>
          <t>HTC-10 / CB-10</t>
        </is>
      </c>
      <c r="E72" s="15" t="inlineStr">
        <is>
          <t>29103-PE-2301</t>
        </is>
      </c>
      <c r="F72" s="15" t="inlineStr">
        <is>
          <t>29103-65R-ET-PE2301-01-01</t>
        </is>
      </c>
      <c r="G72" s="15" t="inlineStr">
        <is>
          <t>13.1</t>
        </is>
      </c>
      <c r="H72" s="15" t="inlineStr">
        <is>
          <t>1.4. 29103-HTP-004/1. EHT Insulation/29103-ET-PE2301-1-4.pdf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D/32SQ3472/13.2M/702/125/1.2M/LS23A/X/N12/XMN</t>
        </is>
      </c>
      <c r="AK72" s="15" t="inlineStr">
        <is>
          <t>13.2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29103-ET-PE2301-2-1</t>
        </is>
      </c>
      <c r="C73" s="15" t="inlineStr">
        <is>
          <t>29103-ET-PE2301-2</t>
        </is>
      </c>
      <c r="D73" s="15" t="inlineStr">
        <is>
          <t>HTC-07 / CB-07</t>
        </is>
      </c>
      <c r="E73" s="15" t="inlineStr">
        <is>
          <t>29103-PE-2301</t>
        </is>
      </c>
      <c r="F73" s="15" t="inlineStr">
        <is>
          <t>29103-65R-ET-PE2301-02-01</t>
        </is>
      </c>
      <c r="G73" s="15" t="inlineStr">
        <is>
          <t>13.1</t>
        </is>
      </c>
      <c r="H73" s="15" t="inlineStr">
        <is>
          <t>1.4. 29103-HTP-004/1. EHT Insulation/29103-ET-PE2301-2-1.pdf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D/32SQ3200/52.5M/2063/277/1.2M/LS23A/X/N12</t>
        </is>
      </c>
      <c r="AK73" s="15" t="inlineStr">
        <is>
          <t>52.5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29103-ET-PE2301-2-2</t>
        </is>
      </c>
      <c r="C74" s="15" t="inlineStr">
        <is>
          <t>29103-ET-PE2301-2</t>
        </is>
      </c>
      <c r="D74" s="15" t="inlineStr">
        <is>
          <t>HTC-07 / CB-07</t>
        </is>
      </c>
      <c r="E74" s="15" t="inlineStr">
        <is>
          <t>29103-PE-2301</t>
        </is>
      </c>
      <c r="F74" s="15" t="inlineStr">
        <is>
          <t>29103-65R-ET-PE2301-02-01</t>
        </is>
      </c>
      <c r="G74" s="15" t="inlineStr">
        <is>
          <t>13.1</t>
        </is>
      </c>
      <c r="H74" s="15" t="inlineStr">
        <is>
          <t>1.4. 29103-HTP-004/1. EHT Insulation/29103-ET-PE2301-2-2.pdf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D/32SB2114/29.4M/694/277/1.2M/LS23A/X/N12</t>
        </is>
      </c>
      <c r="AK74" s="15" t="inlineStr">
        <is>
          <t>29.4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29103-ET-PE2302-1-1</t>
        </is>
      </c>
      <c r="C75" s="15" t="inlineStr">
        <is>
          <t>29103-ET-PE2302-1</t>
        </is>
      </c>
      <c r="D75" s="15" t="inlineStr">
        <is>
          <t>HTC-06 / CB-06</t>
        </is>
      </c>
      <c r="E75" s="15" t="inlineStr">
        <is>
          <t>29103-PE-2303, 29103-PE-2302</t>
        </is>
      </c>
      <c r="F75" s="15" t="inlineStr">
        <is>
          <t>29103-65R-ET-PE2302-01-01</t>
        </is>
      </c>
      <c r="G75" s="15" t="inlineStr">
        <is>
          <t>13.1</t>
        </is>
      </c>
      <c r="H75" s="15" t="inlineStr">
        <is>
          <t>1.4. 29103-HTP-004/1. EHT Insulation/29103-ET-PE2302-1-1.pdf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D/32SQ3374/34.9M/1658/277/1.2M/LS23A/X/N12</t>
        </is>
      </c>
      <c r="AK75" s="15" t="inlineStr">
        <is>
          <t>34.9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29103-ET-PE2401-2-1</t>
        </is>
      </c>
      <c r="C76" s="15" t="inlineStr">
        <is>
          <t>29103-ET-PE2401-2</t>
        </is>
      </c>
      <c r="D76" s="15" t="inlineStr">
        <is>
          <t>HTC-33 / CB-33</t>
        </is>
      </c>
      <c r="E76" s="15" t="inlineStr">
        <is>
          <t>29103-PE-2401</t>
        </is>
      </c>
      <c r="F76" s="15" t="inlineStr">
        <is>
          <t>29103-65R-ET-PE2401-02-01</t>
        </is>
      </c>
      <c r="G76" s="15" t="inlineStr">
        <is>
          <t>13.1</t>
        </is>
      </c>
      <c r="H76" s="15" t="inlineStr">
        <is>
          <t>1.4. 29103-HTP-004/1. EHT Insulation/29103-ET-PE2401-2-1.pdf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D/32SQ3200/52.1M/2079/277/1.2M/LS23A/X/N12</t>
        </is>
      </c>
      <c r="AK76" s="15" t="inlineStr">
        <is>
          <t>52.1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29103-ET-PE2401-2-2</t>
        </is>
      </c>
      <c r="C77" s="15" t="inlineStr">
        <is>
          <t>29103-ET-PE2401-2</t>
        </is>
      </c>
      <c r="D77" s="15" t="inlineStr">
        <is>
          <t>HTC-33 / CB-33</t>
        </is>
      </c>
      <c r="E77" s="15" t="inlineStr">
        <is>
          <t>29103-PE-2401</t>
        </is>
      </c>
      <c r="F77" s="15" t="inlineStr">
        <is>
          <t>29103-65R-ET-PE2401-02-01</t>
        </is>
      </c>
      <c r="G77" s="15" t="inlineStr">
        <is>
          <t>13.1</t>
        </is>
      </c>
      <c r="H77" s="15" t="inlineStr">
        <is>
          <t>1.4. 29103-HTP-004/1. EHT Insulation/29103-ET-PE2401-2-2.pdf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D/32SB2114/29.2M/701/277/1.2M/LS23A/X/N12</t>
        </is>
      </c>
      <c r="AK77" s="15" t="inlineStr">
        <is>
          <t>29.2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29103-ET-PE2402-1-1</t>
        </is>
      </c>
      <c r="C78" s="15" t="inlineStr">
        <is>
          <t>29103-ET-PE2402-1</t>
        </is>
      </c>
      <c r="D78" s="15" t="inlineStr">
        <is>
          <t>HTC-35 / CB-35</t>
        </is>
      </c>
      <c r="E78" s="15" t="inlineStr">
        <is>
          <t>29103-PE-2403, 29103-PE-2402</t>
        </is>
      </c>
      <c r="F78" s="15" t="inlineStr">
        <is>
          <t>29103-65R-ET-PE2402-01-01</t>
        </is>
      </c>
      <c r="G78" s="15" t="inlineStr">
        <is>
          <t>13.1</t>
        </is>
      </c>
      <c r="H78" s="15" t="inlineStr">
        <is>
          <t>1.4. 29103-HTP-004/1. EHT Insulation/29103-ET-PE2402-1-1.pdf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D/32SQ3374/35.4M/1635/277/1.2M/LS23A/X/N12</t>
        </is>
      </c>
      <c r="AK78" s="15" t="inlineStr">
        <is>
          <t>35.4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29103-ET-PE2803-2-1</t>
        </is>
      </c>
      <c r="C79" s="15" t="inlineStr">
        <is>
          <t>29103-ET-PE2803-2</t>
        </is>
      </c>
      <c r="D79" s="15" t="inlineStr">
        <is>
          <t>HTC-29 / CB-29</t>
        </is>
      </c>
      <c r="E79" s="15" t="inlineStr">
        <is>
          <t>29103-PE-2803</t>
        </is>
      </c>
      <c r="F79" s="15" t="inlineStr">
        <is>
          <t>29103-65R-ET-PE2803-02-01</t>
        </is>
      </c>
      <c r="G79" s="15" t="inlineStr">
        <is>
          <t>13.1</t>
        </is>
      </c>
      <c r="H79" s="15" t="inlineStr">
        <is>
          <t>1.4. 29103-HTP-004/1. EHT Insulation/29103-ET-PE2803-2-1.pdf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E/32SQ3374/11.3M/542/90.2/1.2M/LS23A/X/N12/XNF</t>
        </is>
      </c>
      <c r="AK79" s="15" t="inlineStr">
        <is>
          <t>11.3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29103-ET-PE2803-2-2</t>
        </is>
      </c>
      <c r="C80" s="15" t="inlineStr">
        <is>
          <t>29103-ET-PE2803-2</t>
        </is>
      </c>
      <c r="D80" s="15" t="inlineStr">
        <is>
          <t>HTC-29 / CB-29</t>
        </is>
      </c>
      <c r="E80" s="15" t="inlineStr">
        <is>
          <t>29103-PE-2803</t>
        </is>
      </c>
      <c r="F80" s="15" t="inlineStr">
        <is>
          <t>29103-65R-ET-PE2803-02-01</t>
        </is>
      </c>
      <c r="G80" s="15" t="inlineStr">
        <is>
          <t>13.1</t>
        </is>
      </c>
      <c r="H80" s="15" t="inlineStr">
        <is>
          <t>1.4. 29103-HTP-004/1. EHT Insulation/29103-ET-PE2803-2-2.pdf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D/32SQ3374/23.4M/1123/187/1.2M/LS23A/X/N12/XMN</t>
        </is>
      </c>
      <c r="AK80" s="15" t="inlineStr">
        <is>
          <t>23.4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29103-ET-PG2101-1-1</t>
        </is>
      </c>
      <c r="C81" s="15" t="inlineStr">
        <is>
          <t>29103-ET-PG2101-1</t>
        </is>
      </c>
      <c r="D81" s="15" t="inlineStr">
        <is>
          <t>HTC-21 / CB-21</t>
        </is>
      </c>
      <c r="E81" s="15" t="inlineStr">
        <is>
          <t>29103-PG-2101, 29103-PE-2102, 29103-P-2100</t>
        </is>
      </c>
      <c r="F81" s="15" t="inlineStr">
        <is>
          <t>29103-65R-ET-PG2101-01-01</t>
        </is>
      </c>
      <c r="G81" s="15" t="inlineStr">
        <is>
          <t>13.1</t>
        </is>
      </c>
      <c r="H81" s="15" t="inlineStr">
        <is>
          <t>1.4. 29103-HTP-004/1. EHT Insulation/29103-ET-PG2101-1-1.pdf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D/32SP4734/90M/3006/277/1.2M/LS23A/X/N12</t>
        </is>
      </c>
      <c r="AK81" s="15" t="inlineStr">
        <is>
          <t>90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29103-ET-PG2101-2-1</t>
        </is>
      </c>
      <c r="C82" s="15" t="inlineStr">
        <is>
          <t>29103-ET-PG2101-2</t>
        </is>
      </c>
      <c r="D82" s="15" t="inlineStr">
        <is>
          <t>HTC-22 / CB-22</t>
        </is>
      </c>
      <c r="E82" s="15" t="inlineStr">
        <is>
          <t>29103-PG-2101</t>
        </is>
      </c>
      <c r="F82" s="15" t="inlineStr">
        <is>
          <t>29103-65R-ET-PG2101-02-01</t>
        </is>
      </c>
      <c r="G82" s="15" t="inlineStr">
        <is>
          <t>13.1</t>
        </is>
      </c>
      <c r="H82" s="15" t="inlineStr">
        <is>
          <t>1.4. 29103-HTP-004/1. EHT Insulation/29103-ET-PG2101-2-1.pdf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YES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inlineStr">
        <is>
          <t>&gt;550 MΩ</t>
        </is>
      </c>
      <c r="V82" s="15" t="inlineStr">
        <is>
          <t>21.7 Ω</t>
        </is>
      </c>
      <c r="W82" s="15" t="inlineStr">
        <is>
          <t>2026-05-18</t>
        </is>
      </c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E/32SB3700/9.2M/409/93.3/1.2M/LS23A/X/N12/XNF</t>
        </is>
      </c>
      <c r="AK82" s="15" t="inlineStr">
        <is>
          <t>9.2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29103-ET-PG2101-2-2</t>
        </is>
      </c>
      <c r="C83" s="15" t="inlineStr">
        <is>
          <t>29103-ET-PG2101-2</t>
        </is>
      </c>
      <c r="D83" s="15" t="inlineStr">
        <is>
          <t>HTC-22 / CB-22</t>
        </is>
      </c>
      <c r="E83" s="15" t="inlineStr">
        <is>
          <t>29103-PG-2101</t>
        </is>
      </c>
      <c r="F83" s="15" t="inlineStr">
        <is>
          <t>29103-65R-ET-PG2101-02-01</t>
        </is>
      </c>
      <c r="G83" s="15" t="inlineStr">
        <is>
          <t>13.1</t>
        </is>
      </c>
      <c r="H83" s="15" t="inlineStr">
        <is>
          <t>1.4. 29103-HTP-004/1. EHT Insulation/29103-ET-PG2101-2-2.pdf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YES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inlineStr">
        <is>
          <t>&gt;550 MΩ</t>
        </is>
      </c>
      <c r="V83" s="15" t="inlineStr">
        <is>
          <t>15 Ω</t>
        </is>
      </c>
      <c r="W83" s="15" t="inlineStr">
        <is>
          <t>2026-05-18</t>
        </is>
      </c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E/32SB3700/6.3M/280/63.9/1.2M/LS23A/X/N12/XMF</t>
        </is>
      </c>
      <c r="AK83" s="15" t="inlineStr">
        <is>
          <t>6.3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29103-ET-PG2101-2-3</t>
        </is>
      </c>
      <c r="C84" s="15" t="inlineStr">
        <is>
          <t>29103-ET-PG2101-2</t>
        </is>
      </c>
      <c r="D84" s="15" t="inlineStr">
        <is>
          <t>HTC-22 / CB-22</t>
        </is>
      </c>
      <c r="E84" s="15" t="inlineStr">
        <is>
          <t>29103-PG-2101</t>
        </is>
      </c>
      <c r="F84" s="15" t="inlineStr">
        <is>
          <t>29103-65R-ET-PG2101-02-01</t>
        </is>
      </c>
      <c r="G84" s="15" t="inlineStr">
        <is>
          <t>13.1</t>
        </is>
      </c>
      <c r="H84" s="15" t="inlineStr">
        <is>
          <t>1.4. 29103-HTP-004/1. EHT Insulation/29103-ET-PG2101-2-3.pdf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YES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inlineStr">
        <is>
          <t>&gt;550 MΩ</t>
        </is>
      </c>
      <c r="V84" s="15" t="inlineStr">
        <is>
          <t>28.2 Ω</t>
        </is>
      </c>
      <c r="W84" s="15" t="inlineStr">
        <is>
          <t>2026-05-18</t>
        </is>
      </c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D/32SB3700/11.8M/525/120/1.2M/LS23A/X/N12/XMN</t>
        </is>
      </c>
      <c r="AK84" s="15" t="inlineStr">
        <is>
          <t>11.8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29103-ET-PG2201-1-1</t>
        </is>
      </c>
      <c r="C85" s="15" t="inlineStr">
        <is>
          <t>29103-ET-PG2201-1</t>
        </is>
      </c>
      <c r="D85" s="15" t="inlineStr">
        <is>
          <t>HTC-14 / CB-14</t>
        </is>
      </c>
      <c r="E85" s="15" t="inlineStr">
        <is>
          <t>29103-PG-2201, 29103-PE-2202, 29103-P-2200</t>
        </is>
      </c>
      <c r="F85" s="15" t="inlineStr">
        <is>
          <t>29103-65R-ET-PG2201-01-01</t>
        </is>
      </c>
      <c r="G85" s="15" t="inlineStr">
        <is>
          <t>13.1</t>
        </is>
      </c>
      <c r="H85" s="15" t="inlineStr">
        <is>
          <t>1.4. 29103-HTP-004/1. EHT Insulation/29103-ET-PG2201-1-1.pdf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D/32SP4734/93.1M/2914/277/1.2M/LS23A/X/N12</t>
        </is>
      </c>
      <c r="AK85" s="15" t="inlineStr">
        <is>
          <t>93.1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29103-ET-PG2201-2-1</t>
        </is>
      </c>
      <c r="C86" s="15" t="inlineStr">
        <is>
          <t>29103-ET-PG2201-2</t>
        </is>
      </c>
      <c r="D86" s="15" t="inlineStr">
        <is>
          <t>HTC-17 / CB-17</t>
        </is>
      </c>
      <c r="E86" s="15" t="inlineStr">
        <is>
          <t>29103-PG-2201</t>
        </is>
      </c>
      <c r="F86" s="15" t="inlineStr">
        <is>
          <t>29103-65R-ET-PG2201-02-01</t>
        </is>
      </c>
      <c r="G86" s="15" t="inlineStr">
        <is>
          <t>13.1</t>
        </is>
      </c>
      <c r="H86" s="15" t="inlineStr">
        <is>
          <t>1.4. 29103-HTP-004/1. EHT Insulation/29103-ET-PG2201-2-1.pdf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YES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inlineStr">
        <is>
          <t>&gt;550 MΩ</t>
        </is>
      </c>
      <c r="V86" s="15" t="inlineStr">
        <is>
          <t>20.4 Ω</t>
        </is>
      </c>
      <c r="W86" s="15" t="inlineStr">
        <is>
          <t>2026-05-18</t>
        </is>
      </c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E/32SB3700/8.6M/401/89.2/1.2M/LS23A/X/N12/XNF</t>
        </is>
      </c>
      <c r="AK86" s="15" t="inlineStr">
        <is>
          <t>8.6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29103-ET-PG2201-2-2</t>
        </is>
      </c>
      <c r="C87" s="15" t="inlineStr">
        <is>
          <t>29103-ET-PG2201-2</t>
        </is>
      </c>
      <c r="D87" s="15" t="inlineStr">
        <is>
          <t>HTC-17 / CB-17</t>
        </is>
      </c>
      <c r="E87" s="15" t="inlineStr">
        <is>
          <t>29103-PG-2201</t>
        </is>
      </c>
      <c r="F87" s="15" t="inlineStr">
        <is>
          <t>29103-65R-ET-PG2201-02-01</t>
        </is>
      </c>
      <c r="G87" s="15" t="inlineStr">
        <is>
          <t>13.1</t>
        </is>
      </c>
      <c r="H87" s="15" t="inlineStr">
        <is>
          <t>1.4. 29103-HTP-004/1. EHT Insulation/29103-ET-PG2201-2-2.pdf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YES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inlineStr">
        <is>
          <t>&gt;550 MΩ</t>
        </is>
      </c>
      <c r="V87" s="15" t="inlineStr">
        <is>
          <t>15 Ω</t>
        </is>
      </c>
      <c r="W87" s="15" t="inlineStr">
        <is>
          <t>2026-05-18</t>
        </is>
      </c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E/32SB3700/6.3M/294/65.4/1.2M/LS23A/X/N12/XMF</t>
        </is>
      </c>
      <c r="AK87" s="15" t="inlineStr">
        <is>
          <t>6.3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29103-ET-PG2201-2-3</t>
        </is>
      </c>
      <c r="C88" s="15" t="inlineStr">
        <is>
          <t>29103-ET-PG2201-2</t>
        </is>
      </c>
      <c r="D88" s="15" t="inlineStr">
        <is>
          <t>HTC-17 / CB-17</t>
        </is>
      </c>
      <c r="E88" s="15" t="inlineStr">
        <is>
          <t>29103-PG-2201</t>
        </is>
      </c>
      <c r="F88" s="15" t="inlineStr">
        <is>
          <t>29103-65R-ET-PG2201-02-01</t>
        </is>
      </c>
      <c r="G88" s="15" t="inlineStr">
        <is>
          <t>13.1</t>
        </is>
      </c>
      <c r="H88" s="15" t="inlineStr">
        <is>
          <t>1.4. 29103-HTP-004/1. EHT Insulation/29103-ET-PG2201-2-3.pdf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YES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inlineStr">
        <is>
          <t>&gt;550 MΩ</t>
        </is>
      </c>
      <c r="V88" s="15" t="inlineStr">
        <is>
          <t>28.2 Ω</t>
        </is>
      </c>
      <c r="W88" s="15" t="inlineStr">
        <is>
          <t>2026-05-18</t>
        </is>
      </c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D/32SB3700/11.8M/550/122/1.2M/LS23A/X/N12/XMN</t>
        </is>
      </c>
      <c r="AK88" s="15" t="inlineStr">
        <is>
          <t>11.8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29103-ET-PG2301-1-1</t>
        </is>
      </c>
      <c r="C89" s="15" t="inlineStr">
        <is>
          <t>29103-ET-PG2301-1</t>
        </is>
      </c>
      <c r="D89" s="15" t="inlineStr">
        <is>
          <t>HTC-11 / CB-11</t>
        </is>
      </c>
      <c r="E89" s="15" t="inlineStr">
        <is>
          <t>29103-PG-2301, 29103-PE-2302, 29103-P-2300</t>
        </is>
      </c>
      <c r="F89" s="15" t="inlineStr">
        <is>
          <t>29103-65R-ET-PG2301-01-01</t>
        </is>
      </c>
      <c r="G89" s="15" t="inlineStr">
        <is>
          <t>13.1</t>
        </is>
      </c>
      <c r="H89" s="15" t="inlineStr">
        <is>
          <t>1.4. 29103-HTP-004/1. EHT Insulation/29103-ET-PG2301-1-1.pdf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D/32SP4734/90M/3006/277/1.2M/LS23A/X/N12</t>
        </is>
      </c>
      <c r="AK89" s="15" t="inlineStr">
        <is>
          <t>90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29103-ET-PG2301-2-1</t>
        </is>
      </c>
      <c r="C90" s="15" t="inlineStr">
        <is>
          <t>29103-ET-PG2301-2</t>
        </is>
      </c>
      <c r="D90" s="15" t="inlineStr">
        <is>
          <t>HTC-13 / CB-13</t>
        </is>
      </c>
      <c r="E90" s="15" t="inlineStr">
        <is>
          <t>29103-PG-2301</t>
        </is>
      </c>
      <c r="F90" s="15" t="inlineStr">
        <is>
          <t>29103-65R-ET-PG2301-02-01</t>
        </is>
      </c>
      <c r="G90" s="15" t="inlineStr">
        <is>
          <t>13.1</t>
        </is>
      </c>
      <c r="H90" s="15" t="inlineStr">
        <is>
          <t>1.4. 29103-HTP-004/1. EHT Insulation/29103-ET-PG2301-2-1.pdf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YES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inlineStr">
        <is>
          <t>&gt;550 MΩ</t>
        </is>
      </c>
      <c r="V90" s="15" t="inlineStr">
        <is>
          <t>21.7 Ω</t>
        </is>
      </c>
      <c r="W90" s="15" t="inlineStr">
        <is>
          <t>2026-05-18</t>
        </is>
      </c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E/32SB3700/9.2M/409/93.3/1.2M/LS23A/X/N12/XNF</t>
        </is>
      </c>
      <c r="AK90" s="15" t="inlineStr">
        <is>
          <t>9.2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29103-ET-PG2301-2-2</t>
        </is>
      </c>
      <c r="C91" s="15" t="inlineStr">
        <is>
          <t>29103-ET-PG2301-2</t>
        </is>
      </c>
      <c r="D91" s="15" t="inlineStr">
        <is>
          <t>HTC-13 / CB-13</t>
        </is>
      </c>
      <c r="E91" s="15" t="inlineStr">
        <is>
          <t>29103-PG-2301</t>
        </is>
      </c>
      <c r="F91" s="15" t="inlineStr">
        <is>
          <t>29103-65R-ET-PG2301-02-01</t>
        </is>
      </c>
      <c r="G91" s="15" t="inlineStr">
        <is>
          <t>13.1</t>
        </is>
      </c>
      <c r="H91" s="15" t="inlineStr">
        <is>
          <t>1.4. 29103-HTP-004/1. EHT Insulation/29103-ET-PG2301-2-2.pdf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YES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inlineStr">
        <is>
          <t>&gt;550 MΩ</t>
        </is>
      </c>
      <c r="V91" s="15" t="inlineStr">
        <is>
          <t>15 Ω</t>
        </is>
      </c>
      <c r="W91" s="15" t="inlineStr">
        <is>
          <t>2026-05-18</t>
        </is>
      </c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E/32SB3700/6.3M/280/63.9/1.2M/LS23A/X/N12/XMF</t>
        </is>
      </c>
      <c r="AK91" s="15" t="inlineStr">
        <is>
          <t>6.3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29103-ET-PG2301-2-3</t>
        </is>
      </c>
      <c r="C92" s="15" t="inlineStr">
        <is>
          <t>29103-ET-PG2301-2</t>
        </is>
      </c>
      <c r="D92" s="15" t="inlineStr">
        <is>
          <t>HTC-13 / CB-13</t>
        </is>
      </c>
      <c r="E92" s="15" t="inlineStr">
        <is>
          <t>29103-PG-2301</t>
        </is>
      </c>
      <c r="F92" s="15" t="inlineStr">
        <is>
          <t>29103-65R-ET-PG2301-02-01</t>
        </is>
      </c>
      <c r="G92" s="15" t="inlineStr">
        <is>
          <t>13.1</t>
        </is>
      </c>
      <c r="H92" s="15" t="inlineStr">
        <is>
          <t>1.4. 29103-HTP-004/1. EHT Insulation/29103-ET-PG2301-2-3.pdf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YES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inlineStr">
        <is>
          <t>&gt;550 MΩ</t>
        </is>
      </c>
      <c r="V92" s="15" t="inlineStr">
        <is>
          <t>28.1 Ω</t>
        </is>
      </c>
      <c r="W92" s="15" t="inlineStr">
        <is>
          <t>2026-05-18</t>
        </is>
      </c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D/32SB3700/11.8M/525/120/1.2M/LS23A/X/N12/XMN</t>
        </is>
      </c>
      <c r="AK92" s="15" t="inlineStr">
        <is>
          <t>11.8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29103-ET-PG2401-2-1</t>
        </is>
      </c>
      <c r="C93" s="15" t="inlineStr">
        <is>
          <t>29103-ET-PG2401-2</t>
        </is>
      </c>
      <c r="D93" s="15" t="inlineStr">
        <is>
          <t>HTC-36 / CB-36</t>
        </is>
      </c>
      <c r="E93" s="15" t="inlineStr">
        <is>
          <t>29103-PG-2401</t>
        </is>
      </c>
      <c r="F93" s="15" t="inlineStr">
        <is>
          <t>29103-65R-ET-PG2401-02-01</t>
        </is>
      </c>
      <c r="G93" s="15" t="inlineStr">
        <is>
          <t>13.1</t>
        </is>
      </c>
      <c r="H93" s="15" t="inlineStr">
        <is>
          <t>1.4. 29103-HTP-004/1. EHT Insulation/29103-ET-PG2401-2-1.pdf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20.5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E/32SB3700/8.6M/401/89.2/1.2M/LS23A/X/N12/XNF</t>
        </is>
      </c>
      <c r="AK93" s="15" t="inlineStr">
        <is>
          <t>8.6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29103-ET-PG2401-2-2</t>
        </is>
      </c>
      <c r="C94" s="15" t="inlineStr">
        <is>
          <t>29103-ET-PG2401-2</t>
        </is>
      </c>
      <c r="D94" s="15" t="inlineStr">
        <is>
          <t>HTC-36 / CB-36</t>
        </is>
      </c>
      <c r="E94" s="15" t="inlineStr">
        <is>
          <t>29103-PG-2401</t>
        </is>
      </c>
      <c r="F94" s="15" t="inlineStr">
        <is>
          <t>29103-65R-ET-PG2401-02-01</t>
        </is>
      </c>
      <c r="G94" s="15" t="inlineStr">
        <is>
          <t>13.1</t>
        </is>
      </c>
      <c r="H94" s="15" t="inlineStr">
        <is>
          <t>1.4. 29103-HTP-004/1. EHT Insulation/29103-ET-PG2401-2-2.pdf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YES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inlineStr">
        <is>
          <t>&gt;550 MΩ</t>
        </is>
      </c>
      <c r="V94" s="15" t="inlineStr">
        <is>
          <t>15 Ω</t>
        </is>
      </c>
      <c r="W94" s="15" t="inlineStr">
        <is>
          <t>2026-05-18</t>
        </is>
      </c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E/32SB3700/6.3M/294/65.4/1.2M/LS23A/X/N12/XMF</t>
        </is>
      </c>
      <c r="AK94" s="15" t="inlineStr">
        <is>
          <t>6.3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29103-ET-PG2401-2-3</t>
        </is>
      </c>
      <c r="C95" s="15" t="inlineStr">
        <is>
          <t>29103-ET-PG2401-2</t>
        </is>
      </c>
      <c r="D95" s="15" t="inlineStr">
        <is>
          <t>HTC-36 / CB-36</t>
        </is>
      </c>
      <c r="E95" s="15" t="inlineStr">
        <is>
          <t>29103-PG-2401</t>
        </is>
      </c>
      <c r="F95" s="15" t="inlineStr">
        <is>
          <t>29103-65R-ET-PG2401-02-01</t>
        </is>
      </c>
      <c r="G95" s="15" t="inlineStr">
        <is>
          <t>13.1</t>
        </is>
      </c>
      <c r="H95" s="15" t="inlineStr">
        <is>
          <t>1.4. 29103-HTP-004/1. EHT Insulation/29103-ET-PG2401-2-3.pdf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28.1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D/32SB3700/11.8M/550/122/1.2M/LS23A/X/N12/XMN</t>
        </is>
      </c>
      <c r="AK95" s="15" t="inlineStr">
        <is>
          <t>11.8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29103-ET-ST2103-1-1</t>
        </is>
      </c>
      <c r="C96" s="15" t="inlineStr">
        <is>
          <t>29103-ET-ST2103-1</t>
        </is>
      </c>
      <c r="D96" s="15" t="inlineStr">
        <is>
          <t>29103-AMB-008</t>
        </is>
      </c>
      <c r="E96" s="15" t="inlineStr">
        <is>
          <t>29103-ST-2104, 29103-ST-2103</t>
        </is>
      </c>
      <c r="F96" s="15" t="inlineStr">
        <is>
          <t>29103-65R-ET-ST2103-01-01</t>
        </is>
      </c>
      <c r="G96" s="15" t="inlineStr">
        <is>
          <t>13.1</t>
        </is>
      </c>
      <c r="H96" s="15" t="inlineStr">
        <is>
          <t>1.4. 29103-HTP-004/1. EHT Insulation/29103-ET-ST2103-1-1.pdf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E/32SB2114/17.5M/282/136/1.2M/LS23A/X/N12/XNF</t>
        </is>
      </c>
      <c r="AK96" s="15" t="inlineStr">
        <is>
          <t>17.5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29103-ET-ST2103-1-2</t>
        </is>
      </c>
      <c r="C97" s="15" t="inlineStr">
        <is>
          <t>29103-ET-ST2103-1</t>
        </is>
      </c>
      <c r="D97" s="15" t="inlineStr">
        <is>
          <t>29103-AMB-008</t>
        </is>
      </c>
      <c r="E97" s="15" t="inlineStr">
        <is>
          <t>29103-ST-2104</t>
        </is>
      </c>
      <c r="F97" s="15" t="inlineStr">
        <is>
          <t>29103-65R-ET-ST2103-01-01</t>
        </is>
      </c>
      <c r="G97" s="15" t="inlineStr">
        <is>
          <t>13.1</t>
        </is>
      </c>
      <c r="H97" s="15" t="inlineStr">
        <is>
          <t>1.4. 29103-HTP-004/1. EHT Insulation/29103-ET-ST2103-1-2.pdf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NO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D/32SB2114/18.2M/293/141/1.2M/LS23A/X/N12/XMN</t>
        </is>
      </c>
      <c r="AK97" s="15" t="inlineStr">
        <is>
          <t>18.2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29103-ET-ST2103-1-3</t>
        </is>
      </c>
      <c r="C98" s="15" t="inlineStr">
        <is>
          <t>29103-ET-ST2103-1</t>
        </is>
      </c>
      <c r="D98" s="15" t="inlineStr">
        <is>
          <t>29103-AMB-008</t>
        </is>
      </c>
      <c r="E98" s="15" t="inlineStr">
        <is>
          <t>29103-ST-2103</t>
        </is>
      </c>
      <c r="F98" s="15" t="inlineStr">
        <is>
          <t>29103-65R-ET-ST2103-01-01</t>
        </is>
      </c>
      <c r="G98" s="15" t="inlineStr">
        <is>
          <t>13.1</t>
        </is>
      </c>
      <c r="H98" s="15" t="inlineStr">
        <is>
          <t>1.4. 29103-HTP-004/1. EHT Insulation/29103-ET-ST2103-1-3.pdf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YES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inlineStr">
        <is>
          <t>&gt;550 MΩ</t>
        </is>
      </c>
      <c r="V98" s="15" t="inlineStr">
        <is>
          <t>55.4 Ω</t>
        </is>
      </c>
      <c r="W98" s="15" t="inlineStr">
        <is>
          <t>2026-05-18</t>
        </is>
      </c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E/32SA2170/9.5M/162/93/1.2M/LS23A/X/N12/XNF</t>
        </is>
      </c>
      <c r="AK98" s="15" t="inlineStr">
        <is>
          <t>9.5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29103-ET-ST2103-1-4</t>
        </is>
      </c>
      <c r="C99" s="15" t="inlineStr">
        <is>
          <t>29103-ET-ST2103-1</t>
        </is>
      </c>
      <c r="D99" s="15" t="inlineStr">
        <is>
          <t>29103-AMB-008</t>
        </is>
      </c>
      <c r="E99" s="15" t="inlineStr">
        <is>
          <t>29103-ST-2103</t>
        </is>
      </c>
      <c r="F99" s="15" t="inlineStr">
        <is>
          <t>29103-65R-ET-ST2103-01-01</t>
        </is>
      </c>
      <c r="G99" s="15" t="inlineStr">
        <is>
          <t>13.1</t>
        </is>
      </c>
      <c r="H99" s="15" t="inlineStr">
        <is>
          <t>1.4. 29103-HTP-004/1. EHT Insulation/29103-ET-ST2103-1-4.pdf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YES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inlineStr">
        <is>
          <t>&gt;550 MΩ</t>
        </is>
      </c>
      <c r="V99" s="15" t="inlineStr">
        <is>
          <t>33.6 Ω</t>
        </is>
      </c>
      <c r="W99" s="15" t="inlineStr">
        <is>
          <t>2026-05-18</t>
        </is>
      </c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E/32SA2170/5.7M/97/55.8/1.2M/LS23A/X/N12/XMF</t>
        </is>
      </c>
      <c r="AK99" s="15" t="inlineStr">
        <is>
          <t>5.7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29103-ET-ST2103-1-5</t>
        </is>
      </c>
      <c r="C100" s="15" t="inlineStr">
        <is>
          <t>29103-ET-ST2103-1</t>
        </is>
      </c>
      <c r="D100" s="15" t="inlineStr">
        <is>
          <t>29103-AMB-008</t>
        </is>
      </c>
      <c r="E100" s="15" t="inlineStr">
        <is>
          <t>29103-ST-2103</t>
        </is>
      </c>
      <c r="F100" s="15" t="inlineStr">
        <is>
          <t>29103-65R-ET-ST2103-01-01</t>
        </is>
      </c>
      <c r="G100" s="15" t="inlineStr">
        <is>
          <t>13.1</t>
        </is>
      </c>
      <c r="H100" s="15" t="inlineStr">
        <is>
          <t>1.4. 29103-HTP-004/1. EHT Insulation/29103-ET-ST2103-1-5.pdf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YES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inlineStr">
        <is>
          <t>&gt;550 MΩ</t>
        </is>
      </c>
      <c r="V100" s="15" t="inlineStr">
        <is>
          <t>76.2 Ω</t>
        </is>
      </c>
      <c r="W100" s="15" t="inlineStr">
        <is>
          <t>2026-05-18</t>
        </is>
      </c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D/32SA2170/13.1M/224/128/1.2M/LS23A/X/N12/XMN</t>
        </is>
      </c>
      <c r="AK100" s="15" t="inlineStr">
        <is>
          <t>13.1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29103-ET-ST2203-1-1</t>
        </is>
      </c>
      <c r="C101" s="15" t="inlineStr">
        <is>
          <t>29103-ET-ST2203-1</t>
        </is>
      </c>
      <c r="D101" s="15" t="inlineStr">
        <is>
          <t>29103-AMB-008</t>
        </is>
      </c>
      <c r="E101" s="15" t="inlineStr">
        <is>
          <t>29103-ST-2204, 29103-ST-2203</t>
        </is>
      </c>
      <c r="F101" s="15" t="inlineStr">
        <is>
          <t>29103-65R-ET-ST2203-01-01</t>
        </is>
      </c>
      <c r="G101" s="15" t="inlineStr">
        <is>
          <t>13.1</t>
        </is>
      </c>
      <c r="H101" s="15" t="inlineStr">
        <is>
          <t>1.4. 29103-HTP-004/1. EHT Insulation/29103-ET-ST2203-1-1.pdf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E/32SB2114/17.3M/282/135/1.2M/LS23A/X/N12/XNF</t>
        </is>
      </c>
      <c r="AK101" s="15" t="inlineStr">
        <is>
          <t>17.3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29103-ET-ST2203-1-2</t>
        </is>
      </c>
      <c r="C102" s="15" t="inlineStr">
        <is>
          <t>29103-ET-ST2203-1</t>
        </is>
      </c>
      <c r="D102" s="15" t="inlineStr">
        <is>
          <t>29103-AMB-008</t>
        </is>
      </c>
      <c r="E102" s="15" t="inlineStr">
        <is>
          <t>29103-ST-2204</t>
        </is>
      </c>
      <c r="F102" s="15" t="inlineStr">
        <is>
          <t>29103-65R-ET-ST2203-01-01</t>
        </is>
      </c>
      <c r="G102" s="15" t="inlineStr">
        <is>
          <t>13.1</t>
        </is>
      </c>
      <c r="H102" s="15" t="inlineStr">
        <is>
          <t>1.4. 29103-HTP-004/1. EHT Insulation/29103-ET-ST2203-1-2.pdf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D/32SB2114/18.2M/297/142/1.2M/LS23A/X/N12/XMN</t>
        </is>
      </c>
      <c r="AK102" s="15" t="inlineStr">
        <is>
          <t>18.2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29103-ET-ST2203-1-3</t>
        </is>
      </c>
      <c r="C103" s="15" t="inlineStr">
        <is>
          <t>29103-ET-ST2203-1</t>
        </is>
      </c>
      <c r="D103" s="15" t="inlineStr">
        <is>
          <t>29103-AMB-008</t>
        </is>
      </c>
      <c r="E103" s="15" t="inlineStr">
        <is>
          <t>29103-ST-2203</t>
        </is>
      </c>
      <c r="F103" s="15" t="inlineStr">
        <is>
          <t>29103-65R-ET-ST2203-01-01</t>
        </is>
      </c>
      <c r="G103" s="15" t="inlineStr">
        <is>
          <t>13.1</t>
        </is>
      </c>
      <c r="H103" s="15" t="inlineStr">
        <is>
          <t>1.4. 29103-HTP-004/1. EHT Insulation/29103-ET-ST2203-1-3.pdf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YES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inlineStr">
        <is>
          <t>&gt;550 MΩ</t>
        </is>
      </c>
      <c r="V103" s="15" t="inlineStr">
        <is>
          <t>51.9 Ω</t>
        </is>
      </c>
      <c r="W103" s="15" t="inlineStr">
        <is>
          <t>2026-05-18</t>
        </is>
      </c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E/32SA2200/7.6M/127/79.7/1.2M/LS23A/X/N12/XNF</t>
        </is>
      </c>
      <c r="AK103" s="15" t="inlineStr">
        <is>
          <t>7.6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29103-ET-ST2203-1-4</t>
        </is>
      </c>
      <c r="C104" s="15" t="inlineStr">
        <is>
          <t>29103-ET-ST2203-1</t>
        </is>
      </c>
      <c r="D104" s="15" t="inlineStr">
        <is>
          <t>29103-AMB-008</t>
        </is>
      </c>
      <c r="E104" s="15" t="inlineStr">
        <is>
          <t>29103-ST-2203</t>
        </is>
      </c>
      <c r="F104" s="15" t="inlineStr">
        <is>
          <t>29103-65R-ET-ST2203-01-01</t>
        </is>
      </c>
      <c r="G104" s="15" t="inlineStr">
        <is>
          <t>13.1</t>
        </is>
      </c>
      <c r="H104" s="15" t="inlineStr">
        <is>
          <t>1.4. 29103-HTP-004/1. EHT Insulation/29103-ET-ST2203-1-4.pdf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YES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inlineStr">
        <is>
          <t>&gt;550 MΩ</t>
        </is>
      </c>
      <c r="V104" s="15" t="inlineStr">
        <is>
          <t>38.9 Ω</t>
        </is>
      </c>
      <c r="W104" s="15" t="inlineStr">
        <is>
          <t>2026-05-18</t>
        </is>
      </c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E/32SA2200/5.7M/95/59.8/1.2M/LS23A/X/N12/XMF</t>
        </is>
      </c>
      <c r="AK104" s="15" t="inlineStr">
        <is>
          <t>5.7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29103-ET-ST2203-1-5</t>
        </is>
      </c>
      <c r="C105" s="15" t="inlineStr">
        <is>
          <t>29103-ET-ST2203-1</t>
        </is>
      </c>
      <c r="D105" s="15" t="inlineStr">
        <is>
          <t>29103-AMB-008</t>
        </is>
      </c>
      <c r="E105" s="15" t="inlineStr">
        <is>
          <t>29103-ST-2203</t>
        </is>
      </c>
      <c r="F105" s="15" t="inlineStr">
        <is>
          <t>29103-65R-ET-ST2203-01-01</t>
        </is>
      </c>
      <c r="G105" s="15" t="inlineStr">
        <is>
          <t>13.1</t>
        </is>
      </c>
      <c r="H105" s="15" t="inlineStr">
        <is>
          <t>1.4. 29103-HTP-004/1. EHT Insulation/29103-ET-ST2203-1-5.pdf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88.2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D/32SA2200/13.1M/219/137/1.2M/LS23A/X/N12/XMN</t>
        </is>
      </c>
      <c r="AK105" s="15" t="inlineStr">
        <is>
          <t>13.1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29103-ET-ST2303-1-1</t>
        </is>
      </c>
      <c r="C106" s="15" t="inlineStr">
        <is>
          <t>29103-ET-ST2303-1</t>
        </is>
      </c>
      <c r="D106" s="15" t="inlineStr">
        <is>
          <t>29103-AMB-008</t>
        </is>
      </c>
      <c r="E106" s="15" t="inlineStr">
        <is>
          <t>29103-ST-2304, 29103-ST-2303</t>
        </is>
      </c>
      <c r="F106" s="15" t="inlineStr">
        <is>
          <t>29103-65R-ET-ST2303-01-01</t>
        </is>
      </c>
      <c r="G106" s="15" t="inlineStr">
        <is>
          <t>13.1</t>
        </is>
      </c>
      <c r="H106" s="15" t="inlineStr">
        <is>
          <t>1.4. 29103-HTP-004/1. EHT Insulation/29103-ET-ST2303-1-1.pdf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NO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E/32SB2114/17.5M/282/136/1.2M/LS23A/X/N12/XNF</t>
        </is>
      </c>
      <c r="AK106" s="15" t="inlineStr">
        <is>
          <t>17.5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29103-ET-ST2303-1-2</t>
        </is>
      </c>
      <c r="C107" s="15" t="inlineStr">
        <is>
          <t>29103-ET-ST2303-1</t>
        </is>
      </c>
      <c r="D107" s="15" t="inlineStr">
        <is>
          <t>29103-AMB-008</t>
        </is>
      </c>
      <c r="E107" s="15" t="inlineStr">
        <is>
          <t>29103-ST-2304</t>
        </is>
      </c>
      <c r="F107" s="15" t="inlineStr">
        <is>
          <t>29103-65R-ET-ST2303-01-01</t>
        </is>
      </c>
      <c r="G107" s="15" t="inlineStr">
        <is>
          <t>13.1</t>
        </is>
      </c>
      <c r="H107" s="15" t="inlineStr">
        <is>
          <t>1.4. 29103-HTP-004/1. EHT Insulation/29103-ET-ST2303-1-2.pdf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NO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D/32SB2114/18.2M/293/141/1.2M/LS23A/X/N12/XMN</t>
        </is>
      </c>
      <c r="AK107" s="15" t="inlineStr">
        <is>
          <t>18.2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29103-ET-ST2303-1-3</t>
        </is>
      </c>
      <c r="C108" s="15" t="inlineStr">
        <is>
          <t>29103-ET-ST2303-1</t>
        </is>
      </c>
      <c r="D108" s="15" t="inlineStr">
        <is>
          <t>29103-AMB-008</t>
        </is>
      </c>
      <c r="E108" s="15" t="inlineStr">
        <is>
          <t>29103-ST-2303</t>
        </is>
      </c>
      <c r="F108" s="15" t="inlineStr">
        <is>
          <t>29103-65R-ET-ST2303-01-01</t>
        </is>
      </c>
      <c r="G108" s="15" t="inlineStr">
        <is>
          <t>13.1</t>
        </is>
      </c>
      <c r="H108" s="15" t="inlineStr">
        <is>
          <t>1.4. 29103-HTP-004/1. EHT Insulation/29103-ET-ST2303-1-3.pdf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YES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inlineStr">
        <is>
          <t>&gt;550 MΩ</t>
        </is>
      </c>
      <c r="V108" s="15" t="inlineStr">
        <is>
          <t>55.1 Ω</t>
        </is>
      </c>
      <c r="W108" s="15" t="inlineStr">
        <is>
          <t>2026-05-18</t>
        </is>
      </c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E/32SA2170/9.5M/162/93/1.2M/LS23A/X/N12/XNF</t>
        </is>
      </c>
      <c r="AK108" s="15" t="inlineStr">
        <is>
          <t>9.5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29103-ET-ST2303-1-4</t>
        </is>
      </c>
      <c r="C109" s="15" t="inlineStr">
        <is>
          <t>29103-ET-ST2303-1</t>
        </is>
      </c>
      <c r="D109" s="15" t="inlineStr">
        <is>
          <t>29103-AMB-008</t>
        </is>
      </c>
      <c r="E109" s="15" t="inlineStr">
        <is>
          <t>29103-ST-2303</t>
        </is>
      </c>
      <c r="F109" s="15" t="inlineStr">
        <is>
          <t>29103-65R-ET-ST2303-01-01</t>
        </is>
      </c>
      <c r="G109" s="15" t="inlineStr">
        <is>
          <t>13.1</t>
        </is>
      </c>
      <c r="H109" s="15" t="inlineStr">
        <is>
          <t>1.4. 29103-HTP-004/1. EHT Insulation/29103-ET-ST2303-1-4.pdf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YES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inlineStr">
        <is>
          <t>&gt;550 MΩ</t>
        </is>
      </c>
      <c r="V109" s="15" t="inlineStr">
        <is>
          <t>33.3 Ω</t>
        </is>
      </c>
      <c r="W109" s="15" t="inlineStr">
        <is>
          <t>2026-05-18</t>
        </is>
      </c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E/32SA2170/5.7M/97/55.8/1.2M/LS23A/X/N12/XMF</t>
        </is>
      </c>
      <c r="AK109" s="15" t="inlineStr">
        <is>
          <t>5.7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29103-ET-ST2303-1-5</t>
        </is>
      </c>
      <c r="C110" s="15" t="inlineStr">
        <is>
          <t>29103-ET-ST2303-1</t>
        </is>
      </c>
      <c r="D110" s="15" t="inlineStr">
        <is>
          <t>29103-AMB-008</t>
        </is>
      </c>
      <c r="E110" s="15" t="inlineStr">
        <is>
          <t>29103-ST-2303</t>
        </is>
      </c>
      <c r="F110" s="15" t="inlineStr">
        <is>
          <t>29103-65R-ET-ST2303-01-01</t>
        </is>
      </c>
      <c r="G110" s="15" t="inlineStr">
        <is>
          <t>13.1</t>
        </is>
      </c>
      <c r="H110" s="15" t="inlineStr">
        <is>
          <t>1.4. 29103-HTP-004/1. EHT Insulation/29103-ET-ST2303-1-5.pdf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76.1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D/32SA2170/13.1M/224/128/1.2M/LS23A/X/N12/XMN</t>
        </is>
      </c>
      <c r="AK110" s="15" t="inlineStr">
        <is>
          <t>13.1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29103-ET-ST2403-1-1</t>
        </is>
      </c>
      <c r="C111" s="15" t="inlineStr">
        <is>
          <t>29103-ET-ST2403-1</t>
        </is>
      </c>
      <c r="D111" s="15" t="inlineStr">
        <is>
          <t>29103-AMB-010</t>
        </is>
      </c>
      <c r="E111" s="15" t="inlineStr">
        <is>
          <t>29103-ST-2404, 29103-ST-2403</t>
        </is>
      </c>
      <c r="F111" s="15" t="inlineStr">
        <is>
          <t>29103-65R-ET-ST2403-01-01</t>
        </is>
      </c>
      <c r="G111" s="15" t="inlineStr">
        <is>
          <t>13.1</t>
        </is>
      </c>
      <c r="H111" s="15" t="inlineStr">
        <is>
          <t>1.4. 29103-HTP-004/1. EHT Insulation/29103-ET-ST2403-1-1.pdf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NO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E/32SB2114/17.3M/282/135/1.2M/LS23A/X/N12/XNF</t>
        </is>
      </c>
      <c r="AK111" s="15" t="inlineStr">
        <is>
          <t>17.3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29103-ET-ST2403-1-2</t>
        </is>
      </c>
      <c r="C112" s="15" t="inlineStr">
        <is>
          <t>29103-ET-ST2403-1</t>
        </is>
      </c>
      <c r="D112" s="15" t="inlineStr">
        <is>
          <t>29103-AMB-010</t>
        </is>
      </c>
      <c r="E112" s="15" t="inlineStr">
        <is>
          <t>29103-ST-2404</t>
        </is>
      </c>
      <c r="F112" s="15" t="inlineStr">
        <is>
          <t>29103-65R-ET-ST2403-01-01</t>
        </is>
      </c>
      <c r="G112" s="15" t="inlineStr">
        <is>
          <t>13.1</t>
        </is>
      </c>
      <c r="H112" s="15" t="inlineStr">
        <is>
          <t>1.4. 29103-HTP-004/1. EHT Insulation/29103-ET-ST2403-1-2.pdf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NO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D/32SB2114/18.2M/297/142/1.2M/LS23A/X/N12/XMN</t>
        </is>
      </c>
      <c r="AK112" s="15" t="inlineStr">
        <is>
          <t>18.2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EHT Trace</t>
        </is>
      </c>
      <c r="B113" s="15" t="inlineStr">
        <is>
          <t>29103-ET-ST2403-1-3</t>
        </is>
      </c>
      <c r="C113" s="15" t="inlineStr">
        <is>
          <t>29103-ET-ST2403-1</t>
        </is>
      </c>
      <c r="D113" s="15" t="inlineStr">
        <is>
          <t>29103-AMB-010</t>
        </is>
      </c>
      <c r="E113" s="15" t="inlineStr">
        <is>
          <t>29103-ST-2403</t>
        </is>
      </c>
      <c r="F113" s="15" t="inlineStr">
        <is>
          <t>29103-65R-ET-ST2403-01-01</t>
        </is>
      </c>
      <c r="G113" s="15" t="inlineStr">
        <is>
          <t>13.1</t>
        </is>
      </c>
      <c r="H113" s="15" t="inlineStr">
        <is>
          <t>1.4. 29103-HTP-004/1. EHT Insulation/29103-ET-ST2403-1-3.pdf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YES</v>
      </c>
      <c r="L113" s="6" t="str">
        <f>IF(OR($A113="EHT Trace"),IF(AND($X113&lt;&gt;"",$Y113&lt;&gt;""),"YES","NO"),"N/A")</f>
        <v>NO</v>
      </c>
      <c r="M113" s="6" t="str">
        <f>IF(OR($A113="EHT Trace"),IF(AND($AA113&lt;&gt;"",$AB113&lt;&gt;""),"YES","NO"),"N/A")</f>
        <v>NO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inlineStr">
        <is>
          <t>&gt;550 MΩ</t>
        </is>
      </c>
      <c r="V113" s="15" t="inlineStr">
        <is>
          <t>52.1 Ω</t>
        </is>
      </c>
      <c r="W113" s="15" t="inlineStr">
        <is>
          <t>2026-05-18</t>
        </is>
      </c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E/32SA2200/7.6M/127/79.7/1.2M/LS23A/X/N12/XNF</t>
        </is>
      </c>
      <c r="AK113" s="15" t="inlineStr">
        <is>
          <t>7.6 m m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EHT Trace</t>
        </is>
      </c>
      <c r="B114" s="15" t="inlineStr">
        <is>
          <t>29103-ET-ST2403-1-4</t>
        </is>
      </c>
      <c r="C114" s="15" t="inlineStr">
        <is>
          <t>29103-ET-ST2403-1</t>
        </is>
      </c>
      <c r="D114" s="15" t="inlineStr">
        <is>
          <t>29103-AMB-010</t>
        </is>
      </c>
      <c r="E114" s="15" t="inlineStr">
        <is>
          <t>29103-ST-2403</t>
        </is>
      </c>
      <c r="F114" s="15" t="inlineStr">
        <is>
          <t>29103-65R-ET-ST2403-01-01</t>
        </is>
      </c>
      <c r="G114" s="15" t="inlineStr">
        <is>
          <t>13.1</t>
        </is>
      </c>
      <c r="H114" s="15" t="inlineStr">
        <is>
          <t>1.4. 29103-HTP-004/1. EHT Insulation/29103-ET-ST2403-1-4.pdf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YES</v>
      </c>
      <c r="L114" s="6" t="str">
        <f>IF(OR($A114="EHT Trace"),IF(AND($X114&lt;&gt;"",$Y114&lt;&gt;""),"YES","NO"),"N/A")</f>
        <v>NO</v>
      </c>
      <c r="M114" s="6" t="str">
        <f>IF(OR($A114="EHT Trace"),IF(AND($AA114&lt;&gt;"",$AB114&lt;&gt;""),"YES","NO"),"N/A")</f>
        <v>NO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inlineStr">
        <is>
          <t>&gt;550 MΩ</t>
        </is>
      </c>
      <c r="V114" s="15" t="inlineStr">
        <is>
          <t>38.6 Ω</t>
        </is>
      </c>
      <c r="W114" s="15" t="inlineStr">
        <is>
          <t>2026-05-18</t>
        </is>
      </c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E/32SA2200/5.7M/95/59.8/1.2M/LS23A/X/N12/XMF</t>
        </is>
      </c>
      <c r="AK114" s="15" t="inlineStr">
        <is>
          <t>5.7 m m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EHT Trace</t>
        </is>
      </c>
      <c r="B115" s="15" t="inlineStr">
        <is>
          <t>29103-ET-ST2403-1-5</t>
        </is>
      </c>
      <c r="C115" s="15" t="inlineStr">
        <is>
          <t>29103-ET-ST2403-1</t>
        </is>
      </c>
      <c r="D115" s="15" t="inlineStr">
        <is>
          <t>29103-AMB-010</t>
        </is>
      </c>
      <c r="E115" s="15" t="inlineStr">
        <is>
          <t>29103-ST-2403</t>
        </is>
      </c>
      <c r="F115" s="15" t="inlineStr">
        <is>
          <t>29103-65R-ET-ST2403-01-01</t>
        </is>
      </c>
      <c r="G115" s="15" t="inlineStr">
        <is>
          <t>13.1</t>
        </is>
      </c>
      <c r="H115" s="15" t="inlineStr">
        <is>
          <t>1.4. 29103-HTP-004/1. EHT Insulation/29103-ET-ST2403-1-5.pdf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YES</v>
      </c>
      <c r="L115" s="6" t="str">
        <f>IF(OR($A115="EHT Trace"),IF(AND($X115&lt;&gt;"",$Y115&lt;&gt;""),"YES","NO"),"N/A")</f>
        <v>NO</v>
      </c>
      <c r="M115" s="6" t="str">
        <f>IF(OR($A115="EHT Trace"),IF(AND($AA115&lt;&gt;"",$AB115&lt;&gt;""),"YES","NO"),"N/A")</f>
        <v>NO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inlineStr">
        <is>
          <t>&gt;550 MΩ</t>
        </is>
      </c>
      <c r="V115" s="15" t="inlineStr">
        <is>
          <t>88.2 Ω</t>
        </is>
      </c>
      <c r="W115" s="15" t="inlineStr">
        <is>
          <t>2026-05-18</t>
        </is>
      </c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D/32SA2200/13.1M/219/137/1.2M/LS23A/X/N12/XMN</t>
        </is>
      </c>
      <c r="AK115" s="15" t="inlineStr">
        <is>
          <t>13.1 m m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EHT Trace</t>
        </is>
      </c>
      <c r="B116" s="15" t="inlineStr">
        <is>
          <t>29103-ET-ST2503-1-1</t>
        </is>
      </c>
      <c r="C116" s="15" t="inlineStr">
        <is>
          <t>29103-ET-ST2503-1</t>
        </is>
      </c>
      <c r="D116" s="15" t="inlineStr">
        <is>
          <t>29103-AMB-010</t>
        </is>
      </c>
      <c r="E116" s="15" t="inlineStr">
        <is>
          <t>29103-ST-2504, 29103-ST-2503</t>
        </is>
      </c>
      <c r="F116" s="15" t="inlineStr">
        <is>
          <t>29103-65R-ET-ST2503-01-01</t>
        </is>
      </c>
      <c r="G116" s="15" t="inlineStr">
        <is>
          <t>13.1</t>
        </is>
      </c>
      <c r="H116" s="15" t="inlineStr">
        <is>
          <t>1.4. 29103-HTP-004/1. EHT Insulation/29103-ET-ST2503-1-1.pdf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NO</v>
      </c>
      <c r="L116" s="6" t="str">
        <f>IF(OR($A116="EHT Trace"),IF(AND($X116&lt;&gt;"",$Y116&lt;&gt;""),"YES","NO"),"N/A")</f>
        <v>NO</v>
      </c>
      <c r="M116" s="6" t="str">
        <f>IF(OR($A116="EHT Trace"),IF(AND($AA116&lt;&gt;"",$AB116&lt;&gt;""),"YES","NO"),"N/A")</f>
        <v>NO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E/32SB2114/17.5M/282/136/1.2M/LS23A/X/N12/XNF</t>
        </is>
      </c>
      <c r="AK116" s="15" t="inlineStr">
        <is>
          <t>17.5 m m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EHT Trace</t>
        </is>
      </c>
      <c r="B117" s="15" t="inlineStr">
        <is>
          <t>29103-ET-ST2503-1-2</t>
        </is>
      </c>
      <c r="C117" s="15" t="inlineStr">
        <is>
          <t>29103-ET-ST2503-1</t>
        </is>
      </c>
      <c r="D117" s="15" t="inlineStr">
        <is>
          <t>29103-AMB-010</t>
        </is>
      </c>
      <c r="E117" s="15" t="inlineStr">
        <is>
          <t>29103-ST-2504</t>
        </is>
      </c>
      <c r="F117" s="15" t="inlineStr">
        <is>
          <t>29103-65R-ET-ST2503-01-01</t>
        </is>
      </c>
      <c r="G117" s="15" t="inlineStr">
        <is>
          <t>13.1</t>
        </is>
      </c>
      <c r="H117" s="15" t="inlineStr">
        <is>
          <t>1.4. 29103-HTP-004/1. EHT Insulation/29103-ET-ST2503-1-2.pdf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NO</v>
      </c>
      <c r="L117" s="6" t="str">
        <f>IF(OR($A117="EHT Trace"),IF(AND($X117&lt;&gt;"",$Y117&lt;&gt;""),"YES","NO"),"N/A")</f>
        <v>NO</v>
      </c>
      <c r="M117" s="6" t="str">
        <f>IF(OR($A117="EHT Trace"),IF(AND($AA117&lt;&gt;"",$AB117&lt;&gt;""),"YES","NO"),"N/A")</f>
        <v>NO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D/32SB2114/18.2M/293/141/1.2M/LS23A/X/N12/XMN</t>
        </is>
      </c>
      <c r="AK117" s="15" t="inlineStr">
        <is>
          <t>18.2 m m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EHT Trace</t>
        </is>
      </c>
      <c r="B118" s="15" t="inlineStr">
        <is>
          <t>29103-ET-ST2503-1-3</t>
        </is>
      </c>
      <c r="C118" s="15" t="inlineStr">
        <is>
          <t>29103-ET-ST2503-1</t>
        </is>
      </c>
      <c r="D118" s="15" t="inlineStr">
        <is>
          <t>29103-AMB-010</t>
        </is>
      </c>
      <c r="E118" s="15" t="inlineStr">
        <is>
          <t>29103-ST-2503</t>
        </is>
      </c>
      <c r="F118" s="15" t="inlineStr">
        <is>
          <t>29103-65R-ET-ST2503-01-01</t>
        </is>
      </c>
      <c r="G118" s="15" t="inlineStr">
        <is>
          <t>13.1</t>
        </is>
      </c>
      <c r="H118" s="15" t="inlineStr">
        <is>
          <t>1.4. 29103-HTP-004/1. EHT Insulation/29103-ET-ST2503-1-3.pdf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YES</v>
      </c>
      <c r="L118" s="6" t="str">
        <f>IF(OR($A118="EHT Trace"),IF(AND($X118&lt;&gt;"",$Y118&lt;&gt;""),"YES","NO"),"N/A")</f>
        <v>NO</v>
      </c>
      <c r="M118" s="6" t="str">
        <f>IF(OR($A118="EHT Trace"),IF(AND($AA118&lt;&gt;"",$AB118&lt;&gt;""),"YES","NO"),"N/A")</f>
        <v>NO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inlineStr">
        <is>
          <t>&gt;550 MΩ</t>
        </is>
      </c>
      <c r="V118" s="15" t="inlineStr">
        <is>
          <t>55.3 Ω</t>
        </is>
      </c>
      <c r="W118" s="15" t="inlineStr">
        <is>
          <t>2026-05-18</t>
        </is>
      </c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E/32SA2170/9.5M/162/93/1.2M/LS23A/X/N12/XNF</t>
        </is>
      </c>
      <c r="AK118" s="15" t="inlineStr">
        <is>
          <t>9.5 m m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EHT Trace</t>
        </is>
      </c>
      <c r="B119" s="15" t="inlineStr">
        <is>
          <t>29103-ET-ST2503-1-4</t>
        </is>
      </c>
      <c r="C119" s="15" t="inlineStr">
        <is>
          <t>29103-ET-ST2503-1</t>
        </is>
      </c>
      <c r="D119" s="15" t="inlineStr">
        <is>
          <t>29103-AMB-010</t>
        </is>
      </c>
      <c r="E119" s="15" t="inlineStr">
        <is>
          <t>29103-ST-2503</t>
        </is>
      </c>
      <c r="F119" s="15" t="inlineStr">
        <is>
          <t>29103-65R-ET-ST2503-01-01</t>
        </is>
      </c>
      <c r="G119" s="15" t="inlineStr">
        <is>
          <t>13.1</t>
        </is>
      </c>
      <c r="H119" s="15" t="inlineStr">
        <is>
          <t>1.4. 29103-HTP-004/1. EHT Insulation/29103-ET-ST2503-1-4.pdf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YES</v>
      </c>
      <c r="L119" s="6" t="str">
        <f>IF(OR($A119="EHT Trace"),IF(AND($X119&lt;&gt;"",$Y119&lt;&gt;""),"YES","NO"),"N/A")</f>
        <v>NO</v>
      </c>
      <c r="M119" s="6" t="str">
        <f>IF(OR($A119="EHT Trace"),IF(AND($AA119&lt;&gt;"",$AB119&lt;&gt;""),"YES","NO"),"N/A")</f>
        <v>NO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inlineStr">
        <is>
          <t>&gt;550 MΩ</t>
        </is>
      </c>
      <c r="V119" s="15" t="inlineStr">
        <is>
          <t>33.2 Ω</t>
        </is>
      </c>
      <c r="W119" s="15" t="inlineStr">
        <is>
          <t>2026-05-18</t>
        </is>
      </c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E/32SA2170/5.7M/97/55.8/1.2M/LS23A/X/N12/XMF</t>
        </is>
      </c>
      <c r="AK119" s="15" t="inlineStr">
        <is>
          <t>5.7 m m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EHT Trace</t>
        </is>
      </c>
      <c r="B120" s="15" t="inlineStr">
        <is>
          <t>29103-ET-ST2503-1-5</t>
        </is>
      </c>
      <c r="C120" s="15" t="inlineStr">
        <is>
          <t>29103-ET-ST2503-1</t>
        </is>
      </c>
      <c r="D120" s="15" t="inlineStr">
        <is>
          <t>29103-AMB-010</t>
        </is>
      </c>
      <c r="E120" s="15" t="inlineStr">
        <is>
          <t>29103-ST-2503</t>
        </is>
      </c>
      <c r="F120" s="15" t="inlineStr">
        <is>
          <t>29103-65R-ET-ST2503-01-01</t>
        </is>
      </c>
      <c r="G120" s="15" t="inlineStr">
        <is>
          <t>13.1</t>
        </is>
      </c>
      <c r="H120" s="15" t="inlineStr">
        <is>
          <t>1.4. 29103-HTP-004/1. EHT Insulation/29103-ET-ST2503-1-5.pdf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YES</v>
      </c>
      <c r="L120" s="6" t="str">
        <f>IF(OR($A120="EHT Trace"),IF(AND($X120&lt;&gt;"",$Y120&lt;&gt;""),"YES","NO"),"N/A")</f>
        <v>NO</v>
      </c>
      <c r="M120" s="6" t="str">
        <f>IF(OR($A120="EHT Trace"),IF(AND($AA120&lt;&gt;"",$AB120&lt;&gt;""),"YES","NO"),"N/A")</f>
        <v>NO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inlineStr">
        <is>
          <t>&gt;550 MΩ</t>
        </is>
      </c>
      <c r="V120" s="15" t="inlineStr">
        <is>
          <t>76.1 Ω</t>
        </is>
      </c>
      <c r="W120" s="15" t="inlineStr">
        <is>
          <t>2026-05-18</t>
        </is>
      </c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D/32SA2170/13.1M/224/128/1.2M/LS23A/X/N12/XMN</t>
        </is>
      </c>
      <c r="AK120" s="15" t="inlineStr">
        <is>
          <t>13.1 m m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29103-AMB-007</t>
        </is>
      </c>
      <c r="C121" s="15" t="inlineStr"/>
      <c r="D121" s="15" t="inlineStr"/>
      <c r="E121" s="15" t="inlineStr">
        <is>
          <t>29103-HTP-004</t>
        </is>
      </c>
      <c r="F121" s="15" t="inlineStr"/>
      <c r="G121" s="15" t="inlineStr">
        <is>
          <t>113</t>
        </is>
      </c>
      <c r="H121" s="15" t="inlineStr">
        <is>
          <t>1.4. 29103-HTP-004/3. Power Cables/29103-AMB-007.pdf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8AWG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29103-AMB-008</t>
        </is>
      </c>
      <c r="C122" s="15" t="inlineStr"/>
      <c r="D122" s="15" t="inlineStr"/>
      <c r="E122" s="15" t="inlineStr">
        <is>
          <t>29103-HTP-004</t>
        </is>
      </c>
      <c r="F122" s="15" t="inlineStr"/>
      <c r="G122" s="15" t="inlineStr">
        <is>
          <t>113</t>
        </is>
      </c>
      <c r="H122" s="15" t="inlineStr">
        <is>
          <t>1.4. 29103-HTP-004/3. Power Cables/29103-AMB-008.pdf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8AWG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29103-AMB-010</t>
        </is>
      </c>
      <c r="C123" s="15" t="inlineStr"/>
      <c r="D123" s="15" t="inlineStr"/>
      <c r="E123" s="15" t="inlineStr">
        <is>
          <t>29103-HTP-004</t>
        </is>
      </c>
      <c r="F123" s="15" t="inlineStr"/>
      <c r="G123" s="15" t="inlineStr">
        <is>
          <t>113</t>
        </is>
      </c>
      <c r="H123" s="15" t="inlineStr">
        <is>
          <t>1.4. 29103-HTP-004/3. Power Cables/29103-AMB-010.pdf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8AWG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29103-ET-FG2101-1-PWK-1</t>
        </is>
      </c>
      <c r="C124" s="15" t="inlineStr">
        <is>
          <t>29103-ET-FG2101-1</t>
        </is>
      </c>
      <c r="D124" s="15" t="inlineStr"/>
      <c r="E124" s="15" t="inlineStr">
        <is>
          <t>29103-HTP-004</t>
        </is>
      </c>
      <c r="F124" s="15" t="inlineStr"/>
      <c r="G124" s="15" t="inlineStr">
        <is>
          <t>113</t>
        </is>
      </c>
      <c r="H124" s="15" t="inlineStr">
        <is>
          <t>1.4. 29103-HTP-004/3. Power Cables/29103-ET-FG2101-1-PWK-1.pdf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10AWG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29103-ET-FG2103-1-PWK-1</t>
        </is>
      </c>
      <c r="C125" s="15" t="inlineStr">
        <is>
          <t>29103-ET-FG2103-1</t>
        </is>
      </c>
      <c r="D125" s="15" t="inlineStr"/>
      <c r="E125" s="15" t="inlineStr">
        <is>
          <t>29103-HTP-004</t>
        </is>
      </c>
      <c r="F125" s="15" t="inlineStr"/>
      <c r="G125" s="15" t="inlineStr">
        <is>
          <t>113</t>
        </is>
      </c>
      <c r="H125" s="15" t="inlineStr">
        <is>
          <t>1.4. 29103-HTP-004/3. Power Cables/29103-ET-FG2103-1-PWK-1.pdf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10AWG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29103-ET-FG2201-1-PWK-1</t>
        </is>
      </c>
      <c r="C126" s="15" t="inlineStr">
        <is>
          <t>29103-ET-FG2201-1</t>
        </is>
      </c>
      <c r="D126" s="15" t="inlineStr"/>
      <c r="E126" s="15" t="inlineStr">
        <is>
          <t>29103-HTP-004</t>
        </is>
      </c>
      <c r="F126" s="15" t="inlineStr"/>
      <c r="G126" s="15" t="inlineStr">
        <is>
          <t>113</t>
        </is>
      </c>
      <c r="H126" s="15" t="inlineStr">
        <is>
          <t>1.4. 29103-HTP-004/3. Power Cables/29103-ET-FG2201-1-PWK-1.pdf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29103-ET-FG2203-1-PWK-1</t>
        </is>
      </c>
      <c r="C127" s="15" t="inlineStr">
        <is>
          <t>29103-ET-FG2203-1</t>
        </is>
      </c>
      <c r="D127" s="15" t="inlineStr"/>
      <c r="E127" s="15" t="inlineStr">
        <is>
          <t>29103-HTP-004</t>
        </is>
      </c>
      <c r="F127" s="15" t="inlineStr"/>
      <c r="G127" s="15" t="inlineStr">
        <is>
          <t>113</t>
        </is>
      </c>
      <c r="H127" s="15" t="inlineStr">
        <is>
          <t>1.4. 29103-HTP-004/3. Power Cables/29103-ET-FG2203-1-PWK-1.pdf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29103-ET-FG2205-1-PWK-1</t>
        </is>
      </c>
      <c r="C128" s="15" t="inlineStr">
        <is>
          <t>29103-ET-FG2205-1</t>
        </is>
      </c>
      <c r="D128" s="15" t="inlineStr"/>
      <c r="E128" s="15" t="inlineStr">
        <is>
          <t>29103-HTP-004</t>
        </is>
      </c>
      <c r="F128" s="15" t="inlineStr"/>
      <c r="G128" s="15" t="inlineStr">
        <is>
          <t>113</t>
        </is>
      </c>
      <c r="H128" s="15" t="inlineStr">
        <is>
          <t>1.4. 29103-HTP-004/3. Power Cables/29103-ET-FG2205-1-PWK-1.pdf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29103-ET-FG2301-1-PWK-1</t>
        </is>
      </c>
      <c r="C129" s="15" t="inlineStr">
        <is>
          <t>29103-ET-FG2301-1</t>
        </is>
      </c>
      <c r="D129" s="15" t="inlineStr"/>
      <c r="E129" s="15" t="inlineStr">
        <is>
          <t>29103-HTP-004</t>
        </is>
      </c>
      <c r="F129" s="15" t="inlineStr"/>
      <c r="G129" s="15" t="inlineStr">
        <is>
          <t>113</t>
        </is>
      </c>
      <c r="H129" s="15" t="inlineStr">
        <is>
          <t>1.4. 29103-HTP-004/3. Power Cables/29103-ET-FG2301-1-PWK-1.pdf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29103-ET-FG2303-1-PWK-1</t>
        </is>
      </c>
      <c r="C130" s="15" t="inlineStr">
        <is>
          <t>29103-ET-FG2303-1</t>
        </is>
      </c>
      <c r="D130" s="15" t="inlineStr"/>
      <c r="E130" s="15" t="inlineStr">
        <is>
          <t>29103-HTP-004</t>
        </is>
      </c>
      <c r="F130" s="15" t="inlineStr"/>
      <c r="G130" s="15" t="inlineStr">
        <is>
          <t>113</t>
        </is>
      </c>
      <c r="H130" s="15" t="inlineStr">
        <is>
          <t>1.4. 29103-HTP-004/3. Power Cables/29103-ET-FG2303-1-PWK-1.pdf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29103-ET-FG2405-1-PWK-1</t>
        </is>
      </c>
      <c r="C131" s="15" t="inlineStr">
        <is>
          <t>29103-ET-FG2405-1</t>
        </is>
      </c>
      <c r="D131" s="15" t="inlineStr"/>
      <c r="E131" s="15" t="inlineStr">
        <is>
          <t>29103-HTP-004</t>
        </is>
      </c>
      <c r="F131" s="15" t="inlineStr"/>
      <c r="G131" s="15" t="inlineStr">
        <is>
          <t>113</t>
        </is>
      </c>
      <c r="H131" s="15" t="inlineStr">
        <is>
          <t>1.4. 29103-HTP-004/3. Power Cables/29103-ET-FG2405-1-PWK-1.pdf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29103-ET-P2101-1-PWK-1</t>
        </is>
      </c>
      <c r="C132" s="15" t="inlineStr">
        <is>
          <t>29103-ET-P2101-1</t>
        </is>
      </c>
      <c r="D132" s="15" t="inlineStr"/>
      <c r="E132" s="15" t="inlineStr">
        <is>
          <t>29103-HTP-004</t>
        </is>
      </c>
      <c r="F132" s="15" t="inlineStr"/>
      <c r="G132" s="15" t="inlineStr">
        <is>
          <t>113</t>
        </is>
      </c>
      <c r="H132" s="15" t="inlineStr">
        <is>
          <t>1.4. 29103-HTP-004/3. Power Cables/29103-ET-P2101-1-PWK-1.pdf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29103-ET-P2104-1-PWK-1</t>
        </is>
      </c>
      <c r="C133" s="15" t="inlineStr">
        <is>
          <t>29103-ET-P2104-1</t>
        </is>
      </c>
      <c r="D133" s="15" t="inlineStr"/>
      <c r="E133" s="15" t="inlineStr">
        <is>
          <t>29103-HTP-004</t>
        </is>
      </c>
      <c r="F133" s="15" t="inlineStr"/>
      <c r="G133" s="15" t="inlineStr">
        <is>
          <t>113</t>
        </is>
      </c>
      <c r="H133" s="15" t="inlineStr">
        <is>
          <t>1.4. 29103-HTP-004/3. Power Cables/29103-ET-P2104-1-PWK-1.pdf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29103-ET-P2104-2-PWK-1</t>
        </is>
      </c>
      <c r="C134" s="15" t="inlineStr">
        <is>
          <t>29103-ET-P2104-2</t>
        </is>
      </c>
      <c r="D134" s="15" t="inlineStr"/>
      <c r="E134" s="15" t="inlineStr">
        <is>
          <t>29103-HTP-004</t>
        </is>
      </c>
      <c r="F134" s="15" t="inlineStr"/>
      <c r="G134" s="15" t="inlineStr">
        <is>
          <t>113</t>
        </is>
      </c>
      <c r="H134" s="15" t="inlineStr">
        <is>
          <t>1.4. 29103-HTP-004/3. Power Cables/29103-ET-P2104-2-PWK-1.pdf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29103-ET-P2201-1-PWK-1</t>
        </is>
      </c>
      <c r="C135" s="15" t="inlineStr">
        <is>
          <t>29103-ET-P2201-1</t>
        </is>
      </c>
      <c r="D135" s="15" t="inlineStr"/>
      <c r="E135" s="15" t="inlineStr">
        <is>
          <t>29103-HTP-004</t>
        </is>
      </c>
      <c r="F135" s="15" t="inlineStr"/>
      <c r="G135" s="15" t="inlineStr">
        <is>
          <t>113</t>
        </is>
      </c>
      <c r="H135" s="15" t="inlineStr">
        <is>
          <t>1.4. 29103-HTP-004/3. Power Cables/29103-ET-P2201-1-PWK-1.pdf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29103-ET-P2204-1-PWK-1</t>
        </is>
      </c>
      <c r="C136" s="15" t="inlineStr">
        <is>
          <t>29103-ET-P2204-1</t>
        </is>
      </c>
      <c r="D136" s="15" t="inlineStr"/>
      <c r="E136" s="15" t="inlineStr">
        <is>
          <t>29103-HTP-004</t>
        </is>
      </c>
      <c r="F136" s="15" t="inlineStr"/>
      <c r="G136" s="15" t="inlineStr">
        <is>
          <t>113</t>
        </is>
      </c>
      <c r="H136" s="15" t="inlineStr">
        <is>
          <t>1.4. 29103-HTP-004/3. Power Cables/29103-ET-P2204-1-PWK-1.pdf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29103-ET-P2204-2-PWK-1</t>
        </is>
      </c>
      <c r="C137" s="15" t="inlineStr">
        <is>
          <t>29103-ET-P2204-2</t>
        </is>
      </c>
      <c r="D137" s="15" t="inlineStr"/>
      <c r="E137" s="15" t="inlineStr">
        <is>
          <t>29103-HTP-004</t>
        </is>
      </c>
      <c r="F137" s="15" t="inlineStr"/>
      <c r="G137" s="15" t="inlineStr">
        <is>
          <t>113</t>
        </is>
      </c>
      <c r="H137" s="15" t="inlineStr">
        <is>
          <t>1.4. 29103-HTP-004/3. Power Cables/29103-ET-P2204-2-PWK-1.pdf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29103-ET-P2301-1-PWK-1</t>
        </is>
      </c>
      <c r="C138" s="15" t="inlineStr">
        <is>
          <t>29103-ET-P2301-1</t>
        </is>
      </c>
      <c r="D138" s="15" t="inlineStr"/>
      <c r="E138" s="15" t="inlineStr">
        <is>
          <t>29103-HTP-004</t>
        </is>
      </c>
      <c r="F138" s="15" t="inlineStr"/>
      <c r="G138" s="15" t="inlineStr">
        <is>
          <t>113</t>
        </is>
      </c>
      <c r="H138" s="15" t="inlineStr">
        <is>
          <t>1.4. 29103-HTP-004/3. Power Cables/29103-ET-P2301-1-PWK-1.pdf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29103-ET-P2304-1-PWK-1</t>
        </is>
      </c>
      <c r="C139" s="15" t="inlineStr">
        <is>
          <t>29103-ET-P2304-1</t>
        </is>
      </c>
      <c r="D139" s="15" t="inlineStr"/>
      <c r="E139" s="15" t="inlineStr">
        <is>
          <t>29103-HTP-004</t>
        </is>
      </c>
      <c r="F139" s="15" t="inlineStr"/>
      <c r="G139" s="15" t="inlineStr">
        <is>
          <t>113</t>
        </is>
      </c>
      <c r="H139" s="15" t="inlineStr">
        <is>
          <t>1.4. 29103-HTP-004/3. Power Cables/29103-ET-P2304-1-PWK-1.pdf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29103-ET-P2304-2-PWK-1</t>
        </is>
      </c>
      <c r="C140" s="15" t="inlineStr">
        <is>
          <t>29103-ET-P2304-2</t>
        </is>
      </c>
      <c r="D140" s="15" t="inlineStr"/>
      <c r="E140" s="15" t="inlineStr">
        <is>
          <t>29103-HTP-004</t>
        </is>
      </c>
      <c r="F140" s="15" t="inlineStr"/>
      <c r="G140" s="15" t="inlineStr">
        <is>
          <t>113</t>
        </is>
      </c>
      <c r="H140" s="15" t="inlineStr">
        <is>
          <t>1.4. 29103-HTP-004/3. Power Cables/29103-ET-P2304-2-PWK-1.pdf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29103-ET-P2404-1-PWK-1</t>
        </is>
      </c>
      <c r="C141" s="15" t="inlineStr">
        <is>
          <t>29103-ET-P2404-1</t>
        </is>
      </c>
      <c r="D141" s="15" t="inlineStr"/>
      <c r="E141" s="15" t="inlineStr">
        <is>
          <t>29103-HTP-004</t>
        </is>
      </c>
      <c r="F141" s="15" t="inlineStr"/>
      <c r="G141" s="15" t="inlineStr">
        <is>
          <t>113</t>
        </is>
      </c>
      <c r="H141" s="15" t="inlineStr">
        <is>
          <t>1.4. 29103-HTP-004/3. Power Cables/29103-ET-P2404-1-PWK-1.pdf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29103-ET-P2404-2-PWK-1</t>
        </is>
      </c>
      <c r="C142" s="15" t="inlineStr">
        <is>
          <t>29103-ET-P2404-2</t>
        </is>
      </c>
      <c r="D142" s="15" t="inlineStr"/>
      <c r="E142" s="15" t="inlineStr">
        <is>
          <t>29103-HTP-004</t>
        </is>
      </c>
      <c r="F142" s="15" t="inlineStr"/>
      <c r="G142" s="15" t="inlineStr">
        <is>
          <t>113</t>
        </is>
      </c>
      <c r="H142" s="15" t="inlineStr">
        <is>
          <t>1.4. 29103-HTP-004/3. Power Cables/29103-ET-P2404-2-PWK-1.pdf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29103-ET-P2800-2-PWK-1</t>
        </is>
      </c>
      <c r="C143" s="15" t="inlineStr">
        <is>
          <t>29103-ET-P2800-2</t>
        </is>
      </c>
      <c r="D143" s="15" t="inlineStr"/>
      <c r="E143" s="15" t="inlineStr">
        <is>
          <t>29103-HTP-004</t>
        </is>
      </c>
      <c r="F143" s="15" t="inlineStr"/>
      <c r="G143" s="15" t="inlineStr">
        <is>
          <t>113</t>
        </is>
      </c>
      <c r="H143" s="15" t="inlineStr">
        <is>
          <t>1.4. 29103-HTP-004/3. Power Cables/29103-ET-P2800-2-PWK-1.pdf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29103-ET-P2800-3-PWK-1</t>
        </is>
      </c>
      <c r="C144" s="15" t="inlineStr">
        <is>
          <t>29103-ET-P2800-3</t>
        </is>
      </c>
      <c r="D144" s="15" t="inlineStr"/>
      <c r="E144" s="15" t="inlineStr">
        <is>
          <t>29103-HTP-004</t>
        </is>
      </c>
      <c r="F144" s="15" t="inlineStr"/>
      <c r="G144" s="15" t="inlineStr">
        <is>
          <t>113</t>
        </is>
      </c>
      <c r="H144" s="15" t="inlineStr">
        <is>
          <t>1.4. 29103-HTP-004/3. Power Cables/29103-ET-P2800-3-PWK-1.pdf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29103-ET-PE2101-1-PWK-1</t>
        </is>
      </c>
      <c r="C145" s="15" t="inlineStr">
        <is>
          <t>29103-ET-PE2101-1</t>
        </is>
      </c>
      <c r="D145" s="15" t="inlineStr"/>
      <c r="E145" s="15" t="inlineStr">
        <is>
          <t>29103-HTP-004</t>
        </is>
      </c>
      <c r="F145" s="15" t="inlineStr"/>
      <c r="G145" s="15" t="inlineStr">
        <is>
          <t>113</t>
        </is>
      </c>
      <c r="H145" s="15" t="inlineStr">
        <is>
          <t>1.4. 29103-HTP-004/3. Power Cables/29103-ET-PE2101-1-PWK-1.pdf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29103-ET-PE2101-2-PWK-1</t>
        </is>
      </c>
      <c r="C146" s="15" t="inlineStr">
        <is>
          <t>29103-ET-PE2101-2</t>
        </is>
      </c>
      <c r="D146" s="15" t="inlineStr"/>
      <c r="E146" s="15" t="inlineStr">
        <is>
          <t>29103-HTP-004</t>
        </is>
      </c>
      <c r="F146" s="15" t="inlineStr"/>
      <c r="G146" s="15" t="inlineStr">
        <is>
          <t>113</t>
        </is>
      </c>
      <c r="H146" s="15" t="inlineStr">
        <is>
          <t>1.4. 29103-HTP-004/3. Power Cables/29103-ET-PE2101-2-PWK-1.pdf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29103-ET-PE2102-1-PWK-1</t>
        </is>
      </c>
      <c r="C147" s="15" t="inlineStr">
        <is>
          <t>29103-ET-PE2102-1</t>
        </is>
      </c>
      <c r="D147" s="15" t="inlineStr"/>
      <c r="E147" s="15" t="inlineStr">
        <is>
          <t>29103-HTP-004</t>
        </is>
      </c>
      <c r="F147" s="15" t="inlineStr"/>
      <c r="G147" s="15" t="inlineStr">
        <is>
          <t>113</t>
        </is>
      </c>
      <c r="H147" s="15" t="inlineStr">
        <is>
          <t>1.4. 29103-HTP-004/3. Power Cables/29103-ET-PE2102-1-PWK-1.pdf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29103-ET-PE2201-1-PWK-1</t>
        </is>
      </c>
      <c r="C148" s="15" t="inlineStr">
        <is>
          <t>29103-ET-PE2201-1</t>
        </is>
      </c>
      <c r="D148" s="15" t="inlineStr"/>
      <c r="E148" s="15" t="inlineStr">
        <is>
          <t>29103-HTP-004</t>
        </is>
      </c>
      <c r="F148" s="15" t="inlineStr"/>
      <c r="G148" s="15" t="inlineStr">
        <is>
          <t>113</t>
        </is>
      </c>
      <c r="H148" s="15" t="inlineStr">
        <is>
          <t>1.4. 29103-HTP-004/3. Power Cables/29103-ET-PE2201-1-PWK-1.pdf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29103-ET-PE2201-2-PWK-1</t>
        </is>
      </c>
      <c r="C149" s="15" t="inlineStr">
        <is>
          <t>29103-ET-PE2201-2</t>
        </is>
      </c>
      <c r="D149" s="15" t="inlineStr"/>
      <c r="E149" s="15" t="inlineStr">
        <is>
          <t>29103-HTP-004</t>
        </is>
      </c>
      <c r="F149" s="15" t="inlineStr"/>
      <c r="G149" s="15" t="inlineStr">
        <is>
          <t>113</t>
        </is>
      </c>
      <c r="H149" s="15" t="inlineStr">
        <is>
          <t>1.4. 29103-HTP-004/3. Power Cables/29103-ET-PE2201-2-PWK-1.pdf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29103-ET-PE2202-1-PWK-1</t>
        </is>
      </c>
      <c r="C150" s="15" t="inlineStr">
        <is>
          <t>29103-ET-PE2202-1</t>
        </is>
      </c>
      <c r="D150" s="15" t="inlineStr"/>
      <c r="E150" s="15" t="inlineStr">
        <is>
          <t>29103-HTP-004</t>
        </is>
      </c>
      <c r="F150" s="15" t="inlineStr"/>
      <c r="G150" s="15" t="inlineStr">
        <is>
          <t>113</t>
        </is>
      </c>
      <c r="H150" s="15" t="inlineStr">
        <is>
          <t>1.4. 29103-HTP-004/3. Power Cables/29103-ET-PE2202-1-PWK-1.pdf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29103-ET-PE2301-1-PWK-1</t>
        </is>
      </c>
      <c r="C151" s="15" t="inlineStr">
        <is>
          <t>29103-ET-PE2301-1</t>
        </is>
      </c>
      <c r="D151" s="15" t="inlineStr"/>
      <c r="E151" s="15" t="inlineStr">
        <is>
          <t>29103-HTP-004</t>
        </is>
      </c>
      <c r="F151" s="15" t="inlineStr"/>
      <c r="G151" s="15" t="inlineStr">
        <is>
          <t>113</t>
        </is>
      </c>
      <c r="H151" s="15" t="inlineStr">
        <is>
          <t>1.4. 29103-HTP-004/3. Power Cables/29103-ET-PE2301-1-PWK-1.pdf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29103-ET-PE2301-2-PWK-1</t>
        </is>
      </c>
      <c r="C152" s="15" t="inlineStr">
        <is>
          <t>29103-ET-PE2301-2</t>
        </is>
      </c>
      <c r="D152" s="15" t="inlineStr"/>
      <c r="E152" s="15" t="inlineStr">
        <is>
          <t>29103-HTP-004</t>
        </is>
      </c>
      <c r="F152" s="15" t="inlineStr"/>
      <c r="G152" s="15" t="inlineStr">
        <is>
          <t>113</t>
        </is>
      </c>
      <c r="H152" s="15" t="inlineStr">
        <is>
          <t>1.4. 29103-HTP-004/3. Power Cables/29103-ET-PE2301-2-PWK-1.pdf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29103-ET-PE2302-1-PWK-1</t>
        </is>
      </c>
      <c r="C153" s="15" t="inlineStr">
        <is>
          <t>29103-ET-PE2302-1</t>
        </is>
      </c>
      <c r="D153" s="15" t="inlineStr"/>
      <c r="E153" s="15" t="inlineStr">
        <is>
          <t>29103-HTP-004</t>
        </is>
      </c>
      <c r="F153" s="15" t="inlineStr"/>
      <c r="G153" s="15" t="inlineStr">
        <is>
          <t>113</t>
        </is>
      </c>
      <c r="H153" s="15" t="inlineStr">
        <is>
          <t>1.4. 29103-HTP-004/3. Power Cables/29103-ET-PE2302-1-PWK-1.pdf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29103-ET-PE2401-2-PWK-1</t>
        </is>
      </c>
      <c r="C154" s="15" t="inlineStr">
        <is>
          <t>29103-ET-PE2401-2</t>
        </is>
      </c>
      <c r="D154" s="15" t="inlineStr"/>
      <c r="E154" s="15" t="inlineStr">
        <is>
          <t>29103-HTP-004</t>
        </is>
      </c>
      <c r="F154" s="15" t="inlineStr"/>
      <c r="G154" s="15" t="inlineStr">
        <is>
          <t>113</t>
        </is>
      </c>
      <c r="H154" s="15" t="inlineStr">
        <is>
          <t>1.4. 29103-HTP-004/3. Power Cables/29103-ET-PE2401-2-PWK-1.pdf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29103-ET-PE2402-1-PWK-1</t>
        </is>
      </c>
      <c r="C155" s="15" t="inlineStr">
        <is>
          <t>29103-ET-PE2402-1</t>
        </is>
      </c>
      <c r="D155" s="15" t="inlineStr"/>
      <c r="E155" s="15" t="inlineStr">
        <is>
          <t>29103-HTP-004</t>
        </is>
      </c>
      <c r="F155" s="15" t="inlineStr"/>
      <c r="G155" s="15" t="inlineStr">
        <is>
          <t>113</t>
        </is>
      </c>
      <c r="H155" s="15" t="inlineStr">
        <is>
          <t>1.4. 29103-HTP-004/3. Power Cables/29103-ET-PE2402-1-PWK-1.pdf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29103-ET-PE2803-2-PWK-1</t>
        </is>
      </c>
      <c r="C156" s="15" t="inlineStr">
        <is>
          <t>29103-ET-PE2803-2</t>
        </is>
      </c>
      <c r="D156" s="15" t="inlineStr"/>
      <c r="E156" s="15" t="inlineStr">
        <is>
          <t>29103-HTP-004</t>
        </is>
      </c>
      <c r="F156" s="15" t="inlineStr"/>
      <c r="G156" s="15" t="inlineStr">
        <is>
          <t>113</t>
        </is>
      </c>
      <c r="H156" s="15" t="inlineStr">
        <is>
          <t>1.4. 29103-HTP-004/3. Power Cables/29103-ET-PE2803-2-PWK-1.pdf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29103-ET-PG2101-1-PWK-1</t>
        </is>
      </c>
      <c r="C157" s="15" t="inlineStr">
        <is>
          <t>29103-ET-PG2101-1</t>
        </is>
      </c>
      <c r="D157" s="15" t="inlineStr"/>
      <c r="E157" s="15" t="inlineStr">
        <is>
          <t>29103-HTP-004</t>
        </is>
      </c>
      <c r="F157" s="15" t="inlineStr"/>
      <c r="G157" s="15" t="inlineStr">
        <is>
          <t>113</t>
        </is>
      </c>
      <c r="H157" s="15" t="inlineStr">
        <is>
          <t>1.4. 29103-HTP-004/3. Power Cables/29103-ET-PG2101-1-PWK-1.pdf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29103-ET-PG2101-2-PWK-1</t>
        </is>
      </c>
      <c r="C158" s="15" t="inlineStr">
        <is>
          <t>29103-ET-PG2101-2</t>
        </is>
      </c>
      <c r="D158" s="15" t="inlineStr"/>
      <c r="E158" s="15" t="inlineStr">
        <is>
          <t>29103-HTP-004</t>
        </is>
      </c>
      <c r="F158" s="15" t="inlineStr"/>
      <c r="G158" s="15" t="inlineStr">
        <is>
          <t>113</t>
        </is>
      </c>
      <c r="H158" s="15" t="inlineStr">
        <is>
          <t>1.4. 29103-HTP-004/3. Power Cables/29103-ET-PG2101-2-PWK-1.pdf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29103-ET-PG2201-1-PWK-1</t>
        </is>
      </c>
      <c r="C159" s="15" t="inlineStr">
        <is>
          <t>29103-ET-PG2201-1</t>
        </is>
      </c>
      <c r="D159" s="15" t="inlineStr"/>
      <c r="E159" s="15" t="inlineStr">
        <is>
          <t>29103-HTP-004</t>
        </is>
      </c>
      <c r="F159" s="15" t="inlineStr"/>
      <c r="G159" s="15" t="inlineStr">
        <is>
          <t>113</t>
        </is>
      </c>
      <c r="H159" s="15" t="inlineStr">
        <is>
          <t>1.4. 29103-HTP-004/3. Power Cables/29103-ET-PG2201-1-PWK-1.pdf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Power Cable</t>
        </is>
      </c>
      <c r="B160" s="15" t="inlineStr">
        <is>
          <t>29103-ET-PG2201-2-PWK-1</t>
        </is>
      </c>
      <c r="C160" s="15" t="inlineStr">
        <is>
          <t>29103-ET-PG2201-2</t>
        </is>
      </c>
      <c r="D160" s="15" t="inlineStr"/>
      <c r="E160" s="15" t="inlineStr">
        <is>
          <t>29103-HTP-004</t>
        </is>
      </c>
      <c r="F160" s="15" t="inlineStr"/>
      <c r="G160" s="15" t="inlineStr">
        <is>
          <t>113</t>
        </is>
      </c>
      <c r="H160" s="15" t="inlineStr">
        <is>
          <t>1.4. 29103-HTP-004/3. Power Cables/29103-ET-PG2201-2-PWK-1.pdf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NO</v>
      </c>
      <c r="O160" s="6" t="str">
        <f>IF(OR($A160="Power Cable",$A160="RTD Cable",$A160="Fieldbus Cable"),IF(AND($AE160&lt;&gt;""),"YES","NO"),"N/A")</f>
        <v>NO</v>
      </c>
      <c r="P160" s="6" t="str">
        <f>IF(OR($A160="RTD"),IF(AND($AH160&lt;&gt;""),"YES","NO"),"N/A")</f>
        <v>N/A</v>
      </c>
      <c r="Q160" s="6" t="str">
        <f>IF(OR($A160="RTD"),IF(AND($AI160&lt;&gt;""),"YES","NO"),"N/A")</f>
        <v>N/A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inlineStr">
        <is>
          <t>Teck</t>
        </is>
      </c>
      <c r="AK160" s="15" t="inlineStr">
        <is>
          <t>10AWG</t>
        </is>
      </c>
      <c r="AL160" s="15" t="inlineStr">
        <is>
          <t>Levy Ostrup</t>
        </is>
      </c>
      <c r="AM160" s="15" t="n"/>
      <c r="AN160" s="15" t="n"/>
    </row>
    <row r="161">
      <c r="A161" s="15" t="inlineStr">
        <is>
          <t>Power Cable</t>
        </is>
      </c>
      <c r="B161" s="15" t="inlineStr">
        <is>
          <t>29103-ET-PG2301-1-PWK-1</t>
        </is>
      </c>
      <c r="C161" s="15" t="inlineStr">
        <is>
          <t>29103-ET-PG2301-1</t>
        </is>
      </c>
      <c r="D161" s="15" t="inlineStr"/>
      <c r="E161" s="15" t="inlineStr">
        <is>
          <t>29103-HTP-004</t>
        </is>
      </c>
      <c r="F161" s="15" t="inlineStr"/>
      <c r="G161" s="15" t="inlineStr">
        <is>
          <t>113</t>
        </is>
      </c>
      <c r="H161" s="15" t="inlineStr">
        <is>
          <t>1.4. 29103-HTP-004/3. Power Cables/29103-ET-PG2301-1-PWK-1.pdf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NO</v>
      </c>
      <c r="O161" s="6" t="str">
        <f>IF(OR($A161="Power Cable",$A161="RTD Cable",$A161="Fieldbus Cable"),IF(AND($AE161&lt;&gt;""),"YES","NO"),"N/A")</f>
        <v>NO</v>
      </c>
      <c r="P161" s="6" t="str">
        <f>IF(OR($A161="RTD"),IF(AND($AH161&lt;&gt;""),"YES","NO"),"N/A")</f>
        <v>N/A</v>
      </c>
      <c r="Q161" s="6" t="str">
        <f>IF(OR($A161="RTD"),IF(AND($AI161&lt;&gt;""),"YES","NO"),"N/A")</f>
        <v>N/A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inlineStr">
        <is>
          <t>Teck</t>
        </is>
      </c>
      <c r="AK161" s="15" t="inlineStr">
        <is>
          <t>10AWG</t>
        </is>
      </c>
      <c r="AL161" s="15" t="inlineStr">
        <is>
          <t>Levy Ostrup</t>
        </is>
      </c>
      <c r="AM161" s="15" t="n"/>
      <c r="AN161" s="15" t="n"/>
    </row>
    <row r="162">
      <c r="A162" s="15" t="inlineStr">
        <is>
          <t>Power Cable</t>
        </is>
      </c>
      <c r="B162" s="15" t="inlineStr">
        <is>
          <t>29103-ET-PG2301-2-PWK-1</t>
        </is>
      </c>
      <c r="C162" s="15" t="inlineStr">
        <is>
          <t>29103-ET-PG2301-2</t>
        </is>
      </c>
      <c r="D162" s="15" t="inlineStr"/>
      <c r="E162" s="15" t="inlineStr">
        <is>
          <t>29103-HTP-004</t>
        </is>
      </c>
      <c r="F162" s="15" t="inlineStr"/>
      <c r="G162" s="15" t="inlineStr">
        <is>
          <t>113</t>
        </is>
      </c>
      <c r="H162" s="15" t="inlineStr">
        <is>
          <t>1.4. 29103-HTP-004/3. Power Cables/29103-ET-PG2301-2-PWK-1.pdf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NO</v>
      </c>
      <c r="O162" s="6" t="str">
        <f>IF(OR($A162="Power Cable",$A162="RTD Cable",$A162="Fieldbus Cable"),IF(AND($AE162&lt;&gt;""),"YES","NO"),"N/A")</f>
        <v>NO</v>
      </c>
      <c r="P162" s="6" t="str">
        <f>IF(OR($A162="RTD"),IF(AND($AH162&lt;&gt;""),"YES","NO"),"N/A")</f>
        <v>N/A</v>
      </c>
      <c r="Q162" s="6" t="str">
        <f>IF(OR($A162="RTD"),IF(AND($AI162&lt;&gt;""),"YES","NO"),"N/A")</f>
        <v>N/A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inlineStr">
        <is>
          <t>Teck</t>
        </is>
      </c>
      <c r="AK162" s="15" t="inlineStr">
        <is>
          <t>10AWG</t>
        </is>
      </c>
      <c r="AL162" s="15" t="inlineStr">
        <is>
          <t>Levy Ostrup</t>
        </is>
      </c>
      <c r="AM162" s="15" t="n"/>
      <c r="AN162" s="15" t="n"/>
    </row>
    <row r="163">
      <c r="A163" s="15" t="inlineStr">
        <is>
          <t>Power Cable</t>
        </is>
      </c>
      <c r="B163" s="15" t="inlineStr">
        <is>
          <t>29103-ET-PG2401-2-PWK-1</t>
        </is>
      </c>
      <c r="C163" s="15" t="inlineStr">
        <is>
          <t>29103-ET-PG2401-2</t>
        </is>
      </c>
      <c r="D163" s="15" t="inlineStr"/>
      <c r="E163" s="15" t="inlineStr">
        <is>
          <t>29103-HTP-004</t>
        </is>
      </c>
      <c r="F163" s="15" t="inlineStr"/>
      <c r="G163" s="15" t="inlineStr">
        <is>
          <t>113</t>
        </is>
      </c>
      <c r="H163" s="15" t="inlineStr">
        <is>
          <t>1.4. 29103-HTP-004/3. Power Cables/29103-ET-PG2401-2-PWK-1.pdf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NO</v>
      </c>
      <c r="O163" s="6" t="str">
        <f>IF(OR($A163="Power Cable",$A163="RTD Cable",$A163="Fieldbus Cable"),IF(AND($AE163&lt;&gt;""),"YES","NO"),"N/A")</f>
        <v>NO</v>
      </c>
      <c r="P163" s="6" t="str">
        <f>IF(OR($A163="RTD"),IF(AND($AH163&lt;&gt;""),"YES","NO"),"N/A")</f>
        <v>N/A</v>
      </c>
      <c r="Q163" s="6" t="str">
        <f>IF(OR($A163="RTD"),IF(AND($AI163&lt;&gt;""),"YES","NO"),"N/A")</f>
        <v>N/A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inlineStr">
        <is>
          <t>Teck</t>
        </is>
      </c>
      <c r="AK163" s="15" t="inlineStr">
        <is>
          <t>10AWG</t>
        </is>
      </c>
      <c r="AL163" s="15" t="inlineStr">
        <is>
          <t>Levy Ostrup</t>
        </is>
      </c>
      <c r="AM163" s="15" t="n"/>
      <c r="AN163" s="15" t="n"/>
    </row>
    <row r="164">
      <c r="A164" s="15" t="inlineStr">
        <is>
          <t>Power Cable</t>
        </is>
      </c>
      <c r="B164" s="15" t="inlineStr">
        <is>
          <t>29103-ET-ST2103-1-PWK-1</t>
        </is>
      </c>
      <c r="C164" s="15" t="inlineStr">
        <is>
          <t>29103-ET-ST2103-1</t>
        </is>
      </c>
      <c r="D164" s="15" t="inlineStr"/>
      <c r="E164" s="15" t="inlineStr">
        <is>
          <t>29103-HTP-004</t>
        </is>
      </c>
      <c r="F164" s="15" t="inlineStr"/>
      <c r="G164" s="15" t="inlineStr">
        <is>
          <t>113</t>
        </is>
      </c>
      <c r="H164" s="15" t="inlineStr">
        <is>
          <t>1.4. 29103-HTP-004/3. Power Cables/29103-ET-ST2103-1-PWK-1.pdf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NO</v>
      </c>
      <c r="O164" s="6" t="str">
        <f>IF(OR($A164="Power Cable",$A164="RTD Cable",$A164="Fieldbus Cable"),IF(AND($AE164&lt;&gt;""),"YES","NO"),"N/A")</f>
        <v>NO</v>
      </c>
      <c r="P164" s="6" t="str">
        <f>IF(OR($A164="RTD"),IF(AND($AH164&lt;&gt;""),"YES","NO"),"N/A")</f>
        <v>N/A</v>
      </c>
      <c r="Q164" s="6" t="str">
        <f>IF(OR($A164="RTD"),IF(AND($AI164&lt;&gt;""),"YES","NO"),"N/A")</f>
        <v>N/A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inlineStr">
        <is>
          <t>Teck</t>
        </is>
      </c>
      <c r="AK164" s="15" t="inlineStr">
        <is>
          <t>10AWG</t>
        </is>
      </c>
      <c r="AL164" s="15" t="inlineStr">
        <is>
          <t>Levy Ostrup</t>
        </is>
      </c>
      <c r="AM164" s="15" t="n"/>
      <c r="AN164" s="15" t="n"/>
    </row>
    <row r="165">
      <c r="A165" s="15" t="inlineStr">
        <is>
          <t>Power Cable</t>
        </is>
      </c>
      <c r="B165" s="15" t="inlineStr">
        <is>
          <t>29103-ET-ST2203-1-PWK-1</t>
        </is>
      </c>
      <c r="C165" s="15" t="inlineStr">
        <is>
          <t>29103-ET-ST2203-1</t>
        </is>
      </c>
      <c r="D165" s="15" t="inlineStr"/>
      <c r="E165" s="15" t="inlineStr">
        <is>
          <t>29103-HTP-004</t>
        </is>
      </c>
      <c r="F165" s="15" t="inlineStr"/>
      <c r="G165" s="15" t="inlineStr">
        <is>
          <t>113</t>
        </is>
      </c>
      <c r="H165" s="15" t="inlineStr">
        <is>
          <t>1.4. 29103-HTP-004/3. Power Cables/29103-ET-ST2203-1-PWK-1.pdf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NO</v>
      </c>
      <c r="O165" s="6" t="str">
        <f>IF(OR($A165="Power Cable",$A165="RTD Cable",$A165="Fieldbus Cable"),IF(AND($AE165&lt;&gt;""),"YES","NO"),"N/A")</f>
        <v>NO</v>
      </c>
      <c r="P165" s="6" t="str">
        <f>IF(OR($A165="RTD"),IF(AND($AH165&lt;&gt;""),"YES","NO"),"N/A")</f>
        <v>N/A</v>
      </c>
      <c r="Q165" s="6" t="str">
        <f>IF(OR($A165="RTD"),IF(AND($AI165&lt;&gt;""),"YES","NO"),"N/A")</f>
        <v>N/A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inlineStr">
        <is>
          <t>Teck</t>
        </is>
      </c>
      <c r="AK165" s="15" t="inlineStr">
        <is>
          <t>10AWG</t>
        </is>
      </c>
      <c r="AL165" s="15" t="inlineStr">
        <is>
          <t>Levy Ostrup</t>
        </is>
      </c>
      <c r="AM165" s="15" t="n"/>
      <c r="AN165" s="15" t="n"/>
    </row>
    <row r="166">
      <c r="A166" s="15" t="inlineStr">
        <is>
          <t>Power Cable</t>
        </is>
      </c>
      <c r="B166" s="15" t="inlineStr">
        <is>
          <t>29103-ET-ST2303-1-PWK-1</t>
        </is>
      </c>
      <c r="C166" s="15" t="inlineStr">
        <is>
          <t>29103-ET-ST2303-1</t>
        </is>
      </c>
      <c r="D166" s="15" t="inlineStr"/>
      <c r="E166" s="15" t="inlineStr">
        <is>
          <t>29103-HTP-004</t>
        </is>
      </c>
      <c r="F166" s="15" t="inlineStr"/>
      <c r="G166" s="15" t="inlineStr">
        <is>
          <t>113</t>
        </is>
      </c>
      <c r="H166" s="15" t="inlineStr">
        <is>
          <t>1.4. 29103-HTP-004/3. Power Cables/29103-ET-ST2303-1-PWK-1.pdf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NO</v>
      </c>
      <c r="O166" s="6" t="str">
        <f>IF(OR($A166="Power Cable",$A166="RTD Cable",$A166="Fieldbus Cable"),IF(AND($AE166&lt;&gt;""),"YES","NO"),"N/A")</f>
        <v>NO</v>
      </c>
      <c r="P166" s="6" t="str">
        <f>IF(OR($A166="RTD"),IF(AND($AH166&lt;&gt;""),"YES","NO"),"N/A")</f>
        <v>N/A</v>
      </c>
      <c r="Q166" s="6" t="str">
        <f>IF(OR($A166="RTD"),IF(AND($AI166&lt;&gt;""),"YES","NO"),"N/A")</f>
        <v>N/A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inlineStr">
        <is>
          <t>Teck</t>
        </is>
      </c>
      <c r="AK166" s="15" t="inlineStr">
        <is>
          <t>10AWG</t>
        </is>
      </c>
      <c r="AL166" s="15" t="inlineStr">
        <is>
          <t>Levy Ostrup</t>
        </is>
      </c>
      <c r="AM166" s="15" t="n"/>
      <c r="AN166" s="15" t="n"/>
    </row>
    <row r="167">
      <c r="A167" s="15" t="inlineStr">
        <is>
          <t>Power Cable</t>
        </is>
      </c>
      <c r="B167" s="15" t="inlineStr">
        <is>
          <t>29103-ET-ST2403-1-PWK-1</t>
        </is>
      </c>
      <c r="C167" s="15" t="inlineStr">
        <is>
          <t>29103-ET-ST2403-1</t>
        </is>
      </c>
      <c r="D167" s="15" t="inlineStr"/>
      <c r="E167" s="15" t="inlineStr">
        <is>
          <t>29103-HTP-004</t>
        </is>
      </c>
      <c r="F167" s="15" t="inlineStr"/>
      <c r="G167" s="15" t="inlineStr">
        <is>
          <t>113</t>
        </is>
      </c>
      <c r="H167" s="15" t="inlineStr">
        <is>
          <t>1.4. 29103-HTP-004/3. Power Cables/29103-ET-ST2403-1-PWK-1.pdf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NO</v>
      </c>
      <c r="O167" s="6" t="str">
        <f>IF(OR($A167="Power Cable",$A167="RTD Cable",$A167="Fieldbus Cable"),IF(AND($AE167&lt;&gt;""),"YES","NO"),"N/A")</f>
        <v>NO</v>
      </c>
      <c r="P167" s="6" t="str">
        <f>IF(OR($A167="RTD"),IF(AND($AH167&lt;&gt;""),"YES","NO"),"N/A")</f>
        <v>N/A</v>
      </c>
      <c r="Q167" s="6" t="str">
        <f>IF(OR($A167="RTD"),IF(AND($AI167&lt;&gt;""),"YES","NO"),"N/A")</f>
        <v>N/A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inlineStr">
        <is>
          <t>Teck</t>
        </is>
      </c>
      <c r="AK167" s="15" t="inlineStr">
        <is>
          <t>10AWG</t>
        </is>
      </c>
      <c r="AL167" s="15" t="inlineStr">
        <is>
          <t>Levy Ostrup</t>
        </is>
      </c>
      <c r="AM167" s="15" t="n"/>
      <c r="AN167" s="15" t="n"/>
    </row>
    <row r="168">
      <c r="A168" s="15" t="inlineStr">
        <is>
          <t>Power Cable</t>
        </is>
      </c>
      <c r="B168" s="15" t="inlineStr">
        <is>
          <t>29103-ET-ST2503-1-PWK-1</t>
        </is>
      </c>
      <c r="C168" s="15" t="inlineStr">
        <is>
          <t>29103-ET-ST2503-1</t>
        </is>
      </c>
      <c r="D168" s="15" t="inlineStr"/>
      <c r="E168" s="15" t="inlineStr">
        <is>
          <t>29103-HTP-004</t>
        </is>
      </c>
      <c r="F168" s="15" t="inlineStr"/>
      <c r="G168" s="15" t="inlineStr">
        <is>
          <t>113</t>
        </is>
      </c>
      <c r="H168" s="15" t="inlineStr">
        <is>
          <t>1.4. 29103-HTP-004/3. Power Cables/29103-ET-ST2503-1-PWK-1.pdf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NO</v>
      </c>
      <c r="O168" s="6" t="str">
        <f>IF(OR($A168="Power Cable",$A168="RTD Cable",$A168="Fieldbus Cable"),IF(AND($AE168&lt;&gt;""),"YES","NO"),"N/A")</f>
        <v>NO</v>
      </c>
      <c r="P168" s="6" t="str">
        <f>IF(OR($A168="RTD"),IF(AND($AH168&lt;&gt;""),"YES","NO"),"N/A")</f>
        <v>N/A</v>
      </c>
      <c r="Q168" s="6" t="str">
        <f>IF(OR($A168="RTD"),IF(AND($AI168&lt;&gt;""),"YES","NO"),"N/A")</f>
        <v>N/A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inlineStr">
        <is>
          <t>Teck</t>
        </is>
      </c>
      <c r="AK168" s="15" t="inlineStr">
        <is>
          <t>10AWG</t>
        </is>
      </c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29103-ET-P2101-1-R-1</t>
        </is>
      </c>
      <c r="C169" s="15" t="inlineStr">
        <is>
          <t>29103-ET-P2101-1</t>
        </is>
      </c>
      <c r="D169" s="15" t="inlineStr">
        <is>
          <t>29103-HTP-004 HTC-19</t>
        </is>
      </c>
      <c r="E169" s="15" t="inlineStr">
        <is>
          <t>PRODUCED EMULSION</t>
        </is>
      </c>
      <c r="F169" s="15" t="inlineStr">
        <is>
          <t>29103-65R-ET-P2101-01-01</t>
        </is>
      </c>
      <c r="G169" s="15" t="inlineStr">
        <is>
          <t>13.2</t>
        </is>
      </c>
      <c r="H169" s="15" t="inlineStr">
        <is>
          <t>1.4. 29103-HTP-004/2. RTD Inspection/29103-ET-P2101-1-R-1.pdf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29103-ET-P2104-1-R-1</t>
        </is>
      </c>
      <c r="C170" s="15" t="inlineStr">
        <is>
          <t>29103-ET-P2104-1</t>
        </is>
      </c>
      <c r="D170" s="15" t="inlineStr">
        <is>
          <t>29103-HTP-004 HTC-18</t>
        </is>
      </c>
      <c r="E170" s="15" t="inlineStr">
        <is>
          <t>PRODUCED EMULSION</t>
        </is>
      </c>
      <c r="F170" s="15" t="inlineStr">
        <is>
          <t>29103-65R-ET-P2104-01-01</t>
        </is>
      </c>
      <c r="G170" s="15" t="inlineStr">
        <is>
          <t>13.2</t>
        </is>
      </c>
      <c r="H170" s="15" t="inlineStr">
        <is>
          <t>1.4. 29103-HTP-004/2. RTD Inspection/29103-ET-P2104-1-R-1.pdf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29103-ET-P2104-1-R-2</t>
        </is>
      </c>
      <c r="C171" s="15" t="inlineStr">
        <is>
          <t>29103-ET-P2104-1</t>
        </is>
      </c>
      <c r="D171" s="15" t="inlineStr">
        <is>
          <t>29103-HTP-004 I/O-2-1</t>
        </is>
      </c>
      <c r="E171" s="15" t="inlineStr">
        <is>
          <t>PRODUCED EMULSION</t>
        </is>
      </c>
      <c r="F171" s="15" t="inlineStr">
        <is>
          <t>29103-65R-ET-P2104-01-01</t>
        </is>
      </c>
      <c r="G171" s="15" t="inlineStr">
        <is>
          <t>13.2</t>
        </is>
      </c>
      <c r="H171" s="15" t="inlineStr">
        <is>
          <t>1.4. 29103-HTP-004/2. RTD Inspection/29103-ET-P2104-1-R-2.pdf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29103-ET-P2104-2-R-1</t>
        </is>
      </c>
      <c r="C172" s="15" t="inlineStr">
        <is>
          <t>29103-ET-P2104-2</t>
        </is>
      </c>
      <c r="D172" s="15" t="inlineStr">
        <is>
          <t>29103-HTP-004 HTC-25</t>
        </is>
      </c>
      <c r="E172" s="15" t="inlineStr">
        <is>
          <t>PRODUCED EMULSION</t>
        </is>
      </c>
      <c r="F172" s="15" t="inlineStr">
        <is>
          <t>29103-65R-ET-P2104-02-01</t>
        </is>
      </c>
      <c r="G172" s="15" t="inlineStr">
        <is>
          <t>13.2</t>
        </is>
      </c>
      <c r="H172" s="15" t="inlineStr">
        <is>
          <t>1.4. 29103-HTP-004/2. RTD Inspection/29103-ET-P2104-2-R-1.pdf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29103-ET-P2104-2-R-2</t>
        </is>
      </c>
      <c r="C173" s="15" t="inlineStr">
        <is>
          <t>29103-ET-P2104-2</t>
        </is>
      </c>
      <c r="D173" s="15" t="inlineStr">
        <is>
          <t>29103-HTP-004 I/O-4-3</t>
        </is>
      </c>
      <c r="E173" s="15" t="inlineStr">
        <is>
          <t>PRODUCED EMULSION</t>
        </is>
      </c>
      <c r="F173" s="15" t="inlineStr">
        <is>
          <t>29103-65R-ET-P2104-02-01</t>
        </is>
      </c>
      <c r="G173" s="15" t="inlineStr">
        <is>
          <t>13.2</t>
        </is>
      </c>
      <c r="H173" s="15" t="inlineStr">
        <is>
          <t>1.4. 29103-HTP-004/2. RTD Inspection/29103-ET-P2104-2-R-2.pdf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29103-ET-P2201-1-R-1</t>
        </is>
      </c>
      <c r="C174" s="15" t="inlineStr">
        <is>
          <t>29103-ET-P2201-1</t>
        </is>
      </c>
      <c r="D174" s="15" t="inlineStr">
        <is>
          <t>29103-HTP-004 HTC-05</t>
        </is>
      </c>
      <c r="E174" s="15" t="inlineStr">
        <is>
          <t>PRODUCED EMULSION</t>
        </is>
      </c>
      <c r="F174" s="15" t="inlineStr">
        <is>
          <t>29103-65R-ET-P2201-01-01</t>
        </is>
      </c>
      <c r="G174" s="15" t="inlineStr">
        <is>
          <t>13.2</t>
        </is>
      </c>
      <c r="H174" s="15" t="inlineStr">
        <is>
          <t>1.4. 29103-HTP-004/2. RTD Inspection/29103-ET-P2201-1-R-1.pdf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29103-ET-P2204-1-R-1</t>
        </is>
      </c>
      <c r="C175" s="15" t="inlineStr">
        <is>
          <t>29103-ET-P2204-1</t>
        </is>
      </c>
      <c r="D175" s="15" t="inlineStr">
        <is>
          <t>29103-HTP-004 HTC-09</t>
        </is>
      </c>
      <c r="E175" s="15" t="inlineStr">
        <is>
          <t>PRODUCED EMULSION</t>
        </is>
      </c>
      <c r="F175" s="15" t="inlineStr">
        <is>
          <t>29103-65R-ET-P2204-01-01</t>
        </is>
      </c>
      <c r="G175" s="15" t="inlineStr">
        <is>
          <t>13.2</t>
        </is>
      </c>
      <c r="H175" s="15" t="inlineStr">
        <is>
          <t>1.4. 29103-HTP-004/2. RTD Inspection/29103-ET-P2204-1-R-1.pdf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29103-ET-P2204-1-R-2</t>
        </is>
      </c>
      <c r="C176" s="15" t="inlineStr">
        <is>
          <t>29103-ET-P2204-1</t>
        </is>
      </c>
      <c r="D176" s="15" t="inlineStr">
        <is>
          <t>29103-HTP-004 I/O-1-4</t>
        </is>
      </c>
      <c r="E176" s="15" t="inlineStr">
        <is>
          <t>PRODUCED EMULSION</t>
        </is>
      </c>
      <c r="F176" s="15" t="inlineStr">
        <is>
          <t>29103-65R-ET-P2204-01-01</t>
        </is>
      </c>
      <c r="G176" s="15" t="inlineStr">
        <is>
          <t>13.2</t>
        </is>
      </c>
      <c r="H176" s="15" t="inlineStr">
        <is>
          <t>1.4. 29103-HTP-004/2. RTD Inspection/29103-ET-P2204-1-R-2.pdf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29103-ET-P2204-2-R-1</t>
        </is>
      </c>
      <c r="C177" s="15" t="inlineStr">
        <is>
          <t>29103-ET-P2204-2</t>
        </is>
      </c>
      <c r="D177" s="15" t="inlineStr">
        <is>
          <t>29103-HTP-004 HTC-26</t>
        </is>
      </c>
      <c r="E177" s="15" t="inlineStr">
        <is>
          <t>PRODUCED EMULSION</t>
        </is>
      </c>
      <c r="F177" s="15" t="inlineStr">
        <is>
          <t>29103-65R-ET-P2204-02-01</t>
        </is>
      </c>
      <c r="G177" s="15" t="inlineStr">
        <is>
          <t>13.2</t>
        </is>
      </c>
      <c r="H177" s="15" t="inlineStr">
        <is>
          <t>1.4. 29103-HTP-004/2. RTD Inspection/29103-ET-P2204-2-R-1.pdf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29103-ET-P2204-2-R-2</t>
        </is>
      </c>
      <c r="C178" s="15" t="inlineStr">
        <is>
          <t>29103-ET-P2204-2</t>
        </is>
      </c>
      <c r="D178" s="15" t="inlineStr">
        <is>
          <t>29103-HTP-004 I/O-4-4</t>
        </is>
      </c>
      <c r="E178" s="15" t="inlineStr">
        <is>
          <t>PRODUCED EMULSION</t>
        </is>
      </c>
      <c r="F178" s="15" t="inlineStr">
        <is>
          <t>29103-65R-ET-P2204-02-01</t>
        </is>
      </c>
      <c r="G178" s="15" t="inlineStr">
        <is>
          <t>13.2</t>
        </is>
      </c>
      <c r="H178" s="15" t="inlineStr">
        <is>
          <t>1.4. 29103-HTP-004/2. RTD Inspection/29103-ET-P2204-2-R-2.pdf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29103-ET-P2301-1-R-1</t>
        </is>
      </c>
      <c r="C179" s="15" t="inlineStr">
        <is>
          <t>29103-ET-P2301-1</t>
        </is>
      </c>
      <c r="D179" s="15" t="inlineStr">
        <is>
          <t>29103-HTP-004 HTC-04</t>
        </is>
      </c>
      <c r="E179" s="15" t="inlineStr">
        <is>
          <t>PRODUCED EMULSION</t>
        </is>
      </c>
      <c r="F179" s="15" t="inlineStr">
        <is>
          <t>29103-65R-ET-P2301-01-01</t>
        </is>
      </c>
      <c r="G179" s="15" t="inlineStr">
        <is>
          <t>13.2</t>
        </is>
      </c>
      <c r="H179" s="15" t="inlineStr">
        <is>
          <t>1.4. 29103-HTP-004/2. RTD Inspection/29103-ET-P2301-1-R-1.pdf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29103-ET-P2304-1-R-1</t>
        </is>
      </c>
      <c r="C180" s="15" t="inlineStr">
        <is>
          <t>29103-ET-P2304-1</t>
        </is>
      </c>
      <c r="D180" s="15" t="inlineStr">
        <is>
          <t>29103-HTP-004 HTC-02</t>
        </is>
      </c>
      <c r="E180" s="15" t="inlineStr">
        <is>
          <t>PRODUCED EMULSION</t>
        </is>
      </c>
      <c r="F180" s="15" t="inlineStr">
        <is>
          <t>29103-65R-ET-P2304-01-01</t>
        </is>
      </c>
      <c r="G180" s="15" t="inlineStr">
        <is>
          <t>13.2</t>
        </is>
      </c>
      <c r="H180" s="15" t="inlineStr">
        <is>
          <t>1.4. 29103-HTP-004/2. RTD Inspection/29103-ET-P2304-1-R-1.pdf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29103-ET-P2304-1-R-2</t>
        </is>
      </c>
      <c r="C181" s="15" t="inlineStr">
        <is>
          <t>29103-ET-P2304-1</t>
        </is>
      </c>
      <c r="D181" s="15" t="inlineStr">
        <is>
          <t>29103-HTP-004 I/O-1-3</t>
        </is>
      </c>
      <c r="E181" s="15" t="inlineStr">
        <is>
          <t>PRODUCED EMULSION</t>
        </is>
      </c>
      <c r="F181" s="15" t="inlineStr">
        <is>
          <t>29103-65R-ET-P2304-01-01</t>
        </is>
      </c>
      <c r="G181" s="15" t="inlineStr">
        <is>
          <t>13.2</t>
        </is>
      </c>
      <c r="H181" s="15" t="inlineStr">
        <is>
          <t>1.4. 29103-HTP-004/2. RTD Inspection/29103-ET-P2304-1-R-2.pdf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29103-ET-P2304-2-R-1</t>
        </is>
      </c>
      <c r="C182" s="15" t="inlineStr">
        <is>
          <t>29103-ET-P2304-2</t>
        </is>
      </c>
      <c r="D182" s="15" t="inlineStr">
        <is>
          <t>29103-HTP-004 HTC-27</t>
        </is>
      </c>
      <c r="E182" s="15" t="inlineStr">
        <is>
          <t>PRODUCED EMULSION</t>
        </is>
      </c>
      <c r="F182" s="15" t="inlineStr">
        <is>
          <t>29103-65R-ET-P2304-02-01</t>
        </is>
      </c>
      <c r="G182" s="15" t="inlineStr">
        <is>
          <t>13.2</t>
        </is>
      </c>
      <c r="H182" s="15" t="inlineStr">
        <is>
          <t>1.4. 29103-HTP-004/2. RTD Inspection/29103-ET-P2304-2-R-1.pdf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29103-ET-P2304-2-R-2</t>
        </is>
      </c>
      <c r="C183" s="15" t="inlineStr">
        <is>
          <t>29103-ET-P2304-2</t>
        </is>
      </c>
      <c r="D183" s="15" t="inlineStr">
        <is>
          <t>29103-HTP-004 HTC-28</t>
        </is>
      </c>
      <c r="E183" s="15" t="inlineStr">
        <is>
          <t>PRODUCED EMULSION</t>
        </is>
      </c>
      <c r="F183" s="15" t="inlineStr">
        <is>
          <t>29103-65R-ET-P2304-02-01</t>
        </is>
      </c>
      <c r="G183" s="15" t="inlineStr">
        <is>
          <t>13.2</t>
        </is>
      </c>
      <c r="H183" s="15" t="inlineStr">
        <is>
          <t>1.4. 29103-HTP-004/2. RTD Inspection/29103-ET-P2304-2-R-2.pdf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29103-ET-P2404-1-R-1</t>
        </is>
      </c>
      <c r="C184" s="15" t="inlineStr">
        <is>
          <t>29103-ET-P2404-1</t>
        </is>
      </c>
      <c r="D184" s="15" t="inlineStr">
        <is>
          <t>29103-HTP-004 HTC-32</t>
        </is>
      </c>
      <c r="E184" s="15" t="inlineStr">
        <is>
          <t>PRODUCED EMULSION</t>
        </is>
      </c>
      <c r="F184" s="15" t="inlineStr">
        <is>
          <t>29103-65R-ET-P2404-01-01</t>
        </is>
      </c>
      <c r="G184" s="15" t="inlineStr">
        <is>
          <t>13.2</t>
        </is>
      </c>
      <c r="H184" s="15" t="inlineStr">
        <is>
          <t>1.4. 29103-HTP-004/2. RTD Inspection/29103-ET-P2404-1-R-1.pdf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29103-ET-P2404-1-R-2</t>
        </is>
      </c>
      <c r="C185" s="15" t="inlineStr">
        <is>
          <t>29103-ET-P2404-1</t>
        </is>
      </c>
      <c r="D185" s="15" t="inlineStr">
        <is>
          <t>29103-HTP-004 HTC-01</t>
        </is>
      </c>
      <c r="E185" s="15" t="inlineStr">
        <is>
          <t>PRODUCED EMULSION</t>
        </is>
      </c>
      <c r="F185" s="15" t="inlineStr">
        <is>
          <t>29103-65R-ET-P2404-01-01</t>
        </is>
      </c>
      <c r="G185" s="15" t="inlineStr">
        <is>
          <t>13.2</t>
        </is>
      </c>
      <c r="H185" s="15" t="inlineStr">
        <is>
          <t>1.4. 29103-HTP-004/2. RTD Inspection/29103-ET-P2404-1-R-2.pdf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29103-ET-P2404-2-R-1</t>
        </is>
      </c>
      <c r="C186" s="15" t="inlineStr">
        <is>
          <t>29103-ET-P2404-2</t>
        </is>
      </c>
      <c r="D186" s="15" t="inlineStr">
        <is>
          <t>29103-HTP-004 HTC-41</t>
        </is>
      </c>
      <c r="E186" s="15" t="inlineStr">
        <is>
          <t>PRODUCED EMULSION</t>
        </is>
      </c>
      <c r="F186" s="15" t="inlineStr">
        <is>
          <t>29103-65R-ET-P2404-02-01</t>
        </is>
      </c>
      <c r="G186" s="15" t="inlineStr">
        <is>
          <t>13.2</t>
        </is>
      </c>
      <c r="H186" s="15" t="inlineStr">
        <is>
          <t>1.4. 29103-HTP-004/2. RTD Inspection/29103-ET-P2404-2-R-1.pdf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29103-ET-P2404-2-R-2</t>
        </is>
      </c>
      <c r="C187" s="15" t="inlineStr">
        <is>
          <t>29103-ET-P2404-2</t>
        </is>
      </c>
      <c r="D187" s="15" t="inlineStr">
        <is>
          <t>29103-HTP-004 HTC-03</t>
        </is>
      </c>
      <c r="E187" s="15" t="inlineStr">
        <is>
          <t>PRODUCED EMULSION</t>
        </is>
      </c>
      <c r="F187" s="15" t="inlineStr">
        <is>
          <t>29103-65R-ET-P2404-02-01</t>
        </is>
      </c>
      <c r="G187" s="15" t="inlineStr">
        <is>
          <t>13.2</t>
        </is>
      </c>
      <c r="H187" s="15" t="inlineStr">
        <is>
          <t>1.4. 29103-HTP-004/2. RTD Inspection/29103-ET-P2404-2-R-2.pdf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29103-ET-P2800-2-R-1</t>
        </is>
      </c>
      <c r="C188" s="15" t="inlineStr">
        <is>
          <t>29103-ET-P2800-2</t>
        </is>
      </c>
      <c r="D188" s="15" t="inlineStr">
        <is>
          <t>29103-HTP-004 HTC-31</t>
        </is>
      </c>
      <c r="E188" s="15" t="inlineStr">
        <is>
          <t>PRODUCED EMULSION</t>
        </is>
      </c>
      <c r="F188" s="15" t="inlineStr">
        <is>
          <t>29103-65R-ET-P2800-02-01</t>
        </is>
      </c>
      <c r="G188" s="15" t="inlineStr">
        <is>
          <t>13.2</t>
        </is>
      </c>
      <c r="H188" s="15" t="inlineStr">
        <is>
          <t>1.4. 29103-HTP-004/2. RTD Inspection/29103-ET-P2800-2-R-1.pdf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29103-ET-P2800-3-R-1</t>
        </is>
      </c>
      <c r="C189" s="15" t="inlineStr">
        <is>
          <t>29103-ET-P2800-3</t>
        </is>
      </c>
      <c r="D189" s="15" t="inlineStr">
        <is>
          <t>29103-HTP-004 HTC-24</t>
        </is>
      </c>
      <c r="E189" s="15" t="inlineStr">
        <is>
          <t>PRODUCED EMULSION</t>
        </is>
      </c>
      <c r="F189" s="15" t="inlineStr">
        <is>
          <t>29103-65R-ET-P2800-03-01</t>
        </is>
      </c>
      <c r="G189" s="15" t="inlineStr">
        <is>
          <t>13.2</t>
        </is>
      </c>
      <c r="H189" s="15" t="inlineStr">
        <is>
          <t>1.4. 29103-HTP-004/2. RTD Inspection/29103-ET-P2800-3-R-1.pdf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29103-ET-PE2101-1-R-1</t>
        </is>
      </c>
      <c r="C190" s="15" t="inlineStr">
        <is>
          <t>29103-ET-PE2101-1</t>
        </is>
      </c>
      <c r="D190" s="15" t="inlineStr">
        <is>
          <t>29103-HTP-004 HTC-23</t>
        </is>
      </c>
      <c r="E190" s="15" t="inlineStr">
        <is>
          <t>PRODUCED EMULSION</t>
        </is>
      </c>
      <c r="F190" s="15" t="inlineStr">
        <is>
          <t>29103-65R-ET-PE2101-01-01</t>
        </is>
      </c>
      <c r="G190" s="15" t="inlineStr">
        <is>
          <t>13.2</t>
        </is>
      </c>
      <c r="H190" s="15" t="inlineStr">
        <is>
          <t>1.4. 29103-HTP-004/2. RTD Inspection/29103-ET-PE2101-1-R-1.pdf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29103-ET-PE2101-2-R-2</t>
        </is>
      </c>
      <c r="C191" s="15" t="inlineStr">
        <is>
          <t>29103-ET-PE2101-2</t>
        </is>
      </c>
      <c r="D191" s="15" t="inlineStr">
        <is>
          <t>29103-HTP-004 I/O-3-2</t>
        </is>
      </c>
      <c r="E191" s="15" t="inlineStr">
        <is>
          <t>PRODUCED EMULSION</t>
        </is>
      </c>
      <c r="F191" s="15" t="inlineStr">
        <is>
          <t>29103-65R-ET-PE2101-02-01</t>
        </is>
      </c>
      <c r="G191" s="15" t="inlineStr">
        <is>
          <t>13.2</t>
        </is>
      </c>
      <c r="H191" s="15" t="inlineStr">
        <is>
          <t>1.4. 29103-HTP-004/2. RTD Inspection/29103-ET-PE2101-2-R-2.pdf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29103-ET-PE2102-1-R-1</t>
        </is>
      </c>
      <c r="C192" s="15" t="inlineStr">
        <is>
          <t>29103-ET-PE2102-1</t>
        </is>
      </c>
      <c r="D192" s="15" t="inlineStr">
        <is>
          <t>29103-HTP-004 HTC-20</t>
        </is>
      </c>
      <c r="E192" s="15" t="inlineStr">
        <is>
          <t>PRODUCED EMULSION</t>
        </is>
      </c>
      <c r="F192" s="15" t="inlineStr">
        <is>
          <t>29103-65R-ET-PE2102-01-01</t>
        </is>
      </c>
      <c r="G192" s="15" t="inlineStr">
        <is>
          <t>13.2</t>
        </is>
      </c>
      <c r="H192" s="15" t="inlineStr">
        <is>
          <t>1.4. 29103-HTP-004/2. RTD Inspection/29103-ET-PE2102-1-R-1.pdf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29103-ET-PE2102-1-R-2</t>
        </is>
      </c>
      <c r="C193" s="15" t="inlineStr">
        <is>
          <t>29103-ET-PE2102-1</t>
        </is>
      </c>
      <c r="D193" s="15" t="inlineStr">
        <is>
          <t>29103-HTP-004 I/O-3-3</t>
        </is>
      </c>
      <c r="E193" s="15" t="inlineStr">
        <is>
          <t>PRODUCED EMULSION</t>
        </is>
      </c>
      <c r="F193" s="15" t="inlineStr">
        <is>
          <t>29103-65R-ET-PE2102-01-01</t>
        </is>
      </c>
      <c r="G193" s="15" t="inlineStr">
        <is>
          <t>13.2</t>
        </is>
      </c>
      <c r="H193" s="15" t="inlineStr">
        <is>
          <t>1.4. 29103-HTP-004/2. RTD Inspection/29103-ET-PE2102-1-R-2.pdf</t>
        </is>
      </c>
      <c r="I193" s="6" t="str">
        <f>IF($H193&lt;&gt;"","YES","NO")</f>
        <v>YES</v>
      </c>
      <c r="J193" s="6" t="str">
        <f>IF(N($T193)&gt;0,"YES","NO")</f>
        <v>NO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NO</v>
      </c>
      <c r="S193" s="6" t="str">
        <f>IF(COUNTIF(I193:R193,"NO")=0,"YES","NO")</f>
        <v>NO</v>
      </c>
      <c r="T193" s="15" t="n">
        <v>0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n"/>
      <c r="AN193" s="15" t="n"/>
    </row>
    <row r="194">
      <c r="A194" s="15" t="inlineStr">
        <is>
          <t>RTD</t>
        </is>
      </c>
      <c r="B194" s="15" t="inlineStr">
        <is>
          <t>29103-ET-PE2201-1-R-1</t>
        </is>
      </c>
      <c r="C194" s="15" t="inlineStr">
        <is>
          <t>29103-ET-PE2201-1</t>
        </is>
      </c>
      <c r="D194" s="15" t="inlineStr">
        <is>
          <t>29103-HTP-004 HTC-08</t>
        </is>
      </c>
      <c r="E194" s="15" t="inlineStr">
        <is>
          <t>PRODUCED EMULSION</t>
        </is>
      </c>
      <c r="F194" s="15" t="inlineStr">
        <is>
          <t>29103-65R-ET-PE2201-01-01</t>
        </is>
      </c>
      <c r="G194" s="15" t="inlineStr">
        <is>
          <t>13.2</t>
        </is>
      </c>
      <c r="H194" s="15" t="inlineStr">
        <is>
          <t>1.4. 29103-HTP-004/2. RTD Inspection/29103-ET-PE2201-1-R-1.pdf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NO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n"/>
      <c r="AN194" s="15" t="n"/>
    </row>
    <row r="195">
      <c r="A195" s="15" t="inlineStr">
        <is>
          <t>RTD</t>
        </is>
      </c>
      <c r="B195" s="15" t="inlineStr">
        <is>
          <t>29103-ET-PE2201-2-R-2</t>
        </is>
      </c>
      <c r="C195" s="15" t="inlineStr">
        <is>
          <t>29103-ET-PE2201-2</t>
        </is>
      </c>
      <c r="D195" s="15" t="inlineStr">
        <is>
          <t>29103-HTP-004 I/O-2-4</t>
        </is>
      </c>
      <c r="E195" s="15" t="inlineStr">
        <is>
          <t>PRODUCED EMULSION</t>
        </is>
      </c>
      <c r="F195" s="15" t="inlineStr">
        <is>
          <t>29103-65R-ET-PE2201-02-01</t>
        </is>
      </c>
      <c r="G195" s="15" t="inlineStr">
        <is>
          <t>13.2</t>
        </is>
      </c>
      <c r="H195" s="15" t="inlineStr">
        <is>
          <t>1.4. 29103-HTP-004/2. RTD Inspection/29103-ET-PE2201-2-R-2.pdf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29103-ET-PE2202-1-R-1</t>
        </is>
      </c>
      <c r="C196" s="15" t="inlineStr">
        <is>
          <t>29103-ET-PE2202-1</t>
        </is>
      </c>
      <c r="D196" s="15" t="inlineStr">
        <is>
          <t>29103-HTP-004 HTC-15</t>
        </is>
      </c>
      <c r="E196" s="15" t="inlineStr">
        <is>
          <t>PRODUCED EMULSION</t>
        </is>
      </c>
      <c r="F196" s="15" t="inlineStr">
        <is>
          <t>29103-65R-ET-PE2202-01-01</t>
        </is>
      </c>
      <c r="G196" s="15" t="inlineStr">
        <is>
          <t>13.2</t>
        </is>
      </c>
      <c r="H196" s="15" t="inlineStr">
        <is>
          <t>1.4. 29103-HTP-004/2. RTD Inspection/29103-ET-PE2202-1-R-1.pdf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29103-ET-PE2202-1-R-2</t>
        </is>
      </c>
      <c r="C197" s="15" t="inlineStr">
        <is>
          <t>29103-ET-PE2202-1</t>
        </is>
      </c>
      <c r="D197" s="15" t="inlineStr">
        <is>
          <t>29103-HTP-004 I/O-3-1</t>
        </is>
      </c>
      <c r="E197" s="15" t="inlineStr">
        <is>
          <t>PRODUCED EMULSION</t>
        </is>
      </c>
      <c r="F197" s="15" t="inlineStr">
        <is>
          <t>29103-65R-ET-PE2202-01-01</t>
        </is>
      </c>
      <c r="G197" s="15" t="inlineStr">
        <is>
          <t>13.2</t>
        </is>
      </c>
      <c r="H197" s="15" t="inlineStr">
        <is>
          <t>1.4. 29103-HTP-004/2. RTD Inspection/29103-ET-PE2202-1-R-2.pdf</t>
        </is>
      </c>
      <c r="I197" s="6" t="str">
        <f>IF($H197&lt;&gt;"","YES","NO")</f>
        <v>YES</v>
      </c>
      <c r="J197" s="6" t="str">
        <f>IF(N($T197)&gt;0,"YES","NO")</f>
        <v>NO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NO</v>
      </c>
      <c r="S197" s="6" t="str">
        <f>IF(COUNTIF(I197:R197,"NO")=0,"YES","NO")</f>
        <v>NO</v>
      </c>
      <c r="T197" s="15" t="n">
        <v>0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n"/>
      <c r="AN197" s="15" t="n"/>
    </row>
    <row r="198">
      <c r="A198" s="15" t="inlineStr">
        <is>
          <t>RTD</t>
        </is>
      </c>
      <c r="B198" s="15" t="inlineStr">
        <is>
          <t>29103-ET-PE2301-1-R-1</t>
        </is>
      </c>
      <c r="C198" s="15" t="inlineStr">
        <is>
          <t>29103-ET-PE2301-1</t>
        </is>
      </c>
      <c r="D198" s="15" t="inlineStr">
        <is>
          <t>29103-HTP-004 HTC-10</t>
        </is>
      </c>
      <c r="E198" s="15" t="inlineStr">
        <is>
          <t>PRODUCED EMULSION</t>
        </is>
      </c>
      <c r="F198" s="15" t="inlineStr">
        <is>
          <t>29103-65R-ET-PE2301-01-01</t>
        </is>
      </c>
      <c r="G198" s="15" t="inlineStr">
        <is>
          <t>13.2</t>
        </is>
      </c>
      <c r="H198" s="15" t="inlineStr">
        <is>
          <t>1.4. 29103-HTP-004/2. RTD Inspection/29103-ET-PE2301-1-R-1.pdf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29103-ET-PE2301-2-R-2</t>
        </is>
      </c>
      <c r="C199" s="15" t="inlineStr">
        <is>
          <t>29103-ET-PE2301-2</t>
        </is>
      </c>
      <c r="D199" s="15" t="inlineStr">
        <is>
          <t>29103-HTP-004 I/O-2-2</t>
        </is>
      </c>
      <c r="E199" s="15" t="inlineStr">
        <is>
          <t>PRODUCED EMULSION</t>
        </is>
      </c>
      <c r="F199" s="15" t="inlineStr">
        <is>
          <t>29103-65R-ET-PE2301-02-01</t>
        </is>
      </c>
      <c r="G199" s="15" t="inlineStr">
        <is>
          <t>13.2</t>
        </is>
      </c>
      <c r="H199" s="15" t="inlineStr">
        <is>
          <t>1.4. 29103-HTP-004/2. RTD Inspection/29103-ET-PE2301-2-R-2.pdf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29103-ET-PE2302-1-R-1</t>
        </is>
      </c>
      <c r="C200" s="15" t="inlineStr">
        <is>
          <t>29103-ET-PE2302-1</t>
        </is>
      </c>
      <c r="D200" s="15" t="inlineStr">
        <is>
          <t>29103-HTP-004 HTC-06</t>
        </is>
      </c>
      <c r="E200" s="15" t="inlineStr">
        <is>
          <t>PRODUCED EMULSION</t>
        </is>
      </c>
      <c r="F200" s="15" t="inlineStr">
        <is>
          <t>29103-65R-ET-PE2302-01-01</t>
        </is>
      </c>
      <c r="G200" s="15" t="inlineStr">
        <is>
          <t>13.2</t>
        </is>
      </c>
      <c r="H200" s="15" t="inlineStr">
        <is>
          <t>1.4. 29103-HTP-004/2. RTD Inspection/29103-ET-PE2302-1-R-1.pdf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29103-ET-PE2302-1-R-2</t>
        </is>
      </c>
      <c r="C201" s="15" t="inlineStr">
        <is>
          <t>29103-ET-PE2302-1</t>
        </is>
      </c>
      <c r="D201" s="15" t="inlineStr">
        <is>
          <t>29103-HTP-004 I/O-2-3</t>
        </is>
      </c>
      <c r="E201" s="15" t="inlineStr">
        <is>
          <t>PRODUCED EMULSION</t>
        </is>
      </c>
      <c r="F201" s="15" t="inlineStr">
        <is>
          <t>29103-65R-ET-PE2302-01-01</t>
        </is>
      </c>
      <c r="G201" s="15" t="inlineStr">
        <is>
          <t>13.2</t>
        </is>
      </c>
      <c r="H201" s="15" t="inlineStr">
        <is>
          <t>1.4. 29103-HTP-004/2. RTD Inspection/29103-ET-PE2302-1-R-2.pdf</t>
        </is>
      </c>
      <c r="I201" s="6" t="str">
        <f>IF($H201&lt;&gt;"","YES","NO")</f>
        <v>YES</v>
      </c>
      <c r="J201" s="6" t="str">
        <f>IF(N($T201)&gt;0,"YES","NO")</f>
        <v>NO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NO</v>
      </c>
      <c r="S201" s="6" t="str">
        <f>IF(COUNTIF(I201:R201,"NO")=0,"YES","NO")</f>
        <v>NO</v>
      </c>
      <c r="T201" s="15" t="n">
        <v>0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n"/>
      <c r="AN201" s="15" t="n"/>
    </row>
    <row r="202">
      <c r="A202" s="15" t="inlineStr">
        <is>
          <t>RTD</t>
        </is>
      </c>
      <c r="B202" s="15" t="inlineStr">
        <is>
          <t>29103-ET-PE2401-2-R-2</t>
        </is>
      </c>
      <c r="C202" s="15" t="inlineStr">
        <is>
          <t>29103-ET-PE2401-2</t>
        </is>
      </c>
      <c r="D202" s="15" t="inlineStr">
        <is>
          <t>29103-HTP-004 HTC-59</t>
        </is>
      </c>
      <c r="E202" s="15" t="inlineStr">
        <is>
          <t>PRODUCED EMULSION</t>
        </is>
      </c>
      <c r="F202" s="15" t="inlineStr">
        <is>
          <t>29103-65R-ET-PE2401-02-01</t>
        </is>
      </c>
      <c r="G202" s="15" t="inlineStr">
        <is>
          <t>13.2</t>
        </is>
      </c>
      <c r="H202" s="15" t="inlineStr">
        <is>
          <t>1.4. 29103-HTP-004/2. RTD Inspection/29103-ET-PE2401-2-R-2.pdf</t>
        </is>
      </c>
      <c r="I202" s="6" t="str">
        <f>IF($H202&lt;&gt;"","YES","NO")</f>
        <v>YES</v>
      </c>
      <c r="J202" s="6" t="str">
        <f>IF(N($T202)&gt;0,"YES","NO")</f>
        <v>NO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NO</v>
      </c>
      <c r="S202" s="6" t="str">
        <f>IF(COUNTIF(I202:R202,"NO")=0,"YES","NO")</f>
        <v>NO</v>
      </c>
      <c r="T202" s="15" t="n">
        <v>0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n"/>
      <c r="AN202" s="15" t="n"/>
    </row>
    <row r="203">
      <c r="A203" s="15" t="inlineStr">
        <is>
          <t>RTD</t>
        </is>
      </c>
      <c r="B203" s="15" t="inlineStr">
        <is>
          <t>29103-ET-PE2402-1-R-1</t>
        </is>
      </c>
      <c r="C203" s="15" t="inlineStr">
        <is>
          <t>29103-ET-PE2402-1</t>
        </is>
      </c>
      <c r="D203" s="15" t="inlineStr">
        <is>
          <t>29103-HTP-004 HTC-35</t>
        </is>
      </c>
      <c r="E203" s="15" t="inlineStr">
        <is>
          <t>PRODUCED EMULSION</t>
        </is>
      </c>
      <c r="F203" s="15" t="inlineStr">
        <is>
          <t>29103-65R-ET-PE2402-01-01</t>
        </is>
      </c>
      <c r="G203" s="15" t="inlineStr">
        <is>
          <t>13.2</t>
        </is>
      </c>
      <c r="H203" s="15" t="inlineStr">
        <is>
          <t>1.4. 29103-HTP-004/2. RTD Inspection/29103-ET-PE2402-1-R-1.pdf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29103-ET-PE2402-1-R-2</t>
        </is>
      </c>
      <c r="C204" s="15" t="inlineStr">
        <is>
          <t>29103-ET-PE2402-1</t>
        </is>
      </c>
      <c r="D204" s="15" t="inlineStr">
        <is>
          <t>29103-HTP-004 HTC-60</t>
        </is>
      </c>
      <c r="E204" s="15" t="inlineStr">
        <is>
          <t>PRODUCED EMULSION</t>
        </is>
      </c>
      <c r="F204" s="15" t="inlineStr">
        <is>
          <t>29103-65R-ET-PE2402-01-01</t>
        </is>
      </c>
      <c r="G204" s="15" t="inlineStr">
        <is>
          <t>13.2</t>
        </is>
      </c>
      <c r="H204" s="15" t="inlineStr">
        <is>
          <t>1.4. 29103-HTP-004/2. RTD Inspection/29103-ET-PE2402-1-R-2.pdf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</t>
        </is>
      </c>
      <c r="B205" s="15" t="inlineStr">
        <is>
          <t>29103-ET-PE2803-2-R-1</t>
        </is>
      </c>
      <c r="C205" s="15" t="inlineStr">
        <is>
          <t>29103-ET-PE2803-2</t>
        </is>
      </c>
      <c r="D205" s="15" t="inlineStr">
        <is>
          <t>29103-HTP-004 HTC-29</t>
        </is>
      </c>
      <c r="E205" s="15" t="inlineStr">
        <is>
          <t>PRODUCED EMULSION</t>
        </is>
      </c>
      <c r="F205" s="15" t="inlineStr">
        <is>
          <t>29103-65R-ET-PE2803-02-01</t>
        </is>
      </c>
      <c r="G205" s="15" t="inlineStr">
        <is>
          <t>13.2</t>
        </is>
      </c>
      <c r="H205" s="15" t="inlineStr">
        <is>
          <t>1.4. 29103-HTP-004/2. RTD Inspection/29103-ET-PE2803-2-R-1.pdf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N/A</v>
      </c>
      <c r="P205" s="6" t="str">
        <f>IF(OR($A205="RTD"),IF(AND($AH205&lt;&gt;""),"YES","NO"),"N/A")</f>
        <v>NO</v>
      </c>
      <c r="Q205" s="6" t="str">
        <f>IF(OR($A205="RTD"),IF(AND($AI205&lt;&gt;""),"YES","NO"),"N/A")</f>
        <v>NO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n"/>
      <c r="AK205" s="15" t="n"/>
      <c r="AL205" s="15" t="inlineStr">
        <is>
          <t>Levy Ostrup</t>
        </is>
      </c>
      <c r="AM205" s="15" t="n"/>
      <c r="AN205" s="15" t="n"/>
    </row>
    <row r="206">
      <c r="A206" s="15" t="inlineStr">
        <is>
          <t>RTD</t>
        </is>
      </c>
      <c r="B206" s="15" t="inlineStr">
        <is>
          <t>29103-ET-PG2101-1-R-1</t>
        </is>
      </c>
      <c r="C206" s="15" t="inlineStr">
        <is>
          <t>29103-ET-PG2101-1</t>
        </is>
      </c>
      <c r="D206" s="15" t="inlineStr">
        <is>
          <t>29103-HTP-004 HTC-21</t>
        </is>
      </c>
      <c r="E206" s="15" t="inlineStr">
        <is>
          <t>PRODUCED GAS</t>
        </is>
      </c>
      <c r="F206" s="15" t="inlineStr">
        <is>
          <t>29103-65R-ET-PG2101-01-01</t>
        </is>
      </c>
      <c r="G206" s="15" t="inlineStr">
        <is>
          <t>13.2</t>
        </is>
      </c>
      <c r="H206" s="15" t="inlineStr">
        <is>
          <t>1.4. 29103-HTP-004/2. RTD Inspection/29103-ET-PG2101-1-R-1.pdf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N/A</v>
      </c>
      <c r="P206" s="6" t="str">
        <f>IF(OR($A206="RTD"),IF(AND($AH206&lt;&gt;""),"YES","NO"),"N/A")</f>
        <v>NO</v>
      </c>
      <c r="Q206" s="6" t="str">
        <f>IF(OR($A206="RTD"),IF(AND($AI206&lt;&gt;""),"YES","NO"),"N/A")</f>
        <v>NO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inlineStr">
        <is>
          <t>Levy Ostrup</t>
        </is>
      </c>
      <c r="AM206" s="15" t="n"/>
      <c r="AN206" s="15" t="n"/>
    </row>
    <row r="207">
      <c r="A207" s="15" t="inlineStr">
        <is>
          <t>RTD</t>
        </is>
      </c>
      <c r="B207" s="15" t="inlineStr">
        <is>
          <t>29103-ET-PG2101-1-R-2</t>
        </is>
      </c>
      <c r="C207" s="15" t="inlineStr">
        <is>
          <t>29103-ET-PG2101-1</t>
        </is>
      </c>
      <c r="D207" s="15" t="inlineStr">
        <is>
          <t>29103-HTP-004 I/O-4-2</t>
        </is>
      </c>
      <c r="E207" s="15" t="inlineStr">
        <is>
          <t>PRODUCED GAS</t>
        </is>
      </c>
      <c r="F207" s="15" t="inlineStr">
        <is>
          <t>29103-65R-ET-PG2101-01-01</t>
        </is>
      </c>
      <c r="G207" s="15" t="inlineStr">
        <is>
          <t>13.2</t>
        </is>
      </c>
      <c r="H207" s="15" t="inlineStr">
        <is>
          <t>1.4. 29103-HTP-004/2. RTD Inspection/29103-ET-PG2101-1-R-2.pdf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N/A</v>
      </c>
      <c r="P207" s="6" t="str">
        <f>IF(OR($A207="RTD"),IF(AND($AH207&lt;&gt;""),"YES","NO"),"N/A")</f>
        <v>NO</v>
      </c>
      <c r="Q207" s="6" t="str">
        <f>IF(OR($A207="RTD"),IF(AND($AI207&lt;&gt;""),"YES","NO"),"N/A")</f>
        <v>NO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n"/>
      <c r="AK207" s="15" t="n"/>
      <c r="AL207" s="15" t="inlineStr">
        <is>
          <t>Levy Ostrup</t>
        </is>
      </c>
      <c r="AM207" s="15" t="n"/>
      <c r="AN207" s="15" t="n"/>
    </row>
    <row r="208">
      <c r="A208" s="15" t="inlineStr">
        <is>
          <t>RTD</t>
        </is>
      </c>
      <c r="B208" s="15" t="inlineStr">
        <is>
          <t>29103-ET-PG2101-2-R-1</t>
        </is>
      </c>
      <c r="C208" s="15" t="inlineStr">
        <is>
          <t>29103-ET-PG2101-2</t>
        </is>
      </c>
      <c r="D208" s="15" t="inlineStr">
        <is>
          <t>29103-HTP-004 HTC-22</t>
        </is>
      </c>
      <c r="E208" s="15" t="inlineStr">
        <is>
          <t>PRODUCED GAS</t>
        </is>
      </c>
      <c r="F208" s="15" t="inlineStr">
        <is>
          <t>29103-65R-ET-PG2101-02-01</t>
        </is>
      </c>
      <c r="G208" s="15" t="inlineStr">
        <is>
          <t>13.2</t>
        </is>
      </c>
      <c r="H208" s="15" t="inlineStr">
        <is>
          <t>1.4. 29103-HTP-004/2. RTD Inspection/29103-ET-PG2101-2-R-1.pdf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N/A</v>
      </c>
      <c r="P208" s="6" t="str">
        <f>IF(OR($A208="RTD"),IF(AND($AH208&lt;&gt;""),"YES","NO"),"N/A")</f>
        <v>NO</v>
      </c>
      <c r="Q208" s="6" t="str">
        <f>IF(OR($A208="RTD"),IF(AND($AI208&lt;&gt;""),"YES","NO"),"N/A")</f>
        <v>NO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inlineStr">
        <is>
          <t>Levy Ostrup</t>
        </is>
      </c>
      <c r="AM208" s="15" t="n"/>
      <c r="AN208" s="15" t="n"/>
    </row>
    <row r="209">
      <c r="A209" s="15" t="inlineStr">
        <is>
          <t>RTD</t>
        </is>
      </c>
      <c r="B209" s="15" t="inlineStr">
        <is>
          <t>29103-ET-PG2201-1-R-1</t>
        </is>
      </c>
      <c r="C209" s="15" t="inlineStr">
        <is>
          <t>29103-ET-PG2201-1</t>
        </is>
      </c>
      <c r="D209" s="15" t="inlineStr">
        <is>
          <t>29103-HTP-004 HTC-14</t>
        </is>
      </c>
      <c r="E209" s="15" t="inlineStr">
        <is>
          <t>PRODUCED GAS</t>
        </is>
      </c>
      <c r="F209" s="15" t="inlineStr">
        <is>
          <t>29103-65R-ET-PG2201-01-01</t>
        </is>
      </c>
      <c r="G209" s="15" t="inlineStr">
        <is>
          <t>13.2</t>
        </is>
      </c>
      <c r="H209" s="15" t="inlineStr">
        <is>
          <t>1.4. 29103-HTP-004/2. RTD Inspection/29103-ET-PG2201-1-R-1.pdf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N/A</v>
      </c>
      <c r="P209" s="6" t="str">
        <f>IF(OR($A209="RTD"),IF(AND($AH209&lt;&gt;""),"YES","NO"),"N/A")</f>
        <v>NO</v>
      </c>
      <c r="Q209" s="6" t="str">
        <f>IF(OR($A209="RTD"),IF(AND($AI209&lt;&gt;""),"YES","NO"),"N/A")</f>
        <v>NO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n"/>
      <c r="AK209" s="15" t="n"/>
      <c r="AL209" s="15" t="inlineStr">
        <is>
          <t>Levy Ostrup</t>
        </is>
      </c>
      <c r="AM209" s="15" t="n"/>
      <c r="AN209" s="15" t="n"/>
    </row>
    <row r="210">
      <c r="A210" s="15" t="inlineStr">
        <is>
          <t>RTD</t>
        </is>
      </c>
      <c r="B210" s="15" t="inlineStr">
        <is>
          <t>29103-ET-PG2201-1-R-2</t>
        </is>
      </c>
      <c r="C210" s="15" t="inlineStr">
        <is>
          <t>29103-ET-PG2201-1</t>
        </is>
      </c>
      <c r="D210" s="15" t="inlineStr">
        <is>
          <t>29103-HTP-004 I/O-4-1</t>
        </is>
      </c>
      <c r="E210" s="15" t="inlineStr">
        <is>
          <t>PRODUCED GAS</t>
        </is>
      </c>
      <c r="F210" s="15" t="inlineStr">
        <is>
          <t>29103-65R-ET-PG2201-01-01</t>
        </is>
      </c>
      <c r="G210" s="15" t="inlineStr">
        <is>
          <t>13.2</t>
        </is>
      </c>
      <c r="H210" s="15" t="inlineStr">
        <is>
          <t>1.4. 29103-HTP-004/2. RTD Inspection/29103-ET-PG2201-1-R-2.pdf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N/A</v>
      </c>
      <c r="P210" s="6" t="str">
        <f>IF(OR($A210="RTD"),IF(AND($AH210&lt;&gt;""),"YES","NO"),"N/A")</f>
        <v>NO</v>
      </c>
      <c r="Q210" s="6" t="str">
        <f>IF(OR($A210="RTD"),IF(AND($AI210&lt;&gt;""),"YES","NO"),"N/A")</f>
        <v>NO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inlineStr">
        <is>
          <t>Levy Ostrup</t>
        </is>
      </c>
      <c r="AM210" s="15" t="n"/>
      <c r="AN210" s="15" t="n"/>
    </row>
    <row r="211">
      <c r="A211" s="15" t="inlineStr">
        <is>
          <t>RTD</t>
        </is>
      </c>
      <c r="B211" s="15" t="inlineStr">
        <is>
          <t>29103-ET-PG2201-2-R-1</t>
        </is>
      </c>
      <c r="C211" s="15" t="inlineStr">
        <is>
          <t>29103-ET-PG2201-2</t>
        </is>
      </c>
      <c r="D211" s="15" t="inlineStr">
        <is>
          <t>29103-HTP-004 HTC-17</t>
        </is>
      </c>
      <c r="E211" s="15" t="inlineStr">
        <is>
          <t>PRODUCED GAS</t>
        </is>
      </c>
      <c r="F211" s="15" t="inlineStr">
        <is>
          <t>29103-65R-ET-PG2201-02-01</t>
        </is>
      </c>
      <c r="G211" s="15" t="inlineStr">
        <is>
          <t>13.2</t>
        </is>
      </c>
      <c r="H211" s="15" t="inlineStr">
        <is>
          <t>1.4. 29103-HTP-004/2. RTD Inspection/29103-ET-PG2201-2-R-1.pdf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N/A</v>
      </c>
      <c r="P211" s="6" t="str">
        <f>IF(OR($A211="RTD"),IF(AND($AH211&lt;&gt;""),"YES","NO"),"N/A")</f>
        <v>NO</v>
      </c>
      <c r="Q211" s="6" t="str">
        <f>IF(OR($A211="RTD"),IF(AND($AI211&lt;&gt;""),"YES","NO"),"N/A")</f>
        <v>NO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n"/>
      <c r="AK211" s="15" t="n"/>
      <c r="AL211" s="15" t="inlineStr">
        <is>
          <t>Levy Ostrup</t>
        </is>
      </c>
      <c r="AM211" s="15" t="n"/>
      <c r="AN211" s="15" t="n"/>
    </row>
    <row r="212">
      <c r="A212" s="15" t="inlineStr">
        <is>
          <t>RTD</t>
        </is>
      </c>
      <c r="B212" s="15" t="inlineStr">
        <is>
          <t>29103-ET-PG2301-1-R-1</t>
        </is>
      </c>
      <c r="C212" s="15" t="inlineStr">
        <is>
          <t>29103-ET-PG2301-1</t>
        </is>
      </c>
      <c r="D212" s="15" t="inlineStr">
        <is>
          <t>29103-HTP-004 HTC-11</t>
        </is>
      </c>
      <c r="E212" s="15" t="inlineStr">
        <is>
          <t>PRODUCED GAS</t>
        </is>
      </c>
      <c r="F212" s="15" t="inlineStr">
        <is>
          <t>29103-65R-ET-PG2301-01-01</t>
        </is>
      </c>
      <c r="G212" s="15" t="inlineStr">
        <is>
          <t>13.2</t>
        </is>
      </c>
      <c r="H212" s="15" t="inlineStr">
        <is>
          <t>1.4. 29103-HTP-004/2. RTD Inspection/29103-ET-PG2301-1-R-1.pdf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N/A</v>
      </c>
      <c r="P212" s="6" t="str">
        <f>IF(OR($A212="RTD"),IF(AND($AH212&lt;&gt;""),"YES","NO"),"N/A")</f>
        <v>NO</v>
      </c>
      <c r="Q212" s="6" t="str">
        <f>IF(OR($A212="RTD"),IF(AND($AI212&lt;&gt;""),"YES","NO"),"N/A")</f>
        <v>NO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inlineStr">
        <is>
          <t>Levy Ostrup</t>
        </is>
      </c>
      <c r="AM212" s="15" t="n"/>
      <c r="AN212" s="15" t="n"/>
    </row>
    <row r="213">
      <c r="A213" s="15" t="inlineStr">
        <is>
          <t>RTD</t>
        </is>
      </c>
      <c r="B213" s="15" t="inlineStr">
        <is>
          <t>29103-ET-PG2301-1-R-2</t>
        </is>
      </c>
      <c r="C213" s="15" t="inlineStr">
        <is>
          <t>29103-ET-PG2301-1</t>
        </is>
      </c>
      <c r="D213" s="15" t="inlineStr">
        <is>
          <t>29103-HTP-004 I/O-3-4</t>
        </is>
      </c>
      <c r="E213" s="15" t="inlineStr">
        <is>
          <t>PRODUCED GAS</t>
        </is>
      </c>
      <c r="F213" s="15" t="inlineStr">
        <is>
          <t>29103-65R-ET-PG2301-01-01</t>
        </is>
      </c>
      <c r="G213" s="15" t="inlineStr">
        <is>
          <t>13.2</t>
        </is>
      </c>
      <c r="H213" s="15" t="inlineStr">
        <is>
          <t>1.4. 29103-HTP-004/2. RTD Inspection/29103-ET-PG2301-1-R-2.pdf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N/A</v>
      </c>
      <c r="P213" s="6" t="str">
        <f>IF(OR($A213="RTD"),IF(AND($AH213&lt;&gt;""),"YES","NO"),"N/A")</f>
        <v>NO</v>
      </c>
      <c r="Q213" s="6" t="str">
        <f>IF(OR($A213="RTD"),IF(AND($AI213&lt;&gt;""),"YES","NO"),"N/A")</f>
        <v>NO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n"/>
      <c r="AK213" s="15" t="n"/>
      <c r="AL213" s="15" t="inlineStr">
        <is>
          <t>Levy Ostrup</t>
        </is>
      </c>
      <c r="AM213" s="15" t="n"/>
      <c r="AN213" s="15" t="n"/>
    </row>
    <row r="214">
      <c r="A214" s="15" t="inlineStr">
        <is>
          <t>RTD</t>
        </is>
      </c>
      <c r="B214" s="15" t="inlineStr">
        <is>
          <t>29103-ET-PG2301-2-R-1</t>
        </is>
      </c>
      <c r="C214" s="15" t="inlineStr">
        <is>
          <t>29103-ET-PG2301-2</t>
        </is>
      </c>
      <c r="D214" s="15" t="inlineStr">
        <is>
          <t>29103-HTP-004 HTC-13</t>
        </is>
      </c>
      <c r="E214" s="15" t="inlineStr">
        <is>
          <t>PRODUCED GAS</t>
        </is>
      </c>
      <c r="F214" s="15" t="inlineStr">
        <is>
          <t>29103-65R-ET-PG2301-02-01</t>
        </is>
      </c>
      <c r="G214" s="15" t="inlineStr">
        <is>
          <t>13.2</t>
        </is>
      </c>
      <c r="H214" s="15" t="inlineStr">
        <is>
          <t>1.4. 29103-HTP-004/2. RTD Inspection/29103-ET-PG2301-2-R-1.pdf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N/A</v>
      </c>
      <c r="P214" s="6" t="str">
        <f>IF(OR($A214="RTD"),IF(AND($AH214&lt;&gt;""),"YES","NO"),"N/A")</f>
        <v>NO</v>
      </c>
      <c r="Q214" s="6" t="str">
        <f>IF(OR($A214="RTD"),IF(AND($AI214&lt;&gt;""),"YES","NO"),"N/A")</f>
        <v>NO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inlineStr">
        <is>
          <t>Levy Ostrup</t>
        </is>
      </c>
      <c r="AM214" s="15" t="n"/>
      <c r="AN214" s="15" t="n"/>
    </row>
    <row r="215">
      <c r="A215" s="15" t="inlineStr">
        <is>
          <t>RTD</t>
        </is>
      </c>
      <c r="B215" s="15" t="inlineStr">
        <is>
          <t>29103-ET-PG2401-2-R-1</t>
        </is>
      </c>
      <c r="C215" s="15" t="inlineStr">
        <is>
          <t>29103-ET-PG2401-2</t>
        </is>
      </c>
      <c r="D215" s="15" t="inlineStr">
        <is>
          <t>29103-HTP-004 HTC-36</t>
        </is>
      </c>
      <c r="E215" s="15" t="inlineStr">
        <is>
          <t>PRODUCED GAS</t>
        </is>
      </c>
      <c r="F215" s="15" t="inlineStr">
        <is>
          <t>29103-65R-ET-PG2401-02-01</t>
        </is>
      </c>
      <c r="G215" s="15" t="inlineStr">
        <is>
          <t>13.2</t>
        </is>
      </c>
      <c r="H215" s="15" t="inlineStr">
        <is>
          <t>1.4. 29103-HTP-004/2. RTD Inspection/29103-ET-PG2401-2-R-1.pdf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N/A</v>
      </c>
      <c r="P215" s="6" t="str">
        <f>IF(OR($A215="RTD"),IF(AND($AH215&lt;&gt;""),"YES","NO"),"N/A")</f>
        <v>NO</v>
      </c>
      <c r="Q215" s="6" t="str">
        <f>IF(OR($A215="RTD"),IF(AND($AI215&lt;&gt;""),"YES","NO"),"N/A")</f>
        <v>NO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n"/>
      <c r="AK215" s="15" t="n"/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29103-ET-P2101-1-R-1</t>
        </is>
      </c>
      <c r="C216" s="15" t="inlineStr">
        <is>
          <t>29103-ET-P2101-1</t>
        </is>
      </c>
      <c r="D216" s="15" t="inlineStr"/>
      <c r="E216" s="15" t="inlineStr">
        <is>
          <t>29103-HTP-004</t>
        </is>
      </c>
      <c r="F216" s="15" t="inlineStr"/>
      <c r="G216" s="15" t="inlineStr">
        <is>
          <t>113</t>
        </is>
      </c>
      <c r="H216" s="15" t="inlineStr">
        <is>
          <t>1.4. 29103-HTP-004/4. RTD Cables/29103-ET-P2101-1-R-1.pdf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29103-ET-P2104-1-R-1</t>
        </is>
      </c>
      <c r="C217" s="15" t="inlineStr">
        <is>
          <t>29103-ET-P2104-1</t>
        </is>
      </c>
      <c r="D217" s="15" t="inlineStr"/>
      <c r="E217" s="15" t="inlineStr">
        <is>
          <t>29103-HTP-004</t>
        </is>
      </c>
      <c r="F217" s="15" t="inlineStr"/>
      <c r="G217" s="15" t="inlineStr">
        <is>
          <t>113</t>
        </is>
      </c>
      <c r="H217" s="15" t="inlineStr">
        <is>
          <t>1.4. 29103-HTP-004/4. RTD Cables/29103-ET-P2104-1-R-1.pdf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NO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inlineStr">
        <is>
          <t>ACIC</t>
        </is>
      </c>
      <c r="AK217" s="15" t="inlineStr">
        <is>
          <t>16AWG</t>
        </is>
      </c>
      <c r="AL217" s="15" t="inlineStr">
        <is>
          <t>Levy Ostrup</t>
        </is>
      </c>
      <c r="AM217" s="15" t="n"/>
      <c r="AN217" s="15" t="n"/>
    </row>
    <row r="218">
      <c r="A218" s="15" t="inlineStr">
        <is>
          <t>RTD Cable</t>
        </is>
      </c>
      <c r="B218" s="15" t="inlineStr">
        <is>
          <t>29103-ET-P2104-1-R-2</t>
        </is>
      </c>
      <c r="C218" s="15" t="inlineStr">
        <is>
          <t>29103-ET-P2104-1</t>
        </is>
      </c>
      <c r="D218" s="15" t="inlineStr"/>
      <c r="E218" s="15" t="inlineStr">
        <is>
          <t>29103-HTP-004</t>
        </is>
      </c>
      <c r="F218" s="15" t="inlineStr"/>
      <c r="G218" s="15" t="inlineStr">
        <is>
          <t>113</t>
        </is>
      </c>
      <c r="H218" s="15" t="inlineStr">
        <is>
          <t>1.4. 29103-HTP-004/4. RTD Cables/29103-ET-P2104-1-R-2.pdf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29103-ET-P2104-2-R-1</t>
        </is>
      </c>
      <c r="C219" s="15" t="inlineStr">
        <is>
          <t>29103-ET-P2104-2</t>
        </is>
      </c>
      <c r="D219" s="15" t="inlineStr"/>
      <c r="E219" s="15" t="inlineStr">
        <is>
          <t>29103-HTP-004</t>
        </is>
      </c>
      <c r="F219" s="15" t="inlineStr"/>
      <c r="G219" s="15" t="inlineStr">
        <is>
          <t>113</t>
        </is>
      </c>
      <c r="H219" s="15" t="inlineStr">
        <is>
          <t>1.4. 29103-HTP-004/4. RTD Cables/29103-ET-P2104-2-R-1.pdf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NO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inlineStr">
        <is>
          <t>ACIC</t>
        </is>
      </c>
      <c r="AK219" s="15" t="inlineStr">
        <is>
          <t>16AWG</t>
        </is>
      </c>
      <c r="AL219" s="15" t="inlineStr">
        <is>
          <t>Levy Ostrup</t>
        </is>
      </c>
      <c r="AM219" s="15" t="n"/>
      <c r="AN219" s="15" t="n"/>
    </row>
    <row r="220">
      <c r="A220" s="15" t="inlineStr">
        <is>
          <t>RTD Cable</t>
        </is>
      </c>
      <c r="B220" s="15" t="inlineStr">
        <is>
          <t>29103-ET-P2104-2-R-2</t>
        </is>
      </c>
      <c r="C220" s="15" t="inlineStr">
        <is>
          <t>29103-ET-P2104-2</t>
        </is>
      </c>
      <c r="D220" s="15" t="inlineStr"/>
      <c r="E220" s="15" t="inlineStr">
        <is>
          <t>29103-HTP-004</t>
        </is>
      </c>
      <c r="F220" s="15" t="inlineStr"/>
      <c r="G220" s="15" t="inlineStr">
        <is>
          <t>113</t>
        </is>
      </c>
      <c r="H220" s="15" t="inlineStr">
        <is>
          <t>1.4. 29103-HTP-004/4. RTD Cables/29103-ET-P2104-2-R-2.pdf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NO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inlineStr">
        <is>
          <t>ACIC</t>
        </is>
      </c>
      <c r="AK220" s="15" t="inlineStr">
        <is>
          <t>16AWG</t>
        </is>
      </c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29103-ET-P2201-1-R-1</t>
        </is>
      </c>
      <c r="C221" s="15" t="inlineStr">
        <is>
          <t>29103-ET-P2201-1</t>
        </is>
      </c>
      <c r="D221" s="15" t="inlineStr"/>
      <c r="E221" s="15" t="inlineStr">
        <is>
          <t>29103-HTP-004</t>
        </is>
      </c>
      <c r="F221" s="15" t="inlineStr"/>
      <c r="G221" s="15" t="inlineStr">
        <is>
          <t>113</t>
        </is>
      </c>
      <c r="H221" s="15" t="inlineStr">
        <is>
          <t>1.4. 29103-HTP-004/4. RTD Cables/29103-ET-P2201-1-R-1.pdf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29103-ET-P2204-1-R-1</t>
        </is>
      </c>
      <c r="C222" s="15" t="inlineStr">
        <is>
          <t>29103-ET-P2204-1</t>
        </is>
      </c>
      <c r="D222" s="15" t="inlineStr"/>
      <c r="E222" s="15" t="inlineStr">
        <is>
          <t>29103-HTP-004</t>
        </is>
      </c>
      <c r="F222" s="15" t="inlineStr"/>
      <c r="G222" s="15" t="inlineStr">
        <is>
          <t>113</t>
        </is>
      </c>
      <c r="H222" s="15" t="inlineStr">
        <is>
          <t>1.4. 29103-HTP-004/4. RTD Cables/29103-ET-P2204-1-R-1.pdf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29103-ET-P2204-1-R-2</t>
        </is>
      </c>
      <c r="C223" s="15" t="inlineStr">
        <is>
          <t>29103-ET-P2204-1</t>
        </is>
      </c>
      <c r="D223" s="15" t="inlineStr"/>
      <c r="E223" s="15" t="inlineStr">
        <is>
          <t>29103-HTP-004</t>
        </is>
      </c>
      <c r="F223" s="15" t="inlineStr"/>
      <c r="G223" s="15" t="inlineStr">
        <is>
          <t>113</t>
        </is>
      </c>
      <c r="H223" s="15" t="inlineStr">
        <is>
          <t>1.4. 29103-HTP-004/4. RTD Cables/29103-ET-P2204-1-R-2.pdf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29103-ET-P2204-2-R-1</t>
        </is>
      </c>
      <c r="C224" s="15" t="inlineStr">
        <is>
          <t>29103-ET-P2204-2</t>
        </is>
      </c>
      <c r="D224" s="15" t="inlineStr"/>
      <c r="E224" s="15" t="inlineStr">
        <is>
          <t>29103-HTP-004</t>
        </is>
      </c>
      <c r="F224" s="15" t="inlineStr"/>
      <c r="G224" s="15" t="inlineStr">
        <is>
          <t>113</t>
        </is>
      </c>
      <c r="H224" s="15" t="inlineStr">
        <is>
          <t>1.4. 29103-HTP-004/4. RTD Cables/29103-ET-P2204-2-R-1.pdf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29103-ET-P2204-2-R-2</t>
        </is>
      </c>
      <c r="C225" s="15" t="inlineStr">
        <is>
          <t>29103-ET-P2204-2</t>
        </is>
      </c>
      <c r="D225" s="15" t="inlineStr"/>
      <c r="E225" s="15" t="inlineStr">
        <is>
          <t>29103-HTP-004</t>
        </is>
      </c>
      <c r="F225" s="15" t="inlineStr"/>
      <c r="G225" s="15" t="inlineStr">
        <is>
          <t>113</t>
        </is>
      </c>
      <c r="H225" s="15" t="inlineStr">
        <is>
          <t>1.4. 29103-HTP-004/4. RTD Cables/29103-ET-P2204-2-R-2.pdf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29103-ET-P2301-1-R-1</t>
        </is>
      </c>
      <c r="C226" s="15" t="inlineStr">
        <is>
          <t>29103-ET-P2301-1</t>
        </is>
      </c>
      <c r="D226" s="15" t="inlineStr"/>
      <c r="E226" s="15" t="inlineStr">
        <is>
          <t>29103-HTP-004</t>
        </is>
      </c>
      <c r="F226" s="15" t="inlineStr"/>
      <c r="G226" s="15" t="inlineStr">
        <is>
          <t>113</t>
        </is>
      </c>
      <c r="H226" s="15" t="inlineStr">
        <is>
          <t>1.4. 29103-HTP-004/4. RTD Cables/29103-ET-P2301-1-R-1.pdf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29103-ET-P2304-1-R-1</t>
        </is>
      </c>
      <c r="C227" s="15" t="inlineStr">
        <is>
          <t>29103-ET-P2304-1</t>
        </is>
      </c>
      <c r="D227" s="15" t="inlineStr"/>
      <c r="E227" s="15" t="inlineStr">
        <is>
          <t>29103-HTP-004</t>
        </is>
      </c>
      <c r="F227" s="15" t="inlineStr"/>
      <c r="G227" s="15" t="inlineStr">
        <is>
          <t>113</t>
        </is>
      </c>
      <c r="H227" s="15" t="inlineStr">
        <is>
          <t>1.4. 29103-HTP-004/4. RTD Cables/29103-ET-P2304-1-R-1.pdf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29103-ET-P2304-1-R-2</t>
        </is>
      </c>
      <c r="C228" s="15" t="inlineStr">
        <is>
          <t>29103-ET-P2304-1</t>
        </is>
      </c>
      <c r="D228" s="15" t="inlineStr"/>
      <c r="E228" s="15" t="inlineStr">
        <is>
          <t>29103-HTP-004</t>
        </is>
      </c>
      <c r="F228" s="15" t="inlineStr"/>
      <c r="G228" s="15" t="inlineStr">
        <is>
          <t>113</t>
        </is>
      </c>
      <c r="H228" s="15" t="inlineStr">
        <is>
          <t>1.4. 29103-HTP-004/4. RTD Cables/29103-ET-P2304-1-R-2.pdf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29103-ET-P2304-2-R-1</t>
        </is>
      </c>
      <c r="C229" s="15" t="inlineStr">
        <is>
          <t>29103-ET-P2304-2</t>
        </is>
      </c>
      <c r="D229" s="15" t="inlineStr"/>
      <c r="E229" s="15" t="inlineStr">
        <is>
          <t>29103-HTP-004</t>
        </is>
      </c>
      <c r="F229" s="15" t="inlineStr"/>
      <c r="G229" s="15" t="inlineStr">
        <is>
          <t>113</t>
        </is>
      </c>
      <c r="H229" s="15" t="inlineStr">
        <is>
          <t>1.4. 29103-HTP-004/4. RTD Cables/29103-ET-P2304-2-R-1.pdf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29103-ET-P2304-2-R-2</t>
        </is>
      </c>
      <c r="C230" s="15" t="inlineStr">
        <is>
          <t>29103-ET-P2304-2</t>
        </is>
      </c>
      <c r="D230" s="15" t="inlineStr"/>
      <c r="E230" s="15" t="inlineStr">
        <is>
          <t>29103-HTP-004</t>
        </is>
      </c>
      <c r="F230" s="15" t="inlineStr"/>
      <c r="G230" s="15" t="inlineStr">
        <is>
          <t>113</t>
        </is>
      </c>
      <c r="H230" s="15" t="inlineStr">
        <is>
          <t>1.4. 29103-HTP-004/4. RTD Cables/29103-ET-P2304-2-R-2.pdf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29103-ET-P2404-1-R-1</t>
        </is>
      </c>
      <c r="C231" s="15" t="inlineStr">
        <is>
          <t>29103-ET-P2404-1</t>
        </is>
      </c>
      <c r="D231" s="15" t="inlineStr"/>
      <c r="E231" s="15" t="inlineStr">
        <is>
          <t>29103-HTP-004</t>
        </is>
      </c>
      <c r="F231" s="15" t="inlineStr"/>
      <c r="G231" s="15" t="inlineStr">
        <is>
          <t>113</t>
        </is>
      </c>
      <c r="H231" s="15" t="inlineStr">
        <is>
          <t>1.4. 29103-HTP-004/4. RTD Cables/29103-ET-P2404-1-R-1.pdf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29103-ET-P2404-1-R-2</t>
        </is>
      </c>
      <c r="C232" s="15" t="inlineStr">
        <is>
          <t>29103-ET-P2404-1</t>
        </is>
      </c>
      <c r="D232" s="15" t="inlineStr"/>
      <c r="E232" s="15" t="inlineStr">
        <is>
          <t>29103-HTP-004</t>
        </is>
      </c>
      <c r="F232" s="15" t="inlineStr"/>
      <c r="G232" s="15" t="inlineStr">
        <is>
          <t>113</t>
        </is>
      </c>
      <c r="H232" s="15" t="inlineStr">
        <is>
          <t>1.4. 29103-HTP-004/4. RTD Cables/29103-ET-P2404-1-R-2.pdf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29103-ET-P2404-2-R-1</t>
        </is>
      </c>
      <c r="C233" s="15" t="inlineStr">
        <is>
          <t>29103-ET-P2404-2</t>
        </is>
      </c>
      <c r="D233" s="15" t="inlineStr"/>
      <c r="E233" s="15" t="inlineStr">
        <is>
          <t>29103-HTP-004</t>
        </is>
      </c>
      <c r="F233" s="15" t="inlineStr"/>
      <c r="G233" s="15" t="inlineStr">
        <is>
          <t>113</t>
        </is>
      </c>
      <c r="H233" s="15" t="inlineStr">
        <is>
          <t>1.4. 29103-HTP-004/4. RTD Cables/29103-ET-P2404-2-R-1.pdf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29103-ET-P2404-2-R-2</t>
        </is>
      </c>
      <c r="C234" s="15" t="inlineStr">
        <is>
          <t>29103-ET-P2404-2</t>
        </is>
      </c>
      <c r="D234" s="15" t="inlineStr"/>
      <c r="E234" s="15" t="inlineStr">
        <is>
          <t>29103-HTP-004</t>
        </is>
      </c>
      <c r="F234" s="15" t="inlineStr"/>
      <c r="G234" s="15" t="inlineStr">
        <is>
          <t>113</t>
        </is>
      </c>
      <c r="H234" s="15" t="inlineStr">
        <is>
          <t>1.4. 29103-HTP-004/4. RTD Cables/29103-ET-P2404-2-R-2.pdf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29103-ET-P2800-2-R-1</t>
        </is>
      </c>
      <c r="C235" s="15" t="inlineStr">
        <is>
          <t>29103-ET-P2800-2</t>
        </is>
      </c>
      <c r="D235" s="15" t="inlineStr"/>
      <c r="E235" s="15" t="inlineStr">
        <is>
          <t>29103-HTP-004</t>
        </is>
      </c>
      <c r="F235" s="15" t="inlineStr"/>
      <c r="G235" s="15" t="inlineStr">
        <is>
          <t>113</t>
        </is>
      </c>
      <c r="H235" s="15" t="inlineStr">
        <is>
          <t>1.4. 29103-HTP-004/4. RTD Cables/29103-ET-P2800-2-R-1.pdf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29103-ET-P2800-3-R-1</t>
        </is>
      </c>
      <c r="C236" s="15" t="inlineStr">
        <is>
          <t>29103-ET-P2800-3</t>
        </is>
      </c>
      <c r="D236" s="15" t="inlineStr"/>
      <c r="E236" s="15" t="inlineStr">
        <is>
          <t>29103-HTP-004</t>
        </is>
      </c>
      <c r="F236" s="15" t="inlineStr"/>
      <c r="G236" s="15" t="inlineStr">
        <is>
          <t>113</t>
        </is>
      </c>
      <c r="H236" s="15" t="inlineStr">
        <is>
          <t>1.4. 29103-HTP-004/4. RTD Cables/29103-ET-P2800-3-R-1.pdf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29103-ET-PE2101-1-R-1</t>
        </is>
      </c>
      <c r="C237" s="15" t="inlineStr">
        <is>
          <t>29103-ET-PE2101-1</t>
        </is>
      </c>
      <c r="D237" s="15" t="inlineStr"/>
      <c r="E237" s="15" t="inlineStr">
        <is>
          <t>29103-HTP-004</t>
        </is>
      </c>
      <c r="F237" s="15" t="inlineStr"/>
      <c r="G237" s="15" t="inlineStr">
        <is>
          <t>113</t>
        </is>
      </c>
      <c r="H237" s="15" t="inlineStr">
        <is>
          <t>1.4. 29103-HTP-004/4. RTD Cables/29103-ET-PE2101-1-R-1.pdf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29103-ET-PE2101-2-R-2</t>
        </is>
      </c>
      <c r="C238" s="15" t="inlineStr">
        <is>
          <t>29103-ET-PE2101-2</t>
        </is>
      </c>
      <c r="D238" s="15" t="inlineStr"/>
      <c r="E238" s="15" t="inlineStr">
        <is>
          <t>29103-HTP-004</t>
        </is>
      </c>
      <c r="F238" s="15" t="inlineStr"/>
      <c r="G238" s="15" t="inlineStr">
        <is>
          <t>113</t>
        </is>
      </c>
      <c r="H238" s="15" t="inlineStr">
        <is>
          <t>1.4. 29103-HTP-004/4. RTD Cables/29103-ET-PE2101-2-R-2.pdf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29103-ET-PE2102-1-R-1</t>
        </is>
      </c>
      <c r="C239" s="15" t="inlineStr">
        <is>
          <t>29103-ET-PE2102-1</t>
        </is>
      </c>
      <c r="D239" s="15" t="inlineStr"/>
      <c r="E239" s="15" t="inlineStr">
        <is>
          <t>29103-HTP-004</t>
        </is>
      </c>
      <c r="F239" s="15" t="inlineStr"/>
      <c r="G239" s="15" t="inlineStr">
        <is>
          <t>113</t>
        </is>
      </c>
      <c r="H239" s="15" t="inlineStr">
        <is>
          <t>1.4. 29103-HTP-004/4. RTD Cables/29103-ET-PE2102-1-R-1.pdf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29103-ET-PE2102-1-R-2</t>
        </is>
      </c>
      <c r="C240" s="15" t="inlineStr">
        <is>
          <t>29103-ET-PE2102-1</t>
        </is>
      </c>
      <c r="D240" s="15" t="inlineStr"/>
      <c r="E240" s="15" t="inlineStr">
        <is>
          <t>29103-HTP-004</t>
        </is>
      </c>
      <c r="F240" s="15" t="inlineStr"/>
      <c r="G240" s="15" t="inlineStr">
        <is>
          <t>113</t>
        </is>
      </c>
      <c r="H240" s="15" t="inlineStr">
        <is>
          <t>1.4. 29103-HTP-004/4. RTD Cables/29103-ET-PE2102-1-R-2.pdf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29103-ET-PE2201-1-R-1</t>
        </is>
      </c>
      <c r="C241" s="15" t="inlineStr">
        <is>
          <t>29103-ET-PE2201-1</t>
        </is>
      </c>
      <c r="D241" s="15" t="inlineStr"/>
      <c r="E241" s="15" t="inlineStr">
        <is>
          <t>29103-HTP-004</t>
        </is>
      </c>
      <c r="F241" s="15" t="inlineStr"/>
      <c r="G241" s="15" t="inlineStr">
        <is>
          <t>113</t>
        </is>
      </c>
      <c r="H241" s="15" t="inlineStr">
        <is>
          <t>1.4. 29103-HTP-004/4. RTD Cables/29103-ET-PE2201-1-R-1.pdf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29103-ET-PE2201-2-R-2</t>
        </is>
      </c>
      <c r="C242" s="15" t="inlineStr">
        <is>
          <t>29103-ET-PE2201-2</t>
        </is>
      </c>
      <c r="D242" s="15" t="inlineStr"/>
      <c r="E242" s="15" t="inlineStr">
        <is>
          <t>29103-HTP-004</t>
        </is>
      </c>
      <c r="F242" s="15" t="inlineStr"/>
      <c r="G242" s="15" t="inlineStr">
        <is>
          <t>113</t>
        </is>
      </c>
      <c r="H242" s="15" t="inlineStr">
        <is>
          <t>1.4. 29103-HTP-004/4. RTD Cables/29103-ET-PE2201-2-R-2.pdf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29103-ET-PE2202-1-R-1</t>
        </is>
      </c>
      <c r="C243" s="15" t="inlineStr">
        <is>
          <t>29103-ET-PE2202-1</t>
        </is>
      </c>
      <c r="D243" s="15" t="inlineStr"/>
      <c r="E243" s="15" t="inlineStr">
        <is>
          <t>29103-HTP-004</t>
        </is>
      </c>
      <c r="F243" s="15" t="inlineStr"/>
      <c r="G243" s="15" t="inlineStr">
        <is>
          <t>113</t>
        </is>
      </c>
      <c r="H243" s="15" t="inlineStr">
        <is>
          <t>1.4. 29103-HTP-004/4. RTD Cables/29103-ET-PE2202-1-R-1.pdf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29103-ET-PE2202-1-R-2</t>
        </is>
      </c>
      <c r="C244" s="15" t="inlineStr">
        <is>
          <t>29103-ET-PE2202-1</t>
        </is>
      </c>
      <c r="D244" s="15" t="inlineStr"/>
      <c r="E244" s="15" t="inlineStr">
        <is>
          <t>29103-HTP-004</t>
        </is>
      </c>
      <c r="F244" s="15" t="inlineStr"/>
      <c r="G244" s="15" t="inlineStr">
        <is>
          <t>113</t>
        </is>
      </c>
      <c r="H244" s="15" t="inlineStr">
        <is>
          <t>1.4. 29103-HTP-004/4. RTD Cables/29103-ET-PE2202-1-R-2.pdf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29103-ET-PE2301-1-R-1</t>
        </is>
      </c>
      <c r="C245" s="15" t="inlineStr">
        <is>
          <t>29103-ET-PE2301-1</t>
        </is>
      </c>
      <c r="D245" s="15" t="inlineStr"/>
      <c r="E245" s="15" t="inlineStr">
        <is>
          <t>29103-HTP-004</t>
        </is>
      </c>
      <c r="F245" s="15" t="inlineStr"/>
      <c r="G245" s="15" t="inlineStr">
        <is>
          <t>113</t>
        </is>
      </c>
      <c r="H245" s="15" t="inlineStr">
        <is>
          <t>1.4. 29103-HTP-004/4. RTD Cables/29103-ET-PE2301-1-R-1.pdf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29103-ET-PE2301-2-R-2</t>
        </is>
      </c>
      <c r="C246" s="15" t="inlineStr">
        <is>
          <t>29103-ET-PE2301-2</t>
        </is>
      </c>
      <c r="D246" s="15" t="inlineStr"/>
      <c r="E246" s="15" t="inlineStr">
        <is>
          <t>29103-HTP-004</t>
        </is>
      </c>
      <c r="F246" s="15" t="inlineStr"/>
      <c r="G246" s="15" t="inlineStr">
        <is>
          <t>113</t>
        </is>
      </c>
      <c r="H246" s="15" t="inlineStr">
        <is>
          <t>1.4. 29103-HTP-004/4. RTD Cables/29103-ET-PE2301-2-R-2.pdf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29103-ET-PE2302-1-R-1</t>
        </is>
      </c>
      <c r="C247" s="15" t="inlineStr">
        <is>
          <t>29103-ET-PE2302-1</t>
        </is>
      </c>
      <c r="D247" s="15" t="inlineStr"/>
      <c r="E247" s="15" t="inlineStr">
        <is>
          <t>29103-HTP-004</t>
        </is>
      </c>
      <c r="F247" s="15" t="inlineStr"/>
      <c r="G247" s="15" t="inlineStr">
        <is>
          <t>113</t>
        </is>
      </c>
      <c r="H247" s="15" t="inlineStr">
        <is>
          <t>1.4. 29103-HTP-004/4. RTD Cables/29103-ET-PE2302-1-R-1.pdf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29103-ET-PE2302-1-R-2</t>
        </is>
      </c>
      <c r="C248" s="15" t="inlineStr">
        <is>
          <t>29103-ET-PE2302-1</t>
        </is>
      </c>
      <c r="D248" s="15" t="inlineStr"/>
      <c r="E248" s="15" t="inlineStr">
        <is>
          <t>29103-HTP-004</t>
        </is>
      </c>
      <c r="F248" s="15" t="inlineStr"/>
      <c r="G248" s="15" t="inlineStr">
        <is>
          <t>113</t>
        </is>
      </c>
      <c r="H248" s="15" t="inlineStr">
        <is>
          <t>1.4. 29103-HTP-004/4. RTD Cables/29103-ET-PE2302-1-R-2.pdf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29103-ET-PE2401-2-R-2</t>
        </is>
      </c>
      <c r="C249" s="15" t="inlineStr">
        <is>
          <t>29103-ET-PE2401-2</t>
        </is>
      </c>
      <c r="D249" s="15" t="inlineStr"/>
      <c r="E249" s="15" t="inlineStr">
        <is>
          <t>29103-HTP-004</t>
        </is>
      </c>
      <c r="F249" s="15" t="inlineStr"/>
      <c r="G249" s="15" t="inlineStr">
        <is>
          <t>113</t>
        </is>
      </c>
      <c r="H249" s="15" t="inlineStr">
        <is>
          <t>1.4. 29103-HTP-004/4. RTD Cables/29103-ET-PE2401-2-R-2.pdf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29103-ET-PE2402-1-R-1</t>
        </is>
      </c>
      <c r="C250" s="15" t="inlineStr">
        <is>
          <t>29103-ET-PE2402-1</t>
        </is>
      </c>
      <c r="D250" s="15" t="inlineStr"/>
      <c r="E250" s="15" t="inlineStr">
        <is>
          <t>29103-HTP-004</t>
        </is>
      </c>
      <c r="F250" s="15" t="inlineStr"/>
      <c r="G250" s="15" t="inlineStr">
        <is>
          <t>113</t>
        </is>
      </c>
      <c r="H250" s="15" t="inlineStr">
        <is>
          <t>1.4. 29103-HTP-004/4. RTD Cables/29103-ET-PE2402-1-R-1.pdf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29103-ET-PE2402-1-R-2</t>
        </is>
      </c>
      <c r="C251" s="15" t="inlineStr">
        <is>
          <t>29103-ET-PE2402-1</t>
        </is>
      </c>
      <c r="D251" s="15" t="inlineStr"/>
      <c r="E251" s="15" t="inlineStr">
        <is>
          <t>29103-HTP-004</t>
        </is>
      </c>
      <c r="F251" s="15" t="inlineStr"/>
      <c r="G251" s="15" t="inlineStr">
        <is>
          <t>113</t>
        </is>
      </c>
      <c r="H251" s="15" t="inlineStr">
        <is>
          <t>1.4. 29103-HTP-004/4. RTD Cables/29103-ET-PE2402-1-R-2.pdf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29103-ET-PE2803-2-R-1</t>
        </is>
      </c>
      <c r="C252" s="15" t="inlineStr">
        <is>
          <t>29103-ET-PE2803-2</t>
        </is>
      </c>
      <c r="D252" s="15" t="inlineStr"/>
      <c r="E252" s="15" t="inlineStr">
        <is>
          <t>29103-HTP-004</t>
        </is>
      </c>
      <c r="F252" s="15" t="inlineStr"/>
      <c r="G252" s="15" t="inlineStr">
        <is>
          <t>113</t>
        </is>
      </c>
      <c r="H252" s="15" t="inlineStr">
        <is>
          <t>1.4. 29103-HTP-004/4. RTD Cables/29103-ET-PE2803-2-R-1.pdf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  <row r="253">
      <c r="A253" s="15" t="inlineStr">
        <is>
          <t>RTD Cable</t>
        </is>
      </c>
      <c r="B253" s="15" t="inlineStr">
        <is>
          <t>29103-ET-PG2101-1-R-1</t>
        </is>
      </c>
      <c r="C253" s="15" t="inlineStr">
        <is>
          <t>29103-ET-PG2101-1</t>
        </is>
      </c>
      <c r="D253" s="15" t="inlineStr"/>
      <c r="E253" s="15" t="inlineStr">
        <is>
          <t>29103-HTP-004</t>
        </is>
      </c>
      <c r="F253" s="15" t="inlineStr"/>
      <c r="G253" s="15" t="inlineStr">
        <is>
          <t>113</t>
        </is>
      </c>
      <c r="H253" s="15" t="inlineStr">
        <is>
          <t>1.4. 29103-HTP-004/4. RTD Cables/29103-ET-PG2101-1-R-1.pdf</t>
        </is>
      </c>
      <c r="I253" s="6" t="str">
        <f>IF($H253&lt;&gt;"","YES","NO")</f>
        <v>YES</v>
      </c>
      <c r="J253" s="6" t="str">
        <f>IF(N($T253)&gt;0,"YES","NO")</f>
        <v>NO</v>
      </c>
      <c r="K253" s="6" t="str">
        <f>IF(OR($A253="EHT Trace"),IF(AND($U253&lt;&gt;"",$V253&lt;&gt;""),"YES","NO"),"N/A")</f>
        <v>N/A</v>
      </c>
      <c r="L253" s="6" t="str">
        <f>IF(OR($A253="EHT Trace"),IF(AND($X253&lt;&gt;"",$Y253&lt;&gt;""),"YES","NO"),"N/A")</f>
        <v>N/A</v>
      </c>
      <c r="M253" s="6" t="str">
        <f>IF(OR($A253="EHT Trace"),IF(AND($AA253&lt;&gt;"",$AB253&lt;&gt;""),"YES","NO"),"N/A")</f>
        <v>N/A</v>
      </c>
      <c r="N253" s="6" t="str">
        <f>IF(OR($A253="Power Cable"),IF(AND($AD253&lt;&gt;""),"YES","NO"),"N/A")</f>
        <v>N/A</v>
      </c>
      <c r="O253" s="6" t="str">
        <f>IF(OR($A253="Power Cable",$A253="RTD Cable",$A253="Fieldbus Cable"),IF(AND($AE253&lt;&gt;""),"YES","NO"),"N/A")</f>
        <v>NO</v>
      </c>
      <c r="P253" s="6" t="str">
        <f>IF(OR($A253="RTD"),IF(AND($AH253&lt;&gt;""),"YES","NO"),"N/A")</f>
        <v>N/A</v>
      </c>
      <c r="Q253" s="6" t="str">
        <f>IF(OR($A253="RTD"),IF(AND($AI253&lt;&gt;""),"YES","NO"),"N/A")</f>
        <v>N/A</v>
      </c>
      <c r="R253" s="6" t="str">
        <f>IF(OR($AM253&lt;&gt;"",$Z253&lt;&gt;"",$AC253&lt;&gt;""),"YES","NO")</f>
        <v>NO</v>
      </c>
      <c r="S253" s="6" t="str">
        <f>IF(COUNTIF(I253:R253,"NO")=0,"YES","NO")</f>
        <v>NO</v>
      </c>
      <c r="T253" s="15" t="n">
        <v>0</v>
      </c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  <c r="AF253" s="15" t="n"/>
      <c r="AG253" s="15" t="n"/>
      <c r="AH253" s="15" t="n"/>
      <c r="AI253" s="15" t="n"/>
      <c r="AJ253" s="15" t="inlineStr">
        <is>
          <t>ACIC</t>
        </is>
      </c>
      <c r="AK253" s="15" t="inlineStr">
        <is>
          <t>16AWG</t>
        </is>
      </c>
      <c r="AL253" s="15" t="inlineStr">
        <is>
          <t>Levy Ostrup</t>
        </is>
      </c>
      <c r="AM253" s="15" t="n"/>
      <c r="AN253" s="15" t="n"/>
    </row>
    <row r="254">
      <c r="A254" s="15" t="inlineStr">
        <is>
          <t>RTD Cable</t>
        </is>
      </c>
      <c r="B254" s="15" t="inlineStr">
        <is>
          <t>29103-ET-PG2101-1-R-2</t>
        </is>
      </c>
      <c r="C254" s="15" t="inlineStr">
        <is>
          <t>29103-ET-PG2101-1</t>
        </is>
      </c>
      <c r="D254" s="15" t="inlineStr"/>
      <c r="E254" s="15" t="inlineStr">
        <is>
          <t>29103-HTP-004</t>
        </is>
      </c>
      <c r="F254" s="15" t="inlineStr"/>
      <c r="G254" s="15" t="inlineStr">
        <is>
          <t>113</t>
        </is>
      </c>
      <c r="H254" s="15" t="inlineStr">
        <is>
          <t>1.4. 29103-HTP-004/4. RTD Cables/29103-ET-PG2101-1-R-2.pdf</t>
        </is>
      </c>
      <c r="I254" s="6" t="str">
        <f>IF($H254&lt;&gt;"","YES","NO")</f>
        <v>YES</v>
      </c>
      <c r="J254" s="6" t="str">
        <f>IF(N($T254)&gt;0,"YES","NO")</f>
        <v>NO</v>
      </c>
      <c r="K254" s="6" t="str">
        <f>IF(OR($A254="EHT Trace"),IF(AND($U254&lt;&gt;"",$V254&lt;&gt;""),"YES","NO"),"N/A")</f>
        <v>N/A</v>
      </c>
      <c r="L254" s="6" t="str">
        <f>IF(OR($A254="EHT Trace"),IF(AND($X254&lt;&gt;"",$Y254&lt;&gt;""),"YES","NO"),"N/A")</f>
        <v>N/A</v>
      </c>
      <c r="M254" s="6" t="str">
        <f>IF(OR($A254="EHT Trace"),IF(AND($AA254&lt;&gt;"",$AB254&lt;&gt;""),"YES","NO"),"N/A")</f>
        <v>N/A</v>
      </c>
      <c r="N254" s="6" t="str">
        <f>IF(OR($A254="Power Cable"),IF(AND($AD254&lt;&gt;""),"YES","NO"),"N/A")</f>
        <v>N/A</v>
      </c>
      <c r="O254" s="6" t="str">
        <f>IF(OR($A254="Power Cable",$A254="RTD Cable",$A254="Fieldbus Cable"),IF(AND($AE254&lt;&gt;""),"YES","NO"),"N/A")</f>
        <v>NO</v>
      </c>
      <c r="P254" s="6" t="str">
        <f>IF(OR($A254="RTD"),IF(AND($AH254&lt;&gt;""),"YES","NO"),"N/A")</f>
        <v>N/A</v>
      </c>
      <c r="Q254" s="6" t="str">
        <f>IF(OR($A254="RTD"),IF(AND($AI254&lt;&gt;""),"YES","NO"),"N/A")</f>
        <v>N/A</v>
      </c>
      <c r="R254" s="6" t="str">
        <f>IF(OR($AM254&lt;&gt;"",$Z254&lt;&gt;"",$AC254&lt;&gt;""),"YES","NO")</f>
        <v>NO</v>
      </c>
      <c r="S254" s="6" t="str">
        <f>IF(COUNTIF(I254:R254,"NO")=0,"YES","NO")</f>
        <v>NO</v>
      </c>
      <c r="T254" s="15" t="n">
        <v>0</v>
      </c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  <c r="AF254" s="15" t="n"/>
      <c r="AG254" s="15" t="n"/>
      <c r="AH254" s="15" t="n"/>
      <c r="AI254" s="15" t="n"/>
      <c r="AJ254" s="15" t="inlineStr">
        <is>
          <t>ACIC</t>
        </is>
      </c>
      <c r="AK254" s="15" t="inlineStr">
        <is>
          <t>16AWG</t>
        </is>
      </c>
      <c r="AL254" s="15" t="inlineStr">
        <is>
          <t>Levy Ostrup</t>
        </is>
      </c>
      <c r="AM254" s="15" t="n"/>
      <c r="AN254" s="15" t="n"/>
    </row>
    <row r="255">
      <c r="A255" s="15" t="inlineStr">
        <is>
          <t>RTD Cable</t>
        </is>
      </c>
      <c r="B255" s="15" t="inlineStr">
        <is>
          <t>29103-ET-PG2101-2-R-1</t>
        </is>
      </c>
      <c r="C255" s="15" t="inlineStr">
        <is>
          <t>29103-ET-PG2101-2</t>
        </is>
      </c>
      <c r="D255" s="15" t="inlineStr"/>
      <c r="E255" s="15" t="inlineStr">
        <is>
          <t>29103-HTP-004</t>
        </is>
      </c>
      <c r="F255" s="15" t="inlineStr"/>
      <c r="G255" s="15" t="inlineStr">
        <is>
          <t>113</t>
        </is>
      </c>
      <c r="H255" s="15" t="inlineStr">
        <is>
          <t>1.4. 29103-HTP-004/4. RTD Cables/29103-ET-PG2101-2-R-1.pdf</t>
        </is>
      </c>
      <c r="I255" s="6" t="str">
        <f>IF($H255&lt;&gt;"","YES","NO")</f>
        <v>YES</v>
      </c>
      <c r="J255" s="6" t="str">
        <f>IF(N($T255)&gt;0,"YES","NO")</f>
        <v>NO</v>
      </c>
      <c r="K255" s="6" t="str">
        <f>IF(OR($A255="EHT Trace"),IF(AND($U255&lt;&gt;"",$V255&lt;&gt;""),"YES","NO"),"N/A")</f>
        <v>N/A</v>
      </c>
      <c r="L255" s="6" t="str">
        <f>IF(OR($A255="EHT Trace"),IF(AND($X255&lt;&gt;"",$Y255&lt;&gt;""),"YES","NO"),"N/A")</f>
        <v>N/A</v>
      </c>
      <c r="M255" s="6" t="str">
        <f>IF(OR($A255="EHT Trace"),IF(AND($AA255&lt;&gt;"",$AB255&lt;&gt;""),"YES","NO"),"N/A")</f>
        <v>N/A</v>
      </c>
      <c r="N255" s="6" t="str">
        <f>IF(OR($A255="Power Cable"),IF(AND($AD255&lt;&gt;""),"YES","NO"),"N/A")</f>
        <v>N/A</v>
      </c>
      <c r="O255" s="6" t="str">
        <f>IF(OR($A255="Power Cable",$A255="RTD Cable",$A255="Fieldbus Cable"),IF(AND($AE255&lt;&gt;""),"YES","NO"),"N/A")</f>
        <v>NO</v>
      </c>
      <c r="P255" s="6" t="str">
        <f>IF(OR($A255="RTD"),IF(AND($AH255&lt;&gt;""),"YES","NO"),"N/A")</f>
        <v>N/A</v>
      </c>
      <c r="Q255" s="6" t="str">
        <f>IF(OR($A255="RTD"),IF(AND($AI255&lt;&gt;""),"YES","NO"),"N/A")</f>
        <v>N/A</v>
      </c>
      <c r="R255" s="6" t="str">
        <f>IF(OR($AM255&lt;&gt;"",$Z255&lt;&gt;"",$AC255&lt;&gt;""),"YES","NO")</f>
        <v>NO</v>
      </c>
      <c r="S255" s="6" t="str">
        <f>IF(COUNTIF(I255:R255,"NO")=0,"YES","NO")</f>
        <v>NO</v>
      </c>
      <c r="T255" s="15" t="n">
        <v>0</v>
      </c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  <c r="AF255" s="15" t="n"/>
      <c r="AG255" s="15" t="n"/>
      <c r="AH255" s="15" t="n"/>
      <c r="AI255" s="15" t="n"/>
      <c r="AJ255" s="15" t="inlineStr">
        <is>
          <t>ACIC</t>
        </is>
      </c>
      <c r="AK255" s="15" t="inlineStr">
        <is>
          <t>16AWG</t>
        </is>
      </c>
      <c r="AL255" s="15" t="inlineStr">
        <is>
          <t>Levy Ostrup</t>
        </is>
      </c>
      <c r="AM255" s="15" t="n"/>
      <c r="AN255" s="15" t="n"/>
    </row>
    <row r="256">
      <c r="A256" s="15" t="inlineStr">
        <is>
          <t>RTD Cable</t>
        </is>
      </c>
      <c r="B256" s="15" t="inlineStr">
        <is>
          <t>29103-ET-PG2201-1-R-1</t>
        </is>
      </c>
      <c r="C256" s="15" t="inlineStr">
        <is>
          <t>29103-ET-PG2201-1</t>
        </is>
      </c>
      <c r="D256" s="15" t="inlineStr"/>
      <c r="E256" s="15" t="inlineStr">
        <is>
          <t>29103-HTP-004</t>
        </is>
      </c>
      <c r="F256" s="15" t="inlineStr"/>
      <c r="G256" s="15" t="inlineStr">
        <is>
          <t>113</t>
        </is>
      </c>
      <c r="H256" s="15" t="inlineStr">
        <is>
          <t>1.4. 29103-HTP-004/4. RTD Cables/29103-ET-PG2201-1-R-1.pdf</t>
        </is>
      </c>
      <c r="I256" s="6" t="str">
        <f>IF($H256&lt;&gt;"","YES","NO")</f>
        <v>YES</v>
      </c>
      <c r="J256" s="6" t="str">
        <f>IF(N($T256)&gt;0,"YES","NO")</f>
        <v>NO</v>
      </c>
      <c r="K256" s="6" t="str">
        <f>IF(OR($A256="EHT Trace"),IF(AND($U256&lt;&gt;"",$V256&lt;&gt;""),"YES","NO"),"N/A")</f>
        <v>N/A</v>
      </c>
      <c r="L256" s="6" t="str">
        <f>IF(OR($A256="EHT Trace"),IF(AND($X256&lt;&gt;"",$Y256&lt;&gt;""),"YES","NO"),"N/A")</f>
        <v>N/A</v>
      </c>
      <c r="M256" s="6" t="str">
        <f>IF(OR($A256="EHT Trace"),IF(AND($AA256&lt;&gt;"",$AB256&lt;&gt;""),"YES","NO"),"N/A")</f>
        <v>N/A</v>
      </c>
      <c r="N256" s="6" t="str">
        <f>IF(OR($A256="Power Cable"),IF(AND($AD256&lt;&gt;""),"YES","NO"),"N/A")</f>
        <v>N/A</v>
      </c>
      <c r="O256" s="6" t="str">
        <f>IF(OR($A256="Power Cable",$A256="RTD Cable",$A256="Fieldbus Cable"),IF(AND($AE256&lt;&gt;""),"YES","NO"),"N/A")</f>
        <v>NO</v>
      </c>
      <c r="P256" s="6" t="str">
        <f>IF(OR($A256="RTD"),IF(AND($AH256&lt;&gt;""),"YES","NO"),"N/A")</f>
        <v>N/A</v>
      </c>
      <c r="Q256" s="6" t="str">
        <f>IF(OR($A256="RTD"),IF(AND($AI256&lt;&gt;""),"YES","NO"),"N/A")</f>
        <v>N/A</v>
      </c>
      <c r="R256" s="6" t="str">
        <f>IF(OR($AM256&lt;&gt;"",$Z256&lt;&gt;"",$AC256&lt;&gt;""),"YES","NO")</f>
        <v>NO</v>
      </c>
      <c r="S256" s="6" t="str">
        <f>IF(COUNTIF(I256:R256,"NO")=0,"YES","NO")</f>
        <v>NO</v>
      </c>
      <c r="T256" s="15" t="n">
        <v>0</v>
      </c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  <c r="AF256" s="15" t="n"/>
      <c r="AG256" s="15" t="n"/>
      <c r="AH256" s="15" t="n"/>
      <c r="AI256" s="15" t="n"/>
      <c r="AJ256" s="15" t="inlineStr">
        <is>
          <t>ACIC</t>
        </is>
      </c>
      <c r="AK256" s="15" t="inlineStr">
        <is>
          <t>16AWG</t>
        </is>
      </c>
      <c r="AL256" s="15" t="inlineStr">
        <is>
          <t>Levy Ostrup</t>
        </is>
      </c>
      <c r="AM256" s="15" t="n"/>
      <c r="AN256" s="15" t="n"/>
    </row>
    <row r="257">
      <c r="A257" s="15" t="inlineStr">
        <is>
          <t>RTD Cable</t>
        </is>
      </c>
      <c r="B257" s="15" t="inlineStr">
        <is>
          <t>29103-ET-PG2201-1-R-2</t>
        </is>
      </c>
      <c r="C257" s="15" t="inlineStr">
        <is>
          <t>29103-ET-PG2201-1</t>
        </is>
      </c>
      <c r="D257" s="15" t="inlineStr"/>
      <c r="E257" s="15" t="inlineStr">
        <is>
          <t>29103-HTP-004</t>
        </is>
      </c>
      <c r="F257" s="15" t="inlineStr"/>
      <c r="G257" s="15" t="inlineStr">
        <is>
          <t>113</t>
        </is>
      </c>
      <c r="H257" s="15" t="inlineStr">
        <is>
          <t>1.4. 29103-HTP-004/4. RTD Cables/29103-ET-PG2201-1-R-2.pdf</t>
        </is>
      </c>
      <c r="I257" s="6" t="str">
        <f>IF($H257&lt;&gt;"","YES","NO")</f>
        <v>YES</v>
      </c>
      <c r="J257" s="6" t="str">
        <f>IF(N($T257)&gt;0,"YES","NO")</f>
        <v>NO</v>
      </c>
      <c r="K257" s="6" t="str">
        <f>IF(OR($A257="EHT Trace"),IF(AND($U257&lt;&gt;"",$V257&lt;&gt;""),"YES","NO"),"N/A")</f>
        <v>N/A</v>
      </c>
      <c r="L257" s="6" t="str">
        <f>IF(OR($A257="EHT Trace"),IF(AND($X257&lt;&gt;"",$Y257&lt;&gt;""),"YES","NO"),"N/A")</f>
        <v>N/A</v>
      </c>
      <c r="M257" s="6" t="str">
        <f>IF(OR($A257="EHT Trace"),IF(AND($AA257&lt;&gt;"",$AB257&lt;&gt;""),"YES","NO"),"N/A")</f>
        <v>N/A</v>
      </c>
      <c r="N257" s="6" t="str">
        <f>IF(OR($A257="Power Cable"),IF(AND($AD257&lt;&gt;""),"YES","NO"),"N/A")</f>
        <v>N/A</v>
      </c>
      <c r="O257" s="6" t="str">
        <f>IF(OR($A257="Power Cable",$A257="RTD Cable",$A257="Fieldbus Cable"),IF(AND($AE257&lt;&gt;""),"YES","NO"),"N/A")</f>
        <v>NO</v>
      </c>
      <c r="P257" s="6" t="str">
        <f>IF(OR($A257="RTD"),IF(AND($AH257&lt;&gt;""),"YES","NO"),"N/A")</f>
        <v>N/A</v>
      </c>
      <c r="Q257" s="6" t="str">
        <f>IF(OR($A257="RTD"),IF(AND($AI257&lt;&gt;""),"YES","NO"),"N/A")</f>
        <v>N/A</v>
      </c>
      <c r="R257" s="6" t="str">
        <f>IF(OR($AM257&lt;&gt;"",$Z257&lt;&gt;"",$AC257&lt;&gt;""),"YES","NO")</f>
        <v>NO</v>
      </c>
      <c r="S257" s="6" t="str">
        <f>IF(COUNTIF(I257:R257,"NO")=0,"YES","NO")</f>
        <v>NO</v>
      </c>
      <c r="T257" s="15" t="n">
        <v>0</v>
      </c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  <c r="AF257" s="15" t="n"/>
      <c r="AG257" s="15" t="n"/>
      <c r="AH257" s="15" t="n"/>
      <c r="AI257" s="15" t="n"/>
      <c r="AJ257" s="15" t="inlineStr">
        <is>
          <t>ACIC</t>
        </is>
      </c>
      <c r="AK257" s="15" t="inlineStr">
        <is>
          <t>16AWG</t>
        </is>
      </c>
      <c r="AL257" s="15" t="inlineStr">
        <is>
          <t>Levy Ostrup</t>
        </is>
      </c>
      <c r="AM257" s="15" t="n"/>
      <c r="AN257" s="15" t="n"/>
    </row>
    <row r="258">
      <c r="A258" s="15" t="inlineStr">
        <is>
          <t>RTD Cable</t>
        </is>
      </c>
      <c r="B258" s="15" t="inlineStr">
        <is>
          <t>29103-ET-PG2201-2-R-1</t>
        </is>
      </c>
      <c r="C258" s="15" t="inlineStr">
        <is>
          <t>29103-ET-PG2201-2</t>
        </is>
      </c>
      <c r="D258" s="15" t="inlineStr"/>
      <c r="E258" s="15" t="inlineStr">
        <is>
          <t>29103-HTP-004</t>
        </is>
      </c>
      <c r="F258" s="15" t="inlineStr"/>
      <c r="G258" s="15" t="inlineStr">
        <is>
          <t>113</t>
        </is>
      </c>
      <c r="H258" s="15" t="inlineStr">
        <is>
          <t>1.4. 29103-HTP-004/4. RTD Cables/29103-ET-PG2201-2-R-1.pdf</t>
        </is>
      </c>
      <c r="I258" s="6" t="str">
        <f>IF($H258&lt;&gt;"","YES","NO")</f>
        <v>YES</v>
      </c>
      <c r="J258" s="6" t="str">
        <f>IF(N($T258)&gt;0,"YES","NO")</f>
        <v>NO</v>
      </c>
      <c r="K258" s="6" t="str">
        <f>IF(OR($A258="EHT Trace"),IF(AND($U258&lt;&gt;"",$V258&lt;&gt;""),"YES","NO"),"N/A")</f>
        <v>N/A</v>
      </c>
      <c r="L258" s="6" t="str">
        <f>IF(OR($A258="EHT Trace"),IF(AND($X258&lt;&gt;"",$Y258&lt;&gt;""),"YES","NO"),"N/A")</f>
        <v>N/A</v>
      </c>
      <c r="M258" s="6" t="str">
        <f>IF(OR($A258="EHT Trace"),IF(AND($AA258&lt;&gt;"",$AB258&lt;&gt;""),"YES","NO"),"N/A")</f>
        <v>N/A</v>
      </c>
      <c r="N258" s="6" t="str">
        <f>IF(OR($A258="Power Cable"),IF(AND($AD258&lt;&gt;""),"YES","NO"),"N/A")</f>
        <v>N/A</v>
      </c>
      <c r="O258" s="6" t="str">
        <f>IF(OR($A258="Power Cable",$A258="RTD Cable",$A258="Fieldbus Cable"),IF(AND($AE258&lt;&gt;""),"YES","NO"),"N/A")</f>
        <v>NO</v>
      </c>
      <c r="P258" s="6" t="str">
        <f>IF(OR($A258="RTD"),IF(AND($AH258&lt;&gt;""),"YES","NO"),"N/A")</f>
        <v>N/A</v>
      </c>
      <c r="Q258" s="6" t="str">
        <f>IF(OR($A258="RTD"),IF(AND($AI258&lt;&gt;""),"YES","NO"),"N/A")</f>
        <v>N/A</v>
      </c>
      <c r="R258" s="6" t="str">
        <f>IF(OR($AM258&lt;&gt;"",$Z258&lt;&gt;"",$AC258&lt;&gt;""),"YES","NO")</f>
        <v>NO</v>
      </c>
      <c r="S258" s="6" t="str">
        <f>IF(COUNTIF(I258:R258,"NO")=0,"YES","NO")</f>
        <v>NO</v>
      </c>
      <c r="T258" s="15" t="n">
        <v>0</v>
      </c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  <c r="AF258" s="15" t="n"/>
      <c r="AG258" s="15" t="n"/>
      <c r="AH258" s="15" t="n"/>
      <c r="AI258" s="15" t="n"/>
      <c r="AJ258" s="15" t="inlineStr">
        <is>
          <t>ACIC</t>
        </is>
      </c>
      <c r="AK258" s="15" t="inlineStr">
        <is>
          <t>16AWG</t>
        </is>
      </c>
      <c r="AL258" s="15" t="inlineStr">
        <is>
          <t>Levy Ostrup</t>
        </is>
      </c>
      <c r="AM258" s="15" t="n"/>
      <c r="AN258" s="15" t="n"/>
    </row>
    <row r="259">
      <c r="A259" s="15" t="inlineStr">
        <is>
          <t>RTD Cable</t>
        </is>
      </c>
      <c r="B259" s="15" t="inlineStr">
        <is>
          <t>29103-ET-PG2301-1-R-1</t>
        </is>
      </c>
      <c r="C259" s="15" t="inlineStr">
        <is>
          <t>29103-ET-PG2301-1</t>
        </is>
      </c>
      <c r="D259" s="15" t="inlineStr"/>
      <c r="E259" s="15" t="inlineStr">
        <is>
          <t>29103-HTP-004</t>
        </is>
      </c>
      <c r="F259" s="15" t="inlineStr"/>
      <c r="G259" s="15" t="inlineStr">
        <is>
          <t>113</t>
        </is>
      </c>
      <c r="H259" s="15" t="inlineStr">
        <is>
          <t>1.4. 29103-HTP-004/4. RTD Cables/29103-ET-PG2301-1-R-1.pdf</t>
        </is>
      </c>
      <c r="I259" s="6" t="str">
        <f>IF($H259&lt;&gt;"","YES","NO")</f>
        <v>YES</v>
      </c>
      <c r="J259" s="6" t="str">
        <f>IF(N($T259)&gt;0,"YES","NO")</f>
        <v>NO</v>
      </c>
      <c r="K259" s="6" t="str">
        <f>IF(OR($A259="EHT Trace"),IF(AND($U259&lt;&gt;"",$V259&lt;&gt;""),"YES","NO"),"N/A")</f>
        <v>N/A</v>
      </c>
      <c r="L259" s="6" t="str">
        <f>IF(OR($A259="EHT Trace"),IF(AND($X259&lt;&gt;"",$Y259&lt;&gt;""),"YES","NO"),"N/A")</f>
        <v>N/A</v>
      </c>
      <c r="M259" s="6" t="str">
        <f>IF(OR($A259="EHT Trace"),IF(AND($AA259&lt;&gt;"",$AB259&lt;&gt;""),"YES","NO"),"N/A")</f>
        <v>N/A</v>
      </c>
      <c r="N259" s="6" t="str">
        <f>IF(OR($A259="Power Cable"),IF(AND($AD259&lt;&gt;""),"YES","NO"),"N/A")</f>
        <v>N/A</v>
      </c>
      <c r="O259" s="6" t="str">
        <f>IF(OR($A259="Power Cable",$A259="RTD Cable",$A259="Fieldbus Cable"),IF(AND($AE259&lt;&gt;""),"YES","NO"),"N/A")</f>
        <v>NO</v>
      </c>
      <c r="P259" s="6" t="str">
        <f>IF(OR($A259="RTD"),IF(AND($AH259&lt;&gt;""),"YES","NO"),"N/A")</f>
        <v>N/A</v>
      </c>
      <c r="Q259" s="6" t="str">
        <f>IF(OR($A259="RTD"),IF(AND($AI259&lt;&gt;""),"YES","NO"),"N/A")</f>
        <v>N/A</v>
      </c>
      <c r="R259" s="6" t="str">
        <f>IF(OR($AM259&lt;&gt;"",$Z259&lt;&gt;"",$AC259&lt;&gt;""),"YES","NO")</f>
        <v>NO</v>
      </c>
      <c r="S259" s="6" t="str">
        <f>IF(COUNTIF(I259:R259,"NO")=0,"YES","NO")</f>
        <v>NO</v>
      </c>
      <c r="T259" s="15" t="n">
        <v>0</v>
      </c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  <c r="AF259" s="15" t="n"/>
      <c r="AG259" s="15" t="n"/>
      <c r="AH259" s="15" t="n"/>
      <c r="AI259" s="15" t="n"/>
      <c r="AJ259" s="15" t="inlineStr">
        <is>
          <t>ACIC</t>
        </is>
      </c>
      <c r="AK259" s="15" t="inlineStr">
        <is>
          <t>16AWG</t>
        </is>
      </c>
      <c r="AL259" s="15" t="inlineStr">
        <is>
          <t>Levy Ostrup</t>
        </is>
      </c>
      <c r="AM259" s="15" t="n"/>
      <c r="AN259" s="15" t="n"/>
    </row>
    <row r="260">
      <c r="A260" s="15" t="inlineStr">
        <is>
          <t>RTD Cable</t>
        </is>
      </c>
      <c r="B260" s="15" t="inlineStr">
        <is>
          <t>29103-ET-PG2301-1-R-2</t>
        </is>
      </c>
      <c r="C260" s="15" t="inlineStr">
        <is>
          <t>29103-ET-PG2301-1</t>
        </is>
      </c>
      <c r="D260" s="15" t="inlineStr"/>
      <c r="E260" s="15" t="inlineStr">
        <is>
          <t>29103-HTP-004</t>
        </is>
      </c>
      <c r="F260" s="15" t="inlineStr"/>
      <c r="G260" s="15" t="inlineStr">
        <is>
          <t>113</t>
        </is>
      </c>
      <c r="H260" s="15" t="inlineStr">
        <is>
          <t>1.4. 29103-HTP-004/4. RTD Cables/29103-ET-PG2301-1-R-2.pdf</t>
        </is>
      </c>
      <c r="I260" s="6" t="str">
        <f>IF($H260&lt;&gt;"","YES","NO")</f>
        <v>YES</v>
      </c>
      <c r="J260" s="6" t="str">
        <f>IF(N($T260)&gt;0,"YES","NO")</f>
        <v>NO</v>
      </c>
      <c r="K260" s="6" t="str">
        <f>IF(OR($A260="EHT Trace"),IF(AND($U260&lt;&gt;"",$V260&lt;&gt;""),"YES","NO"),"N/A")</f>
        <v>N/A</v>
      </c>
      <c r="L260" s="6" t="str">
        <f>IF(OR($A260="EHT Trace"),IF(AND($X260&lt;&gt;"",$Y260&lt;&gt;""),"YES","NO"),"N/A")</f>
        <v>N/A</v>
      </c>
      <c r="M260" s="6" t="str">
        <f>IF(OR($A260="EHT Trace"),IF(AND($AA260&lt;&gt;"",$AB260&lt;&gt;""),"YES","NO"),"N/A")</f>
        <v>N/A</v>
      </c>
      <c r="N260" s="6" t="str">
        <f>IF(OR($A260="Power Cable"),IF(AND($AD260&lt;&gt;""),"YES","NO"),"N/A")</f>
        <v>N/A</v>
      </c>
      <c r="O260" s="6" t="str">
        <f>IF(OR($A260="Power Cable",$A260="RTD Cable",$A260="Fieldbus Cable"),IF(AND($AE260&lt;&gt;""),"YES","NO"),"N/A")</f>
        <v>NO</v>
      </c>
      <c r="P260" s="6" t="str">
        <f>IF(OR($A260="RTD"),IF(AND($AH260&lt;&gt;""),"YES","NO"),"N/A")</f>
        <v>N/A</v>
      </c>
      <c r="Q260" s="6" t="str">
        <f>IF(OR($A260="RTD"),IF(AND($AI260&lt;&gt;""),"YES","NO"),"N/A")</f>
        <v>N/A</v>
      </c>
      <c r="R260" s="6" t="str">
        <f>IF(OR($AM260&lt;&gt;"",$Z260&lt;&gt;"",$AC260&lt;&gt;""),"YES","NO")</f>
        <v>NO</v>
      </c>
      <c r="S260" s="6" t="str">
        <f>IF(COUNTIF(I260:R260,"NO")=0,"YES","NO")</f>
        <v>NO</v>
      </c>
      <c r="T260" s="15" t="n">
        <v>0</v>
      </c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  <c r="AF260" s="15" t="n"/>
      <c r="AG260" s="15" t="n"/>
      <c r="AH260" s="15" t="n"/>
      <c r="AI260" s="15" t="n"/>
      <c r="AJ260" s="15" t="inlineStr">
        <is>
          <t>ACIC</t>
        </is>
      </c>
      <c r="AK260" s="15" t="inlineStr">
        <is>
          <t>16AWG</t>
        </is>
      </c>
      <c r="AL260" s="15" t="inlineStr">
        <is>
          <t>Levy Ostrup</t>
        </is>
      </c>
      <c r="AM260" s="15" t="n"/>
      <c r="AN260" s="15" t="n"/>
    </row>
    <row r="261">
      <c r="A261" s="15" t="inlineStr">
        <is>
          <t>RTD Cable</t>
        </is>
      </c>
      <c r="B261" s="15" t="inlineStr">
        <is>
          <t>29103-ET-PG2301-2-R-1</t>
        </is>
      </c>
      <c r="C261" s="15" t="inlineStr">
        <is>
          <t>29103-ET-PG2301-2</t>
        </is>
      </c>
      <c r="D261" s="15" t="inlineStr"/>
      <c r="E261" s="15" t="inlineStr">
        <is>
          <t>29103-HTP-004</t>
        </is>
      </c>
      <c r="F261" s="15" t="inlineStr"/>
      <c r="G261" s="15" t="inlineStr">
        <is>
          <t>113</t>
        </is>
      </c>
      <c r="H261" s="15" t="inlineStr">
        <is>
          <t>1.4. 29103-HTP-004/4. RTD Cables/29103-ET-PG2301-2-R-1.pdf</t>
        </is>
      </c>
      <c r="I261" s="6" t="str">
        <f>IF($H261&lt;&gt;"","YES","NO")</f>
        <v>YES</v>
      </c>
      <c r="J261" s="6" t="str">
        <f>IF(N($T261)&gt;0,"YES","NO")</f>
        <v>NO</v>
      </c>
      <c r="K261" s="6" t="str">
        <f>IF(OR($A261="EHT Trace"),IF(AND($U261&lt;&gt;"",$V261&lt;&gt;""),"YES","NO"),"N/A")</f>
        <v>N/A</v>
      </c>
      <c r="L261" s="6" t="str">
        <f>IF(OR($A261="EHT Trace"),IF(AND($X261&lt;&gt;"",$Y261&lt;&gt;""),"YES","NO"),"N/A")</f>
        <v>N/A</v>
      </c>
      <c r="M261" s="6" t="str">
        <f>IF(OR($A261="EHT Trace"),IF(AND($AA261&lt;&gt;"",$AB261&lt;&gt;""),"YES","NO"),"N/A")</f>
        <v>N/A</v>
      </c>
      <c r="N261" s="6" t="str">
        <f>IF(OR($A261="Power Cable"),IF(AND($AD261&lt;&gt;""),"YES","NO"),"N/A")</f>
        <v>N/A</v>
      </c>
      <c r="O261" s="6" t="str">
        <f>IF(OR($A261="Power Cable",$A261="RTD Cable",$A261="Fieldbus Cable"),IF(AND($AE261&lt;&gt;""),"YES","NO"),"N/A")</f>
        <v>NO</v>
      </c>
      <c r="P261" s="6" t="str">
        <f>IF(OR($A261="RTD"),IF(AND($AH261&lt;&gt;""),"YES","NO"),"N/A")</f>
        <v>N/A</v>
      </c>
      <c r="Q261" s="6" t="str">
        <f>IF(OR($A261="RTD"),IF(AND($AI261&lt;&gt;""),"YES","NO"),"N/A")</f>
        <v>N/A</v>
      </c>
      <c r="R261" s="6" t="str">
        <f>IF(OR($AM261&lt;&gt;"",$Z261&lt;&gt;"",$AC261&lt;&gt;""),"YES","NO")</f>
        <v>NO</v>
      </c>
      <c r="S261" s="6" t="str">
        <f>IF(COUNTIF(I261:R261,"NO")=0,"YES","NO")</f>
        <v>NO</v>
      </c>
      <c r="T261" s="15" t="n">
        <v>0</v>
      </c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  <c r="AF261" s="15" t="n"/>
      <c r="AG261" s="15" t="n"/>
      <c r="AH261" s="15" t="n"/>
      <c r="AI261" s="15" t="n"/>
      <c r="AJ261" s="15" t="inlineStr">
        <is>
          <t>ACIC</t>
        </is>
      </c>
      <c r="AK261" s="15" t="inlineStr">
        <is>
          <t>16AWG</t>
        </is>
      </c>
      <c r="AL261" s="15" t="inlineStr">
        <is>
          <t>Levy Ostrup</t>
        </is>
      </c>
      <c r="AM261" s="15" t="n"/>
      <c r="AN261" s="15" t="n"/>
    </row>
    <row r="262">
      <c r="A262" s="15" t="inlineStr">
        <is>
          <t>RTD Cable</t>
        </is>
      </c>
      <c r="B262" s="15" t="inlineStr">
        <is>
          <t>29103-ET-PG2401-2-R-1</t>
        </is>
      </c>
      <c r="C262" s="15" t="inlineStr">
        <is>
          <t>29103-ET-PG2401-2</t>
        </is>
      </c>
      <c r="D262" s="15" t="inlineStr"/>
      <c r="E262" s="15" t="inlineStr">
        <is>
          <t>29103-HTP-004</t>
        </is>
      </c>
      <c r="F262" s="15" t="inlineStr"/>
      <c r="G262" s="15" t="inlineStr">
        <is>
          <t>113</t>
        </is>
      </c>
      <c r="H262" s="15" t="inlineStr">
        <is>
          <t>1.4. 29103-HTP-004/4. RTD Cables/29103-ET-PG2401-2-R-1.pdf</t>
        </is>
      </c>
      <c r="I262" s="6" t="str">
        <f>IF($H262&lt;&gt;"","YES","NO")</f>
        <v>YES</v>
      </c>
      <c r="J262" s="6" t="str">
        <f>IF(N($T262)&gt;0,"YES","NO")</f>
        <v>NO</v>
      </c>
      <c r="K262" s="6" t="str">
        <f>IF(OR($A262="EHT Trace"),IF(AND($U262&lt;&gt;"",$V262&lt;&gt;""),"YES","NO"),"N/A")</f>
        <v>N/A</v>
      </c>
      <c r="L262" s="6" t="str">
        <f>IF(OR($A262="EHT Trace"),IF(AND($X262&lt;&gt;"",$Y262&lt;&gt;""),"YES","NO"),"N/A")</f>
        <v>N/A</v>
      </c>
      <c r="M262" s="6" t="str">
        <f>IF(OR($A262="EHT Trace"),IF(AND($AA262&lt;&gt;"",$AB262&lt;&gt;""),"YES","NO"),"N/A")</f>
        <v>N/A</v>
      </c>
      <c r="N262" s="6" t="str">
        <f>IF(OR($A262="Power Cable"),IF(AND($AD262&lt;&gt;""),"YES","NO"),"N/A")</f>
        <v>N/A</v>
      </c>
      <c r="O262" s="6" t="str">
        <f>IF(OR($A262="Power Cable",$A262="RTD Cable",$A262="Fieldbus Cable"),IF(AND($AE262&lt;&gt;""),"YES","NO"),"N/A")</f>
        <v>NO</v>
      </c>
      <c r="P262" s="6" t="str">
        <f>IF(OR($A262="RTD"),IF(AND($AH262&lt;&gt;""),"YES","NO"),"N/A")</f>
        <v>N/A</v>
      </c>
      <c r="Q262" s="6" t="str">
        <f>IF(OR($A262="RTD"),IF(AND($AI262&lt;&gt;""),"YES","NO"),"N/A")</f>
        <v>N/A</v>
      </c>
      <c r="R262" s="6" t="str">
        <f>IF(OR($AM262&lt;&gt;"",$Z262&lt;&gt;"",$AC262&lt;&gt;""),"YES","NO")</f>
        <v>NO</v>
      </c>
      <c r="S262" s="6" t="str">
        <f>IF(COUNTIF(I262:R262,"NO")=0,"YES","NO")</f>
        <v>NO</v>
      </c>
      <c r="T262" s="15" t="n">
        <v>0</v>
      </c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  <c r="AF262" s="15" t="n"/>
      <c r="AG262" s="15" t="n"/>
      <c r="AH262" s="15" t="n"/>
      <c r="AI262" s="15" t="n"/>
      <c r="AJ262" s="15" t="inlineStr">
        <is>
          <t>ACIC</t>
        </is>
      </c>
      <c r="AK262" s="15" t="inlineStr">
        <is>
          <t>16AWG</t>
        </is>
      </c>
      <c r="AL262" s="15" t="inlineStr">
        <is>
          <t>Levy Ostrup</t>
        </is>
      </c>
      <c r="AM262" s="15" t="n"/>
      <c r="AN262" s="15" t="n"/>
    </row>
    <row r="263">
      <c r="A263" s="15" t="inlineStr">
        <is>
          <t>RTD Cable</t>
        </is>
      </c>
      <c r="B263" s="15" t="inlineStr">
        <is>
          <t>29103-RJB-008</t>
        </is>
      </c>
      <c r="C263" s="15" t="inlineStr"/>
      <c r="D263" s="15" t="inlineStr"/>
      <c r="E263" s="15" t="inlineStr">
        <is>
          <t>29103-HTP-004</t>
        </is>
      </c>
      <c r="F263" s="15" t="inlineStr"/>
      <c r="G263" s="15" t="inlineStr">
        <is>
          <t>113</t>
        </is>
      </c>
      <c r="H263" s="15" t="inlineStr">
        <is>
          <t>1.4. 29103-HTP-004/4. RTD Cables/29103-RJB-008.pdf</t>
        </is>
      </c>
      <c r="I263" s="6" t="str">
        <f>IF($H263&lt;&gt;"","YES","NO")</f>
        <v>YES</v>
      </c>
      <c r="J263" s="6" t="str">
        <f>IF(N($T263)&gt;0,"YES","NO")</f>
        <v>NO</v>
      </c>
      <c r="K263" s="6" t="str">
        <f>IF(OR($A263="EHT Trace"),IF(AND($U263&lt;&gt;"",$V263&lt;&gt;""),"YES","NO"),"N/A")</f>
        <v>N/A</v>
      </c>
      <c r="L263" s="6" t="str">
        <f>IF(OR($A263="EHT Trace"),IF(AND($X263&lt;&gt;"",$Y263&lt;&gt;""),"YES","NO"),"N/A")</f>
        <v>N/A</v>
      </c>
      <c r="M263" s="6" t="str">
        <f>IF(OR($A263="EHT Trace"),IF(AND($AA263&lt;&gt;"",$AB263&lt;&gt;""),"YES","NO"),"N/A")</f>
        <v>N/A</v>
      </c>
      <c r="N263" s="6" t="str">
        <f>IF(OR($A263="Power Cable"),IF(AND($AD263&lt;&gt;""),"YES","NO"),"N/A")</f>
        <v>N/A</v>
      </c>
      <c r="O263" s="6" t="str">
        <f>IF(OR($A263="Power Cable",$A263="RTD Cable",$A263="Fieldbus Cable"),IF(AND($AE263&lt;&gt;""),"YES","NO"),"N/A")</f>
        <v>NO</v>
      </c>
      <c r="P263" s="6" t="str">
        <f>IF(OR($A263="RTD"),IF(AND($AH263&lt;&gt;""),"YES","NO"),"N/A")</f>
        <v>N/A</v>
      </c>
      <c r="Q263" s="6" t="str">
        <f>IF(OR($A263="RTD"),IF(AND($AI263&lt;&gt;""),"YES","NO"),"N/A")</f>
        <v>N/A</v>
      </c>
      <c r="R263" s="6" t="str">
        <f>IF(OR($AM263&lt;&gt;"",$Z263&lt;&gt;"",$AC263&lt;&gt;""),"YES","NO")</f>
        <v>NO</v>
      </c>
      <c r="S263" s="6" t="str">
        <f>IF(COUNTIF(I263:R263,"NO")=0,"YES","NO")</f>
        <v>NO</v>
      </c>
      <c r="T263" s="15" t="n">
        <v>0</v>
      </c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  <c r="AF263" s="15" t="n"/>
      <c r="AG263" s="15" t="n"/>
      <c r="AH263" s="15" t="n"/>
      <c r="AI263" s="15" t="n"/>
      <c r="AJ263" s="15" t="inlineStr">
        <is>
          <t>ACIC</t>
        </is>
      </c>
      <c r="AK263" s="15" t="inlineStr">
        <is>
          <t>16AWG</t>
        </is>
      </c>
      <c r="AL263" s="15" t="inlineStr">
        <is>
          <t>Levy Ostrup</t>
        </is>
      </c>
      <c r="AM263" s="15" t="n"/>
      <c r="AN263" s="15" t="n"/>
    </row>
    <row r="264">
      <c r="A264" s="15" t="inlineStr">
        <is>
          <t>RTD Cable</t>
        </is>
      </c>
      <c r="B264" s="15" t="inlineStr">
        <is>
          <t>29103-RJB-009</t>
        </is>
      </c>
      <c r="C264" s="15" t="inlineStr"/>
      <c r="D264" s="15" t="inlineStr"/>
      <c r="E264" s="15" t="inlineStr">
        <is>
          <t>29103-HTP-004</t>
        </is>
      </c>
      <c r="F264" s="15" t="inlineStr"/>
      <c r="G264" s="15" t="inlineStr">
        <is>
          <t>113</t>
        </is>
      </c>
      <c r="H264" s="15" t="inlineStr">
        <is>
          <t>1.4. 29103-HTP-004/4. RTD Cables/29103-RJB-009.pdf</t>
        </is>
      </c>
      <c r="I264" s="6" t="str">
        <f>IF($H264&lt;&gt;"","YES","NO")</f>
        <v>YES</v>
      </c>
      <c r="J264" s="6" t="str">
        <f>IF(N($T264)&gt;0,"YES","NO")</f>
        <v>NO</v>
      </c>
      <c r="K264" s="6" t="str">
        <f>IF(OR($A264="EHT Trace"),IF(AND($U264&lt;&gt;"",$V264&lt;&gt;""),"YES","NO"),"N/A")</f>
        <v>N/A</v>
      </c>
      <c r="L264" s="6" t="str">
        <f>IF(OR($A264="EHT Trace"),IF(AND($X264&lt;&gt;"",$Y264&lt;&gt;""),"YES","NO"),"N/A")</f>
        <v>N/A</v>
      </c>
      <c r="M264" s="6" t="str">
        <f>IF(OR($A264="EHT Trace"),IF(AND($AA264&lt;&gt;"",$AB264&lt;&gt;""),"YES","NO"),"N/A")</f>
        <v>N/A</v>
      </c>
      <c r="N264" s="6" t="str">
        <f>IF(OR($A264="Power Cable"),IF(AND($AD264&lt;&gt;""),"YES","NO"),"N/A")</f>
        <v>N/A</v>
      </c>
      <c r="O264" s="6" t="str">
        <f>IF(OR($A264="Power Cable",$A264="RTD Cable",$A264="Fieldbus Cable"),IF(AND($AE264&lt;&gt;""),"YES","NO"),"N/A")</f>
        <v>NO</v>
      </c>
      <c r="P264" s="6" t="str">
        <f>IF(OR($A264="RTD"),IF(AND($AH264&lt;&gt;""),"YES","NO"),"N/A")</f>
        <v>N/A</v>
      </c>
      <c r="Q264" s="6" t="str">
        <f>IF(OR($A264="RTD"),IF(AND($AI264&lt;&gt;""),"YES","NO"),"N/A")</f>
        <v>N/A</v>
      </c>
      <c r="R264" s="6" t="str">
        <f>IF(OR($AM264&lt;&gt;"",$Z264&lt;&gt;"",$AC264&lt;&gt;""),"YES","NO")</f>
        <v>NO</v>
      </c>
      <c r="S264" s="6" t="str">
        <f>IF(COUNTIF(I264:R264,"NO")=0,"YES","NO")</f>
        <v>NO</v>
      </c>
      <c r="T264" s="15" t="n">
        <v>0</v>
      </c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  <c r="AF264" s="15" t="n"/>
      <c r="AG264" s="15" t="n"/>
      <c r="AH264" s="15" t="n"/>
      <c r="AI264" s="15" t="n"/>
      <c r="AJ264" s="15" t="inlineStr">
        <is>
          <t>ACIC</t>
        </is>
      </c>
      <c r="AK264" s="15" t="inlineStr">
        <is>
          <t>16AWG</t>
        </is>
      </c>
      <c r="AL264" s="15" t="inlineStr">
        <is>
          <t>Levy Ostrup</t>
        </is>
      </c>
      <c r="AM264" s="15" t="n"/>
      <c r="AN264" s="15" t="n"/>
    </row>
    <row r="265">
      <c r="A265" s="15" t="inlineStr">
        <is>
          <t>RTD Cable</t>
        </is>
      </c>
      <c r="B265" s="15" t="inlineStr">
        <is>
          <t>29103-RJB-010</t>
        </is>
      </c>
      <c r="C265" s="15" t="inlineStr"/>
      <c r="D265" s="15" t="inlineStr"/>
      <c r="E265" s="15" t="inlineStr">
        <is>
          <t>29103-HTP-004</t>
        </is>
      </c>
      <c r="F265" s="15" t="inlineStr"/>
      <c r="G265" s="15" t="inlineStr">
        <is>
          <t>113</t>
        </is>
      </c>
      <c r="H265" s="15" t="inlineStr">
        <is>
          <t>1.4. 29103-HTP-004/4. RTD Cables/29103-RJB-010.pdf</t>
        </is>
      </c>
      <c r="I265" s="6" t="str">
        <f>IF($H265&lt;&gt;"","YES","NO")</f>
        <v>YES</v>
      </c>
      <c r="J265" s="6" t="str">
        <f>IF(N($T265)&gt;0,"YES","NO")</f>
        <v>NO</v>
      </c>
      <c r="K265" s="6" t="str">
        <f>IF(OR($A265="EHT Trace"),IF(AND($U265&lt;&gt;"",$V265&lt;&gt;""),"YES","NO"),"N/A")</f>
        <v>N/A</v>
      </c>
      <c r="L265" s="6" t="str">
        <f>IF(OR($A265="EHT Trace"),IF(AND($X265&lt;&gt;"",$Y265&lt;&gt;""),"YES","NO"),"N/A")</f>
        <v>N/A</v>
      </c>
      <c r="M265" s="6" t="str">
        <f>IF(OR($A265="EHT Trace"),IF(AND($AA265&lt;&gt;"",$AB265&lt;&gt;""),"YES","NO"),"N/A")</f>
        <v>N/A</v>
      </c>
      <c r="N265" s="6" t="str">
        <f>IF(OR($A265="Power Cable"),IF(AND($AD265&lt;&gt;""),"YES","NO"),"N/A")</f>
        <v>N/A</v>
      </c>
      <c r="O265" s="6" t="str">
        <f>IF(OR($A265="Power Cable",$A265="RTD Cable",$A265="Fieldbus Cable"),IF(AND($AE265&lt;&gt;""),"YES","NO"),"N/A")</f>
        <v>NO</v>
      </c>
      <c r="P265" s="6" t="str">
        <f>IF(OR($A265="RTD"),IF(AND($AH265&lt;&gt;""),"YES","NO"),"N/A")</f>
        <v>N/A</v>
      </c>
      <c r="Q265" s="6" t="str">
        <f>IF(OR($A265="RTD"),IF(AND($AI265&lt;&gt;""),"YES","NO"),"N/A")</f>
        <v>N/A</v>
      </c>
      <c r="R265" s="6" t="str">
        <f>IF(OR($AM265&lt;&gt;"",$Z265&lt;&gt;"",$AC265&lt;&gt;""),"YES","NO")</f>
        <v>NO</v>
      </c>
      <c r="S265" s="6" t="str">
        <f>IF(COUNTIF(I265:R265,"NO")=0,"YES","NO")</f>
        <v>NO</v>
      </c>
      <c r="T265" s="15" t="n">
        <v>0</v>
      </c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  <c r="AF265" s="15" t="n"/>
      <c r="AG265" s="15" t="n"/>
      <c r="AH265" s="15" t="n"/>
      <c r="AI265" s="15" t="n"/>
      <c r="AJ265" s="15" t="inlineStr">
        <is>
          <t>ACIC</t>
        </is>
      </c>
      <c r="AK265" s="15" t="inlineStr">
        <is>
          <t>16AWG</t>
        </is>
      </c>
      <c r="AL265" s="15" t="inlineStr">
        <is>
          <t>Levy Ostrup</t>
        </is>
      </c>
      <c r="AM265" s="15" t="n"/>
      <c r="AN265" s="15" t="n"/>
    </row>
    <row r="266">
      <c r="A266" s="15" t="inlineStr">
        <is>
          <t>RTD Cable</t>
        </is>
      </c>
      <c r="B266" s="15" t="inlineStr">
        <is>
          <t>29103-RJB-011</t>
        </is>
      </c>
      <c r="C266" s="15" t="inlineStr"/>
      <c r="D266" s="15" t="inlineStr"/>
      <c r="E266" s="15" t="inlineStr">
        <is>
          <t>29103-HTP-004</t>
        </is>
      </c>
      <c r="F266" s="15" t="inlineStr"/>
      <c r="G266" s="15" t="inlineStr">
        <is>
          <t>113</t>
        </is>
      </c>
      <c r="H266" s="15" t="inlineStr">
        <is>
          <t>1.4. 29103-HTP-004/4. RTD Cables/29103-RJB-011.pdf</t>
        </is>
      </c>
      <c r="I266" s="6" t="str">
        <f>IF($H266&lt;&gt;"","YES","NO")</f>
        <v>YES</v>
      </c>
      <c r="J266" s="6" t="str">
        <f>IF(N($T266)&gt;0,"YES","NO")</f>
        <v>NO</v>
      </c>
      <c r="K266" s="6" t="str">
        <f>IF(OR($A266="EHT Trace"),IF(AND($U266&lt;&gt;"",$V266&lt;&gt;""),"YES","NO"),"N/A")</f>
        <v>N/A</v>
      </c>
      <c r="L266" s="6" t="str">
        <f>IF(OR($A266="EHT Trace"),IF(AND($X266&lt;&gt;"",$Y266&lt;&gt;""),"YES","NO"),"N/A")</f>
        <v>N/A</v>
      </c>
      <c r="M266" s="6" t="str">
        <f>IF(OR($A266="EHT Trace"),IF(AND($AA266&lt;&gt;"",$AB266&lt;&gt;""),"YES","NO"),"N/A")</f>
        <v>N/A</v>
      </c>
      <c r="N266" s="6" t="str">
        <f>IF(OR($A266="Power Cable"),IF(AND($AD266&lt;&gt;""),"YES","NO"),"N/A")</f>
        <v>N/A</v>
      </c>
      <c r="O266" s="6" t="str">
        <f>IF(OR($A266="Power Cable",$A266="RTD Cable",$A266="Fieldbus Cable"),IF(AND($AE266&lt;&gt;""),"YES","NO"),"N/A")</f>
        <v>NO</v>
      </c>
      <c r="P266" s="6" t="str">
        <f>IF(OR($A266="RTD"),IF(AND($AH266&lt;&gt;""),"YES","NO"),"N/A")</f>
        <v>N/A</v>
      </c>
      <c r="Q266" s="6" t="str">
        <f>IF(OR($A266="RTD"),IF(AND($AI266&lt;&gt;""),"YES","NO"),"N/A")</f>
        <v>N/A</v>
      </c>
      <c r="R266" s="6" t="str">
        <f>IF(OR($AM266&lt;&gt;"",$Z266&lt;&gt;"",$AC266&lt;&gt;""),"YES","NO")</f>
        <v>NO</v>
      </c>
      <c r="S266" s="6" t="str">
        <f>IF(COUNTIF(I266:R266,"NO")=0,"YES","NO")</f>
        <v>NO</v>
      </c>
      <c r="T266" s="15" t="n">
        <v>0</v>
      </c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  <c r="AF266" s="15" t="n"/>
      <c r="AG266" s="15" t="n"/>
      <c r="AH266" s="15" t="n"/>
      <c r="AI266" s="15" t="n"/>
      <c r="AJ266" s="15" t="inlineStr">
        <is>
          <t>ACIC</t>
        </is>
      </c>
      <c r="AK266" s="15" t="inlineStr">
        <is>
          <t>16AWG</t>
        </is>
      </c>
      <c r="AL266" s="15" t="inlineStr">
        <is>
          <t>Levy Ostrup</t>
        </is>
      </c>
      <c r="AM266" s="15" t="n"/>
      <c r="AN266" s="15" t="n"/>
    </row>
  </sheetData>
  <autoFilter ref="A4:AN266"/>
  <mergeCells count="3">
    <mergeCell ref="A3:H3"/>
    <mergeCell ref="I3:S3"/>
    <mergeCell ref="T3:AN3"/>
  </mergeCells>
  <conditionalFormatting sqref="I5:S266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29103-HTP-005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29103-ET-FG2401-1-1</t>
        </is>
      </c>
      <c r="C5" s="15" t="inlineStr">
        <is>
          <t>29103-ET-FG2401-1</t>
        </is>
      </c>
      <c r="D5" s="15" t="inlineStr">
        <is>
          <t>29103-AMB-009</t>
        </is>
      </c>
      <c r="E5" s="15" t="inlineStr">
        <is>
          <t>29103-FG-2401</t>
        </is>
      </c>
      <c r="F5" s="15" t="inlineStr">
        <is>
          <t>29103-65R-ET-FG2401-01-01</t>
        </is>
      </c>
      <c r="G5" s="15" t="inlineStr">
        <is>
          <t>13.1</t>
        </is>
      </c>
      <c r="H5" s="15" t="inlineStr">
        <is>
          <t>1.5. 29103-HTP-005/1. EHT Insulation/29103-ET-FG2401-1-1.pdf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23.5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29103-ET-FG2401-1-2</t>
        </is>
      </c>
      <c r="C6" s="15" t="inlineStr">
        <is>
          <t>29103-ET-FG2401-1</t>
        </is>
      </c>
      <c r="D6" s="15" t="inlineStr">
        <is>
          <t>29103-AMB-009</t>
        </is>
      </c>
      <c r="E6" s="15" t="inlineStr"/>
      <c r="F6" s="15" t="inlineStr">
        <is>
          <t>29103-65R-ET-FG2401-01-01</t>
        </is>
      </c>
      <c r="G6" s="15" t="inlineStr">
        <is>
          <t>13.1</t>
        </is>
      </c>
      <c r="H6" s="15" t="inlineStr">
        <is>
          <t>1.5. 29103-HTP-005/1. EHT Insulation/29103-ET-FG2401-1-2.pdf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29103-ET-FG2403-1-1</t>
        </is>
      </c>
      <c r="C7" s="15" t="inlineStr">
        <is>
          <t>29103-ET-FG2403-1</t>
        </is>
      </c>
      <c r="D7" s="15" t="inlineStr">
        <is>
          <t>29103-AMB-009</t>
        </is>
      </c>
      <c r="E7" s="15" t="inlineStr">
        <is>
          <t>29103-FG-2403</t>
        </is>
      </c>
      <c r="F7" s="15" t="inlineStr">
        <is>
          <t>29103-65R-ET-FG2403-01-01</t>
        </is>
      </c>
      <c r="G7" s="15" t="inlineStr">
        <is>
          <t>13.1</t>
        </is>
      </c>
      <c r="H7" s="15" t="inlineStr">
        <is>
          <t>1.5. 29103-HTP-005/1. EHT Insulation/29103-ET-FG2403-1-1.pdf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11.4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29103-ET-FG2403-1-2</t>
        </is>
      </c>
      <c r="C8" s="15" t="inlineStr">
        <is>
          <t>29103-ET-FG2403-1</t>
        </is>
      </c>
      <c r="D8" s="15" t="inlineStr">
        <is>
          <t>29103-AMB-009</t>
        </is>
      </c>
      <c r="E8" s="15" t="inlineStr">
        <is>
          <t>29103-FG-2403</t>
        </is>
      </c>
      <c r="F8" s="15" t="inlineStr">
        <is>
          <t>29103-65R-ET-FG2403-01-01</t>
        </is>
      </c>
      <c r="G8" s="15" t="inlineStr">
        <is>
          <t>13.1</t>
        </is>
      </c>
      <c r="H8" s="15" t="inlineStr">
        <is>
          <t>1.5. 29103-HTP-005/1. EHT Insulation/29103-ET-FG2403-1-2.pdf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12.9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29103-ET-FG2403-1-3</t>
        </is>
      </c>
      <c r="C9" s="15" t="inlineStr">
        <is>
          <t>29103-ET-FG2403-1</t>
        </is>
      </c>
      <c r="D9" s="15" t="inlineStr">
        <is>
          <t>29103-AMB-009</t>
        </is>
      </c>
      <c r="E9" s="15" t="inlineStr"/>
      <c r="F9" s="15" t="inlineStr">
        <is>
          <t>29103-65R-ET-FG2403-01-01</t>
        </is>
      </c>
      <c r="G9" s="15" t="inlineStr">
        <is>
          <t>13.1</t>
        </is>
      </c>
      <c r="H9" s="15" t="inlineStr">
        <is>
          <t>1.5. 29103-HTP-005/1. EHT Insulation/29103-ET-FG2403-1-3.pdf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6.1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29103-ET-FG2403-1-4</t>
        </is>
      </c>
      <c r="C10" s="15" t="inlineStr">
        <is>
          <t>29103-ET-FG2403-1</t>
        </is>
      </c>
      <c r="D10" s="15" t="inlineStr">
        <is>
          <t>29103-AMB-009</t>
        </is>
      </c>
      <c r="E10" s="15" t="inlineStr"/>
      <c r="F10" s="15" t="inlineStr">
        <is>
          <t>29103-65R-ET-FG2403-01-01</t>
        </is>
      </c>
      <c r="G10" s="15" t="inlineStr">
        <is>
          <t>13.1</t>
        </is>
      </c>
      <c r="H10" s="15" t="inlineStr">
        <is>
          <t>1.5. 29103-HTP-005/1. EHT Insulation/29103-ET-FG2403-1-4.pdf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13.2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29103-ET-FG2501-1-1</t>
        </is>
      </c>
      <c r="C11" s="15" t="inlineStr">
        <is>
          <t>29103-ET-FG2501-1</t>
        </is>
      </c>
      <c r="D11" s="15" t="inlineStr">
        <is>
          <t>29103-AMB-009</t>
        </is>
      </c>
      <c r="E11" s="15" t="inlineStr">
        <is>
          <t>29103-FG-2501</t>
        </is>
      </c>
      <c r="F11" s="15" t="inlineStr">
        <is>
          <t>29103-65R-ET-FG2501-01-01</t>
        </is>
      </c>
      <c r="G11" s="15" t="inlineStr">
        <is>
          <t>13.1</t>
        </is>
      </c>
      <c r="H11" s="15" t="inlineStr">
        <is>
          <t>1.5. 29103-HTP-005/1. EHT Insulation/29103-ET-FG2501-1-1.pdf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22.8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29103-ET-FG2503-1-1</t>
        </is>
      </c>
      <c r="C12" s="15" t="inlineStr">
        <is>
          <t>29103-ET-FG2503-1</t>
        </is>
      </c>
      <c r="D12" s="15" t="inlineStr">
        <is>
          <t>29103-AMB-009</t>
        </is>
      </c>
      <c r="E12" s="15" t="inlineStr">
        <is>
          <t>29103-FG-2503</t>
        </is>
      </c>
      <c r="F12" s="15" t="inlineStr">
        <is>
          <t>29103-65R-ET-FG2503-01-01</t>
        </is>
      </c>
      <c r="G12" s="15" t="inlineStr">
        <is>
          <t>13.1</t>
        </is>
      </c>
      <c r="H12" s="15" t="inlineStr">
        <is>
          <t>1.5. 29103-HTP-005/1. EHT Insulation/29103-ET-FG2503-1-1.pdf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14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29103-ET-FG2503-1-2</t>
        </is>
      </c>
      <c r="C13" s="15" t="inlineStr">
        <is>
          <t>29103-ET-FG2503-1</t>
        </is>
      </c>
      <c r="D13" s="15" t="inlineStr">
        <is>
          <t>29103-AMB-009</t>
        </is>
      </c>
      <c r="E13" s="15" t="inlineStr">
        <is>
          <t>29103-FG-2503</t>
        </is>
      </c>
      <c r="F13" s="15" t="inlineStr">
        <is>
          <t>29103-65R-ET-FG2503-01-01</t>
        </is>
      </c>
      <c r="G13" s="15" t="inlineStr">
        <is>
          <t>13.1</t>
        </is>
      </c>
      <c r="H13" s="15" t="inlineStr">
        <is>
          <t>1.5. 29103-HTP-005/1. EHT Insulation/29103-ET-FG2503-1-2.pdf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15.4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29103-ET-FG2503-1-3</t>
        </is>
      </c>
      <c r="C14" s="15" t="inlineStr">
        <is>
          <t>29103-ET-FG2503-1</t>
        </is>
      </c>
      <c r="D14" s="15" t="inlineStr">
        <is>
          <t>29103-AMB-009</t>
        </is>
      </c>
      <c r="E14" s="15" t="inlineStr"/>
      <c r="F14" s="15" t="inlineStr">
        <is>
          <t>29103-65R-ET-FG2503-01-01</t>
        </is>
      </c>
      <c r="G14" s="15" t="inlineStr">
        <is>
          <t>13.1</t>
        </is>
      </c>
      <c r="H14" s="15" t="inlineStr">
        <is>
          <t>1.5. 29103-HTP-005/1. EHT Insulation/29103-ET-FG2503-1-3.pdf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6.5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29103-ET-FG2503-1-4</t>
        </is>
      </c>
      <c r="C15" s="15" t="inlineStr">
        <is>
          <t>29103-ET-FG2503-1</t>
        </is>
      </c>
      <c r="D15" s="15" t="inlineStr">
        <is>
          <t>29103-AMB-009</t>
        </is>
      </c>
      <c r="E15" s="15" t="inlineStr"/>
      <c r="F15" s="15" t="inlineStr">
        <is>
          <t>29103-65R-ET-FG2503-01-01</t>
        </is>
      </c>
      <c r="G15" s="15" t="inlineStr">
        <is>
          <t>13.1</t>
        </is>
      </c>
      <c r="H15" s="15" t="inlineStr">
        <is>
          <t>1.5. 29103-HTP-005/1. EHT Insulation/29103-ET-FG2503-1-4.pdf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29103-ET-FG2601-1-1</t>
        </is>
      </c>
      <c r="C16" s="15" t="inlineStr">
        <is>
          <t>29103-ET-FG2601-1</t>
        </is>
      </c>
      <c r="D16" s="15" t="inlineStr">
        <is>
          <t>29103-AMB-011</t>
        </is>
      </c>
      <c r="E16" s="15" t="inlineStr">
        <is>
          <t>29103-FG-2601</t>
        </is>
      </c>
      <c r="F16" s="15" t="inlineStr">
        <is>
          <t>29103-65R-ET-FG2601-01-01</t>
        </is>
      </c>
      <c r="G16" s="15" t="inlineStr">
        <is>
          <t>13.1</t>
        </is>
      </c>
      <c r="H16" s="15" t="inlineStr">
        <is>
          <t>1.5. 29103-HTP-005/1. EHT Insulation/29103-ET-FG2601-1-1.pdf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23.6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29103-ET-FG2603-1-1</t>
        </is>
      </c>
      <c r="C17" s="15" t="inlineStr">
        <is>
          <t>29103-ET-FG2603-1</t>
        </is>
      </c>
      <c r="D17" s="15" t="inlineStr">
        <is>
          <t>29103-AMB-011</t>
        </is>
      </c>
      <c r="E17" s="15" t="inlineStr">
        <is>
          <t>29103-FG-2603</t>
        </is>
      </c>
      <c r="F17" s="15" t="inlineStr">
        <is>
          <t>29103-65R-ET-FG2603-01-01</t>
        </is>
      </c>
      <c r="G17" s="15" t="inlineStr">
        <is>
          <t>13.1</t>
        </is>
      </c>
      <c r="H17" s="15" t="inlineStr">
        <is>
          <t>1.5. 29103-HTP-005/1. EHT Insulation/29103-ET-FG2603-1-1.pdf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11.3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29103-ET-FG2603-1-2</t>
        </is>
      </c>
      <c r="C18" s="15" t="inlineStr">
        <is>
          <t>29103-ET-FG2603-1</t>
        </is>
      </c>
      <c r="D18" s="15" t="inlineStr">
        <is>
          <t>29103-AMB-011</t>
        </is>
      </c>
      <c r="E18" s="15" t="inlineStr">
        <is>
          <t>29103-FG-2603</t>
        </is>
      </c>
      <c r="F18" s="15" t="inlineStr">
        <is>
          <t>29103-65R-ET-FG2603-01-01</t>
        </is>
      </c>
      <c r="G18" s="15" t="inlineStr">
        <is>
          <t>13.1</t>
        </is>
      </c>
      <c r="H18" s="15" t="inlineStr">
        <is>
          <t>1.5. 29103-HTP-005/1. EHT Insulation/29103-ET-FG2603-1-2.pdf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12.9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29103-ET-FG2603-1-3</t>
        </is>
      </c>
      <c r="C19" s="15" t="inlineStr">
        <is>
          <t>29103-ET-FG2603-1</t>
        </is>
      </c>
      <c r="D19" s="15" t="inlineStr">
        <is>
          <t>29103-AMB-011</t>
        </is>
      </c>
      <c r="E19" s="15" t="inlineStr"/>
      <c r="F19" s="15" t="inlineStr">
        <is>
          <t>29103-65R-ET-FG2603-01-01</t>
        </is>
      </c>
      <c r="G19" s="15" t="inlineStr">
        <is>
          <t>13.1</t>
        </is>
      </c>
      <c r="H19" s="15" t="inlineStr">
        <is>
          <t>1.5. 29103-HTP-005/1. EHT Insulation/29103-ET-FG2603-1-3.pdf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6.1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29103-ET-FG2603-1-4</t>
        </is>
      </c>
      <c r="C20" s="15" t="inlineStr">
        <is>
          <t>29103-ET-FG2603-1</t>
        </is>
      </c>
      <c r="D20" s="15" t="inlineStr">
        <is>
          <t>29103-AMB-011</t>
        </is>
      </c>
      <c r="E20" s="15" t="inlineStr"/>
      <c r="F20" s="15" t="inlineStr">
        <is>
          <t>29103-65R-ET-FG2603-01-01</t>
        </is>
      </c>
      <c r="G20" s="15" t="inlineStr">
        <is>
          <t>13.1</t>
        </is>
      </c>
      <c r="H20" s="15" t="inlineStr">
        <is>
          <t>1.5. 29103-HTP-005/1. EHT Insulation/29103-ET-FG2603-1-4.pdf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13.2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29103-ET-FG2605-1-1</t>
        </is>
      </c>
      <c r="C21" s="15" t="inlineStr">
        <is>
          <t>29103-ET-FG2605-1</t>
        </is>
      </c>
      <c r="D21" s="15" t="inlineStr">
        <is>
          <t>29103-AMB-012</t>
        </is>
      </c>
      <c r="E21" s="15" t="inlineStr">
        <is>
          <t>29103-FG-2606, 29103-FG-2605</t>
        </is>
      </c>
      <c r="F21" s="15" t="inlineStr">
        <is>
          <t>29103-65R-ET-FG2605-01-01</t>
        </is>
      </c>
      <c r="G21" s="15" t="inlineStr">
        <is>
          <t>13.1</t>
        </is>
      </c>
      <c r="H21" s="15" t="inlineStr">
        <is>
          <t>1.5. 29103-HTP-005/1. EHT Insulation/29103-ET-FG2605-1-1.pdf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YES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inlineStr">
        <is>
          <t>&gt;2.2 GΩ</t>
        </is>
      </c>
      <c r="V21" s="15" t="inlineStr">
        <is>
          <t>324.5 Ω</t>
        </is>
      </c>
      <c r="W21" s="15" t="inlineStr">
        <is>
          <t>2026-05-17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D/32SA2600/16M/243/277/1.2M/LS23A/X/N12</t>
        </is>
      </c>
      <c r="AK21" s="15" t="inlineStr">
        <is>
          <t>16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29103-ET-FG2701-1-1</t>
        </is>
      </c>
      <c r="C22" s="15" t="inlineStr">
        <is>
          <t>29103-ET-FG2701-1</t>
        </is>
      </c>
      <c r="D22" s="15" t="inlineStr">
        <is>
          <t>29103-AMB-011</t>
        </is>
      </c>
      <c r="E22" s="15" t="inlineStr">
        <is>
          <t>29103-FG-2701</t>
        </is>
      </c>
      <c r="F22" s="15" t="inlineStr">
        <is>
          <t>29103-65R-ET-FG2701-01-01</t>
        </is>
      </c>
      <c r="G22" s="15" t="inlineStr">
        <is>
          <t>13.1</t>
        </is>
      </c>
      <c r="H22" s="15" t="inlineStr">
        <is>
          <t>1.5. 29103-HTP-005/1. EHT Insulation/29103-ET-FG2701-1-1.pdf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22.9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29103-ET-FG2703-1-1</t>
        </is>
      </c>
      <c r="C23" s="15" t="inlineStr">
        <is>
          <t>29103-ET-FG2703-1</t>
        </is>
      </c>
      <c r="D23" s="15" t="inlineStr">
        <is>
          <t>29103-AMB-011</t>
        </is>
      </c>
      <c r="E23" s="15" t="inlineStr">
        <is>
          <t>29103-FG-2703</t>
        </is>
      </c>
      <c r="F23" s="15" t="inlineStr">
        <is>
          <t>29103-65R-ET-FG2703-01-01</t>
        </is>
      </c>
      <c r="G23" s="15" t="inlineStr">
        <is>
          <t>13.1</t>
        </is>
      </c>
      <c r="H23" s="15" t="inlineStr">
        <is>
          <t>1.5. 29103-HTP-005/1. EHT Insulation/29103-ET-FG2703-1-1.pdf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5XTVR2-CT</t>
        </is>
      </c>
      <c r="AK23" s="15" t="inlineStr">
        <is>
          <t>13.9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29103-ET-FG2703-1-2</t>
        </is>
      </c>
      <c r="C24" s="15" t="inlineStr">
        <is>
          <t>29103-ET-FG2703-1</t>
        </is>
      </c>
      <c r="D24" s="15" t="inlineStr">
        <is>
          <t>29103-AMB-011</t>
        </is>
      </c>
      <c r="E24" s="15" t="inlineStr">
        <is>
          <t>29103-FG-2703</t>
        </is>
      </c>
      <c r="F24" s="15" t="inlineStr">
        <is>
          <t>29103-65R-ET-FG2703-01-01</t>
        </is>
      </c>
      <c r="G24" s="15" t="inlineStr">
        <is>
          <t>13.1</t>
        </is>
      </c>
      <c r="H24" s="15" t="inlineStr">
        <is>
          <t>1.5. 29103-HTP-005/1. EHT Insulation/29103-ET-FG2703-1-2.pdf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17.4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29103-ET-FG2703-1-3</t>
        </is>
      </c>
      <c r="C25" s="15" t="inlineStr">
        <is>
          <t>29103-ET-FG2703-1</t>
        </is>
      </c>
      <c r="D25" s="15" t="inlineStr">
        <is>
          <t>29103-AMB-011</t>
        </is>
      </c>
      <c r="E25" s="15" t="inlineStr"/>
      <c r="F25" s="15" t="inlineStr">
        <is>
          <t>29103-65R-ET-FG2703-01-01</t>
        </is>
      </c>
      <c r="G25" s="15" t="inlineStr">
        <is>
          <t>13.1</t>
        </is>
      </c>
      <c r="H25" s="15" t="inlineStr">
        <is>
          <t>1.5. 29103-HTP-005/1. EHT Insulation/29103-ET-FG2703-1-3.pdf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5XTVR2-CT</t>
        </is>
      </c>
      <c r="AK25" s="15" t="inlineStr">
        <is>
          <t>6.5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29103-ET-FG2703-1-4</t>
        </is>
      </c>
      <c r="C26" s="15" t="inlineStr">
        <is>
          <t>29103-ET-FG2703-1</t>
        </is>
      </c>
      <c r="D26" s="15" t="inlineStr">
        <is>
          <t>29103-AMB-011</t>
        </is>
      </c>
      <c r="E26" s="15" t="inlineStr"/>
      <c r="F26" s="15" t="inlineStr">
        <is>
          <t>29103-65R-ET-FG2703-01-01</t>
        </is>
      </c>
      <c r="G26" s="15" t="inlineStr">
        <is>
          <t>13.1</t>
        </is>
      </c>
      <c r="H26" s="15" t="inlineStr">
        <is>
          <t>1.5. 29103-HTP-005/1. EHT Insulation/29103-ET-FG2703-1-4.pdf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29103-ET-P2401-1-1</t>
        </is>
      </c>
      <c r="C27" s="15" t="inlineStr">
        <is>
          <t>29103-ET-P2401-1</t>
        </is>
      </c>
      <c r="D27" s="15" t="inlineStr">
        <is>
          <t>HTC-05 / CB-05</t>
        </is>
      </c>
      <c r="E27" s="15" t="inlineStr">
        <is>
          <t>29103-P-2401</t>
        </is>
      </c>
      <c r="F27" s="15" t="inlineStr">
        <is>
          <t>29103-65R-ET-P2401-01-01</t>
        </is>
      </c>
      <c r="G27" s="15" t="inlineStr">
        <is>
          <t>13.1</t>
        </is>
      </c>
      <c r="H27" s="15" t="inlineStr">
        <is>
          <t>1.5. 29103-HTP-005/1. EHT Insulation/29103-ET-P2401-1-1.pdf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E/32SQ3374/20.6M/1001/165/1.2M/LS23A/X/N12/XNF</t>
        </is>
      </c>
      <c r="AK27" s="15" t="inlineStr">
        <is>
          <t>20.6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29103-ET-P2401-1-2</t>
        </is>
      </c>
      <c r="C28" s="15" t="inlineStr">
        <is>
          <t>29103-ET-P2401-1</t>
        </is>
      </c>
      <c r="D28" s="15" t="inlineStr">
        <is>
          <t>HTC-05 / CB-05</t>
        </is>
      </c>
      <c r="E28" s="15" t="inlineStr">
        <is>
          <t>29103-P-2401</t>
        </is>
      </c>
      <c r="F28" s="15" t="inlineStr">
        <is>
          <t>29103-65R-ET-P2401-01-01</t>
        </is>
      </c>
      <c r="G28" s="15" t="inlineStr">
        <is>
          <t>13.1</t>
        </is>
      </c>
      <c r="H28" s="15" t="inlineStr">
        <is>
          <t>1.5. 29103-HTP-005/1. EHT Insulation/29103-ET-P2401-1-2.pdf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D/32SQ3374/13.9M/676/112/1.2M/LS23A/X/N12/XMN</t>
        </is>
      </c>
      <c r="AK28" s="15" t="inlineStr">
        <is>
          <t>13.9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29103-ET-P2501-1-1</t>
        </is>
      </c>
      <c r="C29" s="15" t="inlineStr">
        <is>
          <t>29103-ET-P2501-1</t>
        </is>
      </c>
      <c r="D29" s="15" t="inlineStr">
        <is>
          <t>HTC-04 / CB-04</t>
        </is>
      </c>
      <c r="E29" s="15" t="inlineStr">
        <is>
          <t>29103-P-2501</t>
        </is>
      </c>
      <c r="F29" s="15" t="inlineStr">
        <is>
          <t>29103-65R-ET-P2501-01-01</t>
        </is>
      </c>
      <c r="G29" s="15" t="inlineStr">
        <is>
          <t>13.1</t>
        </is>
      </c>
      <c r="H29" s="15" t="inlineStr">
        <is>
          <t>1.5. 29103-HTP-005/1. EHT Insulation/29103-ET-P2501-1-1.pdf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E/32SQ3374/20.5M/1007/166/1.2M/LS23A/X/N12/XNF</t>
        </is>
      </c>
      <c r="AK29" s="15" t="inlineStr">
        <is>
          <t>20.5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29103-ET-P2501-1-2</t>
        </is>
      </c>
      <c r="C30" s="15" t="inlineStr">
        <is>
          <t>29103-ET-P2501-1</t>
        </is>
      </c>
      <c r="D30" s="15" t="inlineStr">
        <is>
          <t>HTC-04 / CB-04</t>
        </is>
      </c>
      <c r="E30" s="15" t="inlineStr">
        <is>
          <t>29103-P-2501</t>
        </is>
      </c>
      <c r="F30" s="15" t="inlineStr">
        <is>
          <t>29103-65R-ET-P2501-01-01</t>
        </is>
      </c>
      <c r="G30" s="15" t="inlineStr">
        <is>
          <t>13.1</t>
        </is>
      </c>
      <c r="H30" s="15" t="inlineStr">
        <is>
          <t>1.5. 29103-HTP-005/1. EHT Insulation/29103-ET-P2501-1-2.pdf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D/32SQ3374/13.8M/678/111/1.2M/LS23A/X/N12/XMN</t>
        </is>
      </c>
      <c r="AK30" s="15" t="inlineStr">
        <is>
          <t>13.8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29103-ET-P2504-1-1</t>
        </is>
      </c>
      <c r="C31" s="15" t="inlineStr">
        <is>
          <t>29103-ET-P2504-1</t>
        </is>
      </c>
      <c r="D31" s="15" t="inlineStr">
        <is>
          <t>HTC-09 / CB-09</t>
        </is>
      </c>
      <c r="E31" s="15" t="inlineStr">
        <is>
          <t>29103-PE-2501, 29103-P-2504</t>
        </is>
      </c>
      <c r="F31" s="15" t="inlineStr">
        <is>
          <t>29103-65R-ET-P2504-01-01</t>
        </is>
      </c>
      <c r="G31" s="15" t="inlineStr">
        <is>
          <t>13.1</t>
        </is>
      </c>
      <c r="H31" s="15" t="inlineStr">
        <is>
          <t>1.5. 29103-HTP-005/1. EHT Insulation/29103-ET-P2504-1-1.pdf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D/32SA2200/20.9M/554/277/1.2M/LS23A/X/N12</t>
        </is>
      </c>
      <c r="AK31" s="15" t="inlineStr">
        <is>
          <t>20.9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29103-ET-P2504-1-2</t>
        </is>
      </c>
      <c r="C32" s="15" t="inlineStr">
        <is>
          <t>29103-ET-P2504-1</t>
        </is>
      </c>
      <c r="D32" s="15" t="inlineStr">
        <is>
          <t>HTC-09 / CB-09</t>
        </is>
      </c>
      <c r="E32" s="15" t="inlineStr">
        <is>
          <t>29103-P-2504</t>
        </is>
      </c>
      <c r="F32" s="15" t="inlineStr">
        <is>
          <t>29103-65R-ET-P2504-01-01</t>
        </is>
      </c>
      <c r="G32" s="15" t="inlineStr">
        <is>
          <t>13.1</t>
        </is>
      </c>
      <c r="H32" s="15" t="inlineStr">
        <is>
          <t>1.5. 29103-HTP-005/1. EHT Insulation/29103-ET-P2504-1-2.pdf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12.7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E/32SQ3472/8M/461/78.9/1.2M/LS23A/X/N12/XNF</t>
        </is>
      </c>
      <c r="AK32" s="15" t="inlineStr">
        <is>
          <t>8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29103-ET-P2504-1-3</t>
        </is>
      </c>
      <c r="C33" s="15" t="inlineStr">
        <is>
          <t>29103-ET-P2504-1</t>
        </is>
      </c>
      <c r="D33" s="15" t="inlineStr">
        <is>
          <t>HTC-09 / CB-09</t>
        </is>
      </c>
      <c r="E33" s="15" t="inlineStr">
        <is>
          <t>29103-P-2504</t>
        </is>
      </c>
      <c r="F33" s="15" t="inlineStr">
        <is>
          <t>29103-65R-ET-P2504-01-01</t>
        </is>
      </c>
      <c r="G33" s="15" t="inlineStr">
        <is>
          <t>13.1</t>
        </is>
      </c>
      <c r="H33" s="15" t="inlineStr">
        <is>
          <t>1.5. 29103-HTP-005/1. EHT Insulation/29103-ET-P2504-1-3.pdf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11.4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E/32SQ3472/7M/403/69/1.2M/LS23A/X/N12/XMF</t>
        </is>
      </c>
      <c r="AK33" s="15" t="inlineStr">
        <is>
          <t>7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29103-ET-P2504-1-4</t>
        </is>
      </c>
      <c r="C34" s="15" t="inlineStr">
        <is>
          <t>29103-ET-P2504-1</t>
        </is>
      </c>
      <c r="D34" s="15" t="inlineStr">
        <is>
          <t>HTC-09 / CB-09</t>
        </is>
      </c>
      <c r="E34" s="15" t="inlineStr">
        <is>
          <t>29103-P-2504</t>
        </is>
      </c>
      <c r="F34" s="15" t="inlineStr">
        <is>
          <t>29103-65R-ET-P2504-01-01</t>
        </is>
      </c>
      <c r="G34" s="15" t="inlineStr">
        <is>
          <t>13.1</t>
        </is>
      </c>
      <c r="H34" s="15" t="inlineStr">
        <is>
          <t>1.5. 29103-HTP-005/1. EHT Insulation/29103-ET-P2504-1-4.pdf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20.9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D/32SQ3472/13.1M/755/129/1.2M/LS23A/X/N12/XMN</t>
        </is>
      </c>
      <c r="AK34" s="15" t="inlineStr">
        <is>
          <t>13.1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29103-ET-P2504-2-1</t>
        </is>
      </c>
      <c r="C35" s="15" t="inlineStr">
        <is>
          <t>29103-ET-P2504-2</t>
        </is>
      </c>
      <c r="D35" s="15" t="inlineStr">
        <is>
          <t>HTC-20 / CB-20</t>
        </is>
      </c>
      <c r="E35" s="15" t="inlineStr">
        <is>
          <t>29103-P-2504, 29103-FG-2502</t>
        </is>
      </c>
      <c r="F35" s="15" t="inlineStr">
        <is>
          <t>29103-65R-ET-P2504-02-01</t>
        </is>
      </c>
      <c r="G35" s="15" t="inlineStr">
        <is>
          <t>13.1</t>
        </is>
      </c>
      <c r="H35" s="15" t="inlineStr">
        <is>
          <t>1.5. 29103-HTP-005/1. EHT Insulation/29103-ET-P2504-2-1.pdf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YES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inlineStr">
        <is>
          <t>&gt;2.2 GΩ</t>
        </is>
      </c>
      <c r="V35" s="15" t="inlineStr">
        <is>
          <t>371.4 Ω</t>
        </is>
      </c>
      <c r="W35" s="15" t="inlineStr">
        <is>
          <t>2026-05-17</t>
        </is>
      </c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D/32SF1180/6.2M/207/277/1.2M/LS23A/X/N12</t>
        </is>
      </c>
      <c r="AK35" s="15" t="inlineStr">
        <is>
          <t>6.2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29103-ET-P2601-1-1</t>
        </is>
      </c>
      <c r="C36" s="15" t="inlineStr">
        <is>
          <t>29103-ET-P2601-1</t>
        </is>
      </c>
      <c r="D36" s="15" t="inlineStr">
        <is>
          <t>HTC-35 / CB-35</t>
        </is>
      </c>
      <c r="E36" s="15" t="inlineStr">
        <is>
          <t>29103-P-2601</t>
        </is>
      </c>
      <c r="F36" s="15" t="inlineStr">
        <is>
          <t>29103-65R-ET-P2601-01-01</t>
        </is>
      </c>
      <c r="G36" s="15" t="inlineStr">
        <is>
          <t>13.1</t>
        </is>
      </c>
      <c r="H36" s="15" t="inlineStr">
        <is>
          <t>1.5. 29103-HTP-005/1. EHT Insulation/29103-ET-P2601-1-1.pdf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E/32SQ3374/20.6M/1001/165/1.2M/LS23A/X/N12/XNF</t>
        </is>
      </c>
      <c r="AK36" s="15" t="inlineStr">
        <is>
          <t>20.6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29103-ET-P2601-1-2</t>
        </is>
      </c>
      <c r="C37" s="15" t="inlineStr">
        <is>
          <t>29103-ET-P2601-1</t>
        </is>
      </c>
      <c r="D37" s="15" t="inlineStr">
        <is>
          <t>HTC-35 / CB-35</t>
        </is>
      </c>
      <c r="E37" s="15" t="inlineStr">
        <is>
          <t>29103-P-2601</t>
        </is>
      </c>
      <c r="F37" s="15" t="inlineStr">
        <is>
          <t>29103-65R-ET-P2601-01-01</t>
        </is>
      </c>
      <c r="G37" s="15" t="inlineStr">
        <is>
          <t>13.1</t>
        </is>
      </c>
      <c r="H37" s="15" t="inlineStr">
        <is>
          <t>1.5. 29103-HTP-005/1. EHT Insulation/29103-ET-P2601-1-2.pdf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D/32SQ3374/13.9M/676/112/1.2M/LS23A/X/N12/XMN</t>
        </is>
      </c>
      <c r="AK37" s="15" t="inlineStr">
        <is>
          <t>13.9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29103-ET-P2604-1-1</t>
        </is>
      </c>
      <c r="C38" s="15" t="inlineStr">
        <is>
          <t>29103-ET-P2604-1</t>
        </is>
      </c>
      <c r="D38" s="15" t="inlineStr">
        <is>
          <t>HTC-32 / CB-32</t>
        </is>
      </c>
      <c r="E38" s="15" t="inlineStr">
        <is>
          <t>29103-PE-2601, 29103-P-2604</t>
        </is>
      </c>
      <c r="F38" s="15" t="inlineStr">
        <is>
          <t>29103-65R-ET-P2604-01-01</t>
        </is>
      </c>
      <c r="G38" s="15" t="inlineStr">
        <is>
          <t>13.1</t>
        </is>
      </c>
      <c r="H38" s="15" t="inlineStr">
        <is>
          <t>1.5. 29103-HTP-005/1. EHT Insulation/29103-ET-P2604-1-1.pdf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D/32SA2200/20.9M/554/277/1.2M/LS23A/X/N12</t>
        </is>
      </c>
      <c r="AK38" s="15" t="inlineStr">
        <is>
          <t>20.9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29103-ET-P2604-1-2</t>
        </is>
      </c>
      <c r="C39" s="15" t="inlineStr">
        <is>
          <t>29103-ET-P2604-1</t>
        </is>
      </c>
      <c r="D39" s="15" t="inlineStr">
        <is>
          <t>HTC-32 / CB-32</t>
        </is>
      </c>
      <c r="E39" s="15" t="inlineStr">
        <is>
          <t>29103-P-2604</t>
        </is>
      </c>
      <c r="F39" s="15" t="inlineStr">
        <is>
          <t>29103-65R-ET-P2604-01-01</t>
        </is>
      </c>
      <c r="G39" s="15" t="inlineStr">
        <is>
          <t>13.1</t>
        </is>
      </c>
      <c r="H39" s="15" t="inlineStr">
        <is>
          <t>1.5. 29103-HTP-005/1. EHT Insulation/29103-ET-P2604-1-2.pdf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10.5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E/32SQ3472/6.5M/416/67.7/1.2M/LS23A/X/N12/XNF</t>
        </is>
      </c>
      <c r="AK39" s="15" t="inlineStr">
        <is>
          <t>6.5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29103-ET-P2604-1-3</t>
        </is>
      </c>
      <c r="C40" s="15" t="inlineStr">
        <is>
          <t>29103-ET-P2604-1</t>
        </is>
      </c>
      <c r="D40" s="15" t="inlineStr">
        <is>
          <t>HTC-32 / CB-32</t>
        </is>
      </c>
      <c r="E40" s="15" t="inlineStr">
        <is>
          <t>29103-P-2604</t>
        </is>
      </c>
      <c r="F40" s="15" t="inlineStr">
        <is>
          <t>29103-65R-ET-P2604-01-01</t>
        </is>
      </c>
      <c r="G40" s="15" t="inlineStr">
        <is>
          <t>13.1</t>
        </is>
      </c>
      <c r="H40" s="15" t="inlineStr">
        <is>
          <t>1.5. 29103-HTP-005/1. EHT Insulation/29103-ET-P2604-1-3.pdf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11.3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E/32SQ3472/7M/448/72.9/1.2M/LS23A/X/N12/XMF</t>
        </is>
      </c>
      <c r="AK40" s="15" t="inlineStr">
        <is>
          <t>7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29103-ET-P2604-1-4</t>
        </is>
      </c>
      <c r="C41" s="15" t="inlineStr">
        <is>
          <t>29103-ET-P2604-1</t>
        </is>
      </c>
      <c r="D41" s="15" t="inlineStr">
        <is>
          <t>HTC-32 / CB-32</t>
        </is>
      </c>
      <c r="E41" s="15" t="inlineStr">
        <is>
          <t>29103-P-2604</t>
        </is>
      </c>
      <c r="F41" s="15" t="inlineStr">
        <is>
          <t>29103-65R-ET-P2604-01-01</t>
        </is>
      </c>
      <c r="G41" s="15" t="inlineStr">
        <is>
          <t>13.1</t>
        </is>
      </c>
      <c r="H41" s="15" t="inlineStr">
        <is>
          <t>1.5. 29103-HTP-005/1. EHT Insulation/29103-ET-P2604-1-4.pdf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20.9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D/32SQ3472/13.1M/838/136/1.2M/LS23A/X/N12/XMN</t>
        </is>
      </c>
      <c r="AK41" s="15" t="inlineStr">
        <is>
          <t>13.1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29103-ET-P2604-2-1</t>
        </is>
      </c>
      <c r="C42" s="15" t="inlineStr">
        <is>
          <t>29103-ET-P2604-2</t>
        </is>
      </c>
      <c r="D42" s="15" t="inlineStr">
        <is>
          <t>HTC-24 / CB-24</t>
        </is>
      </c>
      <c r="E42" s="15" t="inlineStr">
        <is>
          <t>29103-P-2604, 29103-FG-2602</t>
        </is>
      </c>
      <c r="F42" s="15" t="inlineStr">
        <is>
          <t>29103-65R-ET-P2604-02-01</t>
        </is>
      </c>
      <c r="G42" s="15" t="inlineStr">
        <is>
          <t>13.1</t>
        </is>
      </c>
      <c r="H42" s="15" t="inlineStr">
        <is>
          <t>1.5. 29103-HTP-005/1. EHT Insulation/29103-ET-P2604-2-1.pdf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YES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inlineStr">
        <is>
          <t>&gt;2.2 GΩ</t>
        </is>
      </c>
      <c r="V42" s="15" t="inlineStr">
        <is>
          <t>262.4 Ω</t>
        </is>
      </c>
      <c r="W42" s="15" t="inlineStr">
        <is>
          <t>2026-05-17</t>
        </is>
      </c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D/32SF1110/7M/299/277/1.2M/LS23A/X/N12</t>
        </is>
      </c>
      <c r="AK42" s="15" t="inlineStr">
        <is>
          <t>7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29103-ET-P2701-1-1</t>
        </is>
      </c>
      <c r="C43" s="15" t="inlineStr">
        <is>
          <t>29103-ET-P2701-1</t>
        </is>
      </c>
      <c r="D43" s="15" t="inlineStr">
        <is>
          <t>HTC-22 / CB-22</t>
        </is>
      </c>
      <c r="E43" s="15" t="inlineStr">
        <is>
          <t>29103-P-2701</t>
        </is>
      </c>
      <c r="F43" s="15" t="inlineStr">
        <is>
          <t>29103-65R-ET-P2701-01-01</t>
        </is>
      </c>
      <c r="G43" s="15" t="inlineStr">
        <is>
          <t>13.1</t>
        </is>
      </c>
      <c r="H43" s="15" t="inlineStr">
        <is>
          <t>1.5. 29103-HTP-005/1. EHT Insulation/29103-ET-P2701-1-1.pdf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E/32SQ3374/20.5M/1007/166/1.2M/LS23A/X/N12/XNF</t>
        </is>
      </c>
      <c r="AK43" s="15" t="inlineStr">
        <is>
          <t>20.5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29103-ET-P2701-1-2</t>
        </is>
      </c>
      <c r="C44" s="15" t="inlineStr">
        <is>
          <t>29103-ET-P2701-1</t>
        </is>
      </c>
      <c r="D44" s="15" t="inlineStr">
        <is>
          <t>HTC-22 / CB-22</t>
        </is>
      </c>
      <c r="E44" s="15" t="inlineStr">
        <is>
          <t>29103-P-2701</t>
        </is>
      </c>
      <c r="F44" s="15" t="inlineStr">
        <is>
          <t>29103-65R-ET-P2701-01-01</t>
        </is>
      </c>
      <c r="G44" s="15" t="inlineStr">
        <is>
          <t>13.1</t>
        </is>
      </c>
      <c r="H44" s="15" t="inlineStr">
        <is>
          <t>1.5. 29103-HTP-005/1. EHT Insulation/29103-ET-P2701-1-2.pdf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D/32SQ3374/13.8M/678/111/1.2M/LS23A/X/N12/XMN</t>
        </is>
      </c>
      <c r="AK44" s="15" t="inlineStr">
        <is>
          <t>13.8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29103-ET-P2704-1-1</t>
        </is>
      </c>
      <c r="C45" s="15" t="inlineStr">
        <is>
          <t>29103-ET-P2704-1</t>
        </is>
      </c>
      <c r="D45" s="15" t="inlineStr">
        <is>
          <t>HTC-29 / CB-29</t>
        </is>
      </c>
      <c r="E45" s="15" t="inlineStr">
        <is>
          <t>29103-PE-2701, 29103-P-2704</t>
        </is>
      </c>
      <c r="F45" s="15" t="inlineStr">
        <is>
          <t>29103-65R-ET-P2704-01-01</t>
        </is>
      </c>
      <c r="G45" s="15" t="inlineStr">
        <is>
          <t>13.1</t>
        </is>
      </c>
      <c r="H45" s="15" t="inlineStr">
        <is>
          <t>1.5. 29103-HTP-005/1. EHT Insulation/29103-ET-P2704-1-1.pdf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NO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D/32SA2200/20.9M/554/277/1.2M/LS23A/X/N12</t>
        </is>
      </c>
      <c r="AK45" s="15" t="inlineStr">
        <is>
          <t>20.9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29103-ET-P2704-1-2</t>
        </is>
      </c>
      <c r="C46" s="15" t="inlineStr">
        <is>
          <t>29103-ET-P2704-1</t>
        </is>
      </c>
      <c r="D46" s="15" t="inlineStr">
        <is>
          <t>HTC-29 / CB-29</t>
        </is>
      </c>
      <c r="E46" s="15" t="inlineStr">
        <is>
          <t>29103-P-2704</t>
        </is>
      </c>
      <c r="F46" s="15" t="inlineStr">
        <is>
          <t>29103-65R-ET-P2704-01-01</t>
        </is>
      </c>
      <c r="G46" s="15" t="inlineStr">
        <is>
          <t>13.1</t>
        </is>
      </c>
      <c r="H46" s="15" t="inlineStr">
        <is>
          <t>1.5. 29103-HTP-005/1. EHT Insulation/29103-ET-P2704-1-2.pdf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12.8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E/32SQ3472/8M/461/78.9/1.2M/LS23A/X/N12/XNF</t>
        </is>
      </c>
      <c r="AK46" s="15" t="inlineStr">
        <is>
          <t>8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29103-ET-P2704-1-3</t>
        </is>
      </c>
      <c r="C47" s="15" t="inlineStr">
        <is>
          <t>29103-ET-P2704-1</t>
        </is>
      </c>
      <c r="D47" s="15" t="inlineStr">
        <is>
          <t>HTC-29 / CB-29</t>
        </is>
      </c>
      <c r="E47" s="15" t="inlineStr">
        <is>
          <t>29103-P-2704</t>
        </is>
      </c>
      <c r="F47" s="15" t="inlineStr">
        <is>
          <t>29103-65R-ET-P2704-01-01</t>
        </is>
      </c>
      <c r="G47" s="15" t="inlineStr">
        <is>
          <t>13.1</t>
        </is>
      </c>
      <c r="H47" s="15" t="inlineStr">
        <is>
          <t>1.5. 29103-HTP-005/1. EHT Insulation/29103-ET-P2704-1-3.pdf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11.3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E/32SQ3472/7M/403/69/1.2M/LS23A/X/N12/XMF</t>
        </is>
      </c>
      <c r="AK47" s="15" t="inlineStr">
        <is>
          <t>7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29103-ET-P2704-1-4</t>
        </is>
      </c>
      <c r="C48" s="15" t="inlineStr">
        <is>
          <t>29103-ET-P2704-1</t>
        </is>
      </c>
      <c r="D48" s="15" t="inlineStr">
        <is>
          <t>HTC-29 / CB-29</t>
        </is>
      </c>
      <c r="E48" s="15" t="inlineStr">
        <is>
          <t>29103-P-2704</t>
        </is>
      </c>
      <c r="F48" s="15" t="inlineStr">
        <is>
          <t>29103-65R-ET-P2704-01-01</t>
        </is>
      </c>
      <c r="G48" s="15" t="inlineStr">
        <is>
          <t>13.1</t>
        </is>
      </c>
      <c r="H48" s="15" t="inlineStr">
        <is>
          <t>1.5. 29103-HTP-005/1. EHT Insulation/29103-ET-P2704-1-4.pdf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20.9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D/32SQ3472/13.1M/755/129/1.2M/LS23A/X/N12/XMN</t>
        </is>
      </c>
      <c r="AK48" s="15" t="inlineStr">
        <is>
          <t>13.1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29103-ET-P2704-2-1</t>
        </is>
      </c>
      <c r="C49" s="15" t="inlineStr">
        <is>
          <t>29103-ET-P2704-2</t>
        </is>
      </c>
      <c r="D49" s="15" t="inlineStr">
        <is>
          <t>HTC-27 / CB-27</t>
        </is>
      </c>
      <c r="E49" s="15" t="inlineStr">
        <is>
          <t>29103-P-2704, 29103-FG-2702</t>
        </is>
      </c>
      <c r="F49" s="15" t="inlineStr">
        <is>
          <t>29103-65R-ET-P2704-02-01</t>
        </is>
      </c>
      <c r="G49" s="15" t="inlineStr">
        <is>
          <t>13.1</t>
        </is>
      </c>
      <c r="H49" s="15" t="inlineStr">
        <is>
          <t>1.5. 29103-HTP-005/1. EHT Insulation/29103-ET-P2704-2-1.pdf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YES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inlineStr">
        <is>
          <t>&gt;2.2 GΩ</t>
        </is>
      </c>
      <c r="V49" s="15" t="inlineStr">
        <is>
          <t>368 Ω</t>
        </is>
      </c>
      <c r="W49" s="15" t="inlineStr">
        <is>
          <t>2026-05-17</t>
        </is>
      </c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D/32SF1180/6.2M/207/277/1.2M/LS23A/X/N12</t>
        </is>
      </c>
      <c r="AK49" s="15" t="inlineStr">
        <is>
          <t>6.2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29103-ET-P2800-1-1</t>
        </is>
      </c>
      <c r="C50" s="15" t="inlineStr">
        <is>
          <t>29103-ET-P2800-1</t>
        </is>
      </c>
      <c r="D50" s="15" t="inlineStr">
        <is>
          <t>HTC-17 / CB-17</t>
        </is>
      </c>
      <c r="E50" s="15" t="inlineStr">
        <is>
          <t>29103-P-2800</t>
        </is>
      </c>
      <c r="F50" s="15" t="inlineStr">
        <is>
          <t>29103-65R-ET-P2800-01-01</t>
        </is>
      </c>
      <c r="G50" s="15" t="inlineStr">
        <is>
          <t>13.1</t>
        </is>
      </c>
      <c r="H50" s="15" t="inlineStr">
        <is>
          <t>1.5. 29103-HTP-005/1. EHT Insulation/29103-ET-P2800-1-1.pdf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D/32SP4734/58.6M/2332/198/2.1M/LS23A/X/N12</t>
        </is>
      </c>
      <c r="AK50" s="15" t="inlineStr">
        <is>
          <t>58.6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29103-ET-P2800-1-2</t>
        </is>
      </c>
      <c r="C51" s="15" t="inlineStr">
        <is>
          <t>29103-ET-P2800-1</t>
        </is>
      </c>
      <c r="D51" s="15" t="inlineStr">
        <is>
          <t>HTC-17 / CB-17</t>
        </is>
      </c>
      <c r="E51" s="15" t="inlineStr">
        <is>
          <t>29103-P-2800</t>
        </is>
      </c>
      <c r="F51" s="15" t="inlineStr">
        <is>
          <t>29103-65R-ET-P2800-01-01</t>
        </is>
      </c>
      <c r="G51" s="15" t="inlineStr">
        <is>
          <t>13.1</t>
        </is>
      </c>
      <c r="H51" s="15" t="inlineStr">
        <is>
          <t>1.5. 29103-HTP-005/1. EHT Insulation/29103-ET-P2800-1-2.pdf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D/32SP4734/23.3M/927/78.8/2.1M/LS23A/X/N12</t>
        </is>
      </c>
      <c r="AK51" s="15" t="inlineStr">
        <is>
          <t>23.3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29103-ET-PE2401-1-1</t>
        </is>
      </c>
      <c r="C52" s="15" t="inlineStr">
        <is>
          <t>29103-ET-PE2401-1</t>
        </is>
      </c>
      <c r="D52" s="15" t="inlineStr">
        <is>
          <t>HTC-08 / CB-08</t>
        </is>
      </c>
      <c r="E52" s="15" t="inlineStr">
        <is>
          <t>29103-PE-2401</t>
        </is>
      </c>
      <c r="F52" s="15" t="inlineStr">
        <is>
          <t>29103-65R-ET-PE2401-01-01</t>
        </is>
      </c>
      <c r="G52" s="15" t="inlineStr">
        <is>
          <t>13.1</t>
        </is>
      </c>
      <c r="H52" s="15" t="inlineStr">
        <is>
          <t>1.5. 29103-HTP-005/1. EHT Insulation/29103-ET-PE2401-1-1.pdf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D/32SF1110/7.5M/280/277/1.2M/LS23A/X/N12</t>
        </is>
      </c>
      <c r="AK52" s="15" t="inlineStr">
        <is>
          <t>7.5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29103-ET-PE2401-1-2</t>
        </is>
      </c>
      <c r="C53" s="15" t="inlineStr">
        <is>
          <t>29103-ET-PE2401-1</t>
        </is>
      </c>
      <c r="D53" s="15" t="inlineStr">
        <is>
          <t>HTC-08 / CB-08</t>
        </is>
      </c>
      <c r="E53" s="15" t="inlineStr">
        <is>
          <t>29103-PE-2401</t>
        </is>
      </c>
      <c r="F53" s="15" t="inlineStr">
        <is>
          <t>29103-65R-ET-PE2401-01-01</t>
        </is>
      </c>
      <c r="G53" s="15" t="inlineStr">
        <is>
          <t>13.1</t>
        </is>
      </c>
      <c r="H53" s="15" t="inlineStr">
        <is>
          <t>1.5. 29103-HTP-005/1. EHT Insulation/29103-ET-PE2401-1-2.pdf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E/32SQ3472/10.8M/522/97.1/1.2M/LS23A/X/N12/XNF</t>
        </is>
      </c>
      <c r="AK53" s="15" t="inlineStr">
        <is>
          <t>10.8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29103-ET-PE2401-1-3</t>
        </is>
      </c>
      <c r="C54" s="15" t="inlineStr">
        <is>
          <t>29103-ET-PE2401-1</t>
        </is>
      </c>
      <c r="D54" s="15" t="inlineStr">
        <is>
          <t>HTC-08 / CB-08</t>
        </is>
      </c>
      <c r="E54" s="15" t="inlineStr">
        <is>
          <t>29103-PE-2401</t>
        </is>
      </c>
      <c r="F54" s="15" t="inlineStr">
        <is>
          <t>29103-65R-ET-PE2401-01-01</t>
        </is>
      </c>
      <c r="G54" s="15" t="inlineStr">
        <is>
          <t>13.1</t>
        </is>
      </c>
      <c r="H54" s="15" t="inlineStr">
        <is>
          <t>1.5. 29103-HTP-005/1. EHT Insulation/29103-ET-PE2401-1-3.pdf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E/32SQ3472/6.6M/319/59.4/1.2M/LS23A/X/N12/XMF</t>
        </is>
      </c>
      <c r="AK54" s="15" t="inlineStr">
        <is>
          <t>6.6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29103-ET-PE2401-1-4</t>
        </is>
      </c>
      <c r="C55" s="15" t="inlineStr">
        <is>
          <t>29103-ET-PE2401-1</t>
        </is>
      </c>
      <c r="D55" s="15" t="inlineStr">
        <is>
          <t>HTC-08 / CB-08</t>
        </is>
      </c>
      <c r="E55" s="15" t="inlineStr">
        <is>
          <t>29103-PE-2401</t>
        </is>
      </c>
      <c r="F55" s="15" t="inlineStr">
        <is>
          <t>29103-65R-ET-PE2401-01-01</t>
        </is>
      </c>
      <c r="G55" s="15" t="inlineStr">
        <is>
          <t>13.1</t>
        </is>
      </c>
      <c r="H55" s="15" t="inlineStr">
        <is>
          <t>1.5. 29103-HTP-005/1. EHT Insulation/29103-ET-PE2401-1-4.pdf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D/32SQ3472/13.4M/647/121/1.2M/LS23A/X/N12/XMN</t>
        </is>
      </c>
      <c r="AK55" s="15" t="inlineStr">
        <is>
          <t>13.4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29103-ET-PE2501-1-1</t>
        </is>
      </c>
      <c r="C56" s="15" t="inlineStr">
        <is>
          <t>29103-ET-PE2501-1</t>
        </is>
      </c>
      <c r="D56" s="15" t="inlineStr">
        <is>
          <t>HTC-10 / CB-10</t>
        </is>
      </c>
      <c r="E56" s="15" t="inlineStr">
        <is>
          <t>29103-PE-2501</t>
        </is>
      </c>
      <c r="F56" s="15" t="inlineStr">
        <is>
          <t>29103-65R-ET-PE2501-01-01</t>
        </is>
      </c>
      <c r="G56" s="15" t="inlineStr">
        <is>
          <t>13.1</t>
        </is>
      </c>
      <c r="H56" s="15" t="inlineStr">
        <is>
          <t>1.5. 29103-HTP-005/1. EHT Insulation/29103-ET-PE2501-1-1.pdf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D/32SF1110/7.8M/269/277/1.2M/LS23A/X/N12</t>
        </is>
      </c>
      <c r="AK56" s="15" t="inlineStr">
        <is>
          <t>7.8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29103-ET-PE2501-1-2</t>
        </is>
      </c>
      <c r="C57" s="15" t="inlineStr">
        <is>
          <t>29103-ET-PE2501-1</t>
        </is>
      </c>
      <c r="D57" s="15" t="inlineStr">
        <is>
          <t>HTC-10 / CB-10</t>
        </is>
      </c>
      <c r="E57" s="15" t="inlineStr">
        <is>
          <t>29103-PE-2501</t>
        </is>
      </c>
      <c r="F57" s="15" t="inlineStr">
        <is>
          <t>29103-65R-ET-PE2501-01-01</t>
        </is>
      </c>
      <c r="G57" s="15" t="inlineStr">
        <is>
          <t>13.1</t>
        </is>
      </c>
      <c r="H57" s="15" t="inlineStr">
        <is>
          <t>1.5. 29103-HTP-005/1. EHT Insulation/29103-ET-PE2501-1-2.pdf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E/32SQ3472/9.5M/505/89.8/1.2M/LS23A/X/N12/XNF</t>
        </is>
      </c>
      <c r="AK57" s="15" t="inlineStr">
        <is>
          <t>9.5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29103-ET-PE2501-1-3</t>
        </is>
      </c>
      <c r="C58" s="15" t="inlineStr">
        <is>
          <t>29103-ET-PE2501-1</t>
        </is>
      </c>
      <c r="D58" s="15" t="inlineStr">
        <is>
          <t>HTC-10 / CB-10</t>
        </is>
      </c>
      <c r="E58" s="15" t="inlineStr">
        <is>
          <t>29103-PE-2501</t>
        </is>
      </c>
      <c r="F58" s="15" t="inlineStr">
        <is>
          <t>29103-65R-ET-PE2501-01-01</t>
        </is>
      </c>
      <c r="G58" s="15" t="inlineStr">
        <is>
          <t>13.1</t>
        </is>
      </c>
      <c r="H58" s="15" t="inlineStr">
        <is>
          <t>1.5. 29103-HTP-005/1. EHT Insulation/29103-ET-PE2501-1-3.pdf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E/32SQ3472/6.6M/351/62.4/1.2M/LS23A/X/N12/XMF</t>
        </is>
      </c>
      <c r="AK58" s="15" t="inlineStr">
        <is>
          <t>6.6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29103-ET-PE2501-1-4</t>
        </is>
      </c>
      <c r="C59" s="15" t="inlineStr">
        <is>
          <t>29103-ET-PE2501-1</t>
        </is>
      </c>
      <c r="D59" s="15" t="inlineStr">
        <is>
          <t>HTC-10 / CB-10</t>
        </is>
      </c>
      <c r="E59" s="15" t="inlineStr">
        <is>
          <t>29103-PE-2501</t>
        </is>
      </c>
      <c r="F59" s="15" t="inlineStr">
        <is>
          <t>29103-65R-ET-PE2501-01-01</t>
        </is>
      </c>
      <c r="G59" s="15" t="inlineStr">
        <is>
          <t>13.1</t>
        </is>
      </c>
      <c r="H59" s="15" t="inlineStr">
        <is>
          <t>1.5. 29103-HTP-005/1. EHT Insulation/29103-ET-PE2501-1-4.pdf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D/32SQ3472/13.2M/702/125/1.2M/LS23A/X/N12/XMN</t>
        </is>
      </c>
      <c r="AK59" s="15" t="inlineStr">
        <is>
          <t>13.2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29103-ET-PE2501-2-1</t>
        </is>
      </c>
      <c r="C60" s="15" t="inlineStr">
        <is>
          <t>29103-ET-PE2501-2</t>
        </is>
      </c>
      <c r="D60" s="15" t="inlineStr">
        <is>
          <t>HTC-07 / CB-07</t>
        </is>
      </c>
      <c r="E60" s="15" t="inlineStr">
        <is>
          <t>29103-PE-2501</t>
        </is>
      </c>
      <c r="F60" s="15" t="inlineStr">
        <is>
          <t>29103-65R-ET-PE2501-02-01</t>
        </is>
      </c>
      <c r="G60" s="15" t="inlineStr">
        <is>
          <t>13.1</t>
        </is>
      </c>
      <c r="H60" s="15" t="inlineStr">
        <is>
          <t>1.5. 29103-HTP-005/1. EHT Insulation/29103-ET-PE2501-2-1.pdf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D/32SQ3200/52.5M/2063/277/1.2M/LS23A/X/N12</t>
        </is>
      </c>
      <c r="AK60" s="15" t="inlineStr">
        <is>
          <t>52.5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29103-ET-PE2501-2-2</t>
        </is>
      </c>
      <c r="C61" s="15" t="inlineStr">
        <is>
          <t>29103-ET-PE2501-2</t>
        </is>
      </c>
      <c r="D61" s="15" t="inlineStr">
        <is>
          <t>HTC-07 / CB-07</t>
        </is>
      </c>
      <c r="E61" s="15" t="inlineStr">
        <is>
          <t>29103-PE-2501</t>
        </is>
      </c>
      <c r="F61" s="15" t="inlineStr">
        <is>
          <t>29103-65R-ET-PE2501-02-01</t>
        </is>
      </c>
      <c r="G61" s="15" t="inlineStr">
        <is>
          <t>13.1</t>
        </is>
      </c>
      <c r="H61" s="15" t="inlineStr">
        <is>
          <t>1.5. 29103-HTP-005/1. EHT Insulation/29103-ET-PE2501-2-2.pdf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D/32SB2114/29.4M/694/277/1.2M/LS23A/X/N12</t>
        </is>
      </c>
      <c r="AK61" s="15" t="inlineStr">
        <is>
          <t>29.4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29103-ET-PE2502-1-1</t>
        </is>
      </c>
      <c r="C62" s="15" t="inlineStr">
        <is>
          <t>29103-ET-PE2502-1</t>
        </is>
      </c>
      <c r="D62" s="15" t="inlineStr">
        <is>
          <t>HTC-06 / CB-06</t>
        </is>
      </c>
      <c r="E62" s="15" t="inlineStr">
        <is>
          <t>29103-PE-2503, 29103-PE-2502</t>
        </is>
      </c>
      <c r="F62" s="15" t="inlineStr">
        <is>
          <t>29103-65R-ET-PE2502-01-01</t>
        </is>
      </c>
      <c r="G62" s="15" t="inlineStr">
        <is>
          <t>13.1</t>
        </is>
      </c>
      <c r="H62" s="15" t="inlineStr">
        <is>
          <t>1.5. 29103-HTP-005/1. EHT Insulation/29103-ET-PE2502-1-1.pdf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D/32SQ3374/34.9M/1658/277/1.2M/LS23A/X/N12</t>
        </is>
      </c>
      <c r="AK62" s="15" t="inlineStr">
        <is>
          <t>34.9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29103-ET-PE2601-1-1</t>
        </is>
      </c>
      <c r="C63" s="15" t="inlineStr">
        <is>
          <t>29103-ET-PE2601-1</t>
        </is>
      </c>
      <c r="D63" s="15" t="inlineStr">
        <is>
          <t>HTC-31 / CB-31</t>
        </is>
      </c>
      <c r="E63" s="15" t="inlineStr">
        <is>
          <t>29103-PE-2601</t>
        </is>
      </c>
      <c r="F63" s="15" t="inlineStr">
        <is>
          <t>29103-65R-ET-PE2601-01-01</t>
        </is>
      </c>
      <c r="G63" s="15" t="inlineStr">
        <is>
          <t>13.1</t>
        </is>
      </c>
      <c r="H63" s="15" t="inlineStr">
        <is>
          <t>1.5. 29103-HTP-005/1. EHT Insulation/29103-ET-PE2601-1-1.pdf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D/32SF1110/7.5M/280/277/1.2M/LS23A/X/N12</t>
        </is>
      </c>
      <c r="AK63" s="15" t="inlineStr">
        <is>
          <t>7.5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29103-ET-PE2601-1-2</t>
        </is>
      </c>
      <c r="C64" s="15" t="inlineStr">
        <is>
          <t>29103-ET-PE2601-1</t>
        </is>
      </c>
      <c r="D64" s="15" t="inlineStr">
        <is>
          <t>HTC-31 / CB-31</t>
        </is>
      </c>
      <c r="E64" s="15" t="inlineStr">
        <is>
          <t>29103-PE-2601</t>
        </is>
      </c>
      <c r="F64" s="15" t="inlineStr">
        <is>
          <t>29103-65R-ET-PE2601-01-01</t>
        </is>
      </c>
      <c r="G64" s="15" t="inlineStr">
        <is>
          <t>13.1</t>
        </is>
      </c>
      <c r="H64" s="15" t="inlineStr">
        <is>
          <t>1.5. 29103-HTP-005/1. EHT Insulation/29103-ET-PE2601-1-2.pdf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E/32SQ3472/10.8M/522/97.1/1.2M/LS23A/X/N12/XNF</t>
        </is>
      </c>
      <c r="AK64" s="15" t="inlineStr">
        <is>
          <t>10.8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29103-ET-PE2601-1-3</t>
        </is>
      </c>
      <c r="C65" s="15" t="inlineStr">
        <is>
          <t>29103-ET-PE2601-1</t>
        </is>
      </c>
      <c r="D65" s="15" t="inlineStr">
        <is>
          <t>HTC-31 / CB-31</t>
        </is>
      </c>
      <c r="E65" s="15" t="inlineStr">
        <is>
          <t>29103-PE-2601</t>
        </is>
      </c>
      <c r="F65" s="15" t="inlineStr">
        <is>
          <t>29103-65R-ET-PE2601-01-01</t>
        </is>
      </c>
      <c r="G65" s="15" t="inlineStr">
        <is>
          <t>13.1</t>
        </is>
      </c>
      <c r="H65" s="15" t="inlineStr">
        <is>
          <t>1.5. 29103-HTP-005/1. EHT Insulation/29103-ET-PE2601-1-3.pdf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E/32SQ3472/6.6M/319/59.4/1.2M/LS23A/X/N12/XMF</t>
        </is>
      </c>
      <c r="AK65" s="15" t="inlineStr">
        <is>
          <t>6.6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29103-ET-PE2601-1-4</t>
        </is>
      </c>
      <c r="C66" s="15" t="inlineStr">
        <is>
          <t>29103-ET-PE2601-1</t>
        </is>
      </c>
      <c r="D66" s="15" t="inlineStr">
        <is>
          <t>HTC-31 / CB-31</t>
        </is>
      </c>
      <c r="E66" s="15" t="inlineStr">
        <is>
          <t>29103-PE-2601</t>
        </is>
      </c>
      <c r="F66" s="15" t="inlineStr">
        <is>
          <t>29103-65R-ET-PE2601-01-01</t>
        </is>
      </c>
      <c r="G66" s="15" t="inlineStr">
        <is>
          <t>13.1</t>
        </is>
      </c>
      <c r="H66" s="15" t="inlineStr">
        <is>
          <t>1.5. 29103-HTP-005/1. EHT Insulation/29103-ET-PE2601-1-4.pdf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D/32SQ3472/13.4M/647/121/1.2M/LS23A/X/N12/XMN</t>
        </is>
      </c>
      <c r="AK66" s="15" t="inlineStr">
        <is>
          <t>13.4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29103-ET-PE2601-2-1</t>
        </is>
      </c>
      <c r="C67" s="15" t="inlineStr">
        <is>
          <t>29103-ET-PE2601-2</t>
        </is>
      </c>
      <c r="D67" s="15" t="inlineStr">
        <is>
          <t>HTC-12 / CB-12</t>
        </is>
      </c>
      <c r="E67" s="15" t="inlineStr">
        <is>
          <t>29103-PE-2601</t>
        </is>
      </c>
      <c r="F67" s="15" t="inlineStr">
        <is>
          <t>29103-65R-ET-PE2601-02-01</t>
        </is>
      </c>
      <c r="G67" s="15" t="inlineStr">
        <is>
          <t>13.1</t>
        </is>
      </c>
      <c r="H67" s="15" t="inlineStr">
        <is>
          <t>1.5. 29103-HTP-005/1. EHT Insulation/29103-ET-PE2601-2-1.pdf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D/32SQ3200/52.1M/2079/277/1.2M/LS23A/X/N12</t>
        </is>
      </c>
      <c r="AK67" s="15" t="inlineStr">
        <is>
          <t>52.1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29103-ET-PE2601-2-2</t>
        </is>
      </c>
      <c r="C68" s="15" t="inlineStr">
        <is>
          <t>29103-ET-PE2601-2</t>
        </is>
      </c>
      <c r="D68" s="15" t="inlineStr">
        <is>
          <t>HTC-12 / CB-12</t>
        </is>
      </c>
      <c r="E68" s="15" t="inlineStr">
        <is>
          <t>29103-PE-2601</t>
        </is>
      </c>
      <c r="F68" s="15" t="inlineStr">
        <is>
          <t>29103-65R-ET-PE2601-02-01</t>
        </is>
      </c>
      <c r="G68" s="15" t="inlineStr">
        <is>
          <t>13.1</t>
        </is>
      </c>
      <c r="H68" s="15" t="inlineStr">
        <is>
          <t>1.5. 29103-HTP-005/1. EHT Insulation/29103-ET-PE2601-2-2.pdf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D/32SB2114/29.2M/701/277/1.2M/LS23A/X/N12</t>
        </is>
      </c>
      <c r="AK68" s="15" t="inlineStr">
        <is>
          <t>29.2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29103-ET-PE2602-1-1</t>
        </is>
      </c>
      <c r="C69" s="15" t="inlineStr">
        <is>
          <t>29103-ET-PE2602-1</t>
        </is>
      </c>
      <c r="D69" s="15" t="inlineStr">
        <is>
          <t>HTC-25 / CB-25</t>
        </is>
      </c>
      <c r="E69" s="15" t="inlineStr">
        <is>
          <t>29103-PE-2603, 29103-PE-2602</t>
        </is>
      </c>
      <c r="F69" s="15" t="inlineStr">
        <is>
          <t>29103-65R-ET-PE2602-01-01</t>
        </is>
      </c>
      <c r="G69" s="15" t="inlineStr">
        <is>
          <t>13.1</t>
        </is>
      </c>
      <c r="H69" s="15" t="inlineStr">
        <is>
          <t>1.5. 29103-HTP-005/1. EHT Insulation/29103-ET-PE2602-1-1.pdf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D/32SQ3374/35.4M/1635/277/1.2M/LS23A/X/N12</t>
        </is>
      </c>
      <c r="AK69" s="15" t="inlineStr">
        <is>
          <t>35.4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29103-ET-PE2701-1-1</t>
        </is>
      </c>
      <c r="C70" s="15" t="inlineStr">
        <is>
          <t>29103-ET-PE2701-1</t>
        </is>
      </c>
      <c r="D70" s="15" t="inlineStr">
        <is>
          <t>HTC-33 / CB-33</t>
        </is>
      </c>
      <c r="E70" s="15" t="inlineStr">
        <is>
          <t>29103-PE-2701</t>
        </is>
      </c>
      <c r="F70" s="15" t="inlineStr">
        <is>
          <t>29103-65R-ET-PE2701-01-01</t>
        </is>
      </c>
      <c r="G70" s="15" t="inlineStr">
        <is>
          <t>13.1</t>
        </is>
      </c>
      <c r="H70" s="15" t="inlineStr">
        <is>
          <t>1.5. 29103-HTP-005/1. EHT Insulation/29103-ET-PE2701-1-1.pdf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D/32SF1110/7.8M/269/277/1.2M/LS23A/X/N12</t>
        </is>
      </c>
      <c r="AK70" s="15" t="inlineStr">
        <is>
          <t>7.8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29103-ET-PE2701-1-2</t>
        </is>
      </c>
      <c r="C71" s="15" t="inlineStr">
        <is>
          <t>29103-ET-PE2701-1</t>
        </is>
      </c>
      <c r="D71" s="15" t="inlineStr">
        <is>
          <t>HTC-33 / CB-33</t>
        </is>
      </c>
      <c r="E71" s="15" t="inlineStr">
        <is>
          <t>29103-PE-2701</t>
        </is>
      </c>
      <c r="F71" s="15" t="inlineStr">
        <is>
          <t>29103-65R-ET-PE2701-01-01</t>
        </is>
      </c>
      <c r="G71" s="15" t="inlineStr">
        <is>
          <t>13.1</t>
        </is>
      </c>
      <c r="H71" s="15" t="inlineStr">
        <is>
          <t>1.5. 29103-HTP-005/1. EHT Insulation/29103-ET-PE2701-1-2.pdf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E/32SQ3472/9.5M/505/89.8/1.2M/LS23A/X/N12/XNF</t>
        </is>
      </c>
      <c r="AK71" s="15" t="inlineStr">
        <is>
          <t>9.5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29103-ET-PE2701-1-3</t>
        </is>
      </c>
      <c r="C72" s="15" t="inlineStr">
        <is>
          <t>29103-ET-PE2701-1</t>
        </is>
      </c>
      <c r="D72" s="15" t="inlineStr">
        <is>
          <t>HTC-33 / CB-33</t>
        </is>
      </c>
      <c r="E72" s="15" t="inlineStr">
        <is>
          <t>29103-PE-2701</t>
        </is>
      </c>
      <c r="F72" s="15" t="inlineStr">
        <is>
          <t>29103-65R-ET-PE2701-01-01</t>
        </is>
      </c>
      <c r="G72" s="15" t="inlineStr">
        <is>
          <t>13.1</t>
        </is>
      </c>
      <c r="H72" s="15" t="inlineStr">
        <is>
          <t>1.5. 29103-HTP-005/1. EHT Insulation/29103-ET-PE2701-1-3.pdf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E/32SQ3472/6.6M/351/62.4/1.2M/LS23A/X/N12/XMF</t>
        </is>
      </c>
      <c r="AK72" s="15" t="inlineStr">
        <is>
          <t>6.6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29103-ET-PE2701-1-4</t>
        </is>
      </c>
      <c r="C73" s="15" t="inlineStr">
        <is>
          <t>29103-ET-PE2701-1</t>
        </is>
      </c>
      <c r="D73" s="15" t="inlineStr">
        <is>
          <t>HTC-33 / CB-33</t>
        </is>
      </c>
      <c r="E73" s="15" t="inlineStr">
        <is>
          <t>29103-PE-2701</t>
        </is>
      </c>
      <c r="F73" s="15" t="inlineStr">
        <is>
          <t>29103-65R-ET-PE2701-01-01</t>
        </is>
      </c>
      <c r="G73" s="15" t="inlineStr">
        <is>
          <t>13.1</t>
        </is>
      </c>
      <c r="H73" s="15" t="inlineStr">
        <is>
          <t>1.5. 29103-HTP-005/1. EHT Insulation/29103-ET-PE2701-1-4.pdf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D/32SQ3472/13.2M/702/125/1.2M/LS23A/X/N12/XMN</t>
        </is>
      </c>
      <c r="AK73" s="15" t="inlineStr">
        <is>
          <t>13.2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29103-ET-PE2701-2-1</t>
        </is>
      </c>
      <c r="C74" s="15" t="inlineStr">
        <is>
          <t>29103-ET-PE2701-2</t>
        </is>
      </c>
      <c r="D74" s="15" t="inlineStr">
        <is>
          <t>HTC-03 / CB-03</t>
        </is>
      </c>
      <c r="E74" s="15" t="inlineStr">
        <is>
          <t>29103-PE-2701</t>
        </is>
      </c>
      <c r="F74" s="15" t="inlineStr">
        <is>
          <t>29103-65R-ET-PE2701-02-01</t>
        </is>
      </c>
      <c r="G74" s="15" t="inlineStr">
        <is>
          <t>13.1</t>
        </is>
      </c>
      <c r="H74" s="15" t="inlineStr">
        <is>
          <t>1.5. 29103-HTP-005/1. EHT Insulation/29103-ET-PE2701-2-1.pdf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D/32SQ3200/52.5M/2063/277/1.2M/LS23A/X/N12</t>
        </is>
      </c>
      <c r="AK74" s="15" t="inlineStr">
        <is>
          <t>52.5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29103-ET-PE2701-2-2</t>
        </is>
      </c>
      <c r="C75" s="15" t="inlineStr">
        <is>
          <t>29103-ET-PE2701-2</t>
        </is>
      </c>
      <c r="D75" s="15" t="inlineStr">
        <is>
          <t>HTC-03 / CB-03</t>
        </is>
      </c>
      <c r="E75" s="15" t="inlineStr">
        <is>
          <t>29103-PE-2701</t>
        </is>
      </c>
      <c r="F75" s="15" t="inlineStr">
        <is>
          <t>29103-65R-ET-PE2701-02-01</t>
        </is>
      </c>
      <c r="G75" s="15" t="inlineStr">
        <is>
          <t>13.1</t>
        </is>
      </c>
      <c r="H75" s="15" t="inlineStr">
        <is>
          <t>1.5. 29103-HTP-005/1. EHT Insulation/29103-ET-PE2701-2-2.pdf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D/32SB2114/29.4M/694/277/1.2M/LS23A/X/N12</t>
        </is>
      </c>
      <c r="AK75" s="15" t="inlineStr">
        <is>
          <t>29.4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29103-ET-PE2702-1-1</t>
        </is>
      </c>
      <c r="C76" s="15" t="inlineStr">
        <is>
          <t>29103-ET-PE2702-1</t>
        </is>
      </c>
      <c r="D76" s="15" t="inlineStr">
        <is>
          <t>HTC-26 / CB-26</t>
        </is>
      </c>
      <c r="E76" s="15" t="inlineStr">
        <is>
          <t>29103-PE-2703, 29103-PE-2702</t>
        </is>
      </c>
      <c r="F76" s="15" t="inlineStr">
        <is>
          <t>29103-65R-ET-PE2702-01-01</t>
        </is>
      </c>
      <c r="G76" s="15" t="inlineStr">
        <is>
          <t>13.1</t>
        </is>
      </c>
      <c r="H76" s="15" t="inlineStr">
        <is>
          <t>1.5. 29103-HTP-005/1. EHT Insulation/29103-ET-PE2702-1-1.pdf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D/32SQ3374/34.9M/1658/277/1.2M/LS23A/X/N12</t>
        </is>
      </c>
      <c r="AK76" s="15" t="inlineStr">
        <is>
          <t>34.9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29103-ET-PE2802-1-1</t>
        </is>
      </c>
      <c r="C77" s="15" t="inlineStr">
        <is>
          <t>29103-ET-PE2802-1</t>
        </is>
      </c>
      <c r="D77" s="15" t="inlineStr">
        <is>
          <t>HTC-02 / CB-02</t>
        </is>
      </c>
      <c r="E77" s="15" t="inlineStr">
        <is>
          <t>29103-PE-2802</t>
        </is>
      </c>
      <c r="F77" s="15" t="inlineStr">
        <is>
          <t>29103-65R-ET-PE2802-01-01</t>
        </is>
      </c>
      <c r="G77" s="15" t="inlineStr">
        <is>
          <t>13.1</t>
        </is>
      </c>
      <c r="H77" s="15" t="inlineStr">
        <is>
          <t>1.5. 29103-HTP-005/1. EHT Insulation/29103-ET-PE2802-1-1.pdf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E/32SP4734/24.2M/2105/126/2.1-1.2M/LS23A/X/N12/XNF</t>
        </is>
      </c>
      <c r="AK77" s="15" t="inlineStr">
        <is>
          <t>24.2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29103-ET-PE2802-1-2</t>
        </is>
      </c>
      <c r="C78" s="15" t="inlineStr">
        <is>
          <t>29103-ET-PE2802-1</t>
        </is>
      </c>
      <c r="D78" s="15" t="inlineStr">
        <is>
          <t>HTC-02 / CB-02</t>
        </is>
      </c>
      <c r="E78" s="15" t="inlineStr">
        <is>
          <t>29103-PE-2802</t>
        </is>
      </c>
      <c r="F78" s="15" t="inlineStr">
        <is>
          <t>29103-65R-ET-PE2802-01-01</t>
        </is>
      </c>
      <c r="G78" s="15" t="inlineStr">
        <is>
          <t>13.1</t>
        </is>
      </c>
      <c r="H78" s="15" t="inlineStr">
        <is>
          <t>1.5. 29103-HTP-005/1. EHT Insulation/29103-ET-PE2802-1-2.pdf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E/32SP4734/8.9M/774/46.2/1.2M/LS23A/X/N12/XMF</t>
        </is>
      </c>
      <c r="AK78" s="15" t="inlineStr">
        <is>
          <t>8.9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29103-ET-PE2802-1-3</t>
        </is>
      </c>
      <c r="C79" s="15" t="inlineStr">
        <is>
          <t>29103-ET-PE2802-1</t>
        </is>
      </c>
      <c r="D79" s="15" t="inlineStr">
        <is>
          <t>HTC-02 / CB-02</t>
        </is>
      </c>
      <c r="E79" s="15" t="inlineStr">
        <is>
          <t>29103-PE-2802</t>
        </is>
      </c>
      <c r="F79" s="15" t="inlineStr">
        <is>
          <t>29103-65R-ET-PE2802-01-01</t>
        </is>
      </c>
      <c r="G79" s="15" t="inlineStr">
        <is>
          <t>13.1</t>
        </is>
      </c>
      <c r="H79" s="15" t="inlineStr">
        <is>
          <t>1.5. 29103-HTP-005/1. EHT Insulation/29103-ET-PE2802-1-3.pdf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D/32SP4734/20.3M/1766/105/1.2M/LS23A/X/N12/XMN</t>
        </is>
      </c>
      <c r="AK79" s="15" t="inlineStr">
        <is>
          <t>20.3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29103-ET-PE2802-2-1</t>
        </is>
      </c>
      <c r="C80" s="15" t="inlineStr">
        <is>
          <t>29103-ET-PE2802-2</t>
        </is>
      </c>
      <c r="D80" s="15" t="inlineStr">
        <is>
          <t>HTC-18 / CB-18</t>
        </is>
      </c>
      <c r="E80" s="15" t="inlineStr">
        <is>
          <t>29103-PE-2802</t>
        </is>
      </c>
      <c r="F80" s="15" t="inlineStr">
        <is>
          <t>29103-65R-ET-PE2802-02-01</t>
        </is>
      </c>
      <c r="G80" s="15" t="inlineStr">
        <is>
          <t>13.1</t>
        </is>
      </c>
      <c r="H80" s="15" t="inlineStr">
        <is>
          <t>1.5. 29103-HTP-005/1. EHT Insulation/29103-ET-PE2802-2-1.pdf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E/32SQ3150/8.8M/784/61.6/2.1-1.2M/LS23A/X/N12/XNF</t>
        </is>
      </c>
      <c r="AK80" s="15" t="inlineStr">
        <is>
          <t>8.8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29103-ET-PE2802-2-2</t>
        </is>
      </c>
      <c r="C81" s="15" t="inlineStr">
        <is>
          <t>29103-ET-PE2802-2</t>
        </is>
      </c>
      <c r="D81" s="15" t="inlineStr">
        <is>
          <t>HTC-18 / CB-18</t>
        </is>
      </c>
      <c r="E81" s="15" t="inlineStr">
        <is>
          <t>29103-PE-2802</t>
        </is>
      </c>
      <c r="F81" s="15" t="inlineStr">
        <is>
          <t>29103-65R-ET-PE2802-02-01</t>
        </is>
      </c>
      <c r="G81" s="15" t="inlineStr">
        <is>
          <t>13.1</t>
        </is>
      </c>
      <c r="H81" s="15" t="inlineStr">
        <is>
          <t>1.5. 29103-HTP-005/1. EHT Insulation/29103-ET-PE2802-2-2.pdf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E/32SQ3150/21.6M/1925/151/1.2M/LS23A/X/N12/XMF</t>
        </is>
      </c>
      <c r="AK81" s="15" t="inlineStr">
        <is>
          <t>21.6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29103-ET-PE2802-2-3</t>
        </is>
      </c>
      <c r="C82" s="15" t="inlineStr">
        <is>
          <t>29103-ET-PE2802-2</t>
        </is>
      </c>
      <c r="D82" s="15" t="inlineStr">
        <is>
          <t>HTC-18 / CB-18</t>
        </is>
      </c>
      <c r="E82" s="15" t="inlineStr">
        <is>
          <t>29103-PE-2802</t>
        </is>
      </c>
      <c r="F82" s="15" t="inlineStr">
        <is>
          <t>29103-65R-ET-PE2802-02-01</t>
        </is>
      </c>
      <c r="G82" s="15" t="inlineStr">
        <is>
          <t>13.1</t>
        </is>
      </c>
      <c r="H82" s="15" t="inlineStr">
        <is>
          <t>1.5. 29103-HTP-005/1. EHT Insulation/29103-ET-PE2802-2-3.pdf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D/32SQ3150/9.2M/820/64.4/1.2M/LS23A/X/N12/XMN</t>
        </is>
      </c>
      <c r="AK82" s="15" t="inlineStr">
        <is>
          <t>9.2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29103-ET-PE2803-1-1</t>
        </is>
      </c>
      <c r="C83" s="15" t="inlineStr">
        <is>
          <t>29103-ET-PE2803-1</t>
        </is>
      </c>
      <c r="D83" s="15" t="inlineStr">
        <is>
          <t>HTC-21 / CB-21</t>
        </is>
      </c>
      <c r="E83" s="15" t="inlineStr">
        <is>
          <t>29103-PE-2803</t>
        </is>
      </c>
      <c r="F83" s="15" t="inlineStr">
        <is>
          <t>29103-65R-ET-PE2803-01-01</t>
        </is>
      </c>
      <c r="G83" s="15" t="inlineStr">
        <is>
          <t>13.1</t>
        </is>
      </c>
      <c r="H83" s="15" t="inlineStr">
        <is>
          <t>1.5. 29103-HTP-005/1. EHT Insulation/29103-ET-PE2803-1-1.pdf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E/32SQ3100/9.7M/437/38.8/1.2M/LS23A/X/N12/XNF</t>
        </is>
      </c>
      <c r="AK83" s="15" t="inlineStr">
        <is>
          <t>9.7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29103-ET-PE2803-1-2</t>
        </is>
      </c>
      <c r="C84" s="15" t="inlineStr">
        <is>
          <t>29103-ET-PE2803-1</t>
        </is>
      </c>
      <c r="D84" s="15" t="inlineStr">
        <is>
          <t>HTC-21 / CB-21</t>
        </is>
      </c>
      <c r="E84" s="15" t="inlineStr">
        <is>
          <t>29103-PE-2803</t>
        </is>
      </c>
      <c r="F84" s="15" t="inlineStr">
        <is>
          <t>29103-65R-ET-PE2803-01-01</t>
        </is>
      </c>
      <c r="G84" s="15" t="inlineStr">
        <is>
          <t>13.1</t>
        </is>
      </c>
      <c r="H84" s="15" t="inlineStr">
        <is>
          <t>1.5. 29103-HTP-005/1. EHT Insulation/29103-ET-PE2803-1-2.pdf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D/32SQ3100/26.3M/1186/105/1.2M/LS23A/X/N12/XMN</t>
        </is>
      </c>
      <c r="AK84" s="15" t="inlineStr">
        <is>
          <t>26.3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29103-ET-PE2803-1-3</t>
        </is>
      </c>
      <c r="C85" s="15" t="inlineStr">
        <is>
          <t>29103-ET-PE2803-1</t>
        </is>
      </c>
      <c r="D85" s="15" t="inlineStr">
        <is>
          <t>HTC-21 / CB-21</t>
        </is>
      </c>
      <c r="E85" s="15" t="inlineStr">
        <is>
          <t>29103-PE-2803</t>
        </is>
      </c>
      <c r="F85" s="15" t="inlineStr">
        <is>
          <t>29103-65R-ET-PE2803-01-01</t>
        </is>
      </c>
      <c r="G85" s="15" t="inlineStr">
        <is>
          <t>13.1</t>
        </is>
      </c>
      <c r="H85" s="15" t="inlineStr">
        <is>
          <t>1.5. 29103-HTP-005/1. EHT Insulation/29103-ET-PE2803-1-3.pdf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E/32SQ3100/22.1M/997/88.3/1.2M/LS23A/X/N12/XNF</t>
        </is>
      </c>
      <c r="AK85" s="15" t="inlineStr">
        <is>
          <t>22.1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29103-ET-PE2803-1-4</t>
        </is>
      </c>
      <c r="C86" s="15" t="inlineStr">
        <is>
          <t>29103-ET-PE2803-1</t>
        </is>
      </c>
      <c r="D86" s="15" t="inlineStr">
        <is>
          <t>HTC-21 / CB-21</t>
        </is>
      </c>
      <c r="E86" s="15" t="inlineStr">
        <is>
          <t>29103-PE-2803</t>
        </is>
      </c>
      <c r="F86" s="15" t="inlineStr">
        <is>
          <t>29103-65R-ET-PE2803-01-01</t>
        </is>
      </c>
      <c r="G86" s="15" t="inlineStr">
        <is>
          <t>13.1</t>
        </is>
      </c>
      <c r="H86" s="15" t="inlineStr">
        <is>
          <t>1.5. 29103-HTP-005/1. EHT Insulation/29103-ET-PE2803-1-4.pdf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D/32SQ3100/11.2M/505/44.8/1.2M/LS23A/X/N12/XMN</t>
        </is>
      </c>
      <c r="AK86" s="15" t="inlineStr">
        <is>
          <t>11.2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29103-ET-PG2401-1-1</t>
        </is>
      </c>
      <c r="C87" s="15" t="inlineStr">
        <is>
          <t>29103-ET-PG2401-1</t>
        </is>
      </c>
      <c r="D87" s="15" t="inlineStr">
        <is>
          <t>HTC-14 / CB-14</t>
        </is>
      </c>
      <c r="E87" s="15" t="inlineStr">
        <is>
          <t>29103-PG-2401, 29103-PE-2402, 29103-P-2400</t>
        </is>
      </c>
      <c r="F87" s="15" t="inlineStr">
        <is>
          <t>29103-65R-ET-PG2401-01-01</t>
        </is>
      </c>
      <c r="G87" s="15" t="inlineStr">
        <is>
          <t>13.1</t>
        </is>
      </c>
      <c r="H87" s="15" t="inlineStr">
        <is>
          <t>1.5. 29103-HTP-005/1. EHT Insulation/29103-ET-PG2401-1-1.pdf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D/32SP4734/93.1M/2914/277/1.2M/LS23A/X/N12</t>
        </is>
      </c>
      <c r="AK87" s="15" t="inlineStr">
        <is>
          <t>93.1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29103-ET-PG2501-1-1</t>
        </is>
      </c>
      <c r="C88" s="15" t="inlineStr">
        <is>
          <t>29103-ET-PG2501-1</t>
        </is>
      </c>
      <c r="D88" s="15" t="inlineStr">
        <is>
          <t>HTC-11 / CB-11</t>
        </is>
      </c>
      <c r="E88" s="15" t="inlineStr">
        <is>
          <t>29103-PG-2501, 29103-PE-2502, 29103-P-2500</t>
        </is>
      </c>
      <c r="F88" s="15" t="inlineStr">
        <is>
          <t>29103-65R-ET-PG2501-01-01</t>
        </is>
      </c>
      <c r="G88" s="15" t="inlineStr">
        <is>
          <t>13.1</t>
        </is>
      </c>
      <c r="H88" s="15" t="inlineStr">
        <is>
          <t>1.5. 29103-HTP-005/1. EHT Insulation/29103-ET-PG2501-1-1.pdf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D/32SP4734/89M/3035/277/1.2M/LS23A/X/N12</t>
        </is>
      </c>
      <c r="AK88" s="15" t="inlineStr">
        <is>
          <t>89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29103-ET-PG2501-2-1</t>
        </is>
      </c>
      <c r="C89" s="15" t="inlineStr">
        <is>
          <t>29103-ET-PG2501-2</t>
        </is>
      </c>
      <c r="D89" s="15" t="inlineStr">
        <is>
          <t>HTC-13 / CB-13</t>
        </is>
      </c>
      <c r="E89" s="15" t="inlineStr">
        <is>
          <t>29103-PG-2501</t>
        </is>
      </c>
      <c r="F89" s="15" t="inlineStr">
        <is>
          <t>29103-65R-ET-PG2501-02-01</t>
        </is>
      </c>
      <c r="G89" s="15" t="inlineStr">
        <is>
          <t>13.1</t>
        </is>
      </c>
      <c r="H89" s="15" t="inlineStr">
        <is>
          <t>1.5. 29103-HTP-005/1. EHT Insulation/29103-ET-PG2501-2-1.pdf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YES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inlineStr">
        <is>
          <t>&gt;550 MΩ</t>
        </is>
      </c>
      <c r="V89" s="15" t="inlineStr">
        <is>
          <t>21.7 Ω</t>
        </is>
      </c>
      <c r="W89" s="15" t="inlineStr">
        <is>
          <t>2026-05-18</t>
        </is>
      </c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E/32SB3700/9.2M/409/93.3/1.2M/LS23A/X/N12/XNF</t>
        </is>
      </c>
      <c r="AK89" s="15" t="inlineStr">
        <is>
          <t>9.2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29103-ET-PG2501-2-2</t>
        </is>
      </c>
      <c r="C90" s="15" t="inlineStr">
        <is>
          <t>29103-ET-PG2501-2</t>
        </is>
      </c>
      <c r="D90" s="15" t="inlineStr">
        <is>
          <t>HTC-13 / CB-13</t>
        </is>
      </c>
      <c r="E90" s="15" t="inlineStr">
        <is>
          <t>29103-PG-2501</t>
        </is>
      </c>
      <c r="F90" s="15" t="inlineStr">
        <is>
          <t>29103-65R-ET-PG2501-02-01</t>
        </is>
      </c>
      <c r="G90" s="15" t="inlineStr">
        <is>
          <t>13.1</t>
        </is>
      </c>
      <c r="H90" s="15" t="inlineStr">
        <is>
          <t>1.5. 29103-HTP-005/1. EHT Insulation/29103-ET-PG2501-2-2.pdf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YES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inlineStr">
        <is>
          <t>&gt;550 MΩ</t>
        </is>
      </c>
      <c r="V90" s="15" t="inlineStr">
        <is>
          <t>14.9 Ω</t>
        </is>
      </c>
      <c r="W90" s="15" t="inlineStr">
        <is>
          <t>2026-05-18</t>
        </is>
      </c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E/32SB3700/6.3M/280/63.9/1.2M/LS23A/X/N12/XMF</t>
        </is>
      </c>
      <c r="AK90" s="15" t="inlineStr">
        <is>
          <t>6.3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29103-ET-PG2501-2-3</t>
        </is>
      </c>
      <c r="C91" s="15" t="inlineStr">
        <is>
          <t>29103-ET-PG2501-2</t>
        </is>
      </c>
      <c r="D91" s="15" t="inlineStr">
        <is>
          <t>HTC-13 / CB-13</t>
        </is>
      </c>
      <c r="E91" s="15" t="inlineStr">
        <is>
          <t>29103-PG-2501</t>
        </is>
      </c>
      <c r="F91" s="15" t="inlineStr">
        <is>
          <t>29103-65R-ET-PG2501-02-01</t>
        </is>
      </c>
      <c r="G91" s="15" t="inlineStr">
        <is>
          <t>13.1</t>
        </is>
      </c>
      <c r="H91" s="15" t="inlineStr">
        <is>
          <t>1.5. 29103-HTP-005/1. EHT Insulation/29103-ET-PG2501-2-3.pdf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YES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inlineStr">
        <is>
          <t>&gt;550 MΩ</t>
        </is>
      </c>
      <c r="V91" s="15" t="inlineStr">
        <is>
          <t>28.1 Ω</t>
        </is>
      </c>
      <c r="W91" s="15" t="inlineStr">
        <is>
          <t>2026-05-18</t>
        </is>
      </c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D/32SB3700/11.8M/525/120/1.2M/LS23A/X/N12/XMN</t>
        </is>
      </c>
      <c r="AK91" s="15" t="inlineStr">
        <is>
          <t>11.8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29103-ET-PG2601-1-1</t>
        </is>
      </c>
      <c r="C92" s="15" t="inlineStr">
        <is>
          <t>29103-ET-PG2601-1</t>
        </is>
      </c>
      <c r="D92" s="15" t="inlineStr">
        <is>
          <t>HTC-28 / CB-28</t>
        </is>
      </c>
      <c r="E92" s="15" t="inlineStr">
        <is>
          <t>29103-PG-2601, 29103-PE-2602, 29103-P-2600</t>
        </is>
      </c>
      <c r="F92" s="15" t="inlineStr">
        <is>
          <t>29103-65R-ET-PG2601-01-01</t>
        </is>
      </c>
      <c r="G92" s="15" t="inlineStr">
        <is>
          <t>13.1</t>
        </is>
      </c>
      <c r="H92" s="15" t="inlineStr">
        <is>
          <t>1.5. 29103-HTP-005/1. EHT Insulation/29103-ET-PG2601-1-1.pdf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NO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D/32SP4734/93.1M/2914/277/1.2M/LS23A/X/N12</t>
        </is>
      </c>
      <c r="AK92" s="15" t="inlineStr">
        <is>
          <t>93.1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29103-ET-PG2601-2-1</t>
        </is>
      </c>
      <c r="C93" s="15" t="inlineStr">
        <is>
          <t>29103-ET-PG2601-2</t>
        </is>
      </c>
      <c r="D93" s="15" t="inlineStr">
        <is>
          <t>HTC-19 / CB-19</t>
        </is>
      </c>
      <c r="E93" s="15" t="inlineStr">
        <is>
          <t>29103-PG-2601</t>
        </is>
      </c>
      <c r="F93" s="15" t="inlineStr">
        <is>
          <t>29103-65R-ET-PG2601-02-01</t>
        </is>
      </c>
      <c r="G93" s="15" t="inlineStr">
        <is>
          <t>13.1</t>
        </is>
      </c>
      <c r="H93" s="15" t="inlineStr">
        <is>
          <t>1.5. 29103-HTP-005/1. EHT Insulation/29103-ET-PG2601-2-1.pdf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20.3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E/32SB3700/8.6M/401/89.2/1.2M/LS23A/X/N12/XNF</t>
        </is>
      </c>
      <c r="AK93" s="15" t="inlineStr">
        <is>
          <t>8.6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29103-ET-PG2601-2-2</t>
        </is>
      </c>
      <c r="C94" s="15" t="inlineStr">
        <is>
          <t>29103-ET-PG2601-2</t>
        </is>
      </c>
      <c r="D94" s="15" t="inlineStr">
        <is>
          <t>HTC-19 / CB-19</t>
        </is>
      </c>
      <c r="E94" s="15" t="inlineStr">
        <is>
          <t>29103-PG-2601</t>
        </is>
      </c>
      <c r="F94" s="15" t="inlineStr">
        <is>
          <t>29103-65R-ET-PG2601-02-01</t>
        </is>
      </c>
      <c r="G94" s="15" t="inlineStr">
        <is>
          <t>13.1</t>
        </is>
      </c>
      <c r="H94" s="15" t="inlineStr">
        <is>
          <t>1.5. 29103-HTP-005/1. EHT Insulation/29103-ET-PG2601-2-2.pdf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YES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inlineStr">
        <is>
          <t>&gt;550 MΩ</t>
        </is>
      </c>
      <c r="V94" s="15" t="inlineStr">
        <is>
          <t>14.9 Ω</t>
        </is>
      </c>
      <c r="W94" s="15" t="inlineStr">
        <is>
          <t>2026-05-18</t>
        </is>
      </c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E/32SB3700/6.3M/294/65.4/1.2M/LS23A/X/N12/XMF</t>
        </is>
      </c>
      <c r="AK94" s="15" t="inlineStr">
        <is>
          <t>6.3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29103-ET-PG2601-2-3</t>
        </is>
      </c>
      <c r="C95" s="15" t="inlineStr">
        <is>
          <t>29103-ET-PG2601-2</t>
        </is>
      </c>
      <c r="D95" s="15" t="inlineStr">
        <is>
          <t>HTC-19 / CB-19</t>
        </is>
      </c>
      <c r="E95" s="15" t="inlineStr">
        <is>
          <t>29103-PG-2601</t>
        </is>
      </c>
      <c r="F95" s="15" t="inlineStr">
        <is>
          <t>29103-65R-ET-PG2601-02-01</t>
        </is>
      </c>
      <c r="G95" s="15" t="inlineStr">
        <is>
          <t>13.1</t>
        </is>
      </c>
      <c r="H95" s="15" t="inlineStr">
        <is>
          <t>1.5. 29103-HTP-005/1. EHT Insulation/29103-ET-PG2601-2-3.pdf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28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D/32SB3700/11.8M/550/122/1.2M/LS23A/X/N12/XMN</t>
        </is>
      </c>
      <c r="AK95" s="15" t="inlineStr">
        <is>
          <t>11.8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29103-ET-PG2701-1-1</t>
        </is>
      </c>
      <c r="C96" s="15" t="inlineStr">
        <is>
          <t>29103-ET-PG2701-1</t>
        </is>
      </c>
      <c r="D96" s="15" t="inlineStr">
        <is>
          <t>HTC-23 / CB-23</t>
        </is>
      </c>
      <c r="E96" s="15" t="inlineStr">
        <is>
          <t>29103-PG-2701, 29103-PE-2702, 29103-P-2700</t>
        </is>
      </c>
      <c r="F96" s="15" t="inlineStr">
        <is>
          <t>29103-65R-ET-PG2701-01-01</t>
        </is>
      </c>
      <c r="G96" s="15" t="inlineStr">
        <is>
          <t>13.1</t>
        </is>
      </c>
      <c r="H96" s="15" t="inlineStr">
        <is>
          <t>1.5. 29103-HTP-005/1. EHT Insulation/29103-ET-PG2701-1-1.pdf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D/32SP4734/90M/3006/277/1.2M/LS23A/X/N12</t>
        </is>
      </c>
      <c r="AK96" s="15" t="inlineStr">
        <is>
          <t>90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29103-ET-PG2701-2-1</t>
        </is>
      </c>
      <c r="C97" s="15" t="inlineStr">
        <is>
          <t>29103-ET-PG2701-2</t>
        </is>
      </c>
      <c r="D97" s="15" t="inlineStr">
        <is>
          <t>HTC-30 / CB-30</t>
        </is>
      </c>
      <c r="E97" s="15" t="inlineStr">
        <is>
          <t>29103-PG-2701</t>
        </is>
      </c>
      <c r="F97" s="15" t="inlineStr">
        <is>
          <t>29103-65R-ET-PG2701-02-01</t>
        </is>
      </c>
      <c r="G97" s="15" t="inlineStr">
        <is>
          <t>13.1</t>
        </is>
      </c>
      <c r="H97" s="15" t="inlineStr">
        <is>
          <t>1.5. 29103-HTP-005/1. EHT Insulation/29103-ET-PG2701-2-1.pdf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YES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inlineStr">
        <is>
          <t>&gt;550 MΩ</t>
        </is>
      </c>
      <c r="V97" s="15" t="inlineStr">
        <is>
          <t>21.6 Ω</t>
        </is>
      </c>
      <c r="W97" s="15" t="inlineStr">
        <is>
          <t>2026-05-18</t>
        </is>
      </c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E/32SB3700/9.2M/409/93.3/1.2M/LS23A/X/N12/XNF</t>
        </is>
      </c>
      <c r="AK97" s="15" t="inlineStr">
        <is>
          <t>9.2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29103-ET-PG2701-2-2</t>
        </is>
      </c>
      <c r="C98" s="15" t="inlineStr">
        <is>
          <t>29103-ET-PG2701-2</t>
        </is>
      </c>
      <c r="D98" s="15" t="inlineStr">
        <is>
          <t>HTC-30 / CB-30</t>
        </is>
      </c>
      <c r="E98" s="15" t="inlineStr">
        <is>
          <t>29103-PG-2701</t>
        </is>
      </c>
      <c r="F98" s="15" t="inlineStr">
        <is>
          <t>29103-65R-ET-PG2701-02-01</t>
        </is>
      </c>
      <c r="G98" s="15" t="inlineStr">
        <is>
          <t>13.1</t>
        </is>
      </c>
      <c r="H98" s="15" t="inlineStr">
        <is>
          <t>1.5. 29103-HTP-005/1. EHT Insulation/29103-ET-PG2701-2-2.pdf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YES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inlineStr">
        <is>
          <t>&gt;550 MΩ</t>
        </is>
      </c>
      <c r="V98" s="15" t="inlineStr">
        <is>
          <t>15 Ω</t>
        </is>
      </c>
      <c r="W98" s="15" t="inlineStr">
        <is>
          <t>2026-05-18</t>
        </is>
      </c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E/32SB3700/6.3M/280/63.9/1.2M/LS23A/X/N12/XMF</t>
        </is>
      </c>
      <c r="AK98" s="15" t="inlineStr">
        <is>
          <t>6.3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29103-ET-PG2701-2-3</t>
        </is>
      </c>
      <c r="C99" s="15" t="inlineStr">
        <is>
          <t>29103-ET-PG2701-2</t>
        </is>
      </c>
      <c r="D99" s="15" t="inlineStr">
        <is>
          <t>HTC-30 / CB-30</t>
        </is>
      </c>
      <c r="E99" s="15" t="inlineStr">
        <is>
          <t>29103-PG-2701</t>
        </is>
      </c>
      <c r="F99" s="15" t="inlineStr">
        <is>
          <t>29103-65R-ET-PG2701-02-01</t>
        </is>
      </c>
      <c r="G99" s="15" t="inlineStr">
        <is>
          <t>13.1</t>
        </is>
      </c>
      <c r="H99" s="15" t="inlineStr">
        <is>
          <t>1.5. 29103-HTP-005/1. EHT Insulation/29103-ET-PG2701-2-3.pdf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YES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inlineStr">
        <is>
          <t>&gt;550 MΩ</t>
        </is>
      </c>
      <c r="V99" s="15" t="inlineStr">
        <is>
          <t>28.1 Ω</t>
        </is>
      </c>
      <c r="W99" s="15" t="inlineStr">
        <is>
          <t>2026-05-18</t>
        </is>
      </c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D/32SB3700/11.8M/525/120/1.2M/LS23A/X/N12/XMN</t>
        </is>
      </c>
      <c r="AK99" s="15" t="inlineStr">
        <is>
          <t>11.8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29103-ET-SC2800-1-1</t>
        </is>
      </c>
      <c r="C100" s="15" t="inlineStr">
        <is>
          <t>29103-ET-SC2800-1</t>
        </is>
      </c>
      <c r="D100" s="15" t="inlineStr">
        <is>
          <t>29103-AMB-012</t>
        </is>
      </c>
      <c r="E100" s="15" t="inlineStr">
        <is>
          <t>29103-ST-2815, 29103-ST-2814, 29103-ST-2813, 29103- ST-2812, 29103-SC-2802, 29103-SC-2800</t>
        </is>
      </c>
      <c r="F100" s="15" t="inlineStr">
        <is>
          <t>29103-65R-ET-SC2800-01-01</t>
        </is>
      </c>
      <c r="G100" s="15" t="inlineStr">
        <is>
          <t>13.1</t>
        </is>
      </c>
      <c r="H100" s="15" t="inlineStr">
        <is>
          <t>1.5. 29103-HTP-005/1. EHT Insulation/29103-ET-SC2800-1-1.pdf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NO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D/32SB3914/39.4M/650/277/1.2M/LS23A/X/N12</t>
        </is>
      </c>
      <c r="AK100" s="15" t="inlineStr">
        <is>
          <t>39.4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29103-ET-ST2001-1-1</t>
        </is>
      </c>
      <c r="C101" s="15" t="inlineStr">
        <is>
          <t>29103-ET-ST2001-1</t>
        </is>
      </c>
      <c r="D101" s="15" t="inlineStr">
        <is>
          <t>29103-AMB-012</t>
        </is>
      </c>
      <c r="E101" s="15" t="inlineStr">
        <is>
          <t>29103-ST-2001</t>
        </is>
      </c>
      <c r="F101" s="15" t="inlineStr">
        <is>
          <t>29103-65R-ET-ST2001-01-01</t>
        </is>
      </c>
      <c r="G101" s="15" t="inlineStr">
        <is>
          <t>13.1</t>
        </is>
      </c>
      <c r="H101" s="15" t="inlineStr">
        <is>
          <t>1.5. 29103-HTP-005/1. EHT Insulation/29103-ET-ST2001-1-1.pdf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E/32SB2114/12.6M/169/89.3/1.2M/LS23A/X/N12/XNF</t>
        </is>
      </c>
      <c r="AK101" s="15" t="inlineStr">
        <is>
          <t>12.6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29103-ET-ST2001-1-2</t>
        </is>
      </c>
      <c r="C102" s="15" t="inlineStr">
        <is>
          <t>29103-ET-ST2001-1</t>
        </is>
      </c>
      <c r="D102" s="15" t="inlineStr">
        <is>
          <t>29103-AMB-012</t>
        </is>
      </c>
      <c r="E102" s="15" t="inlineStr">
        <is>
          <t>29103-ST-2002, 29103-ST-2001</t>
        </is>
      </c>
      <c r="F102" s="15" t="inlineStr">
        <is>
          <t>29103-65R-ET-ST2001-01-01</t>
        </is>
      </c>
      <c r="G102" s="15" t="inlineStr">
        <is>
          <t>13.1</t>
        </is>
      </c>
      <c r="H102" s="15" t="inlineStr">
        <is>
          <t>1.5. 29103-HTP-005/1. EHT Insulation/29103-ET-ST2001-1-2.pdf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D/32SB2114/26.5M/355/188/1.2M/LS23A/X/N12/XMN</t>
        </is>
      </c>
      <c r="AK102" s="15" t="inlineStr">
        <is>
          <t>26.5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29103-ET-ST2603-1-1</t>
        </is>
      </c>
      <c r="C103" s="15" t="inlineStr">
        <is>
          <t>29103-ET-ST2603-1</t>
        </is>
      </c>
      <c r="D103" s="15" t="inlineStr">
        <is>
          <t>29103-AMB-012</t>
        </is>
      </c>
      <c r="E103" s="15" t="inlineStr">
        <is>
          <t>29103-ST-2604, 29103-ST-2603</t>
        </is>
      </c>
      <c r="F103" s="15" t="inlineStr">
        <is>
          <t>29103-65R-ET-ST2603-01-01</t>
        </is>
      </c>
      <c r="G103" s="15" t="inlineStr">
        <is>
          <t>13.1</t>
        </is>
      </c>
      <c r="H103" s="15" t="inlineStr">
        <is>
          <t>1.5. 29103-HTP-005/1. EHT Insulation/29103-ET-ST2603-1-1.pdf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NO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E/32SB2114/17.3M/282/135/1.2M/LS23A/X/N12/XNF</t>
        </is>
      </c>
      <c r="AK103" s="15" t="inlineStr">
        <is>
          <t>17.3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29103-ET-ST2603-1-2</t>
        </is>
      </c>
      <c r="C104" s="15" t="inlineStr">
        <is>
          <t>29103-ET-ST2603-1</t>
        </is>
      </c>
      <c r="D104" s="15" t="inlineStr">
        <is>
          <t>29103-AMB-012</t>
        </is>
      </c>
      <c r="E104" s="15" t="inlineStr">
        <is>
          <t>29103-ST-2604</t>
        </is>
      </c>
      <c r="F104" s="15" t="inlineStr">
        <is>
          <t>29103-65R-ET-ST2603-01-01</t>
        </is>
      </c>
      <c r="G104" s="15" t="inlineStr">
        <is>
          <t>13.1</t>
        </is>
      </c>
      <c r="H104" s="15" t="inlineStr">
        <is>
          <t>1.5. 29103-HTP-005/1. EHT Insulation/29103-ET-ST2603-1-2.pdf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NO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D/32SB2114/18.2M/297/142/1.2M/LS23A/X/N12/XMN</t>
        </is>
      </c>
      <c r="AK104" s="15" t="inlineStr">
        <is>
          <t>18.2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29103-ET-ST2603-1-3</t>
        </is>
      </c>
      <c r="C105" s="15" t="inlineStr">
        <is>
          <t>29103-ET-ST2603-1</t>
        </is>
      </c>
      <c r="D105" s="15" t="inlineStr">
        <is>
          <t>29103-AMB-012</t>
        </is>
      </c>
      <c r="E105" s="15" t="inlineStr">
        <is>
          <t>29103-ST-2603</t>
        </is>
      </c>
      <c r="F105" s="15" t="inlineStr">
        <is>
          <t>29103-65R-ET-ST2603-01-01</t>
        </is>
      </c>
      <c r="G105" s="15" t="inlineStr">
        <is>
          <t>13.1</t>
        </is>
      </c>
      <c r="H105" s="15" t="inlineStr">
        <is>
          <t>1.5. 29103-HTP-005/1. EHT Insulation/29103-ET-ST2603-1-3.pdf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51.9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E/32SA2200/7.6M/127/79.7/1.2M/LS23A/X/N12/XNF</t>
        </is>
      </c>
      <c r="AK105" s="15" t="inlineStr">
        <is>
          <t>7.6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29103-ET-ST2603-1-4</t>
        </is>
      </c>
      <c r="C106" s="15" t="inlineStr">
        <is>
          <t>29103-ET-ST2603-1</t>
        </is>
      </c>
      <c r="D106" s="15" t="inlineStr">
        <is>
          <t>29103-AMB-012</t>
        </is>
      </c>
      <c r="E106" s="15" t="inlineStr">
        <is>
          <t>29103-ST-2603</t>
        </is>
      </c>
      <c r="F106" s="15" t="inlineStr">
        <is>
          <t>29103-65R-ET-ST2603-01-01</t>
        </is>
      </c>
      <c r="G106" s="15" t="inlineStr">
        <is>
          <t>13.1</t>
        </is>
      </c>
      <c r="H106" s="15" t="inlineStr">
        <is>
          <t>1.5. 29103-HTP-005/1. EHT Insulation/29103-ET-ST2603-1-4.pdf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YES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inlineStr">
        <is>
          <t>&gt;550 MΩ</t>
        </is>
      </c>
      <c r="V106" s="15" t="inlineStr">
        <is>
          <t>38.6 Ω</t>
        </is>
      </c>
      <c r="W106" s="15" t="inlineStr">
        <is>
          <t>2026-05-18</t>
        </is>
      </c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E/32SA2200/5.7M/95/59.8/1.2M/LS23A/X/N12/XMF</t>
        </is>
      </c>
      <c r="AK106" s="15" t="inlineStr">
        <is>
          <t>5.7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29103-ET-ST2603-1-5</t>
        </is>
      </c>
      <c r="C107" s="15" t="inlineStr">
        <is>
          <t>29103-ET-ST2603-1</t>
        </is>
      </c>
      <c r="D107" s="15" t="inlineStr">
        <is>
          <t>29103-AMB-012</t>
        </is>
      </c>
      <c r="E107" s="15" t="inlineStr">
        <is>
          <t>29103-ST-2603</t>
        </is>
      </c>
      <c r="F107" s="15" t="inlineStr">
        <is>
          <t>29103-65R-ET-ST2603-01-01</t>
        </is>
      </c>
      <c r="G107" s="15" t="inlineStr">
        <is>
          <t>13.1</t>
        </is>
      </c>
      <c r="H107" s="15" t="inlineStr">
        <is>
          <t>1.5. 29103-HTP-005/1. EHT Insulation/29103-ET-ST2603-1-5.pdf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YES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inlineStr">
        <is>
          <t>&gt;550 MΩ</t>
        </is>
      </c>
      <c r="V107" s="15" t="inlineStr">
        <is>
          <t>87.9 Ω</t>
        </is>
      </c>
      <c r="W107" s="15" t="inlineStr">
        <is>
          <t>2026-05-18</t>
        </is>
      </c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D/32SA2200/13.1M/219/137/1.2M/LS23A/X/N12/XMN</t>
        </is>
      </c>
      <c r="AK107" s="15" t="inlineStr">
        <is>
          <t>13.1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29103-ET-ST2703-1-1</t>
        </is>
      </c>
      <c r="C108" s="15" t="inlineStr">
        <is>
          <t>29103-ET-ST2703-1</t>
        </is>
      </c>
      <c r="D108" s="15" t="inlineStr">
        <is>
          <t>29103-AMB-012</t>
        </is>
      </c>
      <c r="E108" s="15" t="inlineStr">
        <is>
          <t>29103-ST-2704, 29103-ST-2703</t>
        </is>
      </c>
      <c r="F108" s="15" t="inlineStr">
        <is>
          <t>29103-65R-ET-ST2703-01-01</t>
        </is>
      </c>
      <c r="G108" s="15" t="inlineStr">
        <is>
          <t>13.1</t>
        </is>
      </c>
      <c r="H108" s="15" t="inlineStr">
        <is>
          <t>1.5. 29103-HTP-005/1. EHT Insulation/29103-ET-ST2703-1-1.pdf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NO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E/32SB2114/17.5M/282/136/1.2M/LS23A/X/N12/XNF</t>
        </is>
      </c>
      <c r="AK108" s="15" t="inlineStr">
        <is>
          <t>17.5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29103-ET-ST2703-1-2</t>
        </is>
      </c>
      <c r="C109" s="15" t="inlineStr">
        <is>
          <t>29103-ET-ST2703-1</t>
        </is>
      </c>
      <c r="D109" s="15" t="inlineStr">
        <is>
          <t>29103-AMB-012</t>
        </is>
      </c>
      <c r="E109" s="15" t="inlineStr">
        <is>
          <t>29103-ST-2704</t>
        </is>
      </c>
      <c r="F109" s="15" t="inlineStr">
        <is>
          <t>29103-65R-ET-ST2703-01-01</t>
        </is>
      </c>
      <c r="G109" s="15" t="inlineStr">
        <is>
          <t>13.1</t>
        </is>
      </c>
      <c r="H109" s="15" t="inlineStr">
        <is>
          <t>1.5. 29103-HTP-005/1. EHT Insulation/29103-ET-ST2703-1-2.pdf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NO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D/32SB2114/18.2M/293/141/1.2M/LS23A/X/N12/XMN</t>
        </is>
      </c>
      <c r="AK109" s="15" t="inlineStr">
        <is>
          <t>18.2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29103-ET-ST2703-1-3</t>
        </is>
      </c>
      <c r="C110" s="15" t="inlineStr">
        <is>
          <t>29103-ET-ST2703-1</t>
        </is>
      </c>
      <c r="D110" s="15" t="inlineStr">
        <is>
          <t>29103-AMB-012</t>
        </is>
      </c>
      <c r="E110" s="15" t="inlineStr">
        <is>
          <t>29103-ST-2703</t>
        </is>
      </c>
      <c r="F110" s="15" t="inlineStr">
        <is>
          <t>29103-65R-ET-ST2703-01-01</t>
        </is>
      </c>
      <c r="G110" s="15" t="inlineStr">
        <is>
          <t>13.1</t>
        </is>
      </c>
      <c r="H110" s="15" t="inlineStr">
        <is>
          <t>1.5. 29103-HTP-005/1. EHT Insulation/29103-ET-ST2703-1-3.pdf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55.3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E/32SA2170/9.5M/162/93/1.2M/LS23A/X/N12/XNF</t>
        </is>
      </c>
      <c r="AK110" s="15" t="inlineStr">
        <is>
          <t>9.5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29103-ET-ST2703-1-4</t>
        </is>
      </c>
      <c r="C111" s="15" t="inlineStr">
        <is>
          <t>29103-ET-ST2703-1</t>
        </is>
      </c>
      <c r="D111" s="15" t="inlineStr">
        <is>
          <t>29103-AMB-012</t>
        </is>
      </c>
      <c r="E111" s="15" t="inlineStr">
        <is>
          <t>29103-ST-2703</t>
        </is>
      </c>
      <c r="F111" s="15" t="inlineStr">
        <is>
          <t>29103-65R-ET-ST2703-01-01</t>
        </is>
      </c>
      <c r="G111" s="15" t="inlineStr">
        <is>
          <t>13.1</t>
        </is>
      </c>
      <c r="H111" s="15" t="inlineStr">
        <is>
          <t>1.5. 29103-HTP-005/1. EHT Insulation/29103-ET-ST2703-1-4.pdf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YES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inlineStr">
        <is>
          <t>&gt;550 MΩ</t>
        </is>
      </c>
      <c r="V111" s="15" t="inlineStr">
        <is>
          <t>33 Ω</t>
        </is>
      </c>
      <c r="W111" s="15" t="inlineStr">
        <is>
          <t>2026-05-18</t>
        </is>
      </c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E/32SA2170/5.7M/97/55.8/1.2M/LS23A/X/N12/XMF</t>
        </is>
      </c>
      <c r="AK111" s="15" t="inlineStr">
        <is>
          <t>5.7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29103-ET-ST2703-1-5</t>
        </is>
      </c>
      <c r="C112" s="15" t="inlineStr">
        <is>
          <t>29103-ET-ST2703-1</t>
        </is>
      </c>
      <c r="D112" s="15" t="inlineStr">
        <is>
          <t>29103-AMB-012</t>
        </is>
      </c>
      <c r="E112" s="15" t="inlineStr">
        <is>
          <t>29103-ST-2703</t>
        </is>
      </c>
      <c r="F112" s="15" t="inlineStr">
        <is>
          <t>29103-65R-ET-ST2703-01-01</t>
        </is>
      </c>
      <c r="G112" s="15" t="inlineStr">
        <is>
          <t>13.1</t>
        </is>
      </c>
      <c r="H112" s="15" t="inlineStr">
        <is>
          <t>1.5. 29103-HTP-005/1. EHT Insulation/29103-ET-ST2703-1-5.pdf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YES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inlineStr">
        <is>
          <t>&gt;550 MΩ</t>
        </is>
      </c>
      <c r="V112" s="15" t="inlineStr">
        <is>
          <t>76 Ω</t>
        </is>
      </c>
      <c r="W112" s="15" t="inlineStr">
        <is>
          <t>2026-05-18</t>
        </is>
      </c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D/32SA2170/13.1M/224/128/1.2M/LS23A/X/N12/XMN</t>
        </is>
      </c>
      <c r="AK112" s="15" t="inlineStr">
        <is>
          <t>13.1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Power Cable</t>
        </is>
      </c>
      <c r="B113" s="15" t="inlineStr">
        <is>
          <t>29103-AMB-009</t>
        </is>
      </c>
      <c r="C113" s="15" t="inlineStr"/>
      <c r="D113" s="15" t="inlineStr"/>
      <c r="E113" s="15" t="inlineStr">
        <is>
          <t>29103-HTP-005</t>
        </is>
      </c>
      <c r="F113" s="15" t="inlineStr"/>
      <c r="G113" s="15" t="inlineStr">
        <is>
          <t>113</t>
        </is>
      </c>
      <c r="H113" s="15" t="inlineStr">
        <is>
          <t>1.5. 29103-HTP-005/3. Power Cables/29103-AMB-009.pdf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NO</v>
      </c>
      <c r="O113" s="6" t="str">
        <f>IF(OR($A113="Power Cable",$A113="RTD Cable",$A113="Fieldbus Cable"),IF(AND($AE113&lt;&gt;""),"YES","NO"),"N/A")</f>
        <v>NO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Teck</t>
        </is>
      </c>
      <c r="AK113" s="15" t="inlineStr">
        <is>
          <t>8AWG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Power Cable</t>
        </is>
      </c>
      <c r="B114" s="15" t="inlineStr">
        <is>
          <t>29103-AMB-011</t>
        </is>
      </c>
      <c r="C114" s="15" t="inlineStr"/>
      <c r="D114" s="15" t="inlineStr"/>
      <c r="E114" s="15" t="inlineStr">
        <is>
          <t>29103-HTP-005</t>
        </is>
      </c>
      <c r="F114" s="15" t="inlineStr"/>
      <c r="G114" s="15" t="inlineStr">
        <is>
          <t>113</t>
        </is>
      </c>
      <c r="H114" s="15" t="inlineStr">
        <is>
          <t>1.5. 29103-HTP-005/3. Power Cables/29103-AMB-011.pdf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NO</v>
      </c>
      <c r="O114" s="6" t="str">
        <f>IF(OR($A114="Power Cable",$A114="RTD Cable",$A114="Fieldbus Cable"),IF(AND($AE114&lt;&gt;""),"YES","NO"),"N/A")</f>
        <v>NO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Teck</t>
        </is>
      </c>
      <c r="AK114" s="15" t="inlineStr">
        <is>
          <t>8AWG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Power Cable</t>
        </is>
      </c>
      <c r="B115" s="15" t="inlineStr">
        <is>
          <t>29103-AMB-012</t>
        </is>
      </c>
      <c r="C115" s="15" t="inlineStr"/>
      <c r="D115" s="15" t="inlineStr"/>
      <c r="E115" s="15" t="inlineStr">
        <is>
          <t>29103-HTP-005</t>
        </is>
      </c>
      <c r="F115" s="15" t="inlineStr"/>
      <c r="G115" s="15" t="inlineStr">
        <is>
          <t>113</t>
        </is>
      </c>
      <c r="H115" s="15" t="inlineStr">
        <is>
          <t>1.5. 29103-HTP-005/3. Power Cables/29103-AMB-012.pdf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NO</v>
      </c>
      <c r="O115" s="6" t="str">
        <f>IF(OR($A115="Power Cable",$A115="RTD Cable",$A115="Fieldbus Cable"),IF(AND($AE115&lt;&gt;""),"YES","NO"),"N/A")</f>
        <v>NO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Teck</t>
        </is>
      </c>
      <c r="AK115" s="15" t="inlineStr">
        <is>
          <t>8AWG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Power Cable</t>
        </is>
      </c>
      <c r="B116" s="15" t="inlineStr">
        <is>
          <t>29103-ET-FG2401-1-PWK-1</t>
        </is>
      </c>
      <c r="C116" s="15" t="inlineStr">
        <is>
          <t>29103-ET-FG2401-1</t>
        </is>
      </c>
      <c r="D116" s="15" t="inlineStr"/>
      <c r="E116" s="15" t="inlineStr">
        <is>
          <t>29103-HTP-005</t>
        </is>
      </c>
      <c r="F116" s="15" t="inlineStr"/>
      <c r="G116" s="15" t="inlineStr">
        <is>
          <t>113</t>
        </is>
      </c>
      <c r="H116" s="15" t="inlineStr">
        <is>
          <t>1.5. 29103-HTP-005/3. Power Cables/29103-ET-FG2401-1-PWK-1.pdf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NO</v>
      </c>
      <c r="O116" s="6" t="str">
        <f>IF(OR($A116="Power Cable",$A116="RTD Cable",$A116="Fieldbus Cable"),IF(AND($AE116&lt;&gt;""),"YES","NO"),"N/A")</f>
        <v>NO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Teck</t>
        </is>
      </c>
      <c r="AK116" s="15" t="inlineStr">
        <is>
          <t>10AWG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Power Cable</t>
        </is>
      </c>
      <c r="B117" s="15" t="inlineStr">
        <is>
          <t>29103-ET-FG2403-1-PWK-1</t>
        </is>
      </c>
      <c r="C117" s="15" t="inlineStr">
        <is>
          <t>29103-ET-FG2403-1</t>
        </is>
      </c>
      <c r="D117" s="15" t="inlineStr"/>
      <c r="E117" s="15" t="inlineStr">
        <is>
          <t>29103-HTP-005</t>
        </is>
      </c>
      <c r="F117" s="15" t="inlineStr"/>
      <c r="G117" s="15" t="inlineStr">
        <is>
          <t>113</t>
        </is>
      </c>
      <c r="H117" s="15" t="inlineStr">
        <is>
          <t>1.5. 29103-HTP-005/3. Power Cables/29103-ET-FG2403-1-PWK-1.pdf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NO</v>
      </c>
      <c r="O117" s="6" t="str">
        <f>IF(OR($A117="Power Cable",$A117="RTD Cable",$A117="Fieldbus Cable"),IF(AND($AE117&lt;&gt;""),"YES","NO"),"N/A")</f>
        <v>NO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Teck</t>
        </is>
      </c>
      <c r="AK117" s="15" t="inlineStr">
        <is>
          <t>10AWG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Power Cable</t>
        </is>
      </c>
      <c r="B118" s="15" t="inlineStr">
        <is>
          <t>29103-ET-FG2501-1-PWK-1</t>
        </is>
      </c>
      <c r="C118" s="15" t="inlineStr">
        <is>
          <t>29103-ET-FG2501-1</t>
        </is>
      </c>
      <c r="D118" s="15" t="inlineStr"/>
      <c r="E118" s="15" t="inlineStr">
        <is>
          <t>29103-HTP-005</t>
        </is>
      </c>
      <c r="F118" s="15" t="inlineStr"/>
      <c r="G118" s="15" t="inlineStr">
        <is>
          <t>113</t>
        </is>
      </c>
      <c r="H118" s="15" t="inlineStr">
        <is>
          <t>1.5. 29103-HTP-005/3. Power Cables/29103-ET-FG2501-1-PWK-1.pdf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NO</v>
      </c>
      <c r="O118" s="6" t="str">
        <f>IF(OR($A118="Power Cable",$A118="RTD Cable",$A118="Fieldbus Cable"),IF(AND($AE118&lt;&gt;""),"YES","NO"),"N/A")</f>
        <v>NO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Teck</t>
        </is>
      </c>
      <c r="AK118" s="15" t="inlineStr">
        <is>
          <t>10AWG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Power Cable</t>
        </is>
      </c>
      <c r="B119" s="15" t="inlineStr">
        <is>
          <t>29103-ET-FG2503-1-PWK-1</t>
        </is>
      </c>
      <c r="C119" s="15" t="inlineStr">
        <is>
          <t>29103-ET-FG2503-1</t>
        </is>
      </c>
      <c r="D119" s="15" t="inlineStr"/>
      <c r="E119" s="15" t="inlineStr">
        <is>
          <t>29103-HTP-005</t>
        </is>
      </c>
      <c r="F119" s="15" t="inlineStr"/>
      <c r="G119" s="15" t="inlineStr">
        <is>
          <t>113</t>
        </is>
      </c>
      <c r="H119" s="15" t="inlineStr">
        <is>
          <t>1.5. 29103-HTP-005/3. Power Cables/29103-ET-FG2503-1-PWK-1.pdf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NO</v>
      </c>
      <c r="O119" s="6" t="str">
        <f>IF(OR($A119="Power Cable",$A119="RTD Cable",$A119="Fieldbus Cable"),IF(AND($AE119&lt;&gt;""),"YES","NO"),"N/A")</f>
        <v>NO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Teck</t>
        </is>
      </c>
      <c r="AK119" s="15" t="inlineStr">
        <is>
          <t>10AWG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Power Cable</t>
        </is>
      </c>
      <c r="B120" s="15" t="inlineStr">
        <is>
          <t>29103-ET-FG2601-1-PWK-1</t>
        </is>
      </c>
      <c r="C120" s="15" t="inlineStr">
        <is>
          <t>29103-ET-FG2601-1</t>
        </is>
      </c>
      <c r="D120" s="15" t="inlineStr"/>
      <c r="E120" s="15" t="inlineStr">
        <is>
          <t>29103-HTP-005</t>
        </is>
      </c>
      <c r="F120" s="15" t="inlineStr"/>
      <c r="G120" s="15" t="inlineStr">
        <is>
          <t>113</t>
        </is>
      </c>
      <c r="H120" s="15" t="inlineStr">
        <is>
          <t>1.5. 29103-HTP-005/3. Power Cables/29103-ET-FG2601-1-PWK-1.pdf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NO</v>
      </c>
      <c r="O120" s="6" t="str">
        <f>IF(OR($A120="Power Cable",$A120="RTD Cable",$A120="Fieldbus Cable"),IF(AND($AE120&lt;&gt;""),"YES","NO"),"N/A")</f>
        <v>NO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Teck</t>
        </is>
      </c>
      <c r="AK120" s="15" t="inlineStr">
        <is>
          <t>10AWG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29103-ET-FG2603-1-PWK-1</t>
        </is>
      </c>
      <c r="C121" s="15" t="inlineStr">
        <is>
          <t>29103-ET-FG2603-1</t>
        </is>
      </c>
      <c r="D121" s="15" t="inlineStr"/>
      <c r="E121" s="15" t="inlineStr">
        <is>
          <t>29103-HTP-005</t>
        </is>
      </c>
      <c r="F121" s="15" t="inlineStr"/>
      <c r="G121" s="15" t="inlineStr">
        <is>
          <t>113</t>
        </is>
      </c>
      <c r="H121" s="15" t="inlineStr">
        <is>
          <t>1.5. 29103-HTP-005/3. Power Cables/29103-ET-FG2603-1-PWK-1.pdf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10AWG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29103-ET-FG2605-1-PWK-1</t>
        </is>
      </c>
      <c r="C122" s="15" t="inlineStr">
        <is>
          <t>29103-ET-FG2605-1</t>
        </is>
      </c>
      <c r="D122" s="15" t="inlineStr"/>
      <c r="E122" s="15" t="inlineStr">
        <is>
          <t>29103-HTP-005</t>
        </is>
      </c>
      <c r="F122" s="15" t="inlineStr"/>
      <c r="G122" s="15" t="inlineStr">
        <is>
          <t>113</t>
        </is>
      </c>
      <c r="H122" s="15" t="inlineStr">
        <is>
          <t>1.5. 29103-HTP-005/3. Power Cables/29103-ET-FG2605-1-PWK-1.pdf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10AWG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29103-ET-FG2701-1-PWK-1</t>
        </is>
      </c>
      <c r="C123" s="15" t="inlineStr">
        <is>
          <t>29103-ET-FG2701-1</t>
        </is>
      </c>
      <c r="D123" s="15" t="inlineStr"/>
      <c r="E123" s="15" t="inlineStr">
        <is>
          <t>29103-HTP-005</t>
        </is>
      </c>
      <c r="F123" s="15" t="inlineStr"/>
      <c r="G123" s="15" t="inlineStr">
        <is>
          <t>113</t>
        </is>
      </c>
      <c r="H123" s="15" t="inlineStr">
        <is>
          <t>1.5. 29103-HTP-005/3. Power Cables/29103-ET-FG2701-1-PWK-1.pdf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10AWG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29103-ET-FG2703-1-PWK-1</t>
        </is>
      </c>
      <c r="C124" s="15" t="inlineStr">
        <is>
          <t>29103-ET-FG2703-1</t>
        </is>
      </c>
      <c r="D124" s="15" t="inlineStr"/>
      <c r="E124" s="15" t="inlineStr">
        <is>
          <t>29103-HTP-005</t>
        </is>
      </c>
      <c r="F124" s="15" t="inlineStr"/>
      <c r="G124" s="15" t="inlineStr">
        <is>
          <t>113</t>
        </is>
      </c>
      <c r="H124" s="15" t="inlineStr">
        <is>
          <t>1.5. 29103-HTP-005/3. Power Cables/29103-ET-FG2703-1-PWK-1.pdf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10AWG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29103-ET-P2401-1-PWK-1</t>
        </is>
      </c>
      <c r="C125" s="15" t="inlineStr">
        <is>
          <t>29103-ET-P2401-1</t>
        </is>
      </c>
      <c r="D125" s="15" t="inlineStr"/>
      <c r="E125" s="15" t="inlineStr">
        <is>
          <t>29103-HTP-005</t>
        </is>
      </c>
      <c r="F125" s="15" t="inlineStr"/>
      <c r="G125" s="15" t="inlineStr">
        <is>
          <t>113</t>
        </is>
      </c>
      <c r="H125" s="15" t="inlineStr">
        <is>
          <t>1.5. 29103-HTP-005/3. Power Cables/29103-ET-P2401-1-PWK-1.pdf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10AWG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29103-ET-P2501-1-PWK-1</t>
        </is>
      </c>
      <c r="C126" s="15" t="inlineStr">
        <is>
          <t>29103-ET-P2501-1</t>
        </is>
      </c>
      <c r="D126" s="15" t="inlineStr"/>
      <c r="E126" s="15" t="inlineStr">
        <is>
          <t>29103-HTP-005</t>
        </is>
      </c>
      <c r="F126" s="15" t="inlineStr"/>
      <c r="G126" s="15" t="inlineStr">
        <is>
          <t>113</t>
        </is>
      </c>
      <c r="H126" s="15" t="inlineStr">
        <is>
          <t>1.5. 29103-HTP-005/3. Power Cables/29103-ET-P2501-1-PWK-1.pdf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29103-ET-P2504-1-PWK-1</t>
        </is>
      </c>
      <c r="C127" s="15" t="inlineStr">
        <is>
          <t>29103-ET-P2504-1</t>
        </is>
      </c>
      <c r="D127" s="15" t="inlineStr"/>
      <c r="E127" s="15" t="inlineStr">
        <is>
          <t>29103-HTP-005</t>
        </is>
      </c>
      <c r="F127" s="15" t="inlineStr"/>
      <c r="G127" s="15" t="inlineStr">
        <is>
          <t>113</t>
        </is>
      </c>
      <c r="H127" s="15" t="inlineStr">
        <is>
          <t>1.5. 29103-HTP-005/3. Power Cables/29103-ET-P2504-1-PWK-1.pdf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29103-ET-P2504-2-PWK-1</t>
        </is>
      </c>
      <c r="C128" s="15" t="inlineStr">
        <is>
          <t>29103-ET-P2504-2</t>
        </is>
      </c>
      <c r="D128" s="15" t="inlineStr"/>
      <c r="E128" s="15" t="inlineStr">
        <is>
          <t>29103-HTP-005</t>
        </is>
      </c>
      <c r="F128" s="15" t="inlineStr"/>
      <c r="G128" s="15" t="inlineStr">
        <is>
          <t>113</t>
        </is>
      </c>
      <c r="H128" s="15" t="inlineStr">
        <is>
          <t>1.5. 29103-HTP-005/3. Power Cables/29103-ET-P2504-2-PWK-1.pdf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29103-ET-P2601-1-PWK-1</t>
        </is>
      </c>
      <c r="C129" s="15" t="inlineStr">
        <is>
          <t>29103-ET-P2601-1</t>
        </is>
      </c>
      <c r="D129" s="15" t="inlineStr"/>
      <c r="E129" s="15" t="inlineStr">
        <is>
          <t>29103-HTP-005</t>
        </is>
      </c>
      <c r="F129" s="15" t="inlineStr"/>
      <c r="G129" s="15" t="inlineStr">
        <is>
          <t>113</t>
        </is>
      </c>
      <c r="H129" s="15" t="inlineStr">
        <is>
          <t>1.5. 29103-HTP-005/3. Power Cables/29103-ET-P2601-1-PWK-1.pdf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29103-ET-P2604-1-PWK-1</t>
        </is>
      </c>
      <c r="C130" s="15" t="inlineStr">
        <is>
          <t>29103-ET-P2604-1</t>
        </is>
      </c>
      <c r="D130" s="15" t="inlineStr"/>
      <c r="E130" s="15" t="inlineStr">
        <is>
          <t>29103-HTP-005</t>
        </is>
      </c>
      <c r="F130" s="15" t="inlineStr"/>
      <c r="G130" s="15" t="inlineStr">
        <is>
          <t>113</t>
        </is>
      </c>
      <c r="H130" s="15" t="inlineStr">
        <is>
          <t>1.5. 29103-HTP-005/3. Power Cables/29103-ET-P2604-1-PWK-1.pdf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29103-ET-P2604-2-PWK-1</t>
        </is>
      </c>
      <c r="C131" s="15" t="inlineStr">
        <is>
          <t>29103-ET-P2604-2</t>
        </is>
      </c>
      <c r="D131" s="15" t="inlineStr"/>
      <c r="E131" s="15" t="inlineStr">
        <is>
          <t>29103-HTP-005</t>
        </is>
      </c>
      <c r="F131" s="15" t="inlineStr"/>
      <c r="G131" s="15" t="inlineStr">
        <is>
          <t>113</t>
        </is>
      </c>
      <c r="H131" s="15" t="inlineStr">
        <is>
          <t>1.5. 29103-HTP-005/3. Power Cables/29103-ET-P2604-2-PWK-1.pdf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29103-ET-P2701-1-PWK-1</t>
        </is>
      </c>
      <c r="C132" s="15" t="inlineStr">
        <is>
          <t>29103-ET-P2701-1</t>
        </is>
      </c>
      <c r="D132" s="15" t="inlineStr"/>
      <c r="E132" s="15" t="inlineStr">
        <is>
          <t>29103-HTP-005</t>
        </is>
      </c>
      <c r="F132" s="15" t="inlineStr"/>
      <c r="G132" s="15" t="inlineStr">
        <is>
          <t>113</t>
        </is>
      </c>
      <c r="H132" s="15" t="inlineStr">
        <is>
          <t>1.5. 29103-HTP-005/3. Power Cables/29103-ET-P2701-1-PWK-1.pdf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29103-ET-P2704-1-PWK-1</t>
        </is>
      </c>
      <c r="C133" s="15" t="inlineStr">
        <is>
          <t>29103-ET-P2704-1</t>
        </is>
      </c>
      <c r="D133" s="15" t="inlineStr"/>
      <c r="E133" s="15" t="inlineStr">
        <is>
          <t>29103-HTP-005</t>
        </is>
      </c>
      <c r="F133" s="15" t="inlineStr"/>
      <c r="G133" s="15" t="inlineStr">
        <is>
          <t>113</t>
        </is>
      </c>
      <c r="H133" s="15" t="inlineStr">
        <is>
          <t>1.5. 29103-HTP-005/3. Power Cables/29103-ET-P2704-1-PWK-1.pdf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29103-ET-P2704-2-PWK-1</t>
        </is>
      </c>
      <c r="C134" s="15" t="inlineStr">
        <is>
          <t>29103-ET-P2704-2</t>
        </is>
      </c>
      <c r="D134" s="15" t="inlineStr"/>
      <c r="E134" s="15" t="inlineStr">
        <is>
          <t>29103-HTP-005</t>
        </is>
      </c>
      <c r="F134" s="15" t="inlineStr"/>
      <c r="G134" s="15" t="inlineStr">
        <is>
          <t>113</t>
        </is>
      </c>
      <c r="H134" s="15" t="inlineStr">
        <is>
          <t>1.5. 29103-HTP-005/3. Power Cables/29103-ET-P2704-2-PWK-1.pdf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29103-ET-P2800-1-PWK-1</t>
        </is>
      </c>
      <c r="C135" s="15" t="inlineStr">
        <is>
          <t>29103-ET-P2800-1</t>
        </is>
      </c>
      <c r="D135" s="15" t="inlineStr"/>
      <c r="E135" s="15" t="inlineStr">
        <is>
          <t>29103-HTP-005</t>
        </is>
      </c>
      <c r="F135" s="15" t="inlineStr"/>
      <c r="G135" s="15" t="inlineStr">
        <is>
          <t>113</t>
        </is>
      </c>
      <c r="H135" s="15" t="inlineStr">
        <is>
          <t>1.5. 29103-HTP-005/3. Power Cables/29103-ET-P2800-1-PWK-1.pdf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29103-ET-PE2401-1-PWK-1</t>
        </is>
      </c>
      <c r="C136" s="15" t="inlineStr">
        <is>
          <t>29103-ET-PE2401-1</t>
        </is>
      </c>
      <c r="D136" s="15" t="inlineStr"/>
      <c r="E136" s="15" t="inlineStr">
        <is>
          <t>29103-HTP-005</t>
        </is>
      </c>
      <c r="F136" s="15" t="inlineStr"/>
      <c r="G136" s="15" t="inlineStr">
        <is>
          <t>113</t>
        </is>
      </c>
      <c r="H136" s="15" t="inlineStr">
        <is>
          <t>1.5. 29103-HTP-005/3. Power Cables/29103-ET-PE2401-1-PWK-1.pdf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29103-ET-PE2501-1-PWK-1</t>
        </is>
      </c>
      <c r="C137" s="15" t="inlineStr">
        <is>
          <t>29103-ET-PE2501-1</t>
        </is>
      </c>
      <c r="D137" s="15" t="inlineStr"/>
      <c r="E137" s="15" t="inlineStr">
        <is>
          <t>29103-HTP-005</t>
        </is>
      </c>
      <c r="F137" s="15" t="inlineStr"/>
      <c r="G137" s="15" t="inlineStr">
        <is>
          <t>113</t>
        </is>
      </c>
      <c r="H137" s="15" t="inlineStr">
        <is>
          <t>1.5. 29103-HTP-005/3. Power Cables/29103-ET-PE2501-1-PWK-1.pdf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29103-ET-PE2501-2-PWK-1</t>
        </is>
      </c>
      <c r="C138" s="15" t="inlineStr">
        <is>
          <t>29103-ET-PE2501-2</t>
        </is>
      </c>
      <c r="D138" s="15" t="inlineStr"/>
      <c r="E138" s="15" t="inlineStr">
        <is>
          <t>29103-HTP-005</t>
        </is>
      </c>
      <c r="F138" s="15" t="inlineStr"/>
      <c r="G138" s="15" t="inlineStr">
        <is>
          <t>113</t>
        </is>
      </c>
      <c r="H138" s="15" t="inlineStr">
        <is>
          <t>1.5. 29103-HTP-005/3. Power Cables/29103-ET-PE2501-2-PWK-1.pdf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29103-ET-PE2502-1-PWK-1</t>
        </is>
      </c>
      <c r="C139" s="15" t="inlineStr">
        <is>
          <t>29103-ET-PE2502-1</t>
        </is>
      </c>
      <c r="D139" s="15" t="inlineStr"/>
      <c r="E139" s="15" t="inlineStr">
        <is>
          <t>29103-HTP-005</t>
        </is>
      </c>
      <c r="F139" s="15" t="inlineStr"/>
      <c r="G139" s="15" t="inlineStr">
        <is>
          <t>113</t>
        </is>
      </c>
      <c r="H139" s="15" t="inlineStr">
        <is>
          <t>1.5. 29103-HTP-005/3. Power Cables/29103-ET-PE2502-1-PWK-1.pdf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29103-ET-PE2601-1-PWK-1</t>
        </is>
      </c>
      <c r="C140" s="15" t="inlineStr">
        <is>
          <t>29103-ET-PE2601-1</t>
        </is>
      </c>
      <c r="D140" s="15" t="inlineStr"/>
      <c r="E140" s="15" t="inlineStr">
        <is>
          <t>29103-HTP-005</t>
        </is>
      </c>
      <c r="F140" s="15" t="inlineStr"/>
      <c r="G140" s="15" t="inlineStr">
        <is>
          <t>113</t>
        </is>
      </c>
      <c r="H140" s="15" t="inlineStr">
        <is>
          <t>1.5. 29103-HTP-005/3. Power Cables/29103-ET-PE2601-1-PWK-1.pdf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29103-ET-PE2601-2-PWK-1</t>
        </is>
      </c>
      <c r="C141" s="15" t="inlineStr">
        <is>
          <t>29103-ET-PE2601-2</t>
        </is>
      </c>
      <c r="D141" s="15" t="inlineStr"/>
      <c r="E141" s="15" t="inlineStr">
        <is>
          <t>29103-HTP-005</t>
        </is>
      </c>
      <c r="F141" s="15" t="inlineStr"/>
      <c r="G141" s="15" t="inlineStr">
        <is>
          <t>113</t>
        </is>
      </c>
      <c r="H141" s="15" t="inlineStr">
        <is>
          <t>1.5. 29103-HTP-005/3. Power Cables/29103-ET-PE2601-2-PWK-1.pdf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29103-ET-PE2602-1-PWK-1</t>
        </is>
      </c>
      <c r="C142" s="15" t="inlineStr">
        <is>
          <t>29103-ET-PE2602-1</t>
        </is>
      </c>
      <c r="D142" s="15" t="inlineStr"/>
      <c r="E142" s="15" t="inlineStr">
        <is>
          <t>29103-HTP-005</t>
        </is>
      </c>
      <c r="F142" s="15" t="inlineStr"/>
      <c r="G142" s="15" t="inlineStr">
        <is>
          <t>113</t>
        </is>
      </c>
      <c r="H142" s="15" t="inlineStr">
        <is>
          <t>1.5. 29103-HTP-005/3. Power Cables/29103-ET-PE2602-1-PWK-1.pdf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29103-ET-PE2701-1-PWK-1</t>
        </is>
      </c>
      <c r="C143" s="15" t="inlineStr">
        <is>
          <t>29103-ET-PE2701-1</t>
        </is>
      </c>
      <c r="D143" s="15" t="inlineStr"/>
      <c r="E143" s="15" t="inlineStr">
        <is>
          <t>29103-HTP-005</t>
        </is>
      </c>
      <c r="F143" s="15" t="inlineStr"/>
      <c r="G143" s="15" t="inlineStr">
        <is>
          <t>113</t>
        </is>
      </c>
      <c r="H143" s="15" t="inlineStr">
        <is>
          <t>1.5. 29103-HTP-005/3. Power Cables/29103-ET-PE2701-1-PWK-1.pdf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29103-ET-PE2701-2-PWK-1</t>
        </is>
      </c>
      <c r="C144" s="15" t="inlineStr">
        <is>
          <t>29103-ET-PE2701-2</t>
        </is>
      </c>
      <c r="D144" s="15" t="inlineStr"/>
      <c r="E144" s="15" t="inlineStr">
        <is>
          <t>29103-HTP-005</t>
        </is>
      </c>
      <c r="F144" s="15" t="inlineStr"/>
      <c r="G144" s="15" t="inlineStr">
        <is>
          <t>113</t>
        </is>
      </c>
      <c r="H144" s="15" t="inlineStr">
        <is>
          <t>1.5. 29103-HTP-005/3. Power Cables/29103-ET-PE2701-2-PWK-1.pdf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29103-ET-PE2702-1-PWK-1</t>
        </is>
      </c>
      <c r="C145" s="15" t="inlineStr">
        <is>
          <t>29103-ET-PE2702-1</t>
        </is>
      </c>
      <c r="D145" s="15" t="inlineStr"/>
      <c r="E145" s="15" t="inlineStr">
        <is>
          <t>29103-HTP-005</t>
        </is>
      </c>
      <c r="F145" s="15" t="inlineStr"/>
      <c r="G145" s="15" t="inlineStr">
        <is>
          <t>113</t>
        </is>
      </c>
      <c r="H145" s="15" t="inlineStr">
        <is>
          <t>1.5. 29103-HTP-005/3. Power Cables/29103-ET-PE2702-1-PWK-1.pdf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29103-ET-PE2802-1-PWK-1</t>
        </is>
      </c>
      <c r="C146" s="15" t="inlineStr">
        <is>
          <t>29103-ET-PE2802-1</t>
        </is>
      </c>
      <c r="D146" s="15" t="inlineStr"/>
      <c r="E146" s="15" t="inlineStr">
        <is>
          <t>29103-HTP-005</t>
        </is>
      </c>
      <c r="F146" s="15" t="inlineStr"/>
      <c r="G146" s="15" t="inlineStr">
        <is>
          <t>113</t>
        </is>
      </c>
      <c r="H146" s="15" t="inlineStr">
        <is>
          <t>1.5. 29103-HTP-005/3. Power Cables/29103-ET-PE2802-1-PWK-1.pdf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29103-ET-PE2802-2-PWK-1</t>
        </is>
      </c>
      <c r="C147" s="15" t="inlineStr">
        <is>
          <t>29103-ET-PE2802-2</t>
        </is>
      </c>
      <c r="D147" s="15" t="inlineStr"/>
      <c r="E147" s="15" t="inlineStr">
        <is>
          <t>29103-HTP-005</t>
        </is>
      </c>
      <c r="F147" s="15" t="inlineStr"/>
      <c r="G147" s="15" t="inlineStr">
        <is>
          <t>113</t>
        </is>
      </c>
      <c r="H147" s="15" t="inlineStr">
        <is>
          <t>1.5. 29103-HTP-005/3. Power Cables/29103-ET-PE2802-2-PWK-1.pdf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29103-ET-PE2803-1-PWK-1</t>
        </is>
      </c>
      <c r="C148" s="15" t="inlineStr">
        <is>
          <t>29103-ET-PE2803-1</t>
        </is>
      </c>
      <c r="D148" s="15" t="inlineStr"/>
      <c r="E148" s="15" t="inlineStr">
        <is>
          <t>29103-HTP-005</t>
        </is>
      </c>
      <c r="F148" s="15" t="inlineStr"/>
      <c r="G148" s="15" t="inlineStr">
        <is>
          <t>113</t>
        </is>
      </c>
      <c r="H148" s="15" t="inlineStr">
        <is>
          <t>1.5. 29103-HTP-005/3. Power Cables/29103-ET-PE2803-1-PWK-1.pdf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29103-ET-PG2401-1-PWK-1</t>
        </is>
      </c>
      <c r="C149" s="15" t="inlineStr">
        <is>
          <t>29103-ET-PG2401-1</t>
        </is>
      </c>
      <c r="D149" s="15" t="inlineStr"/>
      <c r="E149" s="15" t="inlineStr">
        <is>
          <t>29103-HTP-005</t>
        </is>
      </c>
      <c r="F149" s="15" t="inlineStr"/>
      <c r="G149" s="15" t="inlineStr">
        <is>
          <t>113</t>
        </is>
      </c>
      <c r="H149" s="15" t="inlineStr">
        <is>
          <t>1.5. 29103-HTP-005/3. Power Cables/29103-ET-PG2401-1-PWK-1.pdf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29103-ET-PG2501-1-PWK-1</t>
        </is>
      </c>
      <c r="C150" s="15" t="inlineStr">
        <is>
          <t>29103-ET-PG2501-1</t>
        </is>
      </c>
      <c r="D150" s="15" t="inlineStr"/>
      <c r="E150" s="15" t="inlineStr">
        <is>
          <t>29103-HTP-005</t>
        </is>
      </c>
      <c r="F150" s="15" t="inlineStr"/>
      <c r="G150" s="15" t="inlineStr">
        <is>
          <t>113</t>
        </is>
      </c>
      <c r="H150" s="15" t="inlineStr">
        <is>
          <t>1.5. 29103-HTP-005/3. Power Cables/29103-ET-PG2501-1-PWK-1.pdf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29103-ET-PG2501-2-PWK-1</t>
        </is>
      </c>
      <c r="C151" s="15" t="inlineStr">
        <is>
          <t>29103-ET-PG2501-2</t>
        </is>
      </c>
      <c r="D151" s="15" t="inlineStr"/>
      <c r="E151" s="15" t="inlineStr">
        <is>
          <t>29103-HTP-005</t>
        </is>
      </c>
      <c r="F151" s="15" t="inlineStr"/>
      <c r="G151" s="15" t="inlineStr">
        <is>
          <t>113</t>
        </is>
      </c>
      <c r="H151" s="15" t="inlineStr">
        <is>
          <t>1.5. 29103-HTP-005/3. Power Cables/29103-ET-PG2501-2-PWK-1.pdf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29103-ET-PG2601-1-PWK-1</t>
        </is>
      </c>
      <c r="C152" s="15" t="inlineStr">
        <is>
          <t>29103-ET-PG2601-1</t>
        </is>
      </c>
      <c r="D152" s="15" t="inlineStr"/>
      <c r="E152" s="15" t="inlineStr">
        <is>
          <t>29103-HTP-005</t>
        </is>
      </c>
      <c r="F152" s="15" t="inlineStr"/>
      <c r="G152" s="15" t="inlineStr">
        <is>
          <t>113</t>
        </is>
      </c>
      <c r="H152" s="15" t="inlineStr">
        <is>
          <t>1.5. 29103-HTP-005/3. Power Cables/29103-ET-PG2601-1-PWK-1.pdf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29103-ET-PG2601-2-PWK-1</t>
        </is>
      </c>
      <c r="C153" s="15" t="inlineStr">
        <is>
          <t>29103-ET-PG2601-2</t>
        </is>
      </c>
      <c r="D153" s="15" t="inlineStr"/>
      <c r="E153" s="15" t="inlineStr">
        <is>
          <t>29103-HTP-005</t>
        </is>
      </c>
      <c r="F153" s="15" t="inlineStr"/>
      <c r="G153" s="15" t="inlineStr">
        <is>
          <t>113</t>
        </is>
      </c>
      <c r="H153" s="15" t="inlineStr">
        <is>
          <t>1.5. 29103-HTP-005/3. Power Cables/29103-ET-PG2601-2-PWK-1.pdf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29103-ET-PG2701-1-PWK-1</t>
        </is>
      </c>
      <c r="C154" s="15" t="inlineStr">
        <is>
          <t>29103-ET-PG2701-1</t>
        </is>
      </c>
      <c r="D154" s="15" t="inlineStr"/>
      <c r="E154" s="15" t="inlineStr">
        <is>
          <t>29103-HTP-005</t>
        </is>
      </c>
      <c r="F154" s="15" t="inlineStr"/>
      <c r="G154" s="15" t="inlineStr">
        <is>
          <t>113</t>
        </is>
      </c>
      <c r="H154" s="15" t="inlineStr">
        <is>
          <t>1.5. 29103-HTP-005/3. Power Cables/29103-ET-PG2701-1-PWK-1.pdf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29103-ET-PG2701-2-PWK-1</t>
        </is>
      </c>
      <c r="C155" s="15" t="inlineStr">
        <is>
          <t>29103-ET-PG2701-2</t>
        </is>
      </c>
      <c r="D155" s="15" t="inlineStr"/>
      <c r="E155" s="15" t="inlineStr">
        <is>
          <t>29103-HTP-005</t>
        </is>
      </c>
      <c r="F155" s="15" t="inlineStr"/>
      <c r="G155" s="15" t="inlineStr">
        <is>
          <t>113</t>
        </is>
      </c>
      <c r="H155" s="15" t="inlineStr">
        <is>
          <t>1.5. 29103-HTP-005/3. Power Cables/29103-ET-PG2701-2-PWK-1.pdf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29103-ET-SC2800-1-PWK-1</t>
        </is>
      </c>
      <c r="C156" s="15" t="inlineStr">
        <is>
          <t>29103-ET-SC2800-1</t>
        </is>
      </c>
      <c r="D156" s="15" t="inlineStr"/>
      <c r="E156" s="15" t="inlineStr">
        <is>
          <t>29103-HTP-005</t>
        </is>
      </c>
      <c r="F156" s="15" t="inlineStr"/>
      <c r="G156" s="15" t="inlineStr">
        <is>
          <t>113</t>
        </is>
      </c>
      <c r="H156" s="15" t="inlineStr">
        <is>
          <t>1.5. 29103-HTP-005/3. Power Cables/29103-ET-SC2800-1-PWK-1.pdf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29103-ET-ST2001-1-PWK-1</t>
        </is>
      </c>
      <c r="C157" s="15" t="inlineStr">
        <is>
          <t>29103-ET-ST2001-1</t>
        </is>
      </c>
      <c r="D157" s="15" t="inlineStr"/>
      <c r="E157" s="15" t="inlineStr">
        <is>
          <t>29103-HTP-005</t>
        </is>
      </c>
      <c r="F157" s="15" t="inlineStr"/>
      <c r="G157" s="15" t="inlineStr">
        <is>
          <t>113</t>
        </is>
      </c>
      <c r="H157" s="15" t="inlineStr">
        <is>
          <t>1.5. 29103-HTP-005/3. Power Cables/29103-ET-ST2001-1-PWK-1.pdf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29103-ET-ST2603-1-PWK-1</t>
        </is>
      </c>
      <c r="C158" s="15" t="inlineStr">
        <is>
          <t>29103-ET-ST2603-1</t>
        </is>
      </c>
      <c r="D158" s="15" t="inlineStr"/>
      <c r="E158" s="15" t="inlineStr">
        <is>
          <t>29103-HTP-005</t>
        </is>
      </c>
      <c r="F158" s="15" t="inlineStr"/>
      <c r="G158" s="15" t="inlineStr">
        <is>
          <t>113</t>
        </is>
      </c>
      <c r="H158" s="15" t="inlineStr">
        <is>
          <t>1.5. 29103-HTP-005/3. Power Cables/29103-ET-ST2603-1-PWK-1.pdf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29103-ET-ST2703-1-PWK-1</t>
        </is>
      </c>
      <c r="C159" s="15" t="inlineStr">
        <is>
          <t>29103-ET-ST2703-1</t>
        </is>
      </c>
      <c r="D159" s="15" t="inlineStr"/>
      <c r="E159" s="15" t="inlineStr">
        <is>
          <t>29103-HTP-005</t>
        </is>
      </c>
      <c r="F159" s="15" t="inlineStr"/>
      <c r="G159" s="15" t="inlineStr">
        <is>
          <t>113</t>
        </is>
      </c>
      <c r="H159" s="15" t="inlineStr">
        <is>
          <t>1.5. 29103-HTP-005/3. Power Cables/29103-ET-ST2703-1-PWK-1.pdf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RTD</t>
        </is>
      </c>
      <c r="B160" s="15" t="inlineStr">
        <is>
          <t>29103-ET-P2401-1-R-1</t>
        </is>
      </c>
      <c r="C160" s="15" t="inlineStr">
        <is>
          <t>29103-ET-P2401-1</t>
        </is>
      </c>
      <c r="D160" s="15" t="inlineStr">
        <is>
          <t>29103-HTP-005 HTC-05</t>
        </is>
      </c>
      <c r="E160" s="15" t="inlineStr">
        <is>
          <t>PRODUCED EMULSION</t>
        </is>
      </c>
      <c r="F160" s="15" t="inlineStr">
        <is>
          <t>29103-65R-ET-P2401-01-01</t>
        </is>
      </c>
      <c r="G160" s="15" t="inlineStr">
        <is>
          <t>13.2</t>
        </is>
      </c>
      <c r="H160" s="15" t="inlineStr">
        <is>
          <t>1.5. 29103-HTP-005/2. RTD Inspection/29103-ET-P2401-1-R-1.pdf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N/A</v>
      </c>
      <c r="O160" s="6" t="str">
        <f>IF(OR($A160="Power Cable",$A160="RTD Cable",$A160="Fieldbus Cable"),IF(AND($AE160&lt;&gt;""),"YES","NO"),"N/A")</f>
        <v>N/A</v>
      </c>
      <c r="P160" s="6" t="str">
        <f>IF(OR($A160="RTD"),IF(AND($AH160&lt;&gt;""),"YES","NO"),"N/A")</f>
        <v>NO</v>
      </c>
      <c r="Q160" s="6" t="str">
        <f>IF(OR($A160="RTD"),IF(AND($AI160&lt;&gt;""),"YES","NO"),"N/A")</f>
        <v>NO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n"/>
      <c r="AK160" s="15" t="n"/>
      <c r="AL160" s="15" t="inlineStr">
        <is>
          <t>Levy Ostrup</t>
        </is>
      </c>
      <c r="AM160" s="15" t="n"/>
      <c r="AN160" s="15" t="n"/>
    </row>
    <row r="161">
      <c r="A161" s="15" t="inlineStr">
        <is>
          <t>RTD</t>
        </is>
      </c>
      <c r="B161" s="15" t="inlineStr">
        <is>
          <t>29103-ET-P2501-1-R-1</t>
        </is>
      </c>
      <c r="C161" s="15" t="inlineStr">
        <is>
          <t>29103-ET-P2501-1</t>
        </is>
      </c>
      <c r="D161" s="15" t="inlineStr">
        <is>
          <t>29103-HTP-005 HTC-04</t>
        </is>
      </c>
      <c r="E161" s="15" t="inlineStr">
        <is>
          <t>PRODUCED EMULSION</t>
        </is>
      </c>
      <c r="F161" s="15" t="inlineStr">
        <is>
          <t>29103-65R-ET-P2501-01-01</t>
        </is>
      </c>
      <c r="G161" s="15" t="inlineStr">
        <is>
          <t>13.2</t>
        </is>
      </c>
      <c r="H161" s="15" t="inlineStr">
        <is>
          <t>1.5. 29103-HTP-005/2. RTD Inspection/29103-ET-P2501-1-R-1.pdf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N/A</v>
      </c>
      <c r="O161" s="6" t="str">
        <f>IF(OR($A161="Power Cable",$A161="RTD Cable",$A161="Fieldbus Cable"),IF(AND($AE161&lt;&gt;""),"YES","NO"),"N/A")</f>
        <v>N/A</v>
      </c>
      <c r="P161" s="6" t="str">
        <f>IF(OR($A161="RTD"),IF(AND($AH161&lt;&gt;""),"YES","NO"),"N/A")</f>
        <v>NO</v>
      </c>
      <c r="Q161" s="6" t="str">
        <f>IF(OR($A161="RTD"),IF(AND($AI161&lt;&gt;""),"YES","NO"),"N/A")</f>
        <v>NO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n"/>
      <c r="AK161" s="15" t="n"/>
      <c r="AL161" s="15" t="inlineStr">
        <is>
          <t>Levy Ostrup</t>
        </is>
      </c>
      <c r="AM161" s="15" t="n"/>
      <c r="AN161" s="15" t="n"/>
    </row>
    <row r="162">
      <c r="A162" s="15" t="inlineStr">
        <is>
          <t>RTD</t>
        </is>
      </c>
      <c r="B162" s="15" t="inlineStr">
        <is>
          <t>29103-ET-P2504-1-R-1</t>
        </is>
      </c>
      <c r="C162" s="15" t="inlineStr">
        <is>
          <t>29103-ET-P2504-1</t>
        </is>
      </c>
      <c r="D162" s="15" t="inlineStr">
        <is>
          <t>29103-HTP-005 HTC-09</t>
        </is>
      </c>
      <c r="E162" s="15" t="inlineStr">
        <is>
          <t>PRODUCED EMULSION</t>
        </is>
      </c>
      <c r="F162" s="15" t="inlineStr">
        <is>
          <t>29103-65R-ET-P2504-01-01</t>
        </is>
      </c>
      <c r="G162" s="15" t="inlineStr">
        <is>
          <t>13.2</t>
        </is>
      </c>
      <c r="H162" s="15" t="inlineStr">
        <is>
          <t>1.5. 29103-HTP-005/2. RTD Inspection/29103-ET-P2504-1-R-1.pdf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N/A</v>
      </c>
      <c r="O162" s="6" t="str">
        <f>IF(OR($A162="Power Cable",$A162="RTD Cable",$A162="Fieldbus Cable"),IF(AND($AE162&lt;&gt;""),"YES","NO"),"N/A")</f>
        <v>N/A</v>
      </c>
      <c r="P162" s="6" t="str">
        <f>IF(OR($A162="RTD"),IF(AND($AH162&lt;&gt;""),"YES","NO"),"N/A")</f>
        <v>NO</v>
      </c>
      <c r="Q162" s="6" t="str">
        <f>IF(OR($A162="RTD"),IF(AND($AI162&lt;&gt;""),"YES","NO"),"N/A")</f>
        <v>NO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inlineStr">
        <is>
          <t>Levy Ostrup</t>
        </is>
      </c>
      <c r="AM162" s="15" t="n"/>
      <c r="AN162" s="15" t="n"/>
    </row>
    <row r="163">
      <c r="A163" s="15" t="inlineStr">
        <is>
          <t>RTD</t>
        </is>
      </c>
      <c r="B163" s="15" t="inlineStr">
        <is>
          <t>29103-ET-P2504-1-R-2</t>
        </is>
      </c>
      <c r="C163" s="15" t="inlineStr">
        <is>
          <t>29103-ET-P2504-1</t>
        </is>
      </c>
      <c r="D163" s="15" t="inlineStr">
        <is>
          <t>29103-HTP-005 I/O-1-4</t>
        </is>
      </c>
      <c r="E163" s="15" t="inlineStr">
        <is>
          <t>PRODUCED EMULSION</t>
        </is>
      </c>
      <c r="F163" s="15" t="inlineStr">
        <is>
          <t>29103-65R-ET-P2504-01-01</t>
        </is>
      </c>
      <c r="G163" s="15" t="inlineStr">
        <is>
          <t>13.2</t>
        </is>
      </c>
      <c r="H163" s="15" t="inlineStr">
        <is>
          <t>1.5. 29103-HTP-005/2. RTD Inspection/29103-ET-P2504-1-R-2.pdf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N/A</v>
      </c>
      <c r="O163" s="6" t="str">
        <f>IF(OR($A163="Power Cable",$A163="RTD Cable",$A163="Fieldbus Cable"),IF(AND($AE163&lt;&gt;""),"YES","NO"),"N/A")</f>
        <v>N/A</v>
      </c>
      <c r="P163" s="6" t="str">
        <f>IF(OR($A163="RTD"),IF(AND($AH163&lt;&gt;""),"YES","NO"),"N/A")</f>
        <v>NO</v>
      </c>
      <c r="Q163" s="6" t="str">
        <f>IF(OR($A163="RTD"),IF(AND($AI163&lt;&gt;""),"YES","NO"),"N/A")</f>
        <v>NO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  <c r="AL163" s="15" t="inlineStr">
        <is>
          <t>Levy Ostrup</t>
        </is>
      </c>
      <c r="AM163" s="15" t="n"/>
      <c r="AN163" s="15" t="n"/>
    </row>
    <row r="164">
      <c r="A164" s="15" t="inlineStr">
        <is>
          <t>RTD</t>
        </is>
      </c>
      <c r="B164" s="15" t="inlineStr">
        <is>
          <t>29103-ET-P2504-2-R-1</t>
        </is>
      </c>
      <c r="C164" s="15" t="inlineStr">
        <is>
          <t>29103-ET-P2504-2</t>
        </is>
      </c>
      <c r="D164" s="15" t="inlineStr">
        <is>
          <t>29103-HTP-005 HTC-20</t>
        </is>
      </c>
      <c r="E164" s="15" t="inlineStr">
        <is>
          <t>PRODUCED EMULSION</t>
        </is>
      </c>
      <c r="F164" s="15" t="inlineStr">
        <is>
          <t>29103-65R-ET-P2504-02-01</t>
        </is>
      </c>
      <c r="G164" s="15" t="inlineStr">
        <is>
          <t>13.2</t>
        </is>
      </c>
      <c r="H164" s="15" t="inlineStr">
        <is>
          <t>1.5. 29103-HTP-005/2. RTD Inspection/29103-ET-P2504-2-R-1.pdf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N/A</v>
      </c>
      <c r="O164" s="6" t="str">
        <f>IF(OR($A164="Power Cable",$A164="RTD Cable",$A164="Fieldbus Cable"),IF(AND($AE164&lt;&gt;""),"YES","NO"),"N/A")</f>
        <v>N/A</v>
      </c>
      <c r="P164" s="6" t="str">
        <f>IF(OR($A164="RTD"),IF(AND($AH164&lt;&gt;""),"YES","NO"),"N/A")</f>
        <v>NO</v>
      </c>
      <c r="Q164" s="6" t="str">
        <f>IF(OR($A164="RTD"),IF(AND($AI164&lt;&gt;""),"YES","NO"),"N/A")</f>
        <v>NO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n"/>
      <c r="AK164" s="15" t="n"/>
      <c r="AL164" s="15" t="inlineStr">
        <is>
          <t>Levy Ostrup</t>
        </is>
      </c>
      <c r="AM164" s="15" t="n"/>
      <c r="AN164" s="15" t="n"/>
    </row>
    <row r="165">
      <c r="A165" s="15" t="inlineStr">
        <is>
          <t>RTD</t>
        </is>
      </c>
      <c r="B165" s="15" t="inlineStr">
        <is>
          <t>29103-ET-P2504-2-R-2</t>
        </is>
      </c>
      <c r="C165" s="15" t="inlineStr">
        <is>
          <t>29103-ET-P2504-2</t>
        </is>
      </c>
      <c r="D165" s="15" t="inlineStr">
        <is>
          <t>29103-HTP-005 I/O-3-4</t>
        </is>
      </c>
      <c r="E165" s="15" t="inlineStr">
        <is>
          <t>PRODUCED EMULSION</t>
        </is>
      </c>
      <c r="F165" s="15" t="inlineStr">
        <is>
          <t>29103-65R-ET-P2504-02-01</t>
        </is>
      </c>
      <c r="G165" s="15" t="inlineStr">
        <is>
          <t>13.2</t>
        </is>
      </c>
      <c r="H165" s="15" t="inlineStr">
        <is>
          <t>1.5. 29103-HTP-005/2. RTD Inspection/29103-ET-P2504-2-R-2.pdf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N/A</v>
      </c>
      <c r="O165" s="6" t="str">
        <f>IF(OR($A165="Power Cable",$A165="RTD Cable",$A165="Fieldbus Cable"),IF(AND($AE165&lt;&gt;""),"YES","NO"),"N/A")</f>
        <v>N/A</v>
      </c>
      <c r="P165" s="6" t="str">
        <f>IF(OR($A165="RTD"),IF(AND($AH165&lt;&gt;""),"YES","NO"),"N/A")</f>
        <v>NO</v>
      </c>
      <c r="Q165" s="6" t="str">
        <f>IF(OR($A165="RTD"),IF(AND($AI165&lt;&gt;""),"YES","NO"),"N/A")</f>
        <v>NO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n"/>
      <c r="AK165" s="15" t="n"/>
      <c r="AL165" s="15" t="inlineStr">
        <is>
          <t>Levy Ostrup</t>
        </is>
      </c>
      <c r="AM165" s="15" t="n"/>
      <c r="AN165" s="15" t="n"/>
    </row>
    <row r="166">
      <c r="A166" s="15" t="inlineStr">
        <is>
          <t>RTD</t>
        </is>
      </c>
      <c r="B166" s="15" t="inlineStr">
        <is>
          <t>29103-ET-P2601-1-R-1</t>
        </is>
      </c>
      <c r="C166" s="15" t="inlineStr">
        <is>
          <t>29103-ET-P2601-1</t>
        </is>
      </c>
      <c r="D166" s="15" t="inlineStr">
        <is>
          <t>29103-HTP-005 HTC-35</t>
        </is>
      </c>
      <c r="E166" s="15" t="inlineStr">
        <is>
          <t>PRODUCED EMULSION</t>
        </is>
      </c>
      <c r="F166" s="15" t="inlineStr">
        <is>
          <t>29103-65R-ET-P2601-01-01</t>
        </is>
      </c>
      <c r="G166" s="15" t="inlineStr">
        <is>
          <t>13.2</t>
        </is>
      </c>
      <c r="H166" s="15" t="inlineStr">
        <is>
          <t>1.5. 29103-HTP-005/2. RTD Inspection/29103-ET-P2601-1-R-1.pdf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N/A</v>
      </c>
      <c r="O166" s="6" t="str">
        <f>IF(OR($A166="Power Cable",$A166="RTD Cable",$A166="Fieldbus Cable"),IF(AND($AE166&lt;&gt;""),"YES","NO"),"N/A")</f>
        <v>N/A</v>
      </c>
      <c r="P166" s="6" t="str">
        <f>IF(OR($A166="RTD"),IF(AND($AH166&lt;&gt;""),"YES","NO"),"N/A")</f>
        <v>NO</v>
      </c>
      <c r="Q166" s="6" t="str">
        <f>IF(OR($A166="RTD"),IF(AND($AI166&lt;&gt;""),"YES","NO"),"N/A")</f>
        <v>NO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inlineStr">
        <is>
          <t>Levy Ostrup</t>
        </is>
      </c>
      <c r="AM166" s="15" t="n"/>
      <c r="AN166" s="15" t="n"/>
    </row>
    <row r="167">
      <c r="A167" s="15" t="inlineStr">
        <is>
          <t>RTD</t>
        </is>
      </c>
      <c r="B167" s="15" t="inlineStr">
        <is>
          <t>29103-ET-P2604-1-R-1</t>
        </is>
      </c>
      <c r="C167" s="15" t="inlineStr">
        <is>
          <t>29103-ET-P2604-1</t>
        </is>
      </c>
      <c r="D167" s="15" t="inlineStr">
        <is>
          <t>29103-HTP-005 HTC-32</t>
        </is>
      </c>
      <c r="E167" s="15" t="inlineStr">
        <is>
          <t>PRODUCED EMULSION</t>
        </is>
      </c>
      <c r="F167" s="15" t="inlineStr">
        <is>
          <t>29103-65R-ET-P2604-01-01</t>
        </is>
      </c>
      <c r="G167" s="15" t="inlineStr">
        <is>
          <t>13.2</t>
        </is>
      </c>
      <c r="H167" s="15" t="inlineStr">
        <is>
          <t>1.5. 29103-HTP-005/2. RTD Inspection/29103-ET-P2604-1-R-1.pdf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N/A</v>
      </c>
      <c r="O167" s="6" t="str">
        <f>IF(OR($A167="Power Cable",$A167="RTD Cable",$A167="Fieldbus Cable"),IF(AND($AE167&lt;&gt;""),"YES","NO"),"N/A")</f>
        <v>N/A</v>
      </c>
      <c r="P167" s="6" t="str">
        <f>IF(OR($A167="RTD"),IF(AND($AH167&lt;&gt;""),"YES","NO"),"N/A")</f>
        <v>NO</v>
      </c>
      <c r="Q167" s="6" t="str">
        <f>IF(OR($A167="RTD"),IF(AND($AI167&lt;&gt;""),"YES","NO"),"N/A")</f>
        <v>NO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n"/>
      <c r="AK167" s="15" t="n"/>
      <c r="AL167" s="15" t="inlineStr">
        <is>
          <t>Levy Ostrup</t>
        </is>
      </c>
      <c r="AM167" s="15" t="n"/>
      <c r="AN167" s="15" t="n"/>
    </row>
    <row r="168">
      <c r="A168" s="15" t="inlineStr">
        <is>
          <t>RTD</t>
        </is>
      </c>
      <c r="B168" s="15" t="inlineStr">
        <is>
          <t>29103-ET-P2604-1-R-2</t>
        </is>
      </c>
      <c r="C168" s="15" t="inlineStr">
        <is>
          <t>29103-ET-P2604-1</t>
        </is>
      </c>
      <c r="D168" s="15" t="inlineStr">
        <is>
          <t>29103-HTP-005 I/O-2-1</t>
        </is>
      </c>
      <c r="E168" s="15" t="inlineStr">
        <is>
          <t>PRODUCED EMULSION</t>
        </is>
      </c>
      <c r="F168" s="15" t="inlineStr">
        <is>
          <t>29103-65R-ET-P2604-01-01</t>
        </is>
      </c>
      <c r="G168" s="15" t="inlineStr">
        <is>
          <t>13.2</t>
        </is>
      </c>
      <c r="H168" s="15" t="inlineStr">
        <is>
          <t>1.5. 29103-HTP-005/2. RTD Inspection/29103-ET-P2604-1-R-2.pdf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N/A</v>
      </c>
      <c r="O168" s="6" t="str">
        <f>IF(OR($A168="Power Cable",$A168="RTD Cable",$A168="Fieldbus Cable"),IF(AND($AE168&lt;&gt;""),"YES","NO"),"N/A")</f>
        <v>N/A</v>
      </c>
      <c r="P168" s="6" t="str">
        <f>IF(OR($A168="RTD"),IF(AND($AH168&lt;&gt;""),"YES","NO"),"N/A")</f>
        <v>NO</v>
      </c>
      <c r="Q168" s="6" t="str">
        <f>IF(OR($A168="RTD"),IF(AND($AI168&lt;&gt;""),"YES","NO"),"N/A")</f>
        <v>NO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29103-ET-P2604-2-R-1</t>
        </is>
      </c>
      <c r="C169" s="15" t="inlineStr">
        <is>
          <t>29103-ET-P2604-2</t>
        </is>
      </c>
      <c r="D169" s="15" t="inlineStr">
        <is>
          <t>29103-HTP-005 HTC-24</t>
        </is>
      </c>
      <c r="E169" s="15" t="inlineStr">
        <is>
          <t>PRODUCED EMULSION</t>
        </is>
      </c>
      <c r="F169" s="15" t="inlineStr">
        <is>
          <t>29103-65R-ET-P2604-02-01</t>
        </is>
      </c>
      <c r="G169" s="15" t="inlineStr">
        <is>
          <t>13.2</t>
        </is>
      </c>
      <c r="H169" s="15" t="inlineStr">
        <is>
          <t>1.5. 29103-HTP-005/2. RTD Inspection/29103-ET-P2604-2-R-1.pdf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29103-ET-P2604-2-R-2</t>
        </is>
      </c>
      <c r="C170" s="15" t="inlineStr">
        <is>
          <t>29103-ET-P2604-2</t>
        </is>
      </c>
      <c r="D170" s="15" t="inlineStr">
        <is>
          <t>29103-HTP-005 I/O-2-2</t>
        </is>
      </c>
      <c r="E170" s="15" t="inlineStr">
        <is>
          <t>PRODUCED EMULSION</t>
        </is>
      </c>
      <c r="F170" s="15" t="inlineStr">
        <is>
          <t>29103-65R-ET-P2604-02-01</t>
        </is>
      </c>
      <c r="G170" s="15" t="inlineStr">
        <is>
          <t>13.2</t>
        </is>
      </c>
      <c r="H170" s="15" t="inlineStr">
        <is>
          <t>1.5. 29103-HTP-005/2. RTD Inspection/29103-ET-P2604-2-R-2.pdf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29103-ET-P2701-1-R-1</t>
        </is>
      </c>
      <c r="C171" s="15" t="inlineStr">
        <is>
          <t>29103-ET-P2701-1</t>
        </is>
      </c>
      <c r="D171" s="15" t="inlineStr">
        <is>
          <t>29103-HTP-005 HTC-22</t>
        </is>
      </c>
      <c r="E171" s="15" t="inlineStr">
        <is>
          <t>PRODUCED EMULSION</t>
        </is>
      </c>
      <c r="F171" s="15" t="inlineStr">
        <is>
          <t>29103-65R-ET-P2701-01-01</t>
        </is>
      </c>
      <c r="G171" s="15" t="inlineStr">
        <is>
          <t>13.2</t>
        </is>
      </c>
      <c r="H171" s="15" t="inlineStr">
        <is>
          <t>1.5. 29103-HTP-005/2. RTD Inspection/29103-ET-P2701-1-R-1.pdf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29103-ET-P2704-1-R-1</t>
        </is>
      </c>
      <c r="C172" s="15" t="inlineStr">
        <is>
          <t>29103-ET-P2704-1</t>
        </is>
      </c>
      <c r="D172" s="15" t="inlineStr">
        <is>
          <t>29103-HTP-005 HTC-29</t>
        </is>
      </c>
      <c r="E172" s="15" t="inlineStr">
        <is>
          <t>PRODUCED EMULSION</t>
        </is>
      </c>
      <c r="F172" s="15" t="inlineStr">
        <is>
          <t>29103-65R-ET-P2704-01-01</t>
        </is>
      </c>
      <c r="G172" s="15" t="inlineStr">
        <is>
          <t>13.2</t>
        </is>
      </c>
      <c r="H172" s="15" t="inlineStr">
        <is>
          <t>1.5. 29103-HTP-005/2. RTD Inspection/29103-ET-P2704-1-R-1.pdf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29103-ET-P2704-1-R-2</t>
        </is>
      </c>
      <c r="C173" s="15" t="inlineStr">
        <is>
          <t>29103-ET-P2704-1</t>
        </is>
      </c>
      <c r="D173" s="15" t="inlineStr">
        <is>
          <t>29103-HTP-005 I/O-4-2</t>
        </is>
      </c>
      <c r="E173" s="15" t="inlineStr">
        <is>
          <t>PRODUCED EMULSION</t>
        </is>
      </c>
      <c r="F173" s="15" t="inlineStr">
        <is>
          <t>29103-65R-ET-P2704-01-01</t>
        </is>
      </c>
      <c r="G173" s="15" t="inlineStr">
        <is>
          <t>13.2</t>
        </is>
      </c>
      <c r="H173" s="15" t="inlineStr">
        <is>
          <t>1.5. 29103-HTP-005/2. RTD Inspection/29103-ET-P2704-1-R-2.pdf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29103-ET-P2704-2-R-1</t>
        </is>
      </c>
      <c r="C174" s="15" t="inlineStr">
        <is>
          <t>29103-ET-P2704-2</t>
        </is>
      </c>
      <c r="D174" s="15" t="inlineStr">
        <is>
          <t>29103-HTP-005 HTC-27</t>
        </is>
      </c>
      <c r="E174" s="15" t="inlineStr">
        <is>
          <t>PRODUCED EMULSION</t>
        </is>
      </c>
      <c r="F174" s="15" t="inlineStr">
        <is>
          <t>29103-65R-ET-P2704-02-01</t>
        </is>
      </c>
      <c r="G174" s="15" t="inlineStr">
        <is>
          <t>13.2</t>
        </is>
      </c>
      <c r="H174" s="15" t="inlineStr">
        <is>
          <t>1.5. 29103-HTP-005/2. RTD Inspection/29103-ET-P2704-2-R-1.pdf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29103-ET-P2704-2-R-2</t>
        </is>
      </c>
      <c r="C175" s="15" t="inlineStr">
        <is>
          <t>29103-ET-P2704-2</t>
        </is>
      </c>
      <c r="D175" s="15" t="inlineStr">
        <is>
          <t>29103-HTP-005 I/O-4-3</t>
        </is>
      </c>
      <c r="E175" s="15" t="inlineStr">
        <is>
          <t>PRODUCED EMULSION</t>
        </is>
      </c>
      <c r="F175" s="15" t="inlineStr">
        <is>
          <t>29103-65R-ET-P2704-02-01</t>
        </is>
      </c>
      <c r="G175" s="15" t="inlineStr">
        <is>
          <t>13.2</t>
        </is>
      </c>
      <c r="H175" s="15" t="inlineStr">
        <is>
          <t>1.5. 29103-HTP-005/2. RTD Inspection/29103-ET-P2704-2-R-2.pdf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29103-ET-P2800-1-R-1</t>
        </is>
      </c>
      <c r="C176" s="15" t="inlineStr">
        <is>
          <t>29103-ET-P2800-1</t>
        </is>
      </c>
      <c r="D176" s="15" t="inlineStr">
        <is>
          <t>29103-HTP-005 HTC-17</t>
        </is>
      </c>
      <c r="E176" s="15" t="inlineStr">
        <is>
          <t>PRODUCED EMULSION</t>
        </is>
      </c>
      <c r="F176" s="15" t="inlineStr">
        <is>
          <t>29103-65R-ET-P2800-01-01</t>
        </is>
      </c>
      <c r="G176" s="15" t="inlineStr">
        <is>
          <t>13.2</t>
        </is>
      </c>
      <c r="H176" s="15" t="inlineStr">
        <is>
          <t>1.5. 29103-HTP-005/2. RTD Inspection/29103-ET-P2800-1-R-1.pdf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29103-ET-PE2401-1-R-1</t>
        </is>
      </c>
      <c r="C177" s="15" t="inlineStr">
        <is>
          <t>29103-ET-PE2401-1</t>
        </is>
      </c>
      <c r="D177" s="15" t="inlineStr">
        <is>
          <t>29103-HTP-005 HTC-08</t>
        </is>
      </c>
      <c r="E177" s="15" t="inlineStr">
        <is>
          <t>PRODUCED EMULSION</t>
        </is>
      </c>
      <c r="F177" s="15" t="inlineStr">
        <is>
          <t>29103-65R-ET-PE2401-01-01</t>
        </is>
      </c>
      <c r="G177" s="15" t="inlineStr">
        <is>
          <t>13.2</t>
        </is>
      </c>
      <c r="H177" s="15" t="inlineStr">
        <is>
          <t>1.5. 29103-HTP-005/2. RTD Inspection/29103-ET-PE2401-1-R-1.pdf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29103-ET-PE2501-1-R-1</t>
        </is>
      </c>
      <c r="C178" s="15" t="inlineStr">
        <is>
          <t>29103-ET-PE2501-1</t>
        </is>
      </c>
      <c r="D178" s="15" t="inlineStr">
        <is>
          <t>29103-HTP-005 HTC-10</t>
        </is>
      </c>
      <c r="E178" s="15" t="inlineStr">
        <is>
          <t>PRODUCED EMULSION</t>
        </is>
      </c>
      <c r="F178" s="15" t="inlineStr">
        <is>
          <t>29103-65R-ET-PE2501-01-01</t>
        </is>
      </c>
      <c r="G178" s="15" t="inlineStr">
        <is>
          <t>13.2</t>
        </is>
      </c>
      <c r="H178" s="15" t="inlineStr">
        <is>
          <t>1.5. 29103-HTP-005/2. RTD Inspection/29103-ET-PE2501-1-R-1.pdf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29103-ET-PE2501-2-R-2</t>
        </is>
      </c>
      <c r="C179" s="15" t="inlineStr">
        <is>
          <t>29103-ET-PE2501-2</t>
        </is>
      </c>
      <c r="D179" s="15" t="inlineStr">
        <is>
          <t>29103-HTP-005 I/O-2-3</t>
        </is>
      </c>
      <c r="E179" s="15" t="inlineStr">
        <is>
          <t>PRODUCED EMULSION</t>
        </is>
      </c>
      <c r="F179" s="15" t="inlineStr">
        <is>
          <t>29103-65R-ET-PE2501-02-01</t>
        </is>
      </c>
      <c r="G179" s="15" t="inlineStr">
        <is>
          <t>13.2</t>
        </is>
      </c>
      <c r="H179" s="15" t="inlineStr">
        <is>
          <t>1.5. 29103-HTP-005/2. RTD Inspection/29103-ET-PE2501-2-R-2.pdf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29103-ET-PE2502-1-R-1</t>
        </is>
      </c>
      <c r="C180" s="15" t="inlineStr">
        <is>
          <t>29103-ET-PE2502-1</t>
        </is>
      </c>
      <c r="D180" s="15" t="inlineStr">
        <is>
          <t>29103-HTP-005 HTC-06</t>
        </is>
      </c>
      <c r="E180" s="15" t="inlineStr">
        <is>
          <t>PRODUCED EMULSION</t>
        </is>
      </c>
      <c r="F180" s="15" t="inlineStr">
        <is>
          <t>29103-65R-ET-PE2502-01-01</t>
        </is>
      </c>
      <c r="G180" s="15" t="inlineStr">
        <is>
          <t>13.2</t>
        </is>
      </c>
      <c r="H180" s="15" t="inlineStr">
        <is>
          <t>1.5. 29103-HTP-005/2. RTD Inspection/29103-ET-PE2502-1-R-1.pdf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29103-ET-PE2502-1-R-2</t>
        </is>
      </c>
      <c r="C181" s="15" t="inlineStr">
        <is>
          <t>29103-ET-PE2502-1</t>
        </is>
      </c>
      <c r="D181" s="15" t="inlineStr">
        <is>
          <t>29103-HTP-005 I/O-2-4</t>
        </is>
      </c>
      <c r="E181" s="15" t="inlineStr">
        <is>
          <t>PRODUCED EMULSION</t>
        </is>
      </c>
      <c r="F181" s="15" t="inlineStr">
        <is>
          <t>29103-65R-ET-PE2502-01-01</t>
        </is>
      </c>
      <c r="G181" s="15" t="inlineStr">
        <is>
          <t>13.2</t>
        </is>
      </c>
      <c r="H181" s="15" t="inlineStr">
        <is>
          <t>1.5. 29103-HTP-005/2. RTD Inspection/29103-ET-PE2502-1-R-2.pdf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29103-ET-PE2601-1-R-1</t>
        </is>
      </c>
      <c r="C182" s="15" t="inlineStr">
        <is>
          <t>29103-ET-PE2601-1</t>
        </is>
      </c>
      <c r="D182" s="15" t="inlineStr">
        <is>
          <t>29103-HTP-005 HTC-31</t>
        </is>
      </c>
      <c r="E182" s="15" t="inlineStr">
        <is>
          <t>PRODUCED EMULSION</t>
        </is>
      </c>
      <c r="F182" s="15" t="inlineStr">
        <is>
          <t>29103-65R-ET-PE2601-01-01</t>
        </is>
      </c>
      <c r="G182" s="15" t="inlineStr">
        <is>
          <t>13.2</t>
        </is>
      </c>
      <c r="H182" s="15" t="inlineStr">
        <is>
          <t>1.5. 29103-HTP-005/2. RTD Inspection/29103-ET-PE2601-1-R-1.pdf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29103-ET-PE2601-2-R-2</t>
        </is>
      </c>
      <c r="C183" s="15" t="inlineStr">
        <is>
          <t>29103-ET-PE2601-2</t>
        </is>
      </c>
      <c r="D183" s="15" t="inlineStr">
        <is>
          <t>29103-HTP-005 I/O-1-3</t>
        </is>
      </c>
      <c r="E183" s="15" t="inlineStr">
        <is>
          <t>PRODUCED EMULSION</t>
        </is>
      </c>
      <c r="F183" s="15" t="inlineStr">
        <is>
          <t>29103-65R-ET-PE2601-02-01</t>
        </is>
      </c>
      <c r="G183" s="15" t="inlineStr">
        <is>
          <t>13.2</t>
        </is>
      </c>
      <c r="H183" s="15" t="inlineStr">
        <is>
          <t>1.5. 29103-HTP-005/2. RTD Inspection/29103-ET-PE2601-2-R-2.pdf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29103-ET-PE2602-1-R-1</t>
        </is>
      </c>
      <c r="C184" s="15" t="inlineStr">
        <is>
          <t>29103-ET-PE2602-1</t>
        </is>
      </c>
      <c r="D184" s="15" t="inlineStr">
        <is>
          <t>29103-HTP-005 HTC-25</t>
        </is>
      </c>
      <c r="E184" s="15" t="inlineStr">
        <is>
          <t>PRODUCED EMULSION</t>
        </is>
      </c>
      <c r="F184" s="15" t="inlineStr">
        <is>
          <t>29103-65R-ET-PE2602-01-01</t>
        </is>
      </c>
      <c r="G184" s="15" t="inlineStr">
        <is>
          <t>13.2</t>
        </is>
      </c>
      <c r="H184" s="15" t="inlineStr">
        <is>
          <t>1.5. 29103-HTP-005/2. RTD Inspection/29103-ET-PE2602-1-R-1.pdf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29103-ET-PE2602-1-R-2</t>
        </is>
      </c>
      <c r="C185" s="15" t="inlineStr">
        <is>
          <t>29103-ET-PE2602-1</t>
        </is>
      </c>
      <c r="D185" s="15" t="inlineStr">
        <is>
          <t>29103-HTP-005 I/O-3-3</t>
        </is>
      </c>
      <c r="E185" s="15" t="inlineStr">
        <is>
          <t>PRODUCED EMULSION</t>
        </is>
      </c>
      <c r="F185" s="15" t="inlineStr">
        <is>
          <t>29103-65R-ET-PE2602-01-01</t>
        </is>
      </c>
      <c r="G185" s="15" t="inlineStr">
        <is>
          <t>13.2</t>
        </is>
      </c>
      <c r="H185" s="15" t="inlineStr">
        <is>
          <t>1.5. 29103-HTP-005/2. RTD Inspection/29103-ET-PE2602-1-R-2.pdf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29103-ET-PE2701-1-R-1</t>
        </is>
      </c>
      <c r="C186" s="15" t="inlineStr">
        <is>
          <t>29103-ET-PE2701-1</t>
        </is>
      </c>
      <c r="D186" s="15" t="inlineStr">
        <is>
          <t>29103-HTP-005 HTC-33</t>
        </is>
      </c>
      <c r="E186" s="15" t="inlineStr">
        <is>
          <t>PRODUCED EMULSION</t>
        </is>
      </c>
      <c r="F186" s="15" t="inlineStr">
        <is>
          <t>29103-65R-ET-PE2701-01-01</t>
        </is>
      </c>
      <c r="G186" s="15" t="inlineStr">
        <is>
          <t>13.2</t>
        </is>
      </c>
      <c r="H186" s="15" t="inlineStr">
        <is>
          <t>1.5. 29103-HTP-005/2. RTD Inspection/29103-ET-PE2701-1-R-1.pdf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29103-ET-PE2701-2-R-2</t>
        </is>
      </c>
      <c r="C187" s="15" t="inlineStr">
        <is>
          <t>29103-ET-PE2701-2</t>
        </is>
      </c>
      <c r="D187" s="15" t="inlineStr">
        <is>
          <t>29103-HTP-005 I/O-4-4</t>
        </is>
      </c>
      <c r="E187" s="15" t="inlineStr">
        <is>
          <t>PRODUCED EMULSION</t>
        </is>
      </c>
      <c r="F187" s="15" t="inlineStr">
        <is>
          <t>29103-65R-ET-PE2701-02-01</t>
        </is>
      </c>
      <c r="G187" s="15" t="inlineStr">
        <is>
          <t>13.2</t>
        </is>
      </c>
      <c r="H187" s="15" t="inlineStr">
        <is>
          <t>1.5. 29103-HTP-005/2. RTD Inspection/29103-ET-PE2701-2-R-2.pdf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29103-ET-PE2702-1-R-1</t>
        </is>
      </c>
      <c r="C188" s="15" t="inlineStr">
        <is>
          <t>29103-ET-PE2702-1</t>
        </is>
      </c>
      <c r="D188" s="15" t="inlineStr">
        <is>
          <t>29103-HTP-005 HTC-26</t>
        </is>
      </c>
      <c r="E188" s="15" t="inlineStr">
        <is>
          <t>PRODUCED EMULSION</t>
        </is>
      </c>
      <c r="F188" s="15" t="inlineStr">
        <is>
          <t>29103-65R-ET-PE2702-01-01</t>
        </is>
      </c>
      <c r="G188" s="15" t="inlineStr">
        <is>
          <t>13.2</t>
        </is>
      </c>
      <c r="H188" s="15" t="inlineStr">
        <is>
          <t>1.5. 29103-HTP-005/2. RTD Inspection/29103-ET-PE2702-1-R-1.pdf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29103-ET-PE2702-1-R-2</t>
        </is>
      </c>
      <c r="C189" s="15" t="inlineStr">
        <is>
          <t>29103-ET-PE2702-1</t>
        </is>
      </c>
      <c r="D189" s="15" t="inlineStr">
        <is>
          <t>29103-HTP-005 HTC-01</t>
        </is>
      </c>
      <c r="E189" s="15" t="inlineStr">
        <is>
          <t>PRODUCED EMULSION</t>
        </is>
      </c>
      <c r="F189" s="15" t="inlineStr">
        <is>
          <t>29103-65R-ET-PE2702-01-01</t>
        </is>
      </c>
      <c r="G189" s="15" t="inlineStr">
        <is>
          <t>13.2</t>
        </is>
      </c>
      <c r="H189" s="15" t="inlineStr">
        <is>
          <t>1.5. 29103-HTP-005/2. RTD Inspection/29103-ET-PE2702-1-R-2.pdf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29103-ET-PE2802-1-R-1</t>
        </is>
      </c>
      <c r="C190" s="15" t="inlineStr">
        <is>
          <t>29103-ET-PE2802-1</t>
        </is>
      </c>
      <c r="D190" s="15" t="inlineStr">
        <is>
          <t>29103-HTP-005 HTC-02</t>
        </is>
      </c>
      <c r="E190" s="15" t="inlineStr">
        <is>
          <t>PRODUCED EMULSION</t>
        </is>
      </c>
      <c r="F190" s="15" t="inlineStr">
        <is>
          <t>29103-65R-ET-PE2802-01-01</t>
        </is>
      </c>
      <c r="G190" s="15" t="inlineStr">
        <is>
          <t>13.2</t>
        </is>
      </c>
      <c r="H190" s="15" t="inlineStr">
        <is>
          <t>1.5. 29103-HTP-005/2. RTD Inspection/29103-ET-PE2802-1-R-1.pdf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29103-ET-PE2802-2-R-1</t>
        </is>
      </c>
      <c r="C191" s="15" t="inlineStr">
        <is>
          <t>29103-ET-PE2802-2</t>
        </is>
      </c>
      <c r="D191" s="15" t="inlineStr">
        <is>
          <t>29103-HTP-005 HTC-18</t>
        </is>
      </c>
      <c r="E191" s="15" t="inlineStr">
        <is>
          <t>PRODUCED EMULSION</t>
        </is>
      </c>
      <c r="F191" s="15" t="inlineStr">
        <is>
          <t>29103-65R-ET-PE2802-02-01</t>
        </is>
      </c>
      <c r="G191" s="15" t="inlineStr">
        <is>
          <t>13.2</t>
        </is>
      </c>
      <c r="H191" s="15" t="inlineStr">
        <is>
          <t>1.5. 29103-HTP-005/2. RTD Inspection/29103-ET-PE2802-2-R-1.pdf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29103-ET-PE2803-1-R-1</t>
        </is>
      </c>
      <c r="C192" s="15" t="inlineStr">
        <is>
          <t>29103-ET-PE2803-1</t>
        </is>
      </c>
      <c r="D192" s="15" t="inlineStr">
        <is>
          <t>29103-HTP-005 HTC-21</t>
        </is>
      </c>
      <c r="E192" s="15" t="inlineStr">
        <is>
          <t>PRODUCED EMULSION</t>
        </is>
      </c>
      <c r="F192" s="15" t="inlineStr">
        <is>
          <t>29103-65R-ET-PE2803-01-01</t>
        </is>
      </c>
      <c r="G192" s="15" t="inlineStr">
        <is>
          <t>13.2</t>
        </is>
      </c>
      <c r="H192" s="15" t="inlineStr">
        <is>
          <t>1.5. 29103-HTP-005/2. RTD Inspection/29103-ET-PE2803-1-R-1.pdf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29103-ET-PE2803-1-R-2</t>
        </is>
      </c>
      <c r="C193" s="15" t="inlineStr">
        <is>
          <t>29103-ET-PE2803-1</t>
        </is>
      </c>
      <c r="D193" s="15" t="inlineStr">
        <is>
          <t>29103-HTP-005 I/O-4-1</t>
        </is>
      </c>
      <c r="E193" s="15" t="inlineStr">
        <is>
          <t>PRODUCED EMULSION</t>
        </is>
      </c>
      <c r="F193" s="15" t="inlineStr">
        <is>
          <t>29103-65R-ET-PE2803-01-01</t>
        </is>
      </c>
      <c r="G193" s="15" t="inlineStr">
        <is>
          <t>13.2</t>
        </is>
      </c>
      <c r="H193" s="15" t="inlineStr">
        <is>
          <t>1.5. 29103-HTP-005/2. RTD Inspection/29103-ET-PE2803-1-R-2.pdf</t>
        </is>
      </c>
      <c r="I193" s="6" t="str">
        <f>IF($H193&lt;&gt;"","YES","NO")</f>
        <v>YES</v>
      </c>
      <c r="J193" s="6" t="str">
        <f>IF(N($T193)&gt;0,"YES","NO")</f>
        <v>NO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NO</v>
      </c>
      <c r="S193" s="6" t="str">
        <f>IF(COUNTIF(I193:R193,"NO")=0,"YES","NO")</f>
        <v>NO</v>
      </c>
      <c r="T193" s="15" t="n">
        <v>0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n"/>
      <c r="AN193" s="15" t="n"/>
    </row>
    <row r="194">
      <c r="A194" s="15" t="inlineStr">
        <is>
          <t>RTD</t>
        </is>
      </c>
      <c r="B194" s="15" t="inlineStr">
        <is>
          <t>29103-ET-PG2401-1-R-1</t>
        </is>
      </c>
      <c r="C194" s="15" t="inlineStr">
        <is>
          <t>29103-ET-PG2401-1</t>
        </is>
      </c>
      <c r="D194" s="15" t="inlineStr">
        <is>
          <t>29103-HTP-005 HTC-14</t>
        </is>
      </c>
      <c r="E194" s="15" t="inlineStr">
        <is>
          <t>PRODUCED GAS</t>
        </is>
      </c>
      <c r="F194" s="15" t="inlineStr">
        <is>
          <t>29103-65R-ET-PG2401-01-01</t>
        </is>
      </c>
      <c r="G194" s="15" t="inlineStr">
        <is>
          <t>13.2</t>
        </is>
      </c>
      <c r="H194" s="15" t="inlineStr">
        <is>
          <t>1.5. 29103-HTP-005/2. RTD Inspection/29103-ET-PG2401-1-R-1.pdf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NO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n"/>
      <c r="AN194" s="15" t="n"/>
    </row>
    <row r="195">
      <c r="A195" s="15" t="inlineStr">
        <is>
          <t>RTD</t>
        </is>
      </c>
      <c r="B195" s="15" t="inlineStr">
        <is>
          <t>29103-ET-PG2401-1-R-2</t>
        </is>
      </c>
      <c r="C195" s="15" t="inlineStr">
        <is>
          <t>29103-ET-PG2401-1</t>
        </is>
      </c>
      <c r="D195" s="15" t="inlineStr">
        <is>
          <t>29103-HTP-005 I/O-3-1</t>
        </is>
      </c>
      <c r="E195" s="15" t="inlineStr">
        <is>
          <t>PRODUCED GAS</t>
        </is>
      </c>
      <c r="F195" s="15" t="inlineStr">
        <is>
          <t>29103-65R-ET-PG2401-01-01</t>
        </is>
      </c>
      <c r="G195" s="15" t="inlineStr">
        <is>
          <t>13.2</t>
        </is>
      </c>
      <c r="H195" s="15" t="inlineStr">
        <is>
          <t>1.5. 29103-HTP-005/2. RTD Inspection/29103-ET-PG2401-1-R-2.pdf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29103-ET-PG2501-1-R-1</t>
        </is>
      </c>
      <c r="C196" s="15" t="inlineStr">
        <is>
          <t>29103-ET-PG2501-1</t>
        </is>
      </c>
      <c r="D196" s="15" t="inlineStr">
        <is>
          <t>29103-HTP-005 HTC-11</t>
        </is>
      </c>
      <c r="E196" s="15" t="inlineStr">
        <is>
          <t>PRODUCED GAS</t>
        </is>
      </c>
      <c r="F196" s="15" t="inlineStr">
        <is>
          <t>29103-65R-ET-PG2501-01-01</t>
        </is>
      </c>
      <c r="G196" s="15" t="inlineStr">
        <is>
          <t>13.2</t>
        </is>
      </c>
      <c r="H196" s="15" t="inlineStr">
        <is>
          <t>1.5. 29103-HTP-005/2. RTD Inspection/29103-ET-PG2501-1-R-1.pdf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29103-ET-PG2501-1-R-2</t>
        </is>
      </c>
      <c r="C197" s="15" t="inlineStr">
        <is>
          <t>29103-ET-PG2501-1</t>
        </is>
      </c>
      <c r="D197" s="15" t="inlineStr">
        <is>
          <t>29103-HTP-005 I/O-3-2</t>
        </is>
      </c>
      <c r="E197" s="15" t="inlineStr">
        <is>
          <t>PRODUCED GAS</t>
        </is>
      </c>
      <c r="F197" s="15" t="inlineStr">
        <is>
          <t>29103-65R-ET-PG2501-01-01</t>
        </is>
      </c>
      <c r="G197" s="15" t="inlineStr">
        <is>
          <t>13.2</t>
        </is>
      </c>
      <c r="H197" s="15" t="inlineStr">
        <is>
          <t>1.5. 29103-HTP-005/2. RTD Inspection/29103-ET-PG2501-1-R-2.pdf</t>
        </is>
      </c>
      <c r="I197" s="6" t="str">
        <f>IF($H197&lt;&gt;"","YES","NO")</f>
        <v>YES</v>
      </c>
      <c r="J197" s="6" t="str">
        <f>IF(N($T197)&gt;0,"YES","NO")</f>
        <v>NO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NO</v>
      </c>
      <c r="S197" s="6" t="str">
        <f>IF(COUNTIF(I197:R197,"NO")=0,"YES","NO")</f>
        <v>NO</v>
      </c>
      <c r="T197" s="15" t="n">
        <v>0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n"/>
      <c r="AN197" s="15" t="n"/>
    </row>
    <row r="198">
      <c r="A198" s="15" t="inlineStr">
        <is>
          <t>RTD</t>
        </is>
      </c>
      <c r="B198" s="15" t="inlineStr">
        <is>
          <t>29103-ET-PG2501-2-R-1</t>
        </is>
      </c>
      <c r="C198" s="15" t="inlineStr">
        <is>
          <t>29103-ET-PG2501-2</t>
        </is>
      </c>
      <c r="D198" s="15" t="inlineStr">
        <is>
          <t>29103-HTP-005 HTC-13</t>
        </is>
      </c>
      <c r="E198" s="15" t="inlineStr">
        <is>
          <t>PRODUCED GAS</t>
        </is>
      </c>
      <c r="F198" s="15" t="inlineStr">
        <is>
          <t>29103-65R-ET-PG2501-02-01</t>
        </is>
      </c>
      <c r="G198" s="15" t="inlineStr">
        <is>
          <t>13.2</t>
        </is>
      </c>
      <c r="H198" s="15" t="inlineStr">
        <is>
          <t>1.5. 29103-HTP-005/2. RTD Inspection/29103-ET-PG2501-2-R-1.pdf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29103-ET-PG2601-1-R-1</t>
        </is>
      </c>
      <c r="C199" s="15" t="inlineStr">
        <is>
          <t>29103-ET-PG2601-1</t>
        </is>
      </c>
      <c r="D199" s="15" t="inlineStr">
        <is>
          <t>29103-HTP-005 HTC-28</t>
        </is>
      </c>
      <c r="E199" s="15" t="inlineStr">
        <is>
          <t>PRODUCED GAS</t>
        </is>
      </c>
      <c r="F199" s="15" t="inlineStr">
        <is>
          <t>29103-65R-ET-PG2601-01-01</t>
        </is>
      </c>
      <c r="G199" s="15" t="inlineStr">
        <is>
          <t>13.2</t>
        </is>
      </c>
      <c r="H199" s="15" t="inlineStr">
        <is>
          <t>1.5. 29103-HTP-005/2. RTD Inspection/29103-ET-PG2601-1-R-1.pdf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29103-ET-PG2601-1-R-2</t>
        </is>
      </c>
      <c r="C200" s="15" t="inlineStr">
        <is>
          <t>29103-ET-PG2601-1</t>
        </is>
      </c>
      <c r="D200" s="15" t="inlineStr">
        <is>
          <t>29103-HTP-005 HTC-15</t>
        </is>
      </c>
      <c r="E200" s="15" t="inlineStr">
        <is>
          <t>PRODUCED GAS</t>
        </is>
      </c>
      <c r="F200" s="15" t="inlineStr">
        <is>
          <t>29103-65R-ET-PG2601-01-01</t>
        </is>
      </c>
      <c r="G200" s="15" t="inlineStr">
        <is>
          <t>13.2</t>
        </is>
      </c>
      <c r="H200" s="15" t="inlineStr">
        <is>
          <t>1.5. 29103-HTP-005/2. RTD Inspection/29103-ET-PG2601-1-R-2.pdf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29103-ET-PG2601-2-R-1</t>
        </is>
      </c>
      <c r="C201" s="15" t="inlineStr">
        <is>
          <t>29103-ET-PG2601-2</t>
        </is>
      </c>
      <c r="D201" s="15" t="inlineStr">
        <is>
          <t>29103-HTP-005 HTC-19</t>
        </is>
      </c>
      <c r="E201" s="15" t="inlineStr">
        <is>
          <t>PRODUCED GAS</t>
        </is>
      </c>
      <c r="F201" s="15" t="inlineStr">
        <is>
          <t>29103-65R-ET-PG2601-02-01</t>
        </is>
      </c>
      <c r="G201" s="15" t="inlineStr">
        <is>
          <t>13.2</t>
        </is>
      </c>
      <c r="H201" s="15" t="inlineStr">
        <is>
          <t>1.5. 29103-HTP-005/2. RTD Inspection/29103-ET-PG2601-2-R-1.pdf</t>
        </is>
      </c>
      <c r="I201" s="6" t="str">
        <f>IF($H201&lt;&gt;"","YES","NO")</f>
        <v>YES</v>
      </c>
      <c r="J201" s="6" t="str">
        <f>IF(N($T201)&gt;0,"YES","NO")</f>
        <v>NO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NO</v>
      </c>
      <c r="S201" s="6" t="str">
        <f>IF(COUNTIF(I201:R201,"NO")=0,"YES","NO")</f>
        <v>NO</v>
      </c>
      <c r="T201" s="15" t="n">
        <v>0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n"/>
      <c r="AN201" s="15" t="n"/>
    </row>
    <row r="202">
      <c r="A202" s="15" t="inlineStr">
        <is>
          <t>RTD</t>
        </is>
      </c>
      <c r="B202" s="15" t="inlineStr">
        <is>
          <t>29103-ET-PG2701-1-R-1</t>
        </is>
      </c>
      <c r="C202" s="15" t="inlineStr">
        <is>
          <t>29103-ET-PG2701-1</t>
        </is>
      </c>
      <c r="D202" s="15" t="inlineStr">
        <is>
          <t>29103-HTP-005 HTC-23</t>
        </is>
      </c>
      <c r="E202" s="15" t="inlineStr">
        <is>
          <t>PRODUCED GAS</t>
        </is>
      </c>
      <c r="F202" s="15" t="inlineStr">
        <is>
          <t>29103-65R-ET-PG2701-01-01</t>
        </is>
      </c>
      <c r="G202" s="15" t="inlineStr">
        <is>
          <t>13.2</t>
        </is>
      </c>
      <c r="H202" s="15" t="inlineStr">
        <is>
          <t>1.5. 29103-HTP-005/2. RTD Inspection/29103-ET-PG2701-1-R-1.pdf</t>
        </is>
      </c>
      <c r="I202" s="6" t="str">
        <f>IF($H202&lt;&gt;"","YES","NO")</f>
        <v>YES</v>
      </c>
      <c r="J202" s="6" t="str">
        <f>IF(N($T202)&gt;0,"YES","NO")</f>
        <v>NO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NO</v>
      </c>
      <c r="S202" s="6" t="str">
        <f>IF(COUNTIF(I202:R202,"NO")=0,"YES","NO")</f>
        <v>NO</v>
      </c>
      <c r="T202" s="15" t="n">
        <v>0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n"/>
      <c r="AN202" s="15" t="n"/>
    </row>
    <row r="203">
      <c r="A203" s="15" t="inlineStr">
        <is>
          <t>RTD</t>
        </is>
      </c>
      <c r="B203" s="15" t="inlineStr">
        <is>
          <t>29103-ET-PG2701-1-R-2</t>
        </is>
      </c>
      <c r="C203" s="15" t="inlineStr">
        <is>
          <t>29103-ET-PG2701-1</t>
        </is>
      </c>
      <c r="D203" s="15" t="inlineStr">
        <is>
          <t>29103-HTP-005 HTC-16</t>
        </is>
      </c>
      <c r="E203" s="15" t="inlineStr">
        <is>
          <t>PRODUCED GAS</t>
        </is>
      </c>
      <c r="F203" s="15" t="inlineStr">
        <is>
          <t>29103-65R-ET-PG2701-01-01</t>
        </is>
      </c>
      <c r="G203" s="15" t="inlineStr">
        <is>
          <t>13.2</t>
        </is>
      </c>
      <c r="H203" s="15" t="inlineStr">
        <is>
          <t>1.5. 29103-HTP-005/2. RTD Inspection/29103-ET-PG2701-1-R-2.pdf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29103-ET-PG2701-2-R-1</t>
        </is>
      </c>
      <c r="C204" s="15" t="inlineStr">
        <is>
          <t>29103-ET-PG2701-2</t>
        </is>
      </c>
      <c r="D204" s="15" t="inlineStr">
        <is>
          <t>29103-HTP-005 HTC-30</t>
        </is>
      </c>
      <c r="E204" s="15" t="inlineStr">
        <is>
          <t>PRODUCED GAS</t>
        </is>
      </c>
      <c r="F204" s="15" t="inlineStr">
        <is>
          <t>29103-65R-ET-PG2701-02-01</t>
        </is>
      </c>
      <c r="G204" s="15" t="inlineStr">
        <is>
          <t>13.2</t>
        </is>
      </c>
      <c r="H204" s="15" t="inlineStr">
        <is>
          <t>1.5. 29103-HTP-005/2. RTD Inspection/29103-ET-PG2701-2-R-1.pdf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 Cable</t>
        </is>
      </c>
      <c r="B205" s="15" t="inlineStr">
        <is>
          <t>29103-ET-P2401-1-R-1</t>
        </is>
      </c>
      <c r="C205" s="15" t="inlineStr">
        <is>
          <t>29103-ET-P2401-1</t>
        </is>
      </c>
      <c r="D205" s="15" t="inlineStr"/>
      <c r="E205" s="15" t="inlineStr">
        <is>
          <t>29103-HTP-005</t>
        </is>
      </c>
      <c r="F205" s="15" t="inlineStr"/>
      <c r="G205" s="15" t="inlineStr">
        <is>
          <t>113</t>
        </is>
      </c>
      <c r="H205" s="15" t="inlineStr">
        <is>
          <t>1.5. 29103-HTP-005/4. RTD Cables/29103-ET-P2401-1-R-1.pdf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NO</v>
      </c>
      <c r="P205" s="6" t="str">
        <f>IF(OR($A205="RTD"),IF(AND($AH205&lt;&gt;""),"YES","NO"),"N/A")</f>
        <v>N/A</v>
      </c>
      <c r="Q205" s="6" t="str">
        <f>IF(OR($A205="RTD"),IF(AND($AI205&lt;&gt;""),"YES","NO"),"N/A")</f>
        <v>N/A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inlineStr">
        <is>
          <t>ACIC</t>
        </is>
      </c>
      <c r="AK205" s="15" t="inlineStr">
        <is>
          <t>16AWG</t>
        </is>
      </c>
      <c r="AL205" s="15" t="inlineStr">
        <is>
          <t>Levy Ostrup</t>
        </is>
      </c>
      <c r="AM205" s="15" t="n"/>
      <c r="AN205" s="15" t="n"/>
    </row>
    <row r="206">
      <c r="A206" s="15" t="inlineStr">
        <is>
          <t>RTD Cable</t>
        </is>
      </c>
      <c r="B206" s="15" t="inlineStr">
        <is>
          <t>29103-ET-P2501-1-R-1</t>
        </is>
      </c>
      <c r="C206" s="15" t="inlineStr">
        <is>
          <t>29103-ET-P2501-1</t>
        </is>
      </c>
      <c r="D206" s="15" t="inlineStr"/>
      <c r="E206" s="15" t="inlineStr">
        <is>
          <t>29103-HTP-005</t>
        </is>
      </c>
      <c r="F206" s="15" t="inlineStr"/>
      <c r="G206" s="15" t="inlineStr">
        <is>
          <t>113</t>
        </is>
      </c>
      <c r="H206" s="15" t="inlineStr">
        <is>
          <t>1.5. 29103-HTP-005/4. RTD Cables/29103-ET-P2501-1-R-1.pdf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NO</v>
      </c>
      <c r="P206" s="6" t="str">
        <f>IF(OR($A206="RTD"),IF(AND($AH206&lt;&gt;""),"YES","NO"),"N/A")</f>
        <v>N/A</v>
      </c>
      <c r="Q206" s="6" t="str">
        <f>IF(OR($A206="RTD"),IF(AND($AI206&lt;&gt;""),"YES","NO"),"N/A")</f>
        <v>N/A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inlineStr">
        <is>
          <t>ACIC</t>
        </is>
      </c>
      <c r="AK206" s="15" t="inlineStr">
        <is>
          <t>16AWG</t>
        </is>
      </c>
      <c r="AL206" s="15" t="inlineStr">
        <is>
          <t>Levy Ostrup</t>
        </is>
      </c>
      <c r="AM206" s="15" t="n"/>
      <c r="AN206" s="15" t="n"/>
    </row>
    <row r="207">
      <c r="A207" s="15" t="inlineStr">
        <is>
          <t>RTD Cable</t>
        </is>
      </c>
      <c r="B207" s="15" t="inlineStr">
        <is>
          <t>29103-ET-P2504-1-R-1</t>
        </is>
      </c>
      <c r="C207" s="15" t="inlineStr">
        <is>
          <t>29103-ET-P2504-1</t>
        </is>
      </c>
      <c r="D207" s="15" t="inlineStr"/>
      <c r="E207" s="15" t="inlineStr">
        <is>
          <t>29103-HTP-005</t>
        </is>
      </c>
      <c r="F207" s="15" t="inlineStr"/>
      <c r="G207" s="15" t="inlineStr">
        <is>
          <t>113</t>
        </is>
      </c>
      <c r="H207" s="15" t="inlineStr">
        <is>
          <t>1.5. 29103-HTP-005/4. RTD Cables/29103-ET-P2504-1-R-1.pdf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NO</v>
      </c>
      <c r="P207" s="6" t="str">
        <f>IF(OR($A207="RTD"),IF(AND($AH207&lt;&gt;""),"YES","NO"),"N/A")</f>
        <v>N/A</v>
      </c>
      <c r="Q207" s="6" t="str">
        <f>IF(OR($A207="RTD"),IF(AND($AI207&lt;&gt;""),"YES","NO"),"N/A")</f>
        <v>N/A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inlineStr">
        <is>
          <t>ACIC</t>
        </is>
      </c>
      <c r="AK207" s="15" t="inlineStr">
        <is>
          <t>16AWG</t>
        </is>
      </c>
      <c r="AL207" s="15" t="inlineStr">
        <is>
          <t>Levy Ostrup</t>
        </is>
      </c>
      <c r="AM207" s="15" t="n"/>
      <c r="AN207" s="15" t="n"/>
    </row>
    <row r="208">
      <c r="A208" s="15" t="inlineStr">
        <is>
          <t>RTD Cable</t>
        </is>
      </c>
      <c r="B208" s="15" t="inlineStr">
        <is>
          <t>29103-ET-P2504-1-R-2</t>
        </is>
      </c>
      <c r="C208" s="15" t="inlineStr">
        <is>
          <t>29103-ET-P2504-1</t>
        </is>
      </c>
      <c r="D208" s="15" t="inlineStr"/>
      <c r="E208" s="15" t="inlineStr">
        <is>
          <t>29103-HTP-005</t>
        </is>
      </c>
      <c r="F208" s="15" t="inlineStr"/>
      <c r="G208" s="15" t="inlineStr">
        <is>
          <t>113</t>
        </is>
      </c>
      <c r="H208" s="15" t="inlineStr">
        <is>
          <t>1.5. 29103-HTP-005/4. RTD Cables/29103-ET-P2504-1-R-2.pdf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NO</v>
      </c>
      <c r="P208" s="6" t="str">
        <f>IF(OR($A208="RTD"),IF(AND($AH208&lt;&gt;""),"YES","NO"),"N/A")</f>
        <v>N/A</v>
      </c>
      <c r="Q208" s="6" t="str">
        <f>IF(OR($A208="RTD"),IF(AND($AI208&lt;&gt;""),"YES","NO"),"N/A")</f>
        <v>N/A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inlineStr">
        <is>
          <t>ACIC</t>
        </is>
      </c>
      <c r="AK208" s="15" t="inlineStr">
        <is>
          <t>16AWG</t>
        </is>
      </c>
      <c r="AL208" s="15" t="inlineStr">
        <is>
          <t>Levy Ostrup</t>
        </is>
      </c>
      <c r="AM208" s="15" t="n"/>
      <c r="AN208" s="15" t="n"/>
    </row>
    <row r="209">
      <c r="A209" s="15" t="inlineStr">
        <is>
          <t>RTD Cable</t>
        </is>
      </c>
      <c r="B209" s="15" t="inlineStr">
        <is>
          <t>29103-ET-P2504-2-R-1</t>
        </is>
      </c>
      <c r="C209" s="15" t="inlineStr">
        <is>
          <t>29103-ET-P2504-2</t>
        </is>
      </c>
      <c r="D209" s="15" t="inlineStr"/>
      <c r="E209" s="15" t="inlineStr">
        <is>
          <t>29103-HTP-005</t>
        </is>
      </c>
      <c r="F209" s="15" t="inlineStr"/>
      <c r="G209" s="15" t="inlineStr">
        <is>
          <t>113</t>
        </is>
      </c>
      <c r="H209" s="15" t="inlineStr">
        <is>
          <t>1.5. 29103-HTP-005/4. RTD Cables/29103-ET-P2504-2-R-1.pdf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NO</v>
      </c>
      <c r="P209" s="6" t="str">
        <f>IF(OR($A209="RTD"),IF(AND($AH209&lt;&gt;""),"YES","NO"),"N/A")</f>
        <v>N/A</v>
      </c>
      <c r="Q209" s="6" t="str">
        <f>IF(OR($A209="RTD"),IF(AND($AI209&lt;&gt;""),"YES","NO"),"N/A")</f>
        <v>N/A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inlineStr">
        <is>
          <t>ACIC</t>
        </is>
      </c>
      <c r="AK209" s="15" t="inlineStr">
        <is>
          <t>16AWG</t>
        </is>
      </c>
      <c r="AL209" s="15" t="inlineStr">
        <is>
          <t>Levy Ostrup</t>
        </is>
      </c>
      <c r="AM209" s="15" t="n"/>
      <c r="AN209" s="15" t="n"/>
    </row>
    <row r="210">
      <c r="A210" s="15" t="inlineStr">
        <is>
          <t>RTD Cable</t>
        </is>
      </c>
      <c r="B210" s="15" t="inlineStr">
        <is>
          <t>29103-ET-P2504-2-R-2</t>
        </is>
      </c>
      <c r="C210" s="15" t="inlineStr">
        <is>
          <t>29103-ET-P2504-2</t>
        </is>
      </c>
      <c r="D210" s="15" t="inlineStr"/>
      <c r="E210" s="15" t="inlineStr">
        <is>
          <t>29103-HTP-005</t>
        </is>
      </c>
      <c r="F210" s="15" t="inlineStr"/>
      <c r="G210" s="15" t="inlineStr">
        <is>
          <t>113</t>
        </is>
      </c>
      <c r="H210" s="15" t="inlineStr">
        <is>
          <t>1.5. 29103-HTP-005/4. RTD Cables/29103-ET-P2504-2-R-2.pdf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NO</v>
      </c>
      <c r="P210" s="6" t="str">
        <f>IF(OR($A210="RTD"),IF(AND($AH210&lt;&gt;""),"YES","NO"),"N/A")</f>
        <v>N/A</v>
      </c>
      <c r="Q210" s="6" t="str">
        <f>IF(OR($A210="RTD"),IF(AND($AI210&lt;&gt;""),"YES","NO"),"N/A")</f>
        <v>N/A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inlineStr">
        <is>
          <t>ACIC</t>
        </is>
      </c>
      <c r="AK210" s="15" t="inlineStr">
        <is>
          <t>16AWG</t>
        </is>
      </c>
      <c r="AL210" s="15" t="inlineStr">
        <is>
          <t>Levy Ostrup</t>
        </is>
      </c>
      <c r="AM210" s="15" t="n"/>
      <c r="AN210" s="15" t="n"/>
    </row>
    <row r="211">
      <c r="A211" s="15" t="inlineStr">
        <is>
          <t>RTD Cable</t>
        </is>
      </c>
      <c r="B211" s="15" t="inlineStr">
        <is>
          <t>29103-ET-P2601-1-R-1</t>
        </is>
      </c>
      <c r="C211" s="15" t="inlineStr">
        <is>
          <t>29103-ET-P2601-1</t>
        </is>
      </c>
      <c r="D211" s="15" t="inlineStr"/>
      <c r="E211" s="15" t="inlineStr">
        <is>
          <t>29103-HTP-005</t>
        </is>
      </c>
      <c r="F211" s="15" t="inlineStr"/>
      <c r="G211" s="15" t="inlineStr">
        <is>
          <t>113</t>
        </is>
      </c>
      <c r="H211" s="15" t="inlineStr">
        <is>
          <t>1.5. 29103-HTP-005/4. RTD Cables/29103-ET-P2601-1-R-1.pdf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NO</v>
      </c>
      <c r="P211" s="6" t="str">
        <f>IF(OR($A211="RTD"),IF(AND($AH211&lt;&gt;""),"YES","NO"),"N/A")</f>
        <v>N/A</v>
      </c>
      <c r="Q211" s="6" t="str">
        <f>IF(OR($A211="RTD"),IF(AND($AI211&lt;&gt;""),"YES","NO"),"N/A")</f>
        <v>N/A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inlineStr">
        <is>
          <t>ACIC</t>
        </is>
      </c>
      <c r="AK211" s="15" t="inlineStr">
        <is>
          <t>16AWG</t>
        </is>
      </c>
      <c r="AL211" s="15" t="inlineStr">
        <is>
          <t>Levy Ostrup</t>
        </is>
      </c>
      <c r="AM211" s="15" t="n"/>
      <c r="AN211" s="15" t="n"/>
    </row>
    <row r="212">
      <c r="A212" s="15" t="inlineStr">
        <is>
          <t>RTD Cable</t>
        </is>
      </c>
      <c r="B212" s="15" t="inlineStr">
        <is>
          <t>29103-ET-P2604-1-R-1</t>
        </is>
      </c>
      <c r="C212" s="15" t="inlineStr">
        <is>
          <t>29103-ET-P2604-1</t>
        </is>
      </c>
      <c r="D212" s="15" t="inlineStr"/>
      <c r="E212" s="15" t="inlineStr">
        <is>
          <t>29103-HTP-005</t>
        </is>
      </c>
      <c r="F212" s="15" t="inlineStr"/>
      <c r="G212" s="15" t="inlineStr">
        <is>
          <t>113</t>
        </is>
      </c>
      <c r="H212" s="15" t="inlineStr">
        <is>
          <t>1.5. 29103-HTP-005/4. RTD Cables/29103-ET-P2604-1-R-1.pdf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NO</v>
      </c>
      <c r="P212" s="6" t="str">
        <f>IF(OR($A212="RTD"),IF(AND($AH212&lt;&gt;""),"YES","NO"),"N/A")</f>
        <v>N/A</v>
      </c>
      <c r="Q212" s="6" t="str">
        <f>IF(OR($A212="RTD"),IF(AND($AI212&lt;&gt;""),"YES","NO"),"N/A")</f>
        <v>N/A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inlineStr">
        <is>
          <t>ACIC</t>
        </is>
      </c>
      <c r="AK212" s="15" t="inlineStr">
        <is>
          <t>16AWG</t>
        </is>
      </c>
      <c r="AL212" s="15" t="inlineStr">
        <is>
          <t>Levy Ostrup</t>
        </is>
      </c>
      <c r="AM212" s="15" t="n"/>
      <c r="AN212" s="15" t="n"/>
    </row>
    <row r="213">
      <c r="A213" s="15" t="inlineStr">
        <is>
          <t>RTD Cable</t>
        </is>
      </c>
      <c r="B213" s="15" t="inlineStr">
        <is>
          <t>29103-ET-P2604-1-R-2</t>
        </is>
      </c>
      <c r="C213" s="15" t="inlineStr">
        <is>
          <t>29103-ET-P2604-1</t>
        </is>
      </c>
      <c r="D213" s="15" t="inlineStr"/>
      <c r="E213" s="15" t="inlineStr">
        <is>
          <t>29103-HTP-005</t>
        </is>
      </c>
      <c r="F213" s="15" t="inlineStr"/>
      <c r="G213" s="15" t="inlineStr">
        <is>
          <t>113</t>
        </is>
      </c>
      <c r="H213" s="15" t="inlineStr">
        <is>
          <t>1.5. 29103-HTP-005/4. RTD Cables/29103-ET-P2604-1-R-2.pdf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NO</v>
      </c>
      <c r="P213" s="6" t="str">
        <f>IF(OR($A213="RTD"),IF(AND($AH213&lt;&gt;""),"YES","NO"),"N/A")</f>
        <v>N/A</v>
      </c>
      <c r="Q213" s="6" t="str">
        <f>IF(OR($A213="RTD"),IF(AND($AI213&lt;&gt;""),"YES","NO"),"N/A")</f>
        <v>N/A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inlineStr">
        <is>
          <t>ACIC</t>
        </is>
      </c>
      <c r="AK213" s="15" t="inlineStr">
        <is>
          <t>16AWG</t>
        </is>
      </c>
      <c r="AL213" s="15" t="inlineStr">
        <is>
          <t>Levy Ostrup</t>
        </is>
      </c>
      <c r="AM213" s="15" t="n"/>
      <c r="AN213" s="15" t="n"/>
    </row>
    <row r="214">
      <c r="A214" s="15" t="inlineStr">
        <is>
          <t>RTD Cable</t>
        </is>
      </c>
      <c r="B214" s="15" t="inlineStr">
        <is>
          <t>29103-ET-P2604-2-R-1</t>
        </is>
      </c>
      <c r="C214" s="15" t="inlineStr">
        <is>
          <t>29103-ET-P2604-2</t>
        </is>
      </c>
      <c r="D214" s="15" t="inlineStr"/>
      <c r="E214" s="15" t="inlineStr">
        <is>
          <t>29103-HTP-005</t>
        </is>
      </c>
      <c r="F214" s="15" t="inlineStr"/>
      <c r="G214" s="15" t="inlineStr">
        <is>
          <t>113</t>
        </is>
      </c>
      <c r="H214" s="15" t="inlineStr">
        <is>
          <t>1.5. 29103-HTP-005/4. RTD Cables/29103-ET-P2604-2-R-1.pdf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NO</v>
      </c>
      <c r="P214" s="6" t="str">
        <f>IF(OR($A214="RTD"),IF(AND($AH214&lt;&gt;""),"YES","NO"),"N/A")</f>
        <v>N/A</v>
      </c>
      <c r="Q214" s="6" t="str">
        <f>IF(OR($A214="RTD"),IF(AND($AI214&lt;&gt;""),"YES","NO"),"N/A")</f>
        <v>N/A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inlineStr">
        <is>
          <t>ACIC</t>
        </is>
      </c>
      <c r="AK214" s="15" t="inlineStr">
        <is>
          <t>16AWG</t>
        </is>
      </c>
      <c r="AL214" s="15" t="inlineStr">
        <is>
          <t>Levy Ostrup</t>
        </is>
      </c>
      <c r="AM214" s="15" t="n"/>
      <c r="AN214" s="15" t="n"/>
    </row>
    <row r="215">
      <c r="A215" s="15" t="inlineStr">
        <is>
          <t>RTD Cable</t>
        </is>
      </c>
      <c r="B215" s="15" t="inlineStr">
        <is>
          <t>29103-ET-P2604-2-R-2</t>
        </is>
      </c>
      <c r="C215" s="15" t="inlineStr">
        <is>
          <t>29103-ET-P2604-2</t>
        </is>
      </c>
      <c r="D215" s="15" t="inlineStr"/>
      <c r="E215" s="15" t="inlineStr">
        <is>
          <t>29103-HTP-005</t>
        </is>
      </c>
      <c r="F215" s="15" t="inlineStr"/>
      <c r="G215" s="15" t="inlineStr">
        <is>
          <t>113</t>
        </is>
      </c>
      <c r="H215" s="15" t="inlineStr">
        <is>
          <t>1.5. 29103-HTP-005/4. RTD Cables/29103-ET-P2604-2-R-2.pdf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NO</v>
      </c>
      <c r="P215" s="6" t="str">
        <f>IF(OR($A215="RTD"),IF(AND($AH215&lt;&gt;""),"YES","NO"),"N/A")</f>
        <v>N/A</v>
      </c>
      <c r="Q215" s="6" t="str">
        <f>IF(OR($A215="RTD"),IF(AND($AI215&lt;&gt;""),"YES","NO"),"N/A")</f>
        <v>N/A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inlineStr">
        <is>
          <t>ACIC</t>
        </is>
      </c>
      <c r="AK215" s="15" t="inlineStr">
        <is>
          <t>16AWG</t>
        </is>
      </c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29103-ET-P2701-1-R-1</t>
        </is>
      </c>
      <c r="C216" s="15" t="inlineStr">
        <is>
          <t>29103-ET-P2701-1</t>
        </is>
      </c>
      <c r="D216" s="15" t="inlineStr"/>
      <c r="E216" s="15" t="inlineStr">
        <is>
          <t>29103-HTP-005</t>
        </is>
      </c>
      <c r="F216" s="15" t="inlineStr"/>
      <c r="G216" s="15" t="inlineStr">
        <is>
          <t>113</t>
        </is>
      </c>
      <c r="H216" s="15" t="inlineStr">
        <is>
          <t>1.5. 29103-HTP-005/4. RTD Cables/29103-ET-P2701-1-R-1.pdf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29103-ET-P2704-1-R-1</t>
        </is>
      </c>
      <c r="C217" s="15" t="inlineStr">
        <is>
          <t>29103-ET-P2704-1</t>
        </is>
      </c>
      <c r="D217" s="15" t="inlineStr"/>
      <c r="E217" s="15" t="inlineStr">
        <is>
          <t>29103-HTP-005</t>
        </is>
      </c>
      <c r="F217" s="15" t="inlineStr"/>
      <c r="G217" s="15" t="inlineStr">
        <is>
          <t>113</t>
        </is>
      </c>
      <c r="H217" s="15" t="inlineStr">
        <is>
          <t>1.5. 29103-HTP-005/4. RTD Cables/29103-ET-P2704-1-R-1.pdf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NO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inlineStr">
        <is>
          <t>ACIC</t>
        </is>
      </c>
      <c r="AK217" s="15" t="inlineStr">
        <is>
          <t>16AWG</t>
        </is>
      </c>
      <c r="AL217" s="15" t="inlineStr">
        <is>
          <t>Levy Ostrup</t>
        </is>
      </c>
      <c r="AM217" s="15" t="n"/>
      <c r="AN217" s="15" t="n"/>
    </row>
    <row r="218">
      <c r="A218" s="15" t="inlineStr">
        <is>
          <t>RTD Cable</t>
        </is>
      </c>
      <c r="B218" s="15" t="inlineStr">
        <is>
          <t>29103-ET-P2704-1-R-2</t>
        </is>
      </c>
      <c r="C218" s="15" t="inlineStr">
        <is>
          <t>29103-ET-P2704-1</t>
        </is>
      </c>
      <c r="D218" s="15" t="inlineStr"/>
      <c r="E218" s="15" t="inlineStr">
        <is>
          <t>29103-HTP-005</t>
        </is>
      </c>
      <c r="F218" s="15" t="inlineStr"/>
      <c r="G218" s="15" t="inlineStr">
        <is>
          <t>113</t>
        </is>
      </c>
      <c r="H218" s="15" t="inlineStr">
        <is>
          <t>1.5. 29103-HTP-005/4. RTD Cables/29103-ET-P2704-1-R-2.pdf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29103-ET-P2704-2-R-1</t>
        </is>
      </c>
      <c r="C219" s="15" t="inlineStr">
        <is>
          <t>29103-ET-P2704-2</t>
        </is>
      </c>
      <c r="D219" s="15" t="inlineStr"/>
      <c r="E219" s="15" t="inlineStr">
        <is>
          <t>29103-HTP-005</t>
        </is>
      </c>
      <c r="F219" s="15" t="inlineStr"/>
      <c r="G219" s="15" t="inlineStr">
        <is>
          <t>113</t>
        </is>
      </c>
      <c r="H219" s="15" t="inlineStr">
        <is>
          <t>1.5. 29103-HTP-005/4. RTD Cables/29103-ET-P2704-2-R-1.pdf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NO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inlineStr">
        <is>
          <t>ACIC</t>
        </is>
      </c>
      <c r="AK219" s="15" t="inlineStr">
        <is>
          <t>16AWG</t>
        </is>
      </c>
      <c r="AL219" s="15" t="inlineStr">
        <is>
          <t>Levy Ostrup</t>
        </is>
      </c>
      <c r="AM219" s="15" t="n"/>
      <c r="AN219" s="15" t="n"/>
    </row>
    <row r="220">
      <c r="A220" s="15" t="inlineStr">
        <is>
          <t>RTD Cable</t>
        </is>
      </c>
      <c r="B220" s="15" t="inlineStr">
        <is>
          <t>29103-ET-P2704-2-R-2</t>
        </is>
      </c>
      <c r="C220" s="15" t="inlineStr">
        <is>
          <t>29103-ET-P2704-2</t>
        </is>
      </c>
      <c r="D220" s="15" t="inlineStr"/>
      <c r="E220" s="15" t="inlineStr">
        <is>
          <t>29103-HTP-005</t>
        </is>
      </c>
      <c r="F220" s="15" t="inlineStr"/>
      <c r="G220" s="15" t="inlineStr">
        <is>
          <t>113</t>
        </is>
      </c>
      <c r="H220" s="15" t="inlineStr">
        <is>
          <t>1.5. 29103-HTP-005/4. RTD Cables/29103-ET-P2704-2-R-2.pdf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NO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inlineStr">
        <is>
          <t>ACIC</t>
        </is>
      </c>
      <c r="AK220" s="15" t="inlineStr">
        <is>
          <t>16AWG</t>
        </is>
      </c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29103-ET-P2800-1-R-1</t>
        </is>
      </c>
      <c r="C221" s="15" t="inlineStr">
        <is>
          <t>29103-ET-P2800-1</t>
        </is>
      </c>
      <c r="D221" s="15" t="inlineStr"/>
      <c r="E221" s="15" t="inlineStr">
        <is>
          <t>29103-HTP-005</t>
        </is>
      </c>
      <c r="F221" s="15" t="inlineStr"/>
      <c r="G221" s="15" t="inlineStr">
        <is>
          <t>113</t>
        </is>
      </c>
      <c r="H221" s="15" t="inlineStr">
        <is>
          <t>1.5. 29103-HTP-005/4. RTD Cables/29103-ET-P2800-1-R-1.pdf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29103-ET-PE2401-1-R-1</t>
        </is>
      </c>
      <c r="C222" s="15" t="inlineStr">
        <is>
          <t>29103-ET-PE2401-1</t>
        </is>
      </c>
      <c r="D222" s="15" t="inlineStr"/>
      <c r="E222" s="15" t="inlineStr">
        <is>
          <t>29103-HTP-005</t>
        </is>
      </c>
      <c r="F222" s="15" t="inlineStr"/>
      <c r="G222" s="15" t="inlineStr">
        <is>
          <t>113</t>
        </is>
      </c>
      <c r="H222" s="15" t="inlineStr">
        <is>
          <t>1.5. 29103-HTP-005/4. RTD Cables/29103-ET-PE2401-1-R-1.pdf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29103-ET-PE2501-1-R-1</t>
        </is>
      </c>
      <c r="C223" s="15" t="inlineStr">
        <is>
          <t>29103-ET-PE2501-1</t>
        </is>
      </c>
      <c r="D223" s="15" t="inlineStr"/>
      <c r="E223" s="15" t="inlineStr">
        <is>
          <t>29103-HTP-005</t>
        </is>
      </c>
      <c r="F223" s="15" t="inlineStr"/>
      <c r="G223" s="15" t="inlineStr">
        <is>
          <t>113</t>
        </is>
      </c>
      <c r="H223" s="15" t="inlineStr">
        <is>
          <t>1.5. 29103-HTP-005/4. RTD Cables/29103-ET-PE2501-1-R-1.pdf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29103-ET-PE2501-2-R-2</t>
        </is>
      </c>
      <c r="C224" s="15" t="inlineStr">
        <is>
          <t>29103-ET-PE2501-2</t>
        </is>
      </c>
      <c r="D224" s="15" t="inlineStr"/>
      <c r="E224" s="15" t="inlineStr">
        <is>
          <t>29103-HTP-005</t>
        </is>
      </c>
      <c r="F224" s="15" t="inlineStr"/>
      <c r="G224" s="15" t="inlineStr">
        <is>
          <t>113</t>
        </is>
      </c>
      <c r="H224" s="15" t="inlineStr">
        <is>
          <t>1.5. 29103-HTP-005/4. RTD Cables/29103-ET-PE2501-2-R-2.pdf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29103-ET-PE2502-1-R-1</t>
        </is>
      </c>
      <c r="C225" s="15" t="inlineStr">
        <is>
          <t>29103-ET-PE2502-1</t>
        </is>
      </c>
      <c r="D225" s="15" t="inlineStr"/>
      <c r="E225" s="15" t="inlineStr">
        <is>
          <t>29103-HTP-005</t>
        </is>
      </c>
      <c r="F225" s="15" t="inlineStr"/>
      <c r="G225" s="15" t="inlineStr">
        <is>
          <t>113</t>
        </is>
      </c>
      <c r="H225" s="15" t="inlineStr">
        <is>
          <t>1.5. 29103-HTP-005/4. RTD Cables/29103-ET-PE2502-1-R-1.pdf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29103-ET-PE2502-1-R-2</t>
        </is>
      </c>
      <c r="C226" s="15" t="inlineStr">
        <is>
          <t>29103-ET-PE2502-1</t>
        </is>
      </c>
      <c r="D226" s="15" t="inlineStr"/>
      <c r="E226" s="15" t="inlineStr">
        <is>
          <t>29103-HTP-005</t>
        </is>
      </c>
      <c r="F226" s="15" t="inlineStr"/>
      <c r="G226" s="15" t="inlineStr">
        <is>
          <t>113</t>
        </is>
      </c>
      <c r="H226" s="15" t="inlineStr">
        <is>
          <t>1.5. 29103-HTP-005/4. RTD Cables/29103-ET-PE2502-1-R-2.pdf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29103-ET-PE2601-1-R-1</t>
        </is>
      </c>
      <c r="C227" s="15" t="inlineStr">
        <is>
          <t>29103-ET-PE2601-1</t>
        </is>
      </c>
      <c r="D227" s="15" t="inlineStr"/>
      <c r="E227" s="15" t="inlineStr">
        <is>
          <t>29103-HTP-005</t>
        </is>
      </c>
      <c r="F227" s="15" t="inlineStr"/>
      <c r="G227" s="15" t="inlineStr">
        <is>
          <t>113</t>
        </is>
      </c>
      <c r="H227" s="15" t="inlineStr">
        <is>
          <t>1.5. 29103-HTP-005/4. RTD Cables/29103-ET-PE2601-1-R-1.pdf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29103-ET-PE2601-2-R-2</t>
        </is>
      </c>
      <c r="C228" s="15" t="inlineStr">
        <is>
          <t>29103-ET-PE2601-2</t>
        </is>
      </c>
      <c r="D228" s="15" t="inlineStr"/>
      <c r="E228" s="15" t="inlineStr">
        <is>
          <t>29103-HTP-005</t>
        </is>
      </c>
      <c r="F228" s="15" t="inlineStr"/>
      <c r="G228" s="15" t="inlineStr">
        <is>
          <t>113</t>
        </is>
      </c>
      <c r="H228" s="15" t="inlineStr">
        <is>
          <t>1.5. 29103-HTP-005/4. RTD Cables/29103-ET-PE2601-2-R-2.pdf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29103-ET-PE2602-1-R-1</t>
        </is>
      </c>
      <c r="C229" s="15" t="inlineStr">
        <is>
          <t>29103-ET-PE2602-1</t>
        </is>
      </c>
      <c r="D229" s="15" t="inlineStr"/>
      <c r="E229" s="15" t="inlineStr">
        <is>
          <t>29103-HTP-005</t>
        </is>
      </c>
      <c r="F229" s="15" t="inlineStr"/>
      <c r="G229" s="15" t="inlineStr">
        <is>
          <t>113</t>
        </is>
      </c>
      <c r="H229" s="15" t="inlineStr">
        <is>
          <t>1.5. 29103-HTP-005/4. RTD Cables/29103-ET-PE2602-1-R-1.pdf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29103-ET-PE2602-1-R-2</t>
        </is>
      </c>
      <c r="C230" s="15" t="inlineStr">
        <is>
          <t>29103-ET-PE2602-1</t>
        </is>
      </c>
      <c r="D230" s="15" t="inlineStr"/>
      <c r="E230" s="15" t="inlineStr">
        <is>
          <t>29103-HTP-005</t>
        </is>
      </c>
      <c r="F230" s="15" t="inlineStr"/>
      <c r="G230" s="15" t="inlineStr">
        <is>
          <t>113</t>
        </is>
      </c>
      <c r="H230" s="15" t="inlineStr">
        <is>
          <t>1.5. 29103-HTP-005/4. RTD Cables/29103-ET-PE2602-1-R-2.pdf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29103-ET-PE2701-1-R-1</t>
        </is>
      </c>
      <c r="C231" s="15" t="inlineStr">
        <is>
          <t>29103-ET-PE2701-1</t>
        </is>
      </c>
      <c r="D231" s="15" t="inlineStr"/>
      <c r="E231" s="15" t="inlineStr">
        <is>
          <t>29103-HTP-005</t>
        </is>
      </c>
      <c r="F231" s="15" t="inlineStr"/>
      <c r="G231" s="15" t="inlineStr">
        <is>
          <t>113</t>
        </is>
      </c>
      <c r="H231" s="15" t="inlineStr">
        <is>
          <t>1.5. 29103-HTP-005/4. RTD Cables/29103-ET-PE2701-1-R-1.pdf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29103-ET-PE2701-2-R-2</t>
        </is>
      </c>
      <c r="C232" s="15" t="inlineStr">
        <is>
          <t>29103-ET-PE2701-2</t>
        </is>
      </c>
      <c r="D232" s="15" t="inlineStr"/>
      <c r="E232" s="15" t="inlineStr">
        <is>
          <t>29103-HTP-005</t>
        </is>
      </c>
      <c r="F232" s="15" t="inlineStr"/>
      <c r="G232" s="15" t="inlineStr">
        <is>
          <t>113</t>
        </is>
      </c>
      <c r="H232" s="15" t="inlineStr">
        <is>
          <t>1.5. 29103-HTP-005/4. RTD Cables/29103-ET-PE2701-2-R-2.pdf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29103-ET-PE2702-1-R-1</t>
        </is>
      </c>
      <c r="C233" s="15" t="inlineStr">
        <is>
          <t>29103-ET-PE2702-1</t>
        </is>
      </c>
      <c r="D233" s="15" t="inlineStr"/>
      <c r="E233" s="15" t="inlineStr">
        <is>
          <t>29103-HTP-005</t>
        </is>
      </c>
      <c r="F233" s="15" t="inlineStr"/>
      <c r="G233" s="15" t="inlineStr">
        <is>
          <t>113</t>
        </is>
      </c>
      <c r="H233" s="15" t="inlineStr">
        <is>
          <t>1.5. 29103-HTP-005/4. RTD Cables/29103-ET-PE2702-1-R-1.pdf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29103-ET-PE2702-1-R-2</t>
        </is>
      </c>
      <c r="C234" s="15" t="inlineStr">
        <is>
          <t>29103-ET-PE2702-1</t>
        </is>
      </c>
      <c r="D234" s="15" t="inlineStr"/>
      <c r="E234" s="15" t="inlineStr">
        <is>
          <t>29103-HTP-005</t>
        </is>
      </c>
      <c r="F234" s="15" t="inlineStr"/>
      <c r="G234" s="15" t="inlineStr">
        <is>
          <t>113</t>
        </is>
      </c>
      <c r="H234" s="15" t="inlineStr">
        <is>
          <t>1.5. 29103-HTP-005/4. RTD Cables/29103-ET-PE2702-1-R-2.pdf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29103-ET-PE2802-1-R-1</t>
        </is>
      </c>
      <c r="C235" s="15" t="inlineStr">
        <is>
          <t>29103-ET-PE2802-1</t>
        </is>
      </c>
      <c r="D235" s="15" t="inlineStr"/>
      <c r="E235" s="15" t="inlineStr">
        <is>
          <t>29103-HTP-005</t>
        </is>
      </c>
      <c r="F235" s="15" t="inlineStr"/>
      <c r="G235" s="15" t="inlineStr">
        <is>
          <t>113</t>
        </is>
      </c>
      <c r="H235" s="15" t="inlineStr">
        <is>
          <t>1.5. 29103-HTP-005/4. RTD Cables/29103-ET-PE2802-1-R-1.pdf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29103-ET-PE2802-2-R-1</t>
        </is>
      </c>
      <c r="C236" s="15" t="inlineStr">
        <is>
          <t>29103-ET-PE2802-2</t>
        </is>
      </c>
      <c r="D236" s="15" t="inlineStr"/>
      <c r="E236" s="15" t="inlineStr">
        <is>
          <t>29103-HTP-005</t>
        </is>
      </c>
      <c r="F236" s="15" t="inlineStr"/>
      <c r="G236" s="15" t="inlineStr">
        <is>
          <t>113</t>
        </is>
      </c>
      <c r="H236" s="15" t="inlineStr">
        <is>
          <t>1.5. 29103-HTP-005/4. RTD Cables/29103-ET-PE2802-2-R-1.pdf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29103-ET-PE2803-1-R-1</t>
        </is>
      </c>
      <c r="C237" s="15" t="inlineStr">
        <is>
          <t>29103-ET-PE2803-1</t>
        </is>
      </c>
      <c r="D237" s="15" t="inlineStr"/>
      <c r="E237" s="15" t="inlineStr">
        <is>
          <t>29103-HTP-005</t>
        </is>
      </c>
      <c r="F237" s="15" t="inlineStr"/>
      <c r="G237" s="15" t="inlineStr">
        <is>
          <t>113</t>
        </is>
      </c>
      <c r="H237" s="15" t="inlineStr">
        <is>
          <t>1.5. 29103-HTP-005/4. RTD Cables/29103-ET-PE2803-1-R-1.pdf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29103-ET-PE2803-1-R-2</t>
        </is>
      </c>
      <c r="C238" s="15" t="inlineStr">
        <is>
          <t>29103-ET-PE2803-1</t>
        </is>
      </c>
      <c r="D238" s="15" t="inlineStr"/>
      <c r="E238" s="15" t="inlineStr">
        <is>
          <t>29103-HTP-005</t>
        </is>
      </c>
      <c r="F238" s="15" t="inlineStr"/>
      <c r="G238" s="15" t="inlineStr">
        <is>
          <t>113</t>
        </is>
      </c>
      <c r="H238" s="15" t="inlineStr">
        <is>
          <t>1.5. 29103-HTP-005/4. RTD Cables/29103-ET-PE2803-1-R-2.pdf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29103-ET-PG2401-1-R-1</t>
        </is>
      </c>
      <c r="C239" s="15" t="inlineStr">
        <is>
          <t>29103-ET-PG2401-1</t>
        </is>
      </c>
      <c r="D239" s="15" t="inlineStr"/>
      <c r="E239" s="15" t="inlineStr">
        <is>
          <t>29103-HTP-005</t>
        </is>
      </c>
      <c r="F239" s="15" t="inlineStr"/>
      <c r="G239" s="15" t="inlineStr">
        <is>
          <t>113</t>
        </is>
      </c>
      <c r="H239" s="15" t="inlineStr">
        <is>
          <t>1.5. 29103-HTP-005/4. RTD Cables/29103-ET-PG2401-1-R-1.pdf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29103-ET-PG2401-1-R-2</t>
        </is>
      </c>
      <c r="C240" s="15" t="inlineStr">
        <is>
          <t>29103-ET-PG2401-1</t>
        </is>
      </c>
      <c r="D240" s="15" t="inlineStr"/>
      <c r="E240" s="15" t="inlineStr">
        <is>
          <t>29103-HTP-005</t>
        </is>
      </c>
      <c r="F240" s="15" t="inlineStr"/>
      <c r="G240" s="15" t="inlineStr">
        <is>
          <t>113</t>
        </is>
      </c>
      <c r="H240" s="15" t="inlineStr">
        <is>
          <t>1.5. 29103-HTP-005/4. RTD Cables/29103-ET-PG2401-1-R-2.pdf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29103-ET-PG2501-1-R-1</t>
        </is>
      </c>
      <c r="C241" s="15" t="inlineStr">
        <is>
          <t>29103-ET-PG2501-1</t>
        </is>
      </c>
      <c r="D241" s="15" t="inlineStr"/>
      <c r="E241" s="15" t="inlineStr">
        <is>
          <t>29103-HTP-005</t>
        </is>
      </c>
      <c r="F241" s="15" t="inlineStr"/>
      <c r="G241" s="15" t="inlineStr">
        <is>
          <t>113</t>
        </is>
      </c>
      <c r="H241" s="15" t="inlineStr">
        <is>
          <t>1.5. 29103-HTP-005/4. RTD Cables/29103-ET-PG2501-1-R-1.pdf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29103-ET-PG2501-1-R-2</t>
        </is>
      </c>
      <c r="C242" s="15" t="inlineStr">
        <is>
          <t>29103-ET-PG2501-1</t>
        </is>
      </c>
      <c r="D242" s="15" t="inlineStr"/>
      <c r="E242" s="15" t="inlineStr">
        <is>
          <t>29103-HTP-005</t>
        </is>
      </c>
      <c r="F242" s="15" t="inlineStr"/>
      <c r="G242" s="15" t="inlineStr">
        <is>
          <t>113</t>
        </is>
      </c>
      <c r="H242" s="15" t="inlineStr">
        <is>
          <t>1.5. 29103-HTP-005/4. RTD Cables/29103-ET-PG2501-1-R-2.pdf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29103-ET-PG2501-2-R-1</t>
        </is>
      </c>
      <c r="C243" s="15" t="inlineStr">
        <is>
          <t>29103-ET-PG2501-2</t>
        </is>
      </c>
      <c r="D243" s="15" t="inlineStr"/>
      <c r="E243" s="15" t="inlineStr">
        <is>
          <t>29103-HTP-005</t>
        </is>
      </c>
      <c r="F243" s="15" t="inlineStr"/>
      <c r="G243" s="15" t="inlineStr">
        <is>
          <t>113</t>
        </is>
      </c>
      <c r="H243" s="15" t="inlineStr">
        <is>
          <t>1.5. 29103-HTP-005/4. RTD Cables/29103-ET-PG2501-2-R-1.pdf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29103-ET-PG2601-1-R-1</t>
        </is>
      </c>
      <c r="C244" s="15" t="inlineStr">
        <is>
          <t>29103-ET-PG2601-1</t>
        </is>
      </c>
      <c r="D244" s="15" t="inlineStr"/>
      <c r="E244" s="15" t="inlineStr">
        <is>
          <t>29103-HTP-005</t>
        </is>
      </c>
      <c r="F244" s="15" t="inlineStr"/>
      <c r="G244" s="15" t="inlineStr">
        <is>
          <t>113</t>
        </is>
      </c>
      <c r="H244" s="15" t="inlineStr">
        <is>
          <t>1.5. 29103-HTP-005/4. RTD Cables/29103-ET-PG2601-1-R-1.pdf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29103-ET-PG2601-1-R-2</t>
        </is>
      </c>
      <c r="C245" s="15" t="inlineStr">
        <is>
          <t>29103-ET-PG2601-1</t>
        </is>
      </c>
      <c r="D245" s="15" t="inlineStr"/>
      <c r="E245" s="15" t="inlineStr">
        <is>
          <t>29103-HTP-005</t>
        </is>
      </c>
      <c r="F245" s="15" t="inlineStr"/>
      <c r="G245" s="15" t="inlineStr">
        <is>
          <t>113</t>
        </is>
      </c>
      <c r="H245" s="15" t="inlineStr">
        <is>
          <t>1.5. 29103-HTP-005/4. RTD Cables/29103-ET-PG2601-1-R-2.pdf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29103-ET-PG2601-2-R-1</t>
        </is>
      </c>
      <c r="C246" s="15" t="inlineStr">
        <is>
          <t>29103-ET-PG2601-2</t>
        </is>
      </c>
      <c r="D246" s="15" t="inlineStr"/>
      <c r="E246" s="15" t="inlineStr">
        <is>
          <t>29103-HTP-005</t>
        </is>
      </c>
      <c r="F246" s="15" t="inlineStr"/>
      <c r="G246" s="15" t="inlineStr">
        <is>
          <t>113</t>
        </is>
      </c>
      <c r="H246" s="15" t="inlineStr">
        <is>
          <t>1.5. 29103-HTP-005/4. RTD Cables/29103-ET-PG2601-2-R-1.pdf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29103-ET-PG2701-1-R-1</t>
        </is>
      </c>
      <c r="C247" s="15" t="inlineStr">
        <is>
          <t>29103-ET-PG2701-1</t>
        </is>
      </c>
      <c r="D247" s="15" t="inlineStr"/>
      <c r="E247" s="15" t="inlineStr">
        <is>
          <t>29103-HTP-005</t>
        </is>
      </c>
      <c r="F247" s="15" t="inlineStr"/>
      <c r="G247" s="15" t="inlineStr">
        <is>
          <t>113</t>
        </is>
      </c>
      <c r="H247" s="15" t="inlineStr">
        <is>
          <t>1.5. 29103-HTP-005/4. RTD Cables/29103-ET-PG2701-1-R-1.pdf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29103-ET-PG2701-1-R-2</t>
        </is>
      </c>
      <c r="C248" s="15" t="inlineStr">
        <is>
          <t>29103-ET-PG2701-1</t>
        </is>
      </c>
      <c r="D248" s="15" t="inlineStr"/>
      <c r="E248" s="15" t="inlineStr">
        <is>
          <t>29103-HTP-005</t>
        </is>
      </c>
      <c r="F248" s="15" t="inlineStr"/>
      <c r="G248" s="15" t="inlineStr">
        <is>
          <t>113</t>
        </is>
      </c>
      <c r="H248" s="15" t="inlineStr">
        <is>
          <t>1.5. 29103-HTP-005/4. RTD Cables/29103-ET-PG2701-1-R-2.pdf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29103-ET-PG2701-2-R-1</t>
        </is>
      </c>
      <c r="C249" s="15" t="inlineStr">
        <is>
          <t>29103-ET-PG2701-2</t>
        </is>
      </c>
      <c r="D249" s="15" t="inlineStr"/>
      <c r="E249" s="15" t="inlineStr">
        <is>
          <t>29103-HTP-005</t>
        </is>
      </c>
      <c r="F249" s="15" t="inlineStr"/>
      <c r="G249" s="15" t="inlineStr">
        <is>
          <t>113</t>
        </is>
      </c>
      <c r="H249" s="15" t="inlineStr">
        <is>
          <t>1.5. 29103-HTP-005/4. RTD Cables/29103-ET-PG2701-2-R-1.pdf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29103-RJB-012</t>
        </is>
      </c>
      <c r="C250" s="15" t="inlineStr"/>
      <c r="D250" s="15" t="inlineStr"/>
      <c r="E250" s="15" t="inlineStr">
        <is>
          <t>29103-HTP-005</t>
        </is>
      </c>
      <c r="F250" s="15" t="inlineStr"/>
      <c r="G250" s="15" t="inlineStr">
        <is>
          <t>113</t>
        </is>
      </c>
      <c r="H250" s="15" t="inlineStr">
        <is>
          <t>1.5. 29103-HTP-005/4. RTD Cables/29103-RJB-012.pdf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29103-RJB-013</t>
        </is>
      </c>
      <c r="C251" s="15" t="inlineStr"/>
      <c r="D251" s="15" t="inlineStr"/>
      <c r="E251" s="15" t="inlineStr">
        <is>
          <t>29103-HTP-005</t>
        </is>
      </c>
      <c r="F251" s="15" t="inlineStr"/>
      <c r="G251" s="15" t="inlineStr">
        <is>
          <t>113</t>
        </is>
      </c>
      <c r="H251" s="15" t="inlineStr">
        <is>
          <t>1.5. 29103-HTP-005/4. RTD Cables/29103-RJB-013.pdf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29103-RJB-014</t>
        </is>
      </c>
      <c r="C252" s="15" t="inlineStr"/>
      <c r="D252" s="15" t="inlineStr"/>
      <c r="E252" s="15" t="inlineStr">
        <is>
          <t>29103-HTP-005</t>
        </is>
      </c>
      <c r="F252" s="15" t="inlineStr"/>
      <c r="G252" s="15" t="inlineStr">
        <is>
          <t>113</t>
        </is>
      </c>
      <c r="H252" s="15" t="inlineStr">
        <is>
          <t>1.5. 29103-HTP-005/4. RTD Cables/29103-RJB-014.pdf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</sheetData>
  <autoFilter ref="A4:AN252"/>
  <mergeCells count="3">
    <mergeCell ref="A3:H3"/>
    <mergeCell ref="I3:S3"/>
    <mergeCell ref="T3:AN3"/>
  </mergeCells>
  <conditionalFormatting sqref="I5:S252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29103-HTP-003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29103-ET-FG1305-1-1</t>
        </is>
      </c>
      <c r="C5" s="15" t="inlineStr">
        <is>
          <t>29103-ET-FG1305-1</t>
        </is>
      </c>
      <c r="D5" s="15" t="inlineStr">
        <is>
          <t>29103-AMB-004</t>
        </is>
      </c>
      <c r="E5" s="15" t="inlineStr">
        <is>
          <t>29103-FG-1306, 29103-FG-1305</t>
        </is>
      </c>
      <c r="F5" s="15" t="inlineStr">
        <is>
          <t>29103-65R-ET-FG1305-01-01</t>
        </is>
      </c>
      <c r="G5" s="15" t="inlineStr">
        <is>
          <t>13.1</t>
        </is>
      </c>
      <c r="H5" s="15" t="inlineStr">
        <is>
          <t>1.6. 29103-HTP-003/1. EHT Insulation/29103-ET-FG1305-1-1.pdf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YES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inlineStr">
        <is>
          <t>&gt;2.2 GΩ</t>
        </is>
      </c>
      <c r="V5" s="15" t="inlineStr">
        <is>
          <t>343.5 Ω</t>
        </is>
      </c>
      <c r="W5" s="15" t="inlineStr">
        <is>
          <t>2026-05-17</t>
        </is>
      </c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D/32SA2600/16.9M/230/277/1.2M/LS23A/X/N12</t>
        </is>
      </c>
      <c r="AK5" s="15" t="inlineStr">
        <is>
          <t>16.9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29103-ET-FG1501-1-1</t>
        </is>
      </c>
      <c r="C6" s="15" t="inlineStr">
        <is>
          <t>29103-ET-FG1501-1</t>
        </is>
      </c>
      <c r="D6" s="15" t="inlineStr">
        <is>
          <t>29103-AMB-005</t>
        </is>
      </c>
      <c r="E6" s="15" t="inlineStr">
        <is>
          <t>29103-FG-1501</t>
        </is>
      </c>
      <c r="F6" s="15" t="inlineStr">
        <is>
          <t>29103-65R-ET-FG1501-01-01</t>
        </is>
      </c>
      <c r="G6" s="15" t="inlineStr">
        <is>
          <t>13.1</t>
        </is>
      </c>
      <c r="H6" s="15" t="inlineStr">
        <is>
          <t>1.6. 29103-HTP-003/1. EHT Insulation/29103-ET-FG1501-1-1.pdf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23.4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29103-ET-FG1501-1-2</t>
        </is>
      </c>
      <c r="C7" s="15" t="inlineStr">
        <is>
          <t>29103-ET-FG1501-1</t>
        </is>
      </c>
      <c r="D7" s="15" t="inlineStr">
        <is>
          <t>29103-AMB-005</t>
        </is>
      </c>
      <c r="E7" s="15" t="inlineStr"/>
      <c r="F7" s="15" t="inlineStr">
        <is>
          <t>29103-65R-ET-FG1501-01-01</t>
        </is>
      </c>
      <c r="G7" s="15" t="inlineStr">
        <is>
          <t>13.1</t>
        </is>
      </c>
      <c r="H7" s="15" t="inlineStr">
        <is>
          <t>1.6. 29103-HTP-003/1. EHT Insulation/29103-ET-FG1501-1-2.pdf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1.2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29103-ET-FG1503-1-1</t>
        </is>
      </c>
      <c r="C8" s="15" t="inlineStr">
        <is>
          <t>29103-ET-FG1503-1</t>
        </is>
      </c>
      <c r="D8" s="15" t="inlineStr">
        <is>
          <t>29103-AMB-005</t>
        </is>
      </c>
      <c r="E8" s="15" t="inlineStr">
        <is>
          <t>29103-FG-1503</t>
        </is>
      </c>
      <c r="F8" s="15" t="inlineStr">
        <is>
          <t>29103-65R-ET-FG1503-01-01</t>
        </is>
      </c>
      <c r="G8" s="15" t="inlineStr">
        <is>
          <t>13.1</t>
        </is>
      </c>
      <c r="H8" s="15" t="inlineStr">
        <is>
          <t>1.6. 29103-HTP-003/1. EHT Insulation/29103-ET-FG1503-1-1.pdf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12.9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29103-ET-FG1503-1-2</t>
        </is>
      </c>
      <c r="C9" s="15" t="inlineStr">
        <is>
          <t>29103-ET-FG1503-1</t>
        </is>
      </c>
      <c r="D9" s="15" t="inlineStr">
        <is>
          <t>29103-AMB-005</t>
        </is>
      </c>
      <c r="E9" s="15" t="inlineStr">
        <is>
          <t>29103-FG-1503</t>
        </is>
      </c>
      <c r="F9" s="15" t="inlineStr">
        <is>
          <t>29103-65R-ET-FG1503-01-01</t>
        </is>
      </c>
      <c r="G9" s="15" t="inlineStr">
        <is>
          <t>13.1</t>
        </is>
      </c>
      <c r="H9" s="15" t="inlineStr">
        <is>
          <t>1.6. 29103-HTP-003/1. EHT Insulation/29103-ET-FG1503-1-2.pdf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14.4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29103-ET-FG1503-1-3</t>
        </is>
      </c>
      <c r="C10" s="15" t="inlineStr">
        <is>
          <t>29103-ET-FG1503-1</t>
        </is>
      </c>
      <c r="D10" s="15" t="inlineStr">
        <is>
          <t>29103-AMB-005</t>
        </is>
      </c>
      <c r="E10" s="15" t="inlineStr"/>
      <c r="F10" s="15" t="inlineStr">
        <is>
          <t>29103-65R-ET-FG1503-01-01</t>
        </is>
      </c>
      <c r="G10" s="15" t="inlineStr">
        <is>
          <t>13.1</t>
        </is>
      </c>
      <c r="H10" s="15" t="inlineStr">
        <is>
          <t>1.6. 29103-HTP-003/1. EHT Insulation/29103-ET-FG1503-1-3.pdf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6.5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29103-ET-FG1503-1-4</t>
        </is>
      </c>
      <c r="C11" s="15" t="inlineStr">
        <is>
          <t>29103-ET-FG1503-1</t>
        </is>
      </c>
      <c r="D11" s="15" t="inlineStr">
        <is>
          <t>29103-AMB-005</t>
        </is>
      </c>
      <c r="E11" s="15" t="inlineStr"/>
      <c r="F11" s="15" t="inlineStr">
        <is>
          <t>29103-65R-ET-FG1503-01-01</t>
        </is>
      </c>
      <c r="G11" s="15" t="inlineStr">
        <is>
          <t>13.1</t>
        </is>
      </c>
      <c r="H11" s="15" t="inlineStr">
        <is>
          <t>1.6. 29103-HTP-003/1. EHT Insulation/29103-ET-FG1503-1-4.pdf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13.1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29103-ET-FG1505-1-1</t>
        </is>
      </c>
      <c r="C12" s="15" t="inlineStr">
        <is>
          <t>29103-ET-FG1505-1</t>
        </is>
      </c>
      <c r="D12" s="15" t="inlineStr">
        <is>
          <t>29103-AMB-006</t>
        </is>
      </c>
      <c r="E12" s="15" t="inlineStr">
        <is>
          <t>29103-FG-1506, 29103-FG-1505</t>
        </is>
      </c>
      <c r="F12" s="15" t="inlineStr">
        <is>
          <t>29103-65R-ET-FG1505-01-01</t>
        </is>
      </c>
      <c r="G12" s="15" t="inlineStr">
        <is>
          <t>13.1</t>
        </is>
      </c>
      <c r="H12" s="15" t="inlineStr">
        <is>
          <t>1.6. 29103-HTP-003/1. EHT Insulation/29103-ET-FG1505-1-1.pdf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YES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inlineStr">
        <is>
          <t>&gt;2.2 GΩ</t>
        </is>
      </c>
      <c r="V12" s="15" t="inlineStr">
        <is>
          <t>341.3 Ω</t>
        </is>
      </c>
      <c r="W12" s="15" t="inlineStr">
        <is>
          <t>2026-05-17</t>
        </is>
      </c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D/32SA2600/16.9M/230/277/1.2M/LS23A/X/N12</t>
        </is>
      </c>
      <c r="AK12" s="15" t="inlineStr">
        <is>
          <t>16.9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29103-ET-FG1601-1-1</t>
        </is>
      </c>
      <c r="C13" s="15" t="inlineStr">
        <is>
          <t>29103-ET-FG1601-1</t>
        </is>
      </c>
      <c r="D13" s="15" t="inlineStr">
        <is>
          <t>29103-AMB-005</t>
        </is>
      </c>
      <c r="E13" s="15" t="inlineStr">
        <is>
          <t>29103-FG-1601</t>
        </is>
      </c>
      <c r="F13" s="15" t="inlineStr">
        <is>
          <t>29103-65R-ET-FG1601-01-01</t>
        </is>
      </c>
      <c r="G13" s="15" t="inlineStr">
        <is>
          <t>13.1</t>
        </is>
      </c>
      <c r="H13" s="15" t="inlineStr">
        <is>
          <t>1.6. 29103-HTP-003/1. EHT Insulation/29103-ET-FG1601-1-1.pdf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24.5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29103-ET-FG1603-1-1</t>
        </is>
      </c>
      <c r="C14" s="15" t="inlineStr">
        <is>
          <t>29103-ET-FG1603-1</t>
        </is>
      </c>
      <c r="D14" s="15" t="inlineStr">
        <is>
          <t>29103-AMB-005</t>
        </is>
      </c>
      <c r="E14" s="15" t="inlineStr">
        <is>
          <t>29103-FG-1603</t>
        </is>
      </c>
      <c r="F14" s="15" t="inlineStr">
        <is>
          <t>29103-65R-ET-FG1603-01-01</t>
        </is>
      </c>
      <c r="G14" s="15" t="inlineStr">
        <is>
          <t>13.1</t>
        </is>
      </c>
      <c r="H14" s="15" t="inlineStr">
        <is>
          <t>1.6. 29103-HTP-003/1. EHT Insulation/29103-ET-FG1603-1-1.pdf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12.9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29103-ET-FG1603-1-2</t>
        </is>
      </c>
      <c r="C15" s="15" t="inlineStr">
        <is>
          <t>29103-ET-FG1603-1</t>
        </is>
      </c>
      <c r="D15" s="15" t="inlineStr">
        <is>
          <t>29103-AMB-005</t>
        </is>
      </c>
      <c r="E15" s="15" t="inlineStr">
        <is>
          <t>29103-FG-1603</t>
        </is>
      </c>
      <c r="F15" s="15" t="inlineStr">
        <is>
          <t>29103-65R-ET-FG1603-01-01</t>
        </is>
      </c>
      <c r="G15" s="15" t="inlineStr">
        <is>
          <t>13.1</t>
        </is>
      </c>
      <c r="H15" s="15" t="inlineStr">
        <is>
          <t>1.6. 29103-HTP-003/1. EHT Insulation/29103-ET-FG1603-1-2.pdf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29103-ET-FG1603-1-3</t>
        </is>
      </c>
      <c r="C16" s="15" t="inlineStr">
        <is>
          <t>29103-ET-FG1603-1</t>
        </is>
      </c>
      <c r="D16" s="15" t="inlineStr">
        <is>
          <t>29103-AMB-005</t>
        </is>
      </c>
      <c r="E16" s="15" t="inlineStr"/>
      <c r="F16" s="15" t="inlineStr">
        <is>
          <t>29103-65R-ET-FG1603-01-01</t>
        </is>
      </c>
      <c r="G16" s="15" t="inlineStr">
        <is>
          <t>13.1</t>
        </is>
      </c>
      <c r="H16" s="15" t="inlineStr">
        <is>
          <t>1.6. 29103-HTP-003/1. EHT Insulation/29103-ET-FG1603-1-3.pdf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6.1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29103-ET-FG1603-1-4</t>
        </is>
      </c>
      <c r="C17" s="15" t="inlineStr">
        <is>
          <t>29103-ET-FG1603-1</t>
        </is>
      </c>
      <c r="D17" s="15" t="inlineStr">
        <is>
          <t>29103-AMB-005</t>
        </is>
      </c>
      <c r="E17" s="15" t="inlineStr"/>
      <c r="F17" s="15" t="inlineStr">
        <is>
          <t>29103-65R-ET-FG1603-01-01</t>
        </is>
      </c>
      <c r="G17" s="15" t="inlineStr">
        <is>
          <t>13.1</t>
        </is>
      </c>
      <c r="H17" s="15" t="inlineStr">
        <is>
          <t>1.6. 29103-HTP-003/1. EHT Insulation/29103-ET-FG1603-1-4.pdf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13.1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29103-ET-FG1701-1-1</t>
        </is>
      </c>
      <c r="C18" s="15" t="inlineStr">
        <is>
          <t>29103-ET-FG1701-1</t>
        </is>
      </c>
      <c r="D18" s="15" t="inlineStr">
        <is>
          <t>HTC-39 / CB-39</t>
        </is>
      </c>
      <c r="E18" s="15" t="inlineStr">
        <is>
          <t>29103-FG-1701</t>
        </is>
      </c>
      <c r="F18" s="15" t="inlineStr">
        <is>
          <t>29103-65R-ET-FG1701-01-01</t>
        </is>
      </c>
      <c r="G18" s="15" t="inlineStr">
        <is>
          <t>13.1</t>
        </is>
      </c>
      <c r="H18" s="15" t="inlineStr">
        <is>
          <t>1.6. 29103-HTP-003/1. EHT Insulation/29103-ET-FG1701-1-1.pdf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23.9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29103-ET-FG1703-1-1</t>
        </is>
      </c>
      <c r="C19" s="15" t="inlineStr">
        <is>
          <t>29103-ET-FG1703-1</t>
        </is>
      </c>
      <c r="D19" s="15" t="inlineStr">
        <is>
          <t>HTC-40 / CB-40</t>
        </is>
      </c>
      <c r="E19" s="15" t="inlineStr">
        <is>
          <t>29103-FG-1703</t>
        </is>
      </c>
      <c r="F19" s="15" t="inlineStr">
        <is>
          <t>29103-65R-ET-FG1703-01-01</t>
        </is>
      </c>
      <c r="G19" s="15" t="inlineStr">
        <is>
          <t>13.1</t>
        </is>
      </c>
      <c r="H19" s="15" t="inlineStr">
        <is>
          <t>1.6. 29103-HTP-003/1. EHT Insulation/29103-ET-FG1703-1-1.pdf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13.9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29103-ET-FG1703-1-2</t>
        </is>
      </c>
      <c r="C20" s="15" t="inlineStr">
        <is>
          <t>29103-ET-FG1703-1</t>
        </is>
      </c>
      <c r="D20" s="15" t="inlineStr">
        <is>
          <t>HTC-40 / CB-40</t>
        </is>
      </c>
      <c r="E20" s="15" t="inlineStr">
        <is>
          <t>29103-FG-1703</t>
        </is>
      </c>
      <c r="F20" s="15" t="inlineStr">
        <is>
          <t>29103-65R-ET-FG1703-01-01</t>
        </is>
      </c>
      <c r="G20" s="15" t="inlineStr">
        <is>
          <t>13.1</t>
        </is>
      </c>
      <c r="H20" s="15" t="inlineStr">
        <is>
          <t>1.6. 29103-HTP-003/1. EHT Insulation/29103-ET-FG1703-1-2.pdf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11.7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29103-ET-FG1703-1-3</t>
        </is>
      </c>
      <c r="C21" s="15" t="inlineStr">
        <is>
          <t>29103-ET-FG1703-1</t>
        </is>
      </c>
      <c r="D21" s="15" t="inlineStr">
        <is>
          <t>HTC-40 / CB-40</t>
        </is>
      </c>
      <c r="E21" s="15" t="inlineStr"/>
      <c r="F21" s="15" t="inlineStr">
        <is>
          <t>29103-65R-ET-FG1703-01-01</t>
        </is>
      </c>
      <c r="G21" s="15" t="inlineStr">
        <is>
          <t>13.1</t>
        </is>
      </c>
      <c r="H21" s="15" t="inlineStr">
        <is>
          <t>1.6. 29103-HTP-003/1. EHT Insulation/29103-ET-FG1703-1-3.pdf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6.3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29103-ET-FG1703-1-4</t>
        </is>
      </c>
      <c r="C22" s="15" t="inlineStr">
        <is>
          <t>29103-ET-FG1703-1</t>
        </is>
      </c>
      <c r="D22" s="15" t="inlineStr">
        <is>
          <t>HTC-40 / CB-40</t>
        </is>
      </c>
      <c r="E22" s="15" t="inlineStr"/>
      <c r="F22" s="15" t="inlineStr">
        <is>
          <t>29103-65R-ET-FG1703-01-01</t>
        </is>
      </c>
      <c r="G22" s="15" t="inlineStr">
        <is>
          <t>13.1</t>
        </is>
      </c>
      <c r="H22" s="15" t="inlineStr">
        <is>
          <t>1.6. 29103-HTP-003/1. EHT Insulation/29103-ET-FG1703-1-4.pdf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13.1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29103-ET-P1404-1-1</t>
        </is>
      </c>
      <c r="C23" s="15" t="inlineStr">
        <is>
          <t>29103-ET-P1404-1</t>
        </is>
      </c>
      <c r="D23" s="15" t="inlineStr">
        <is>
          <t>HTC-34 / CB-34</t>
        </is>
      </c>
      <c r="E23" s="15" t="inlineStr">
        <is>
          <t>29103-PE-1401, 29103-P-1404</t>
        </is>
      </c>
      <c r="F23" s="15" t="inlineStr">
        <is>
          <t>29103-65R-ET-P1404-01-01</t>
        </is>
      </c>
      <c r="G23" s="15" t="inlineStr">
        <is>
          <t>13.1</t>
        </is>
      </c>
      <c r="H23" s="15" t="inlineStr">
        <is>
          <t>1.6. 29103-HTP-003/1. EHT Insulation/29103-ET-P1404-1-1.pdf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D/32SA2200/20.9M/554/277/1.2M/LS23A/X/N12</t>
        </is>
      </c>
      <c r="AK23" s="15" t="inlineStr">
        <is>
          <t>20.9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29103-ET-P1404-1-2</t>
        </is>
      </c>
      <c r="C24" s="15" t="inlineStr">
        <is>
          <t>29103-ET-P1404-1</t>
        </is>
      </c>
      <c r="D24" s="15" t="inlineStr">
        <is>
          <t>HTC-34 / CB-34</t>
        </is>
      </c>
      <c r="E24" s="15" t="inlineStr">
        <is>
          <t>29103-P-1404</t>
        </is>
      </c>
      <c r="F24" s="15" t="inlineStr">
        <is>
          <t>29103-65R-ET-P1404-01-01</t>
        </is>
      </c>
      <c r="G24" s="15" t="inlineStr">
        <is>
          <t>13.1</t>
        </is>
      </c>
      <c r="H24" s="15" t="inlineStr">
        <is>
          <t>1.6. 29103-HTP-003/1. EHT Insulation/29103-ET-P1404-1-2.pdf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YES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inlineStr">
        <is>
          <t>&gt;2.2 GΩ</t>
        </is>
      </c>
      <c r="V24" s="15" t="inlineStr">
        <is>
          <t>10.6 Ω</t>
        </is>
      </c>
      <c r="W24" s="15" t="inlineStr">
        <is>
          <t>2026-05-17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E/32SQ3472/6.5M/416/67.7/1.2M/LS23A/X/N12/XNF</t>
        </is>
      </c>
      <c r="AK24" s="15" t="inlineStr">
        <is>
          <t>6.5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29103-ET-P1404-1-3</t>
        </is>
      </c>
      <c r="C25" s="15" t="inlineStr">
        <is>
          <t>29103-ET-P1404-1</t>
        </is>
      </c>
      <c r="D25" s="15" t="inlineStr">
        <is>
          <t>HTC-34 / CB-34</t>
        </is>
      </c>
      <c r="E25" s="15" t="inlineStr">
        <is>
          <t>29103-P-1404</t>
        </is>
      </c>
      <c r="F25" s="15" t="inlineStr">
        <is>
          <t>29103-65R-ET-P1404-01-01</t>
        </is>
      </c>
      <c r="G25" s="15" t="inlineStr">
        <is>
          <t>13.1</t>
        </is>
      </c>
      <c r="H25" s="15" t="inlineStr">
        <is>
          <t>1.6. 29103-HTP-003/1. EHT Insulation/29103-ET-P1404-1-3.pdf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YES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inlineStr">
        <is>
          <t>&gt;2.2 GΩ</t>
        </is>
      </c>
      <c r="V25" s="15" t="inlineStr">
        <is>
          <t>11.4 Ω</t>
        </is>
      </c>
      <c r="W25" s="15" t="inlineStr">
        <is>
          <t>2026-05-17</t>
        </is>
      </c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E/32SQ3472/7M/448/72.9/1.2M/LS23A/X/N12/XMF</t>
        </is>
      </c>
      <c r="AK25" s="15" t="inlineStr">
        <is>
          <t>7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29103-ET-P1404-1-4</t>
        </is>
      </c>
      <c r="C26" s="15" t="inlineStr">
        <is>
          <t>29103-ET-P1404-1</t>
        </is>
      </c>
      <c r="D26" s="15" t="inlineStr">
        <is>
          <t>HTC-34 / CB-34</t>
        </is>
      </c>
      <c r="E26" s="15" t="inlineStr">
        <is>
          <t>29103-P-1404</t>
        </is>
      </c>
      <c r="F26" s="15" t="inlineStr">
        <is>
          <t>29103-65R-ET-P1404-01-01</t>
        </is>
      </c>
      <c r="G26" s="15" t="inlineStr">
        <is>
          <t>13.1</t>
        </is>
      </c>
      <c r="H26" s="15" t="inlineStr">
        <is>
          <t>1.6. 29103-HTP-003/1. EHT Insulation/29103-ET-P1404-1-4.pdf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&gt;2.2 GΩ</t>
        </is>
      </c>
      <c r="V26" s="15" t="inlineStr">
        <is>
          <t>20.9 Ω</t>
        </is>
      </c>
      <c r="W26" s="15" t="inlineStr">
        <is>
          <t>2026-05-17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D/32SQ3472/13.1M/838/136/1.2M/LS23A/X/N12/XMN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29103-ET-P1404-2-1</t>
        </is>
      </c>
      <c r="C27" s="15" t="inlineStr">
        <is>
          <t>29103-ET-P1404-2</t>
        </is>
      </c>
      <c r="D27" s="15" t="inlineStr">
        <is>
          <t>HTC-26 / CB-26</t>
        </is>
      </c>
      <c r="E27" s="15" t="inlineStr">
        <is>
          <t>29103-P-1404, 29103-FG-1402</t>
        </is>
      </c>
      <c r="F27" s="15" t="inlineStr">
        <is>
          <t>29103-65R-ET-P1404-02-01</t>
        </is>
      </c>
      <c r="G27" s="15" t="inlineStr">
        <is>
          <t>13.1</t>
        </is>
      </c>
      <c r="H27" s="15" t="inlineStr">
        <is>
          <t>1.6. 29103-HTP-003/1. EHT Insulation/29103-ET-P1404-2-1.pdf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YES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inlineStr">
        <is>
          <t>&gt;2.2 GΩ</t>
        </is>
      </c>
      <c r="V27" s="15" t="inlineStr">
        <is>
          <t>260.9 Ω</t>
        </is>
      </c>
      <c r="W27" s="15" t="inlineStr">
        <is>
          <t>2026-05-17</t>
        </is>
      </c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D/32SF1110/7M/299/277/1.2M/LS23A/X/N12</t>
        </is>
      </c>
      <c r="AK27" s="15" t="inlineStr">
        <is>
          <t>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29103-ET-P1501-1-1</t>
        </is>
      </c>
      <c r="C28" s="15" t="inlineStr">
        <is>
          <t>29103-ET-P1501-1</t>
        </is>
      </c>
      <c r="D28" s="15" t="inlineStr">
        <is>
          <t>HTC-04 / CB-04</t>
        </is>
      </c>
      <c r="E28" s="15" t="inlineStr">
        <is>
          <t>29103-P-1501</t>
        </is>
      </c>
      <c r="F28" s="15" t="inlineStr">
        <is>
          <t>29103-65R-ET-P1501-01-01</t>
        </is>
      </c>
      <c r="G28" s="15" t="inlineStr">
        <is>
          <t>13.1</t>
        </is>
      </c>
      <c r="H28" s="15" t="inlineStr">
        <is>
          <t>1.6. 29103-HTP-003/1. EHT Insulation/29103-ET-P1501-1-1.pdf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E/32SQ3374/20.5M/1007/166/1.2M/LS23A/X/N12/XNF</t>
        </is>
      </c>
      <c r="AK28" s="15" t="inlineStr">
        <is>
          <t>20.5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29103-ET-P1501-1-2</t>
        </is>
      </c>
      <c r="C29" s="15" t="inlineStr">
        <is>
          <t>29103-ET-P1501-1</t>
        </is>
      </c>
      <c r="D29" s="15" t="inlineStr">
        <is>
          <t>HTC-04 / CB-04</t>
        </is>
      </c>
      <c r="E29" s="15" t="inlineStr">
        <is>
          <t>29103-P-1501</t>
        </is>
      </c>
      <c r="F29" s="15" t="inlineStr">
        <is>
          <t>29103-65R-ET-P1501-01-01</t>
        </is>
      </c>
      <c r="G29" s="15" t="inlineStr">
        <is>
          <t>13.1</t>
        </is>
      </c>
      <c r="H29" s="15" t="inlineStr">
        <is>
          <t>1.6. 29103-HTP-003/1. EHT Insulation/29103-ET-P1501-1-2.pdf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D/32SQ3374/13.8M/678/111/1.2M/LS23A/X/N12/XMN</t>
        </is>
      </c>
      <c r="AK29" s="15" t="inlineStr">
        <is>
          <t>13.8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29103-ET-P1504-1-1</t>
        </is>
      </c>
      <c r="C30" s="15" t="inlineStr">
        <is>
          <t>29103-ET-P1504-1</t>
        </is>
      </c>
      <c r="D30" s="15" t="inlineStr">
        <is>
          <t>HTC-02 / CB-02</t>
        </is>
      </c>
      <c r="E30" s="15" t="inlineStr">
        <is>
          <t>29103-PE-1501, 29103-P-1504</t>
        </is>
      </c>
      <c r="F30" s="15" t="inlineStr">
        <is>
          <t>29103-65R-ET-P1504-01-01</t>
        </is>
      </c>
      <c r="G30" s="15" t="inlineStr">
        <is>
          <t>13.1</t>
        </is>
      </c>
      <c r="H30" s="15" t="inlineStr">
        <is>
          <t>1.6. 29103-HTP-003/1. EHT Insulation/29103-ET-P1504-1-1.pdf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D/32SA2200/20.9M/554/277/1.2M/LS23A/X/N12</t>
        </is>
      </c>
      <c r="AK30" s="15" t="inlineStr">
        <is>
          <t>20.9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29103-ET-P1504-1-2</t>
        </is>
      </c>
      <c r="C31" s="15" t="inlineStr">
        <is>
          <t>29103-ET-P1504-1</t>
        </is>
      </c>
      <c r="D31" s="15" t="inlineStr">
        <is>
          <t>HTC-02 / CB-02</t>
        </is>
      </c>
      <c r="E31" s="15" t="inlineStr">
        <is>
          <t>29103-P-1504</t>
        </is>
      </c>
      <c r="F31" s="15" t="inlineStr">
        <is>
          <t>29103-65R-ET-P1504-01-01</t>
        </is>
      </c>
      <c r="G31" s="15" t="inlineStr">
        <is>
          <t>13.1</t>
        </is>
      </c>
      <c r="H31" s="15" t="inlineStr">
        <is>
          <t>1.6. 29103-HTP-003/1. EHT Insulation/29103-ET-P1504-1-2.pdf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12.8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E/32SQ3472/8M/461/78.9/1.2M/LS23A/X/N12/XNF</t>
        </is>
      </c>
      <c r="AK31" s="15" t="inlineStr">
        <is>
          <t>8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29103-ET-P1504-1-3</t>
        </is>
      </c>
      <c r="C32" s="15" t="inlineStr">
        <is>
          <t>29103-ET-P1504-1</t>
        </is>
      </c>
      <c r="D32" s="15" t="inlineStr">
        <is>
          <t>HTC-02 / CB-02</t>
        </is>
      </c>
      <c r="E32" s="15" t="inlineStr">
        <is>
          <t>29103-P-1504</t>
        </is>
      </c>
      <c r="F32" s="15" t="inlineStr">
        <is>
          <t>29103-65R-ET-P1504-01-01</t>
        </is>
      </c>
      <c r="G32" s="15" t="inlineStr">
        <is>
          <t>13.1</t>
        </is>
      </c>
      <c r="H32" s="15" t="inlineStr">
        <is>
          <t>1.6. 29103-HTP-003/1. EHT Insulation/29103-ET-P1504-1-3.pdf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11.4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E/32SQ3472/7M/403/69/1.2M/LS23A/X/N12/XMF</t>
        </is>
      </c>
      <c r="AK32" s="15" t="inlineStr">
        <is>
          <t>7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29103-ET-P1504-1-4</t>
        </is>
      </c>
      <c r="C33" s="15" t="inlineStr">
        <is>
          <t>29103-ET-P1504-1</t>
        </is>
      </c>
      <c r="D33" s="15" t="inlineStr">
        <is>
          <t>HTC-02 / CB-02</t>
        </is>
      </c>
      <c r="E33" s="15" t="inlineStr">
        <is>
          <t>29103-P-1504</t>
        </is>
      </c>
      <c r="F33" s="15" t="inlineStr">
        <is>
          <t>29103-65R-ET-P1504-01-01</t>
        </is>
      </c>
      <c r="G33" s="15" t="inlineStr">
        <is>
          <t>13.1</t>
        </is>
      </c>
      <c r="H33" s="15" t="inlineStr">
        <is>
          <t>1.6. 29103-HTP-003/1. EHT Insulation/29103-ET-P1504-1-4.pdf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21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D/32SQ3472/13.1M/755/129/1.2M/LS23A/X/N12/XMN</t>
        </is>
      </c>
      <c r="AK33" s="15" t="inlineStr">
        <is>
          <t>13.1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29103-ET-P1504-2-1</t>
        </is>
      </c>
      <c r="C34" s="15" t="inlineStr">
        <is>
          <t>29103-ET-P1504-2</t>
        </is>
      </c>
      <c r="D34" s="15" t="inlineStr">
        <is>
          <t>HTC-27 / CB-27</t>
        </is>
      </c>
      <c r="E34" s="15" t="inlineStr">
        <is>
          <t>29103-P-1504, 29103-P-1304, 29103-FG-1502</t>
        </is>
      </c>
      <c r="F34" s="15" t="inlineStr">
        <is>
          <t>29103-65R-ET-P1504-02-01</t>
        </is>
      </c>
      <c r="G34" s="15" t="inlineStr">
        <is>
          <t>13.1</t>
        </is>
      </c>
      <c r="H34" s="15" t="inlineStr">
        <is>
          <t>1.6. 29103-HTP-003/1. EHT Insulation/29103-ET-P1504-2-1.pdf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375.9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D/32SF1180/6.2M/207/277/1.2M/LS23A/X/N12</t>
        </is>
      </c>
      <c r="AK34" s="15" t="inlineStr">
        <is>
          <t>6.2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29103-ET-P1601-1-1</t>
        </is>
      </c>
      <c r="C35" s="15" t="inlineStr">
        <is>
          <t>29103-ET-P1601-1</t>
        </is>
      </c>
      <c r="D35" s="15" t="inlineStr">
        <is>
          <t>HTC-05 / CB-05</t>
        </is>
      </c>
      <c r="E35" s="15" t="inlineStr">
        <is>
          <t>29103-P-1601</t>
        </is>
      </c>
      <c r="F35" s="15" t="inlineStr">
        <is>
          <t>29103-65R-ET-P1601-01-01</t>
        </is>
      </c>
      <c r="G35" s="15" t="inlineStr">
        <is>
          <t>13.1</t>
        </is>
      </c>
      <c r="H35" s="15" t="inlineStr">
        <is>
          <t>1.6. 29103-HTP-003/1. EHT Insulation/29103-ET-P1601-1-1.pdf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E/32SQ3374/20.6M/1001/165/1.2M/LS23A/X/N12/XNF</t>
        </is>
      </c>
      <c r="AK35" s="15" t="inlineStr">
        <is>
          <t>20.6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29103-ET-P1601-1-2</t>
        </is>
      </c>
      <c r="C36" s="15" t="inlineStr">
        <is>
          <t>29103-ET-P1601-1</t>
        </is>
      </c>
      <c r="D36" s="15" t="inlineStr">
        <is>
          <t>HTC-05 / CB-05</t>
        </is>
      </c>
      <c r="E36" s="15" t="inlineStr">
        <is>
          <t>29103-P-1601</t>
        </is>
      </c>
      <c r="F36" s="15" t="inlineStr">
        <is>
          <t>29103-65R-ET-P1601-01-01</t>
        </is>
      </c>
      <c r="G36" s="15" t="inlineStr">
        <is>
          <t>13.1</t>
        </is>
      </c>
      <c r="H36" s="15" t="inlineStr">
        <is>
          <t>1.6. 29103-HTP-003/1. EHT Insulation/29103-ET-P1601-1-2.pdf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D/32SQ3374/13.9M/676/112/1.2M/LS23A/X/N12/XMN</t>
        </is>
      </c>
      <c r="AK36" s="15" t="inlineStr">
        <is>
          <t>13.9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29103-ET-P1604-1-1</t>
        </is>
      </c>
      <c r="C37" s="15" t="inlineStr">
        <is>
          <t>29103-ET-P1604-1</t>
        </is>
      </c>
      <c r="D37" s="15" t="inlineStr">
        <is>
          <t>HTC-09 / CB-09</t>
        </is>
      </c>
      <c r="E37" s="15" t="inlineStr">
        <is>
          <t>29103-PE-1601, 29103-P-1604</t>
        </is>
      </c>
      <c r="F37" s="15" t="inlineStr">
        <is>
          <t>29103-65R-ET-P1604-01-01</t>
        </is>
      </c>
      <c r="G37" s="15" t="inlineStr">
        <is>
          <t>13.1</t>
        </is>
      </c>
      <c r="H37" s="15" t="inlineStr">
        <is>
          <t>1.6. 29103-HTP-003/1. EHT Insulation/29103-ET-P1604-1-1.pdf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D/32SA2200/20.9M/554/277/1.2M/LS23A/X/N12</t>
        </is>
      </c>
      <c r="AK37" s="15" t="inlineStr">
        <is>
          <t>20.9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29103-ET-P1604-1-2</t>
        </is>
      </c>
      <c r="C38" s="15" t="inlineStr">
        <is>
          <t>29103-ET-P1604-1</t>
        </is>
      </c>
      <c r="D38" s="15" t="inlineStr">
        <is>
          <t>HTC-09 / CB-09</t>
        </is>
      </c>
      <c r="E38" s="15" t="inlineStr">
        <is>
          <t>29103-P-1604</t>
        </is>
      </c>
      <c r="F38" s="15" t="inlineStr">
        <is>
          <t>29103-65R-ET-P1604-01-01</t>
        </is>
      </c>
      <c r="G38" s="15" t="inlineStr">
        <is>
          <t>13.1</t>
        </is>
      </c>
      <c r="H38" s="15" t="inlineStr">
        <is>
          <t>1.6. 29103-HTP-003/1. EHT Insulation/29103-ET-P1604-1-2.pdf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YES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inlineStr">
        <is>
          <t>&gt;2.2 GΩ</t>
        </is>
      </c>
      <c r="V38" s="15" t="inlineStr">
        <is>
          <t>10.6 Ω</t>
        </is>
      </c>
      <c r="W38" s="15" t="inlineStr">
        <is>
          <t>2026-05-17</t>
        </is>
      </c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E/32SQ3472/6.5M/416/67.7/1.2M/LS23A/X/N12/XNF</t>
        </is>
      </c>
      <c r="AK38" s="15" t="inlineStr">
        <is>
          <t>6.5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29103-ET-P1604-1-3</t>
        </is>
      </c>
      <c r="C39" s="15" t="inlineStr">
        <is>
          <t>29103-ET-P1604-1</t>
        </is>
      </c>
      <c r="D39" s="15" t="inlineStr">
        <is>
          <t>HTC-09 / CB-09</t>
        </is>
      </c>
      <c r="E39" s="15" t="inlineStr">
        <is>
          <t>29103-P-1604</t>
        </is>
      </c>
      <c r="F39" s="15" t="inlineStr">
        <is>
          <t>29103-65R-ET-P1604-01-01</t>
        </is>
      </c>
      <c r="G39" s="15" t="inlineStr">
        <is>
          <t>13.1</t>
        </is>
      </c>
      <c r="H39" s="15" t="inlineStr">
        <is>
          <t>1.6. 29103-HTP-003/1. EHT Insulation/29103-ET-P1604-1-3.pdf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11.4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E/32SQ3472/7M/448/72.9/1.2M/LS23A/X/N12/XMF</t>
        </is>
      </c>
      <c r="AK39" s="15" t="inlineStr">
        <is>
          <t>7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29103-ET-P1604-1-4</t>
        </is>
      </c>
      <c r="C40" s="15" t="inlineStr">
        <is>
          <t>29103-ET-P1604-1</t>
        </is>
      </c>
      <c r="D40" s="15" t="inlineStr">
        <is>
          <t>HTC-09 / CB-09</t>
        </is>
      </c>
      <c r="E40" s="15" t="inlineStr">
        <is>
          <t>29103-P-1604</t>
        </is>
      </c>
      <c r="F40" s="15" t="inlineStr">
        <is>
          <t>29103-65R-ET-P1604-01-01</t>
        </is>
      </c>
      <c r="G40" s="15" t="inlineStr">
        <is>
          <t>13.1</t>
        </is>
      </c>
      <c r="H40" s="15" t="inlineStr">
        <is>
          <t>1.6. 29103-HTP-003/1. EHT Insulation/29103-ET-P1604-1-4.pdf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20.9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D/32SQ3472/13.1M/838/136/1.2M/LS23A/X/N12/XMN</t>
        </is>
      </c>
      <c r="AK40" s="15" t="inlineStr">
        <is>
          <t>13.1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29103-ET-P1604-2-1</t>
        </is>
      </c>
      <c r="C41" s="15" t="inlineStr">
        <is>
          <t>29103-ET-P1604-2</t>
        </is>
      </c>
      <c r="D41" s="15" t="inlineStr">
        <is>
          <t>HTC-17 / CB-17</t>
        </is>
      </c>
      <c r="E41" s="15" t="inlineStr">
        <is>
          <t>29103-P-1604, 29103-FG-1602</t>
        </is>
      </c>
      <c r="F41" s="15" t="inlineStr">
        <is>
          <t>29103-65R-ET-P1604-02-01</t>
        </is>
      </c>
      <c r="G41" s="15" t="inlineStr">
        <is>
          <t>13.1</t>
        </is>
      </c>
      <c r="H41" s="15" t="inlineStr">
        <is>
          <t>1.6. 29103-HTP-003/1. EHT Insulation/29103-ET-P1604-2-1.pdf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262.6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D/32SF1110/7M/299/277/1.2M/LS23A/X/N12</t>
        </is>
      </c>
      <c r="AK41" s="15" t="inlineStr">
        <is>
          <t>7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29103-ET-P1701-1-1</t>
        </is>
      </c>
      <c r="C42" s="15" t="inlineStr">
        <is>
          <t>29103-ET-P1701-1</t>
        </is>
      </c>
      <c r="D42" s="15" t="inlineStr">
        <is>
          <t>HTC-19 / CB-19</t>
        </is>
      </c>
      <c r="E42" s="15" t="inlineStr">
        <is>
          <t>29103-P-1701</t>
        </is>
      </c>
      <c r="F42" s="15" t="inlineStr">
        <is>
          <t>29103-65R-ET-P1701-01-01</t>
        </is>
      </c>
      <c r="G42" s="15" t="inlineStr">
        <is>
          <t>13.1</t>
        </is>
      </c>
      <c r="H42" s="15" t="inlineStr">
        <is>
          <t>1.6. 29103-HTP-003/1. EHT Insulation/29103-ET-P1701-1-1.pdf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E/32SQ3374/20.5M/1007/166/1.2M/LS23A/X/N12/XNF</t>
        </is>
      </c>
      <c r="AK42" s="15" t="inlineStr">
        <is>
          <t>20.5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29103-ET-P1701-1-2</t>
        </is>
      </c>
      <c r="C43" s="15" t="inlineStr">
        <is>
          <t>29103-ET-P1701-1</t>
        </is>
      </c>
      <c r="D43" s="15" t="inlineStr">
        <is>
          <t>HTC-19 / CB-19</t>
        </is>
      </c>
      <c r="E43" s="15" t="inlineStr">
        <is>
          <t>29103-P-1701</t>
        </is>
      </c>
      <c r="F43" s="15" t="inlineStr">
        <is>
          <t>29103-65R-ET-P1701-01-01</t>
        </is>
      </c>
      <c r="G43" s="15" t="inlineStr">
        <is>
          <t>13.1</t>
        </is>
      </c>
      <c r="H43" s="15" t="inlineStr">
        <is>
          <t>1.6. 29103-HTP-003/1. EHT Insulation/29103-ET-P1701-1-2.pdf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D/32SQ3374/13.8M/678/111/1.2M/LS23A/X/N12/XMN</t>
        </is>
      </c>
      <c r="AK43" s="15" t="inlineStr">
        <is>
          <t>13.8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29103-ET-P1704-1-1</t>
        </is>
      </c>
      <c r="C44" s="15" t="inlineStr">
        <is>
          <t>29103-ET-P1704-1</t>
        </is>
      </c>
      <c r="D44" s="15" t="inlineStr">
        <is>
          <t>HTC-18 / CB-18</t>
        </is>
      </c>
      <c r="E44" s="15" t="inlineStr">
        <is>
          <t>29103-PE-1701, 29103-P-1704</t>
        </is>
      </c>
      <c r="F44" s="15" t="inlineStr">
        <is>
          <t>29103-65R-ET-P1704-01-01</t>
        </is>
      </c>
      <c r="G44" s="15" t="inlineStr">
        <is>
          <t>13.1</t>
        </is>
      </c>
      <c r="H44" s="15" t="inlineStr">
        <is>
          <t>1.6. 29103-HTP-003/1. EHT Insulation/29103-ET-P1704-1-1.pdf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D/32SA2200/20.9M/554/277/1.2M/LS23A/X/N12</t>
        </is>
      </c>
      <c r="AK44" s="15" t="inlineStr">
        <is>
          <t>20.9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29103-ET-P1704-1-2</t>
        </is>
      </c>
      <c r="C45" s="15" t="inlineStr">
        <is>
          <t>29103-ET-P1704-1</t>
        </is>
      </c>
      <c r="D45" s="15" t="inlineStr">
        <is>
          <t>HTC-18 / CB-18</t>
        </is>
      </c>
      <c r="E45" s="15" t="inlineStr">
        <is>
          <t>29103-P-1704</t>
        </is>
      </c>
      <c r="F45" s="15" t="inlineStr">
        <is>
          <t>29103-65R-ET-P1704-01-01</t>
        </is>
      </c>
      <c r="G45" s="15" t="inlineStr">
        <is>
          <t>13.1</t>
        </is>
      </c>
      <c r="H45" s="15" t="inlineStr">
        <is>
          <t>1.6. 29103-HTP-003/1. EHT Insulation/29103-ET-P1704-1-2.pdf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12.9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E/32SQ3472/8M/461/78.9/1.2M/LS23A/X/N12/XNF</t>
        </is>
      </c>
      <c r="AK45" s="15" t="inlineStr">
        <is>
          <t>8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29103-ET-P1704-1-3</t>
        </is>
      </c>
      <c r="C46" s="15" t="inlineStr">
        <is>
          <t>29103-ET-P1704-1</t>
        </is>
      </c>
      <c r="D46" s="15" t="inlineStr">
        <is>
          <t>HTC-18 / CB-18</t>
        </is>
      </c>
      <c r="E46" s="15" t="inlineStr">
        <is>
          <t>29103-P-1704</t>
        </is>
      </c>
      <c r="F46" s="15" t="inlineStr">
        <is>
          <t>29103-65R-ET-P1704-01-01</t>
        </is>
      </c>
      <c r="G46" s="15" t="inlineStr">
        <is>
          <t>13.1</t>
        </is>
      </c>
      <c r="H46" s="15" t="inlineStr">
        <is>
          <t>1.6. 29103-HTP-003/1. EHT Insulation/29103-ET-P1704-1-3.pdf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11.4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E/32SQ3472/7M/403/69/1.2M/LS23A/X/N12/XMF</t>
        </is>
      </c>
      <c r="AK46" s="15" t="inlineStr">
        <is>
          <t>7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29103-ET-P1704-1-4</t>
        </is>
      </c>
      <c r="C47" s="15" t="inlineStr">
        <is>
          <t>29103-ET-P1704-1</t>
        </is>
      </c>
      <c r="D47" s="15" t="inlineStr">
        <is>
          <t>HTC-18 / CB-18</t>
        </is>
      </c>
      <c r="E47" s="15" t="inlineStr">
        <is>
          <t>29103-P-1704</t>
        </is>
      </c>
      <c r="F47" s="15" t="inlineStr">
        <is>
          <t>29103-65R-ET-P1704-01-01</t>
        </is>
      </c>
      <c r="G47" s="15" t="inlineStr">
        <is>
          <t>13.1</t>
        </is>
      </c>
      <c r="H47" s="15" t="inlineStr">
        <is>
          <t>1.6. 29103-HTP-003/1. EHT Insulation/29103-ET-P1704-1-4.pdf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21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D/32SQ3472/13.1M/755/129/1.2M/LS23A/X/N12/XMN</t>
        </is>
      </c>
      <c r="AK47" s="15" t="inlineStr">
        <is>
          <t>13.1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29103-ET-P1704-2-1</t>
        </is>
      </c>
      <c r="C48" s="15" t="inlineStr">
        <is>
          <t>29103-ET-P1704-2</t>
        </is>
      </c>
      <c r="D48" s="15" t="inlineStr">
        <is>
          <t>HTC-32 / CB-32</t>
        </is>
      </c>
      <c r="E48" s="15" t="inlineStr">
        <is>
          <t>29103-P-1704, 29103-P-1304, 29103-FG-1702</t>
        </is>
      </c>
      <c r="F48" s="15" t="inlineStr">
        <is>
          <t>29103-65R-ET-P1704-02-01</t>
        </is>
      </c>
      <c r="G48" s="15" t="inlineStr">
        <is>
          <t>13.1</t>
        </is>
      </c>
      <c r="H48" s="15" t="inlineStr">
        <is>
          <t>1.6. 29103-HTP-003/1. EHT Insulation/29103-ET-P1704-2-1.pdf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372.7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D/32SF1180/6.2M/207/277/1.2M/LS23A/X/N12</t>
        </is>
      </c>
      <c r="AK48" s="15" t="inlineStr">
        <is>
          <t>6.2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29103-ET-P1800-3-1</t>
        </is>
      </c>
      <c r="C49" s="15" t="inlineStr">
        <is>
          <t>29103-ET-P1800-3</t>
        </is>
      </c>
      <c r="D49" s="15" t="inlineStr">
        <is>
          <t>HTC-24 / CB-24</t>
        </is>
      </c>
      <c r="E49" s="15" t="inlineStr">
        <is>
          <t>29103-P-1800</t>
        </is>
      </c>
      <c r="F49" s="15" t="inlineStr">
        <is>
          <t>29103-65R-ET-P1800-03-01</t>
        </is>
      </c>
      <c r="G49" s="15" t="inlineStr">
        <is>
          <t>13.1</t>
        </is>
      </c>
      <c r="H49" s="15" t="inlineStr">
        <is>
          <t>1.6. 29103-HTP-003/1. EHT Insulation/29103-ET-P1800-3-1.pdf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E/32SQ3374/9.7M/555/84.8/2.1M/LS23A/X/N12/XNF</t>
        </is>
      </c>
      <c r="AK49" s="15" t="inlineStr">
        <is>
          <t>9.7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29103-ET-P1800-3-2</t>
        </is>
      </c>
      <c r="C50" s="15" t="inlineStr">
        <is>
          <t>29103-ET-P1800-3</t>
        </is>
      </c>
      <c r="D50" s="15" t="inlineStr">
        <is>
          <t>HTC-24 / CB-24</t>
        </is>
      </c>
      <c r="E50" s="15" t="inlineStr">
        <is>
          <t>29103-P-1800</t>
        </is>
      </c>
      <c r="F50" s="15" t="inlineStr">
        <is>
          <t>29103-65R-ET-P1800-03-01</t>
        </is>
      </c>
      <c r="G50" s="15" t="inlineStr">
        <is>
          <t>13.1</t>
        </is>
      </c>
      <c r="H50" s="15" t="inlineStr">
        <is>
          <t>1.6. 29103-HTP-003/1. EHT Insulation/29103-ET-P1800-3-2.pdf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E/32SQ3374/9.7M/555/84.8/2.1M/LS23A/X/N12/XNF</t>
        </is>
      </c>
      <c r="AK50" s="15" t="inlineStr">
        <is>
          <t>9.7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29103-ET-P1800-3-3</t>
        </is>
      </c>
      <c r="C51" s="15" t="inlineStr">
        <is>
          <t>29103-ET-P1800-3</t>
        </is>
      </c>
      <c r="D51" s="15" t="inlineStr">
        <is>
          <t>HTC-24 / CB-24</t>
        </is>
      </c>
      <c r="E51" s="15" t="inlineStr">
        <is>
          <t>29103-P-1800</t>
        </is>
      </c>
      <c r="F51" s="15" t="inlineStr">
        <is>
          <t>29103-65R-ET-P1800-03-01</t>
        </is>
      </c>
      <c r="G51" s="15" t="inlineStr">
        <is>
          <t>13.1</t>
        </is>
      </c>
      <c r="H51" s="15" t="inlineStr">
        <is>
          <t>1.6. 29103-HTP-003/1. EHT Insulation/29103-ET-P1800-3-3.pdf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D/32SQ3374/22M/1258/192/2.1M/LS23A/X/N12/XMN</t>
        </is>
      </c>
      <c r="AK51" s="15" t="inlineStr">
        <is>
          <t>22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29103-ET-P1800-3-4</t>
        </is>
      </c>
      <c r="C52" s="15" t="inlineStr">
        <is>
          <t>29103-ET-P1800-3</t>
        </is>
      </c>
      <c r="D52" s="15" t="inlineStr">
        <is>
          <t>HTC-24 / CB-24</t>
        </is>
      </c>
      <c r="E52" s="15" t="inlineStr">
        <is>
          <t>29103-P-1800</t>
        </is>
      </c>
      <c r="F52" s="15" t="inlineStr">
        <is>
          <t>29103-65R-ET-P1800-03-01</t>
        </is>
      </c>
      <c r="G52" s="15" t="inlineStr">
        <is>
          <t>13.1</t>
        </is>
      </c>
      <c r="H52" s="15" t="inlineStr">
        <is>
          <t>1.6. 29103-HTP-003/1. EHT Insulation/29103-ET-P1800-3-4.pdf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D/32SQ3374/22M/1258/192/2.1M/LS23A/X/N12/XMN</t>
        </is>
      </c>
      <c r="AK52" s="15" t="inlineStr">
        <is>
          <t>22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29103-ET-PE1401-2-1</t>
        </is>
      </c>
      <c r="C53" s="15" t="inlineStr">
        <is>
          <t>29103-ET-PE1401-2</t>
        </is>
      </c>
      <c r="D53" s="15" t="inlineStr">
        <is>
          <t>HTC-30 / CB-30</t>
        </is>
      </c>
      <c r="E53" s="15" t="inlineStr">
        <is>
          <t>29103-PE-1401</t>
        </is>
      </c>
      <c r="F53" s="15" t="inlineStr">
        <is>
          <t>29103-65R-ET-PE1401-02-01</t>
        </is>
      </c>
      <c r="G53" s="15" t="inlineStr">
        <is>
          <t>13.1</t>
        </is>
      </c>
      <c r="H53" s="15" t="inlineStr">
        <is>
          <t>1.6. 29103-HTP-003/1. EHT Insulation/29103-ET-PE1401-2-1.pdf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D/32SQ3200/52.1M/2079/277/1.2M/LS23A/X/N12</t>
        </is>
      </c>
      <c r="AK53" s="15" t="inlineStr">
        <is>
          <t>52.1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29103-ET-PE1401-2-2</t>
        </is>
      </c>
      <c r="C54" s="15" t="inlineStr">
        <is>
          <t>29103-ET-PE1401-2</t>
        </is>
      </c>
      <c r="D54" s="15" t="inlineStr">
        <is>
          <t>HTC-30 / CB-30</t>
        </is>
      </c>
      <c r="E54" s="15" t="inlineStr">
        <is>
          <t>29103-PE-1401</t>
        </is>
      </c>
      <c r="F54" s="15" t="inlineStr">
        <is>
          <t>29103-65R-ET-PE1401-02-01</t>
        </is>
      </c>
      <c r="G54" s="15" t="inlineStr">
        <is>
          <t>13.1</t>
        </is>
      </c>
      <c r="H54" s="15" t="inlineStr">
        <is>
          <t>1.6. 29103-HTP-003/1. EHT Insulation/29103-ET-PE1401-2-2.pdf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D/32SB2114/29.2M/701/277/1.2M/LS23A/X/N12</t>
        </is>
      </c>
      <c r="AK54" s="15" t="inlineStr">
        <is>
          <t>29.2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29103-ET-PE1402-1-1</t>
        </is>
      </c>
      <c r="C55" s="15" t="inlineStr">
        <is>
          <t>29103-ET-PE1402-1</t>
        </is>
      </c>
      <c r="D55" s="15" t="inlineStr">
        <is>
          <t>HTC-33 / CB-33</t>
        </is>
      </c>
      <c r="E55" s="15" t="inlineStr">
        <is>
          <t>29103-PE-1403, 29103-PE-1402</t>
        </is>
      </c>
      <c r="F55" s="15" t="inlineStr">
        <is>
          <t>29103-65R-ET-PE1402-01-01</t>
        </is>
      </c>
      <c r="G55" s="15" t="inlineStr">
        <is>
          <t>13.1</t>
        </is>
      </c>
      <c r="H55" s="15" t="inlineStr">
        <is>
          <t>1.6. 29103-HTP-003/1. EHT Insulation/29103-ET-PE1402-1-1.pdf</t>
        </is>
      </c>
      <c r="I55" s="6" t="str">
        <f>IF($H55&lt;&gt;"","YES","NO")</f>
        <v>YES</v>
      </c>
      <c r="J55" s="6" t="str">
        <f>IF(N($T55)&gt;0,"YES","NO")</f>
        <v>YES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YES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YES</v>
      </c>
      <c r="S55" s="6" t="str">
        <f>IF(COUNTIF(I55:R55,"NO")=0,"YES","NO")</f>
        <v>NO</v>
      </c>
      <c r="T55" s="15" t="n">
        <v>2</v>
      </c>
      <c r="U55" s="15" t="n"/>
      <c r="V55" s="15" t="n"/>
      <c r="W55" s="15" t="n"/>
      <c r="X55" s="15" t="inlineStr">
        <is>
          <t>0.0 MΩ</t>
        </is>
      </c>
      <c r="Y55" s="15" t="inlineStr">
        <is>
          <t>44.9 Ω</t>
        </is>
      </c>
      <c r="Z55" s="15" t="inlineStr">
        <is>
          <t>2026-08-12</t>
        </is>
      </c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D/32SQ3374/35.4M/1635/277/1.2M/LS23A/X/N12</t>
        </is>
      </c>
      <c r="AK55" s="15" t="inlineStr">
        <is>
          <t>35.4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29103-ET-PE1501-1-1</t>
        </is>
      </c>
      <c r="C56" s="15" t="inlineStr">
        <is>
          <t>29103-ET-PE1501-1</t>
        </is>
      </c>
      <c r="D56" s="15" t="inlineStr">
        <is>
          <t>HTC-10 / CB-10</t>
        </is>
      </c>
      <c r="E56" s="15" t="inlineStr">
        <is>
          <t>29103-PE-1501</t>
        </is>
      </c>
      <c r="F56" s="15" t="inlineStr">
        <is>
          <t>29103-65R-ET-PE1501-01-01</t>
        </is>
      </c>
      <c r="G56" s="15" t="inlineStr">
        <is>
          <t>13.1</t>
        </is>
      </c>
      <c r="H56" s="15" t="inlineStr">
        <is>
          <t>1.6. 29103-HTP-003/1. EHT Insulation/29103-ET-PE1501-1-1.pdf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D/32SF1110/7.8M/269/277/1.2M/LS23A/X/N12</t>
        </is>
      </c>
      <c r="AK56" s="15" t="inlineStr">
        <is>
          <t>7.8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29103-ET-PE1501-1-2</t>
        </is>
      </c>
      <c r="C57" s="15" t="inlineStr">
        <is>
          <t>29103-ET-PE1501-1</t>
        </is>
      </c>
      <c r="D57" s="15" t="inlineStr">
        <is>
          <t>HTC-10 / CB-10</t>
        </is>
      </c>
      <c r="E57" s="15" t="inlineStr">
        <is>
          <t>29103-PE-1501</t>
        </is>
      </c>
      <c r="F57" s="15" t="inlineStr">
        <is>
          <t>29103-65R-ET-PE1501-01-01</t>
        </is>
      </c>
      <c r="G57" s="15" t="inlineStr">
        <is>
          <t>13.1</t>
        </is>
      </c>
      <c r="H57" s="15" t="inlineStr">
        <is>
          <t>1.6. 29103-HTP-003/1. EHT Insulation/29103-ET-PE1501-1-2.pdf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E/32SQ3472/9.5M/505/89.8/1.2M/LS23A/X/N12/XNF</t>
        </is>
      </c>
      <c r="AK57" s="15" t="inlineStr">
        <is>
          <t>9.5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29103-ET-PE1501-1-3</t>
        </is>
      </c>
      <c r="C58" s="15" t="inlineStr">
        <is>
          <t>29103-ET-PE1501-1</t>
        </is>
      </c>
      <c r="D58" s="15" t="inlineStr">
        <is>
          <t>HTC-10 / CB-10</t>
        </is>
      </c>
      <c r="E58" s="15" t="inlineStr">
        <is>
          <t>29103-PE-1501</t>
        </is>
      </c>
      <c r="F58" s="15" t="inlineStr">
        <is>
          <t>29103-65R-ET-PE1501-01-01</t>
        </is>
      </c>
      <c r="G58" s="15" t="inlineStr">
        <is>
          <t>13.1</t>
        </is>
      </c>
      <c r="H58" s="15" t="inlineStr">
        <is>
          <t>1.6. 29103-HTP-003/1. EHT Insulation/29103-ET-PE1501-1-3.pdf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E/32SQ3472/6.6M/351/62.4/1.2M/LS23A/X/N12/XMF</t>
        </is>
      </c>
      <c r="AK58" s="15" t="inlineStr">
        <is>
          <t>6.6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29103-ET-PE1501-1-4</t>
        </is>
      </c>
      <c r="C59" s="15" t="inlineStr">
        <is>
          <t>29103-ET-PE1501-1</t>
        </is>
      </c>
      <c r="D59" s="15" t="inlineStr">
        <is>
          <t>HTC-10 / CB-10</t>
        </is>
      </c>
      <c r="E59" s="15" t="inlineStr">
        <is>
          <t>29103-PE-1501</t>
        </is>
      </c>
      <c r="F59" s="15" t="inlineStr">
        <is>
          <t>29103-65R-ET-PE1501-01-01</t>
        </is>
      </c>
      <c r="G59" s="15" t="inlineStr">
        <is>
          <t>13.1</t>
        </is>
      </c>
      <c r="H59" s="15" t="inlineStr">
        <is>
          <t>1.6. 29103-HTP-003/1. EHT Insulation/29103-ET-PE1501-1-4.pdf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D/32SQ3472/13.2M/702/125/1.2M/LS23A/X/N12/XMN</t>
        </is>
      </c>
      <c r="AK59" s="15" t="inlineStr">
        <is>
          <t>13.2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29103-ET-PE1501-2-1</t>
        </is>
      </c>
      <c r="C60" s="15" t="inlineStr">
        <is>
          <t>29103-ET-PE1501-2</t>
        </is>
      </c>
      <c r="D60" s="15" t="inlineStr">
        <is>
          <t>HTC-07 / CB-07</t>
        </is>
      </c>
      <c r="E60" s="15" t="inlineStr">
        <is>
          <t>29103-PE-1501</t>
        </is>
      </c>
      <c r="F60" s="15" t="inlineStr">
        <is>
          <t>29103-65R-ET-PE1501-02-01</t>
        </is>
      </c>
      <c r="G60" s="15" t="inlineStr">
        <is>
          <t>13.1</t>
        </is>
      </c>
      <c r="H60" s="15" t="inlineStr">
        <is>
          <t>1.6. 29103-HTP-003/1. EHT Insulation/29103-ET-PE1501-2-1.pdf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D/32SQ3200/52.5M/2063/277/1.2M/LS23A/X/N12</t>
        </is>
      </c>
      <c r="AK60" s="15" t="inlineStr">
        <is>
          <t>52.5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29103-ET-PE1501-2-2</t>
        </is>
      </c>
      <c r="C61" s="15" t="inlineStr">
        <is>
          <t>29103-ET-PE1501-2</t>
        </is>
      </c>
      <c r="D61" s="15" t="inlineStr">
        <is>
          <t>HTC-07 / CB-07</t>
        </is>
      </c>
      <c r="E61" s="15" t="inlineStr">
        <is>
          <t>29103-PE-1501</t>
        </is>
      </c>
      <c r="F61" s="15" t="inlineStr">
        <is>
          <t>29103-65R-ET-PE1501-02-01</t>
        </is>
      </c>
      <c r="G61" s="15" t="inlineStr">
        <is>
          <t>13.1</t>
        </is>
      </c>
      <c r="H61" s="15" t="inlineStr">
        <is>
          <t>1.6. 29103-HTP-003/1. EHT Insulation/29103-ET-PE1501-2-2.pdf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D/32SB2114/29.4M/694/277/1.2M/LS23A/X/N12</t>
        </is>
      </c>
      <c r="AK61" s="15" t="inlineStr">
        <is>
          <t>29.4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29103-ET-PE1502-1-1</t>
        </is>
      </c>
      <c r="C62" s="15" t="inlineStr">
        <is>
          <t>29103-ET-PE1502-1</t>
        </is>
      </c>
      <c r="D62" s="15" t="inlineStr">
        <is>
          <t>HTC-06 / CB-06</t>
        </is>
      </c>
      <c r="E62" s="15" t="inlineStr">
        <is>
          <t>29103-PE-1503, 29103-PE-1502</t>
        </is>
      </c>
      <c r="F62" s="15" t="inlineStr">
        <is>
          <t>29103-65R-ET-PE1502-01-01</t>
        </is>
      </c>
      <c r="G62" s="15" t="inlineStr">
        <is>
          <t>13.1</t>
        </is>
      </c>
      <c r="H62" s="15" t="inlineStr">
        <is>
          <t>1.6. 29103-HTP-003/1. EHT Insulation/29103-ET-PE1502-1-1.pdf</t>
        </is>
      </c>
      <c r="I62" s="6" t="str">
        <f>IF($H62&lt;&gt;"","YES","NO")</f>
        <v>YES</v>
      </c>
      <c r="J62" s="6" t="str">
        <f>IF(N($T62)&gt;0,"YES","NO")</f>
        <v>YES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YES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YES</v>
      </c>
      <c r="S62" s="6" t="str">
        <f>IF(COUNTIF(I62:R62,"NO")=0,"YES","NO")</f>
        <v>NO</v>
      </c>
      <c r="T62" s="15" t="n">
        <v>3</v>
      </c>
      <c r="U62" s="15" t="n"/>
      <c r="V62" s="15" t="n"/>
      <c r="W62" s="15" t="n"/>
      <c r="X62" s="15" t="inlineStr">
        <is>
          <t>550 MΩ</t>
        </is>
      </c>
      <c r="Y62" s="15" t="inlineStr">
        <is>
          <t>44.7 Ω</t>
        </is>
      </c>
      <c r="Z62" s="15" t="inlineStr">
        <is>
          <t>2026-08-10</t>
        </is>
      </c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D/32SQ3374/34.9M/1658/277/1.2M/LS23A/X/N12</t>
        </is>
      </c>
      <c r="AK62" s="15" t="inlineStr">
        <is>
          <t>34.9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29103-ET-PE1601-1-1</t>
        </is>
      </c>
      <c r="C63" s="15" t="inlineStr">
        <is>
          <t>29103-ET-PE1601-1</t>
        </is>
      </c>
      <c r="D63" s="15" t="inlineStr">
        <is>
          <t>HTC-08 / CB-08</t>
        </is>
      </c>
      <c r="E63" s="15" t="inlineStr">
        <is>
          <t>29103-PE-1601</t>
        </is>
      </c>
      <c r="F63" s="15" t="inlineStr">
        <is>
          <t>29103-65R-ET-PE1601-01-01</t>
        </is>
      </c>
      <c r="G63" s="15" t="inlineStr">
        <is>
          <t>13.1</t>
        </is>
      </c>
      <c r="H63" s="15" t="inlineStr">
        <is>
          <t>1.6. 29103-HTP-003/1. EHT Insulation/29103-ET-PE1601-1-1.pdf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D/32SF1110/7.5M/280/277/1.2M/LS23A/X/N12</t>
        </is>
      </c>
      <c r="AK63" s="15" t="inlineStr">
        <is>
          <t>7.5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29103-ET-PE1601-1-2</t>
        </is>
      </c>
      <c r="C64" s="15" t="inlineStr">
        <is>
          <t>29103-ET-PE1601-1</t>
        </is>
      </c>
      <c r="D64" s="15" t="inlineStr">
        <is>
          <t>HTC-08 / CB-08</t>
        </is>
      </c>
      <c r="E64" s="15" t="inlineStr">
        <is>
          <t>29103-PE-1601</t>
        </is>
      </c>
      <c r="F64" s="15" t="inlineStr">
        <is>
          <t>29103-65R-ET-PE1601-01-01</t>
        </is>
      </c>
      <c r="G64" s="15" t="inlineStr">
        <is>
          <t>13.1</t>
        </is>
      </c>
      <c r="H64" s="15" t="inlineStr">
        <is>
          <t>1.6. 29103-HTP-003/1. EHT Insulation/29103-ET-PE1601-1-2.pdf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E/32SQ3472/10.8M/522/97.1/1.2M/LS23A/X/N12/XNF</t>
        </is>
      </c>
      <c r="AK64" s="15" t="inlineStr">
        <is>
          <t>10.8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29103-ET-PE1601-1-3</t>
        </is>
      </c>
      <c r="C65" s="15" t="inlineStr">
        <is>
          <t>29103-ET-PE1601-1</t>
        </is>
      </c>
      <c r="D65" s="15" t="inlineStr">
        <is>
          <t>HTC-08 / CB-08</t>
        </is>
      </c>
      <c r="E65" s="15" t="inlineStr">
        <is>
          <t>29103-PE-1601</t>
        </is>
      </c>
      <c r="F65" s="15" t="inlineStr">
        <is>
          <t>29103-65R-ET-PE1601-01-01</t>
        </is>
      </c>
      <c r="G65" s="15" t="inlineStr">
        <is>
          <t>13.1</t>
        </is>
      </c>
      <c r="H65" s="15" t="inlineStr">
        <is>
          <t>1.6. 29103-HTP-003/1. EHT Insulation/29103-ET-PE1601-1-3.pdf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E/32SQ3472/6.6M/319/59.4/1.2M/LS23A/X/N12/XMF</t>
        </is>
      </c>
      <c r="AK65" s="15" t="inlineStr">
        <is>
          <t>6.6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29103-ET-PE1601-1-4</t>
        </is>
      </c>
      <c r="C66" s="15" t="inlineStr">
        <is>
          <t>29103-ET-PE1601-1</t>
        </is>
      </c>
      <c r="D66" s="15" t="inlineStr">
        <is>
          <t>HTC-08 / CB-08</t>
        </is>
      </c>
      <c r="E66" s="15" t="inlineStr">
        <is>
          <t>29103-PE-1601</t>
        </is>
      </c>
      <c r="F66" s="15" t="inlineStr">
        <is>
          <t>29103-65R-ET-PE1601-01-01</t>
        </is>
      </c>
      <c r="G66" s="15" t="inlineStr">
        <is>
          <t>13.1</t>
        </is>
      </c>
      <c r="H66" s="15" t="inlineStr">
        <is>
          <t>1.6. 29103-HTP-003/1. EHT Insulation/29103-ET-PE1601-1-4.pdf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D/32SQ3472/13.4M/647/121/1.2M/LS23A/X/N12/XMN</t>
        </is>
      </c>
      <c r="AK66" s="15" t="inlineStr">
        <is>
          <t>13.4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29103-ET-PE1601-2-1</t>
        </is>
      </c>
      <c r="C67" s="15" t="inlineStr">
        <is>
          <t>29103-ET-PE1601-2</t>
        </is>
      </c>
      <c r="D67" s="15" t="inlineStr">
        <is>
          <t>HTC-12 / CB-12</t>
        </is>
      </c>
      <c r="E67" s="15" t="inlineStr">
        <is>
          <t>29103-PE-1601</t>
        </is>
      </c>
      <c r="F67" s="15" t="inlineStr">
        <is>
          <t>29103-65R-ET-PE1601-02-01</t>
        </is>
      </c>
      <c r="G67" s="15" t="inlineStr">
        <is>
          <t>13.1</t>
        </is>
      </c>
      <c r="H67" s="15" t="inlineStr">
        <is>
          <t>1.6. 29103-HTP-003/1. EHT Insulation/29103-ET-PE1601-2-1.pdf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D/32SQ3200/52.1M/2079/277/1.2M/LS23A/X/N12</t>
        </is>
      </c>
      <c r="AK67" s="15" t="inlineStr">
        <is>
          <t>52.1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29103-ET-PE1601-2-2</t>
        </is>
      </c>
      <c r="C68" s="15" t="inlineStr">
        <is>
          <t>29103-ET-PE1601-2</t>
        </is>
      </c>
      <c r="D68" s="15" t="inlineStr">
        <is>
          <t>HTC-12 / CB-12</t>
        </is>
      </c>
      <c r="E68" s="15" t="inlineStr">
        <is>
          <t>29103-PE-1601</t>
        </is>
      </c>
      <c r="F68" s="15" t="inlineStr">
        <is>
          <t>29103-65R-ET-PE1601-02-01</t>
        </is>
      </c>
      <c r="G68" s="15" t="inlineStr">
        <is>
          <t>13.1</t>
        </is>
      </c>
      <c r="H68" s="15" t="inlineStr">
        <is>
          <t>1.6. 29103-HTP-003/1. EHT Insulation/29103-ET-PE1601-2-2.pdf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D/32SB2114/29.2M/701/277/1.2M/LS23A/X/N12</t>
        </is>
      </c>
      <c r="AK68" s="15" t="inlineStr">
        <is>
          <t>29.2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29103-ET-PE1602-1-1</t>
        </is>
      </c>
      <c r="C69" s="15" t="inlineStr">
        <is>
          <t>29103-ET-PE1602-1</t>
        </is>
      </c>
      <c r="D69" s="15" t="inlineStr">
        <is>
          <t>HTC-15 / CB-15</t>
        </is>
      </c>
      <c r="E69" s="15" t="inlineStr">
        <is>
          <t>29103-PE-1603, 29103-PE-1602</t>
        </is>
      </c>
      <c r="F69" s="15" t="inlineStr">
        <is>
          <t>29103-65R-ET-PE1602-01-01</t>
        </is>
      </c>
      <c r="G69" s="15" t="inlineStr">
        <is>
          <t>13.1</t>
        </is>
      </c>
      <c r="H69" s="15" t="inlineStr">
        <is>
          <t>1.6. 29103-HTP-003/1. EHT Insulation/29103-ET-PE1602-1-1.pdf</t>
        </is>
      </c>
      <c r="I69" s="6" t="str">
        <f>IF($H69&lt;&gt;"","YES","NO")</f>
        <v>YES</v>
      </c>
      <c r="J69" s="6" t="str">
        <f>IF(N($T69)&gt;0,"YES","NO")</f>
        <v>YES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YES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YES</v>
      </c>
      <c r="S69" s="6" t="str">
        <f>IF(COUNTIF(I69:R69,"NO")=0,"YES","NO")</f>
        <v>NO</v>
      </c>
      <c r="T69" s="15" t="n">
        <v>4</v>
      </c>
      <c r="U69" s="15" t="n"/>
      <c r="V69" s="15" t="n"/>
      <c r="W69" s="15" t="n"/>
      <c r="X69" s="15" t="inlineStr">
        <is>
          <t>550 MΩ</t>
        </is>
      </c>
      <c r="Y69" s="15" t="inlineStr">
        <is>
          <t>44.7 Ω</t>
        </is>
      </c>
      <c r="Z69" s="15" t="inlineStr">
        <is>
          <t>2026-08-10</t>
        </is>
      </c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D/32SQ3374/35.4M/1635/277/1.2M/LS23A/X/N12</t>
        </is>
      </c>
      <c r="AK69" s="15" t="inlineStr">
        <is>
          <t>35.4 m m</t>
        </is>
      </c>
      <c r="AL69" s="15" t="inlineStr">
        <is>
          <t>Levy Ostrup</t>
        </is>
      </c>
      <c r="AM69" s="15" t="n"/>
      <c r="AN69" s="15" t="inlineStr">
        <is>
          <t>Core markers are 29103HTP003HTC15-P-H and 29103HTP003HTC15-P-N</t>
        </is>
      </c>
    </row>
    <row r="70">
      <c r="A70" s="15" t="inlineStr">
        <is>
          <t>EHT Trace</t>
        </is>
      </c>
      <c r="B70" s="15" t="inlineStr">
        <is>
          <t>29103-ET-PE1701-1-1</t>
        </is>
      </c>
      <c r="C70" s="15" t="inlineStr">
        <is>
          <t>29103-ET-PE1701-1</t>
        </is>
      </c>
      <c r="D70" s="15" t="inlineStr">
        <is>
          <t>HTC-23 / CB-23</t>
        </is>
      </c>
      <c r="E70" s="15" t="inlineStr">
        <is>
          <t>29103-PE-1701</t>
        </is>
      </c>
      <c r="F70" s="15" t="inlineStr">
        <is>
          <t>29103-65R-ET-PE1701-01-01</t>
        </is>
      </c>
      <c r="G70" s="15" t="inlineStr">
        <is>
          <t>13.1</t>
        </is>
      </c>
      <c r="H70" s="15" t="inlineStr">
        <is>
          <t>1.6. 29103-HTP-003/1. EHT Insulation/29103-ET-PE1701-1-1.pdf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D/32SF1110/7.8M/269/277/1.2M/LS23A/X/N12</t>
        </is>
      </c>
      <c r="AK70" s="15" t="inlineStr">
        <is>
          <t>7.8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29103-ET-PE1701-1-2</t>
        </is>
      </c>
      <c r="C71" s="15" t="inlineStr">
        <is>
          <t>29103-ET-PE1701-1</t>
        </is>
      </c>
      <c r="D71" s="15" t="inlineStr">
        <is>
          <t>HTC-23 / CB-23</t>
        </is>
      </c>
      <c r="E71" s="15" t="inlineStr">
        <is>
          <t>29103-PE-1701</t>
        </is>
      </c>
      <c r="F71" s="15" t="inlineStr">
        <is>
          <t>29103-65R-ET-PE1701-01-01</t>
        </is>
      </c>
      <c r="G71" s="15" t="inlineStr">
        <is>
          <t>13.1</t>
        </is>
      </c>
      <c r="H71" s="15" t="inlineStr">
        <is>
          <t>1.6. 29103-HTP-003/1. EHT Insulation/29103-ET-PE1701-1-2.pdf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E/32SQ3472/9.5M/505/89.8/1.2M/LS23A/X/N12/XNF</t>
        </is>
      </c>
      <c r="AK71" s="15" t="inlineStr">
        <is>
          <t>9.5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29103-ET-PE1701-1-3</t>
        </is>
      </c>
      <c r="C72" s="15" t="inlineStr">
        <is>
          <t>29103-ET-PE1701-1</t>
        </is>
      </c>
      <c r="D72" s="15" t="inlineStr">
        <is>
          <t>HTC-23 / CB-23</t>
        </is>
      </c>
      <c r="E72" s="15" t="inlineStr">
        <is>
          <t>29103-PE-1701</t>
        </is>
      </c>
      <c r="F72" s="15" t="inlineStr">
        <is>
          <t>29103-65R-ET-PE1701-01-01</t>
        </is>
      </c>
      <c r="G72" s="15" t="inlineStr">
        <is>
          <t>13.1</t>
        </is>
      </c>
      <c r="H72" s="15" t="inlineStr">
        <is>
          <t>1.6. 29103-HTP-003/1. EHT Insulation/29103-ET-PE1701-1-3.pdf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E/32SQ3472/6.6M/351/62.4/1.2M/LS23A/X/N12/XMF</t>
        </is>
      </c>
      <c r="AK72" s="15" t="inlineStr">
        <is>
          <t>6.6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29103-ET-PE1701-1-4</t>
        </is>
      </c>
      <c r="C73" s="15" t="inlineStr">
        <is>
          <t>29103-ET-PE1701-1</t>
        </is>
      </c>
      <c r="D73" s="15" t="inlineStr">
        <is>
          <t>HTC-23 / CB-23</t>
        </is>
      </c>
      <c r="E73" s="15" t="inlineStr">
        <is>
          <t>29103-PE-1701</t>
        </is>
      </c>
      <c r="F73" s="15" t="inlineStr">
        <is>
          <t>29103-65R-ET-PE1701-01-01</t>
        </is>
      </c>
      <c r="G73" s="15" t="inlineStr">
        <is>
          <t>13.1</t>
        </is>
      </c>
      <c r="H73" s="15" t="inlineStr">
        <is>
          <t>1.6. 29103-HTP-003/1. EHT Insulation/29103-ET-PE1701-1-4.pdf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D/32SQ3472/13.2M/702/125/1.2M/LS23A/X/N12/XMN</t>
        </is>
      </c>
      <c r="AK73" s="15" t="inlineStr">
        <is>
          <t>13.2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29103-ET-PE1701-2-1</t>
        </is>
      </c>
      <c r="C74" s="15" t="inlineStr">
        <is>
          <t>29103-ET-PE1701-2</t>
        </is>
      </c>
      <c r="D74" s="15" t="inlineStr">
        <is>
          <t>HTC-16 / CB-16</t>
        </is>
      </c>
      <c r="E74" s="15" t="inlineStr">
        <is>
          <t>29103-PE-1701</t>
        </is>
      </c>
      <c r="F74" s="15" t="inlineStr">
        <is>
          <t>29103-65R-ET-PE1701-02-01</t>
        </is>
      </c>
      <c r="G74" s="15" t="inlineStr">
        <is>
          <t>13.1</t>
        </is>
      </c>
      <c r="H74" s="15" t="inlineStr">
        <is>
          <t>1.6. 29103-HTP-003/1. EHT Insulation/29103-ET-PE1701-2-1.pdf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D/32SQ3200/52.5M/2063/277/1.2M/LS23A/X/N12</t>
        </is>
      </c>
      <c r="AK74" s="15" t="inlineStr">
        <is>
          <t>52.5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29103-ET-PE1701-2-2</t>
        </is>
      </c>
      <c r="C75" s="15" t="inlineStr">
        <is>
          <t>29103-ET-PE1701-2</t>
        </is>
      </c>
      <c r="D75" s="15" t="inlineStr">
        <is>
          <t>HTC-16 / CB-16</t>
        </is>
      </c>
      <c r="E75" s="15" t="inlineStr">
        <is>
          <t>29103-PE-1701</t>
        </is>
      </c>
      <c r="F75" s="15" t="inlineStr">
        <is>
          <t>29103-65R-ET-PE1701-02-01</t>
        </is>
      </c>
      <c r="G75" s="15" t="inlineStr">
        <is>
          <t>13.1</t>
        </is>
      </c>
      <c r="H75" s="15" t="inlineStr">
        <is>
          <t>1.6. 29103-HTP-003/1. EHT Insulation/29103-ET-PE1701-2-2.pdf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D/32SB2114/29.4M/694/277/1.2M/LS23A/X/N12</t>
        </is>
      </c>
      <c r="AK75" s="15" t="inlineStr">
        <is>
          <t>29.4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29103-ET-PE1702-1-1</t>
        </is>
      </c>
      <c r="C76" s="15" t="inlineStr">
        <is>
          <t>29103-ET-PE1702-1</t>
        </is>
      </c>
      <c r="D76" s="15" t="inlineStr">
        <is>
          <t>HTC-20 / CB-20</t>
        </is>
      </c>
      <c r="E76" s="15" t="inlineStr">
        <is>
          <t>29103-PE-1703, 29103-PE-1702</t>
        </is>
      </c>
      <c r="F76" s="15" t="inlineStr">
        <is>
          <t>29103-65R-ET-PE1702-01-01</t>
        </is>
      </c>
      <c r="G76" s="15" t="inlineStr">
        <is>
          <t>13.1</t>
        </is>
      </c>
      <c r="H76" s="15" t="inlineStr">
        <is>
          <t>1.6. 29103-HTP-003/1. EHT Insulation/29103-ET-PE1702-1-1.pdf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D/32SQ3374/34.9M/1658/277/1.2M/LS23A/X/N12</t>
        </is>
      </c>
      <c r="AK76" s="15" t="inlineStr">
        <is>
          <t>34.9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29103-ET-PE1802-2-1</t>
        </is>
      </c>
      <c r="C77" s="15" t="inlineStr">
        <is>
          <t>29103-ET-PE1802-2</t>
        </is>
      </c>
      <c r="D77" s="15" t="inlineStr">
        <is>
          <t>HTC-13 / CB-13</t>
        </is>
      </c>
      <c r="E77" s="15" t="inlineStr">
        <is>
          <t>29103-PE-1802</t>
        </is>
      </c>
      <c r="F77" s="15" t="inlineStr">
        <is>
          <t>29103-65R-ET-PE1802-02-01</t>
        </is>
      </c>
      <c r="G77" s="15" t="inlineStr">
        <is>
          <t>13.1</t>
        </is>
      </c>
      <c r="H77" s="15" t="inlineStr">
        <is>
          <t>1.6. 29103-HTP-003/1. EHT Insulation/29103-ET-PE1802-2-1.pdf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E/32SQ3150/8.8M/784/61.6/2.1-1.2M/LS23A/X/N12/XNF</t>
        </is>
      </c>
      <c r="AK77" s="15" t="inlineStr">
        <is>
          <t>8.8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29103-ET-PE1802-2-2</t>
        </is>
      </c>
      <c r="C78" s="15" t="inlineStr">
        <is>
          <t>29103-ET-PE1802-2</t>
        </is>
      </c>
      <c r="D78" s="15" t="inlineStr">
        <is>
          <t>HTC-13 / CB-13</t>
        </is>
      </c>
      <c r="E78" s="15" t="inlineStr">
        <is>
          <t>29103-PE-1802</t>
        </is>
      </c>
      <c r="F78" s="15" t="inlineStr">
        <is>
          <t>29103-65R-ET-PE1802-02-01</t>
        </is>
      </c>
      <c r="G78" s="15" t="inlineStr">
        <is>
          <t>13.1</t>
        </is>
      </c>
      <c r="H78" s="15" t="inlineStr">
        <is>
          <t>1.6. 29103-HTP-003/1. EHT Insulation/29103-ET-PE1802-2-2.pdf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E/32SQ3150/21.6M/1925/151/1.2M/LS23A/X/N12/XMF</t>
        </is>
      </c>
      <c r="AK78" s="15" t="inlineStr">
        <is>
          <t>21.6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29103-ET-PE1802-2-3</t>
        </is>
      </c>
      <c r="C79" s="15" t="inlineStr">
        <is>
          <t>29103-ET-PE1802-2</t>
        </is>
      </c>
      <c r="D79" s="15" t="inlineStr">
        <is>
          <t>HTC-13 / CB-13</t>
        </is>
      </c>
      <c r="E79" s="15" t="inlineStr">
        <is>
          <t>29103-PE-1802</t>
        </is>
      </c>
      <c r="F79" s="15" t="inlineStr">
        <is>
          <t>29103-65R-ET-PE1802-02-01</t>
        </is>
      </c>
      <c r="G79" s="15" t="inlineStr">
        <is>
          <t>13.1</t>
        </is>
      </c>
      <c r="H79" s="15" t="inlineStr">
        <is>
          <t>1.6. 29103-HTP-003/1. EHT Insulation/29103-ET-PE1802-2-3.pdf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D/32SQ3150/9.2M/820/64.4/1.2M/LS23A/X/N12/XMN</t>
        </is>
      </c>
      <c r="AK79" s="15" t="inlineStr">
        <is>
          <t>9.2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29103-ET-PE1803-2-1</t>
        </is>
      </c>
      <c r="C80" s="15" t="inlineStr">
        <is>
          <t>29103-ET-PE1803-2</t>
        </is>
      </c>
      <c r="D80" s="15" t="inlineStr">
        <is>
          <t>HTC-29 / CB-29</t>
        </is>
      </c>
      <c r="E80" s="15" t="inlineStr">
        <is>
          <t>29103-PE-1803</t>
        </is>
      </c>
      <c r="F80" s="15" t="inlineStr">
        <is>
          <t>29103-65R-ET-PE1803-02-01</t>
        </is>
      </c>
      <c r="G80" s="15" t="inlineStr">
        <is>
          <t>13.1</t>
        </is>
      </c>
      <c r="H80" s="15" t="inlineStr">
        <is>
          <t>1.6. 29103-HTP-003/1. EHT Insulation/29103-ET-PE1803-2-1.pdf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E/32SQ3374/11.3M/542/90.2/1.2M/LS23A/X/N12/XNF</t>
        </is>
      </c>
      <c r="AK80" s="15" t="inlineStr">
        <is>
          <t>11.3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29103-ET-PE1803-2-2</t>
        </is>
      </c>
      <c r="C81" s="15" t="inlineStr">
        <is>
          <t>29103-ET-PE1803-2</t>
        </is>
      </c>
      <c r="D81" s="15" t="inlineStr">
        <is>
          <t>HTC-29 / CB-29</t>
        </is>
      </c>
      <c r="E81" s="15" t="inlineStr">
        <is>
          <t>29103-PE-1803</t>
        </is>
      </c>
      <c r="F81" s="15" t="inlineStr">
        <is>
          <t>29103-65R-ET-PE1803-02-01</t>
        </is>
      </c>
      <c r="G81" s="15" t="inlineStr">
        <is>
          <t>13.1</t>
        </is>
      </c>
      <c r="H81" s="15" t="inlineStr">
        <is>
          <t>1.6. 29103-HTP-003/1. EHT Insulation/29103-ET-PE1803-2-2.pdf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D/32SQ3374/23.4M/1123/187/1.2M/LS23A/X/N12/XMN</t>
        </is>
      </c>
      <c r="AK81" s="15" t="inlineStr">
        <is>
          <t>23.4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29103-ET-PG1401-1-1</t>
        </is>
      </c>
      <c r="C82" s="15" t="inlineStr">
        <is>
          <t>29103-ET-PG1401-1</t>
        </is>
      </c>
      <c r="D82" s="15" t="inlineStr">
        <is>
          <t>HTC-35 / CB-35</t>
        </is>
      </c>
      <c r="E82" s="15" t="inlineStr">
        <is>
          <t>29103-PG-1401, 29103-PE-1402, 29103-P-1400</t>
        </is>
      </c>
      <c r="F82" s="15" t="inlineStr">
        <is>
          <t>29103-65R-ET-PG1401-01-01</t>
        </is>
      </c>
      <c r="G82" s="15" t="inlineStr">
        <is>
          <t>13.1</t>
        </is>
      </c>
      <c r="H82" s="15" t="inlineStr">
        <is>
          <t>1.6. 29103-HTP-003/1. EHT Insulation/29103-ET-PG1401-1-1.pdf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D/32SP4734/93.1M/2914/277/1.2M/LS23A/X/N12</t>
        </is>
      </c>
      <c r="AK82" s="15" t="inlineStr">
        <is>
          <t>93.1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29103-ET-PG1401-2-1</t>
        </is>
      </c>
      <c r="C83" s="15" t="inlineStr">
        <is>
          <t>29103-ET-PG1401-2</t>
        </is>
      </c>
      <c r="D83" s="15" t="inlineStr">
        <is>
          <t>HTC-22 / CB-22</t>
        </is>
      </c>
      <c r="E83" s="15" t="inlineStr">
        <is>
          <t>29103-PG-1401</t>
        </is>
      </c>
      <c r="F83" s="15" t="inlineStr">
        <is>
          <t>29103-65R-ET-PG1401-02-01</t>
        </is>
      </c>
      <c r="G83" s="15" t="inlineStr">
        <is>
          <t>13.1</t>
        </is>
      </c>
      <c r="H83" s="15" t="inlineStr">
        <is>
          <t>1.6. 29103-HTP-003/1. EHT Insulation/29103-ET-PG1401-2-1.pdf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E/32SB3700/8.6M/401/89.2/1.2M/LS23A/X/N12/XNF</t>
        </is>
      </c>
      <c r="AK83" s="15" t="inlineStr">
        <is>
          <t>8.6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29103-ET-PG1401-2-2</t>
        </is>
      </c>
      <c r="C84" s="15" t="inlineStr">
        <is>
          <t>29103-ET-PG1401-2</t>
        </is>
      </c>
      <c r="D84" s="15" t="inlineStr">
        <is>
          <t>HTC-22 / CB-22</t>
        </is>
      </c>
      <c r="E84" s="15" t="inlineStr">
        <is>
          <t>29103-PG-1401</t>
        </is>
      </c>
      <c r="F84" s="15" t="inlineStr">
        <is>
          <t>29103-65R-ET-PG1401-02-01</t>
        </is>
      </c>
      <c r="G84" s="15" t="inlineStr">
        <is>
          <t>13.1</t>
        </is>
      </c>
      <c r="H84" s="15" t="inlineStr">
        <is>
          <t>1.6. 29103-HTP-003/1. EHT Insulation/29103-ET-PG1401-2-2.pdf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E/32SB3700/6.3M/294/65.4/1.2M/LS23A/X/N12/XMF</t>
        </is>
      </c>
      <c r="AK84" s="15" t="inlineStr">
        <is>
          <t>6.3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29103-ET-PG1401-2-3</t>
        </is>
      </c>
      <c r="C85" s="15" t="inlineStr">
        <is>
          <t>29103-ET-PG1401-2</t>
        </is>
      </c>
      <c r="D85" s="15" t="inlineStr">
        <is>
          <t>HTC-22 / CB-22</t>
        </is>
      </c>
      <c r="E85" s="15" t="inlineStr">
        <is>
          <t>29103-PG-1401</t>
        </is>
      </c>
      <c r="F85" s="15" t="inlineStr">
        <is>
          <t>29103-65R-ET-PG1401-02-01</t>
        </is>
      </c>
      <c r="G85" s="15" t="inlineStr">
        <is>
          <t>13.1</t>
        </is>
      </c>
      <c r="H85" s="15" t="inlineStr">
        <is>
          <t>1.6. 29103-HTP-003/1. EHT Insulation/29103-ET-PG1401-2-3.pdf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D/32SB3700/11.8M/550/122/1.2M/LS23A/X/N12/XMN</t>
        </is>
      </c>
      <c r="AK85" s="15" t="inlineStr">
        <is>
          <t>11.8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29103-ET-PG1501-1-1</t>
        </is>
      </c>
      <c r="C86" s="15" t="inlineStr">
        <is>
          <t>29103-ET-PG1501-1</t>
        </is>
      </c>
      <c r="D86" s="15" t="inlineStr">
        <is>
          <t>HTC-11 / CB-11</t>
        </is>
      </c>
      <c r="E86" s="15" t="inlineStr">
        <is>
          <t>29103-PG-1501, 29103-PE-1502, 29103-P-1500</t>
        </is>
      </c>
      <c r="F86" s="15" t="inlineStr">
        <is>
          <t>29103-65R-ET-PG1501-01-01</t>
        </is>
      </c>
      <c r="G86" s="15" t="inlineStr">
        <is>
          <t>13.1</t>
        </is>
      </c>
      <c r="H86" s="15" t="inlineStr">
        <is>
          <t>1.6. 29103-HTP-003/1. EHT Insulation/29103-ET-PG1501-1-1.pdf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D/32SP4734/90M/3006/277/1.2M/LS23A/X/N12</t>
        </is>
      </c>
      <c r="AK86" s="15" t="inlineStr">
        <is>
          <t>90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29103-ET-PG1501-2-1</t>
        </is>
      </c>
      <c r="C87" s="15" t="inlineStr">
        <is>
          <t>29103-ET-PG1501-2</t>
        </is>
      </c>
      <c r="D87" s="15" t="inlineStr">
        <is>
          <t>HTC-28 / CB-28</t>
        </is>
      </c>
      <c r="E87" s="15" t="inlineStr">
        <is>
          <t>29103-PG-1501</t>
        </is>
      </c>
      <c r="F87" s="15" t="inlineStr">
        <is>
          <t>29103-65R-ET-PG1501-02-01</t>
        </is>
      </c>
      <c r="G87" s="15" t="inlineStr">
        <is>
          <t>13.1</t>
        </is>
      </c>
      <c r="H87" s="15" t="inlineStr">
        <is>
          <t>1.6. 29103-HTP-003/1. EHT Insulation/29103-ET-PG1501-2-1.pdf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E/32SB3700/9.2M/409/93.3/1.2M/LS23A/X/N12/XNF</t>
        </is>
      </c>
      <c r="AK87" s="15" t="inlineStr">
        <is>
          <t>9.2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29103-ET-PG1501-2-2</t>
        </is>
      </c>
      <c r="C88" s="15" t="inlineStr">
        <is>
          <t>29103-ET-PG1501-2</t>
        </is>
      </c>
      <c r="D88" s="15" t="inlineStr">
        <is>
          <t>HTC-28 / CB-28</t>
        </is>
      </c>
      <c r="E88" s="15" t="inlineStr">
        <is>
          <t>29103-PG-1501</t>
        </is>
      </c>
      <c r="F88" s="15" t="inlineStr">
        <is>
          <t>29103-65R-ET-PG1501-02-01</t>
        </is>
      </c>
      <c r="G88" s="15" t="inlineStr">
        <is>
          <t>13.1</t>
        </is>
      </c>
      <c r="H88" s="15" t="inlineStr">
        <is>
          <t>1.6. 29103-HTP-003/1. EHT Insulation/29103-ET-PG1501-2-2.pdf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E/32SB3700/6.3M/280/63.9/1.2M/LS23A/X/N12/XMF</t>
        </is>
      </c>
      <c r="AK88" s="15" t="inlineStr">
        <is>
          <t>6.3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29103-ET-PG1501-2-3</t>
        </is>
      </c>
      <c r="C89" s="15" t="inlineStr">
        <is>
          <t>29103-ET-PG1501-2</t>
        </is>
      </c>
      <c r="D89" s="15" t="inlineStr">
        <is>
          <t>HTC-28 / CB-28</t>
        </is>
      </c>
      <c r="E89" s="15" t="inlineStr">
        <is>
          <t>29103-PG-1501</t>
        </is>
      </c>
      <c r="F89" s="15" t="inlineStr">
        <is>
          <t>29103-65R-ET-PG1501-02-01</t>
        </is>
      </c>
      <c r="G89" s="15" t="inlineStr">
        <is>
          <t>13.1</t>
        </is>
      </c>
      <c r="H89" s="15" t="inlineStr">
        <is>
          <t>1.6. 29103-HTP-003/1. EHT Insulation/29103-ET-PG1501-2-3.pdf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D/32SB3700/11.8M/525/120/1.2M/LS23A/X/N12/XMN</t>
        </is>
      </c>
      <c r="AK89" s="15" t="inlineStr">
        <is>
          <t>11.8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29103-ET-PG1601-1-1</t>
        </is>
      </c>
      <c r="C90" s="15" t="inlineStr">
        <is>
          <t>29103-ET-PG1601-1</t>
        </is>
      </c>
      <c r="D90" s="15" t="inlineStr">
        <is>
          <t>HTC-14 / CB-14</t>
        </is>
      </c>
      <c r="E90" s="15" t="inlineStr">
        <is>
          <t>29103-PG-1601, 29103-PE-1602, 29103-P-1600</t>
        </is>
      </c>
      <c r="F90" s="15" t="inlineStr">
        <is>
          <t>29103-65R-ET-PG1601-01-01</t>
        </is>
      </c>
      <c r="G90" s="15" t="inlineStr">
        <is>
          <t>13.1</t>
        </is>
      </c>
      <c r="H90" s="15" t="inlineStr">
        <is>
          <t>1.6. 29103-HTP-003/1. EHT Insulation/29103-ET-PG1601-1-1.pdf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NO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D/32SP4734/93.1M/2914/277/1.2M/LS23A/X/N12</t>
        </is>
      </c>
      <c r="AK90" s="15" t="inlineStr">
        <is>
          <t>93.1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29103-ET-PG1601-2-1</t>
        </is>
      </c>
      <c r="C91" s="15" t="inlineStr">
        <is>
          <t>29103-ET-PG1601-2</t>
        </is>
      </c>
      <c r="D91" s="15" t="inlineStr">
        <is>
          <t>HTC-31 / CB-31</t>
        </is>
      </c>
      <c r="E91" s="15" t="inlineStr">
        <is>
          <t>29103-PG-1601</t>
        </is>
      </c>
      <c r="F91" s="15" t="inlineStr">
        <is>
          <t>29103-65R-ET-PG1601-02-01</t>
        </is>
      </c>
      <c r="G91" s="15" t="inlineStr">
        <is>
          <t>13.1</t>
        </is>
      </c>
      <c r="H91" s="15" t="inlineStr">
        <is>
          <t>1.6. 29103-HTP-003/1. EHT Insulation/29103-ET-PG1601-2-1.pdf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NO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E/32SB3700/8.6M/401/89.2/1.2M/LS23A/X/N12/XNF</t>
        </is>
      </c>
      <c r="AK91" s="15" t="inlineStr">
        <is>
          <t>8.6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29103-ET-PG1601-2-2</t>
        </is>
      </c>
      <c r="C92" s="15" t="inlineStr">
        <is>
          <t>29103-ET-PG1601-2</t>
        </is>
      </c>
      <c r="D92" s="15" t="inlineStr">
        <is>
          <t>HTC-31 / CB-31</t>
        </is>
      </c>
      <c r="E92" s="15" t="inlineStr">
        <is>
          <t>29103-PG-1601</t>
        </is>
      </c>
      <c r="F92" s="15" t="inlineStr">
        <is>
          <t>29103-65R-ET-PG1601-02-01</t>
        </is>
      </c>
      <c r="G92" s="15" t="inlineStr">
        <is>
          <t>13.1</t>
        </is>
      </c>
      <c r="H92" s="15" t="inlineStr">
        <is>
          <t>1.6. 29103-HTP-003/1. EHT Insulation/29103-ET-PG1601-2-2.pdf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YES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inlineStr">
        <is>
          <t>&gt;550 MΩ</t>
        </is>
      </c>
      <c r="V92" s="15" t="inlineStr">
        <is>
          <t>14.9 Ω</t>
        </is>
      </c>
      <c r="W92" s="15" t="inlineStr">
        <is>
          <t>2026-05-18</t>
        </is>
      </c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E/32SB3700/6.3M/294/65.4/1.2M/LS23A/X/N12/XMF</t>
        </is>
      </c>
      <c r="AK92" s="15" t="inlineStr">
        <is>
          <t>6.3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29103-ET-PG1601-2-3</t>
        </is>
      </c>
      <c r="C93" s="15" t="inlineStr">
        <is>
          <t>29103-ET-PG1601-2</t>
        </is>
      </c>
      <c r="D93" s="15" t="inlineStr">
        <is>
          <t>HTC-31 / CB-31</t>
        </is>
      </c>
      <c r="E93" s="15" t="inlineStr">
        <is>
          <t>29103-PG-1601</t>
        </is>
      </c>
      <c r="F93" s="15" t="inlineStr">
        <is>
          <t>29103-65R-ET-PG1601-02-01</t>
        </is>
      </c>
      <c r="G93" s="15" t="inlineStr">
        <is>
          <t>13.1</t>
        </is>
      </c>
      <c r="H93" s="15" t="inlineStr">
        <is>
          <t>1.6. 29103-HTP-003/1. EHT Insulation/29103-ET-PG1601-2-3.pdf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28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D/32SB3700/11.8M/550/122/1.2M/LS23A/X/N12/XMN</t>
        </is>
      </c>
      <c r="AK93" s="15" t="inlineStr">
        <is>
          <t>11.8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29103-ET-PG1701-1-1</t>
        </is>
      </c>
      <c r="C94" s="15" t="inlineStr">
        <is>
          <t>29103-ET-PG1701-1</t>
        </is>
      </c>
      <c r="D94" s="15" t="inlineStr">
        <is>
          <t>HTC-21 / CB-21</t>
        </is>
      </c>
      <c r="E94" s="15" t="inlineStr">
        <is>
          <t>29103-PG-1701, 29103-PE-1702, 29103-P-1700</t>
        </is>
      </c>
      <c r="F94" s="15" t="inlineStr">
        <is>
          <t>29103-65R-ET-PG1701-01-01</t>
        </is>
      </c>
      <c r="G94" s="15" t="inlineStr">
        <is>
          <t>13.1</t>
        </is>
      </c>
      <c r="H94" s="15" t="inlineStr">
        <is>
          <t>1.6. 29103-HTP-003/1. EHT Insulation/29103-ET-PG1701-1-1.pdf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NO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D/32SP4734/90M/3006/277/1.2M/LS23A/X/N12</t>
        </is>
      </c>
      <c r="AK94" s="15" t="inlineStr">
        <is>
          <t>90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29103-ET-PG1701-2-1</t>
        </is>
      </c>
      <c r="C95" s="15" t="inlineStr">
        <is>
          <t>29103-ET-PG1701-2</t>
        </is>
      </c>
      <c r="D95" s="15" t="inlineStr">
        <is>
          <t>HTC-25 / CB-25</t>
        </is>
      </c>
      <c r="E95" s="15" t="inlineStr">
        <is>
          <t>29103-PG-1701</t>
        </is>
      </c>
      <c r="F95" s="15" t="inlineStr">
        <is>
          <t>29103-65R-ET-PG1701-02-01</t>
        </is>
      </c>
      <c r="G95" s="15" t="inlineStr">
        <is>
          <t>13.1</t>
        </is>
      </c>
      <c r="H95" s="15" t="inlineStr">
        <is>
          <t>1.6. 29103-HTP-003/1. EHT Insulation/29103-ET-PG1701-2-1.pdf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21.8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E/32SB3700/9.2M/409/93.3/1.2M/LS23A/X/N12/XNF</t>
        </is>
      </c>
      <c r="AK95" s="15" t="inlineStr">
        <is>
          <t>9.2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29103-ET-PG1701-2-2</t>
        </is>
      </c>
      <c r="C96" s="15" t="inlineStr">
        <is>
          <t>29103-ET-PG1701-2</t>
        </is>
      </c>
      <c r="D96" s="15" t="inlineStr">
        <is>
          <t>HTC-25 / CB-25</t>
        </is>
      </c>
      <c r="E96" s="15" t="inlineStr">
        <is>
          <t>29103-PG-1701</t>
        </is>
      </c>
      <c r="F96" s="15" t="inlineStr">
        <is>
          <t>29103-65R-ET-PG1701-02-01</t>
        </is>
      </c>
      <c r="G96" s="15" t="inlineStr">
        <is>
          <t>13.1</t>
        </is>
      </c>
      <c r="H96" s="15" t="inlineStr">
        <is>
          <t>1.6. 29103-HTP-003/1. EHT Insulation/29103-ET-PG1701-2-2.pdf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YES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inlineStr">
        <is>
          <t>&gt;550 MΩ</t>
        </is>
      </c>
      <c r="V96" s="15" t="inlineStr">
        <is>
          <t>15 Ω</t>
        </is>
      </c>
      <c r="W96" s="15" t="inlineStr">
        <is>
          <t>2026-05-18</t>
        </is>
      </c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E/32SB3700/6.3M/280/63.9/1.2M/LS23A/X/N12/XMF</t>
        </is>
      </c>
      <c r="AK96" s="15" t="inlineStr">
        <is>
          <t>6.3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29103-ET-PG1701-2-3</t>
        </is>
      </c>
      <c r="C97" s="15" t="inlineStr">
        <is>
          <t>29103-ET-PG1701-2</t>
        </is>
      </c>
      <c r="D97" s="15" t="inlineStr">
        <is>
          <t>HTC-25 / CB-25</t>
        </is>
      </c>
      <c r="E97" s="15" t="inlineStr">
        <is>
          <t>29103-PG-1701</t>
        </is>
      </c>
      <c r="F97" s="15" t="inlineStr">
        <is>
          <t>29103-65R-ET-PG1701-02-01</t>
        </is>
      </c>
      <c r="G97" s="15" t="inlineStr">
        <is>
          <t>13.1</t>
        </is>
      </c>
      <c r="H97" s="15" t="inlineStr">
        <is>
          <t>1.6. 29103-HTP-003/1. EHT Insulation/29103-ET-PG1701-2-3.pdf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YES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inlineStr">
        <is>
          <t>&gt;550 MΩ</t>
        </is>
      </c>
      <c r="V97" s="15" t="inlineStr">
        <is>
          <t>28.2 Ω</t>
        </is>
      </c>
      <c r="W97" s="15" t="inlineStr">
        <is>
          <t>2026-05-18</t>
        </is>
      </c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D/32SB3700/11.8M/525/120/1.2M/LS23A/X/N12/XMN</t>
        </is>
      </c>
      <c r="AK97" s="15" t="inlineStr">
        <is>
          <t>11.8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29103-ET-ST1303-1-1</t>
        </is>
      </c>
      <c r="C98" s="15" t="inlineStr">
        <is>
          <t>29103-ET-ST1303-1</t>
        </is>
      </c>
      <c r="D98" s="15" t="inlineStr">
        <is>
          <t>29103-AMB-004</t>
        </is>
      </c>
      <c r="E98" s="15" t="inlineStr">
        <is>
          <t>29103-ST-1304, 29103-ST-1303</t>
        </is>
      </c>
      <c r="F98" s="15" t="inlineStr">
        <is>
          <t>29103-65R-ET-ST1303-01-01</t>
        </is>
      </c>
      <c r="G98" s="15" t="inlineStr">
        <is>
          <t>13.1</t>
        </is>
      </c>
      <c r="H98" s="15" t="inlineStr">
        <is>
          <t>1.6. 29103-HTP-003/1. EHT Insulation/29103-ET-ST1303-1-1.pdf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NO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E/32SB2114/17.5M/282/136/1.2M/LS23A/X/N12/XNF</t>
        </is>
      </c>
      <c r="AK98" s="15" t="inlineStr">
        <is>
          <t>17.5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29103-ET-ST1303-1-2</t>
        </is>
      </c>
      <c r="C99" s="15" t="inlineStr">
        <is>
          <t>29103-ET-ST1303-1</t>
        </is>
      </c>
      <c r="D99" s="15" t="inlineStr">
        <is>
          <t>29103-AMB-004</t>
        </is>
      </c>
      <c r="E99" s="15" t="inlineStr">
        <is>
          <t>29103-ST-1304</t>
        </is>
      </c>
      <c r="F99" s="15" t="inlineStr">
        <is>
          <t>29103-65R-ET-ST1303-01-01</t>
        </is>
      </c>
      <c r="G99" s="15" t="inlineStr">
        <is>
          <t>13.1</t>
        </is>
      </c>
      <c r="H99" s="15" t="inlineStr">
        <is>
          <t>1.6. 29103-HTP-003/1. EHT Insulation/29103-ET-ST1303-1-2.pdf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NO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D/32SB2114/18.2M/293/141/1.2M/LS23A/X/N12/XMN</t>
        </is>
      </c>
      <c r="AK99" s="15" t="inlineStr">
        <is>
          <t>18.2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29103-ET-ST1303-1-3</t>
        </is>
      </c>
      <c r="C100" s="15" t="inlineStr">
        <is>
          <t>29103-ET-ST1303-1</t>
        </is>
      </c>
      <c r="D100" s="15" t="inlineStr">
        <is>
          <t>29103-AMB-004</t>
        </is>
      </c>
      <c r="E100" s="15" t="inlineStr">
        <is>
          <t>29103-ST-1303</t>
        </is>
      </c>
      <c r="F100" s="15" t="inlineStr">
        <is>
          <t>29103-65R-ET-ST1303-01-01</t>
        </is>
      </c>
      <c r="G100" s="15" t="inlineStr">
        <is>
          <t>13.1</t>
        </is>
      </c>
      <c r="H100" s="15" t="inlineStr">
        <is>
          <t>1.6. 29103-HTP-003/1. EHT Insulation/29103-ET-ST1303-1-3.pdf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YES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inlineStr">
        <is>
          <t>&gt;550 MΩ</t>
        </is>
      </c>
      <c r="V100" s="15" t="inlineStr">
        <is>
          <t>55.4 Ω</t>
        </is>
      </c>
      <c r="W100" s="15" t="inlineStr">
        <is>
          <t>2026-05-18</t>
        </is>
      </c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E/32SA2170/9.5M/162/93/1.2M/LS23A/X/N12/XNF</t>
        </is>
      </c>
      <c r="AK100" s="15" t="inlineStr">
        <is>
          <t>9.5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29103-ET-ST1303-1-4</t>
        </is>
      </c>
      <c r="C101" s="15" t="inlineStr">
        <is>
          <t>29103-ET-ST1303-1</t>
        </is>
      </c>
      <c r="D101" s="15" t="inlineStr">
        <is>
          <t>29103-AMB-004</t>
        </is>
      </c>
      <c r="E101" s="15" t="inlineStr">
        <is>
          <t>29103-ST-1303</t>
        </is>
      </c>
      <c r="F101" s="15" t="inlineStr">
        <is>
          <t>29103-65R-ET-ST1303-01-01</t>
        </is>
      </c>
      <c r="G101" s="15" t="inlineStr">
        <is>
          <t>13.1</t>
        </is>
      </c>
      <c r="H101" s="15" t="inlineStr">
        <is>
          <t>1.6. 29103-HTP-003/1. EHT Insulation/29103-ET-ST1303-1-4.pdf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YES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inlineStr">
        <is>
          <t>&gt;550 MΩ</t>
        </is>
      </c>
      <c r="V101" s="15" t="inlineStr">
        <is>
          <t>33.8 Ω</t>
        </is>
      </c>
      <c r="W101" s="15" t="inlineStr">
        <is>
          <t>2026-05-18</t>
        </is>
      </c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E/32SA2170/5.7M/97/55.8/1.2M/LS23A/X/N12/XMF</t>
        </is>
      </c>
      <c r="AK101" s="15" t="inlineStr">
        <is>
          <t>5.7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29103-ET-ST1303-1-5</t>
        </is>
      </c>
      <c r="C102" s="15" t="inlineStr">
        <is>
          <t>29103-ET-ST1303-1</t>
        </is>
      </c>
      <c r="D102" s="15" t="inlineStr">
        <is>
          <t>29103-AMB-004</t>
        </is>
      </c>
      <c r="E102" s="15" t="inlineStr">
        <is>
          <t>29103-ST-1303</t>
        </is>
      </c>
      <c r="F102" s="15" t="inlineStr">
        <is>
          <t>29103-65R-ET-ST1303-01-01</t>
        </is>
      </c>
      <c r="G102" s="15" t="inlineStr">
        <is>
          <t>13.1</t>
        </is>
      </c>
      <c r="H102" s="15" t="inlineStr">
        <is>
          <t>1.6. 29103-HTP-003/1. EHT Insulation/29103-ET-ST1303-1-5.pdf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YES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inlineStr">
        <is>
          <t>&gt;550 MΩ</t>
        </is>
      </c>
      <c r="V102" s="15" t="inlineStr">
        <is>
          <t>76.2 Ω</t>
        </is>
      </c>
      <c r="W102" s="15" t="inlineStr">
        <is>
          <t>2026-05-18</t>
        </is>
      </c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D/32SA2170/13.1M/224/128/1.2M/LS23A/X/N12/XMN</t>
        </is>
      </c>
      <c r="AK102" s="15" t="inlineStr">
        <is>
          <t>13.1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29103-ET-ST1403-1-1</t>
        </is>
      </c>
      <c r="C103" s="15" t="inlineStr">
        <is>
          <t>29103-ET-ST1403-1</t>
        </is>
      </c>
      <c r="D103" s="15" t="inlineStr">
        <is>
          <t>29103-AMB-004</t>
        </is>
      </c>
      <c r="E103" s="15" t="inlineStr">
        <is>
          <t>29103-ST-1404, 29103-ST-1403</t>
        </is>
      </c>
      <c r="F103" s="15" t="inlineStr">
        <is>
          <t>29103-65R-ET-ST1403-01-01</t>
        </is>
      </c>
      <c r="G103" s="15" t="inlineStr">
        <is>
          <t>13.1</t>
        </is>
      </c>
      <c r="H103" s="15" t="inlineStr">
        <is>
          <t>1.6. 29103-HTP-003/1. EHT Insulation/29103-ET-ST1403-1-1.pdf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NO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E/32SB2114/17.3M/282/135/1.2M/LS23A/X/N12/XNF</t>
        </is>
      </c>
      <c r="AK103" s="15" t="inlineStr">
        <is>
          <t>17.3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29103-ET-ST1403-1-2</t>
        </is>
      </c>
      <c r="C104" s="15" t="inlineStr">
        <is>
          <t>29103-ET-ST1403-1</t>
        </is>
      </c>
      <c r="D104" s="15" t="inlineStr">
        <is>
          <t>29103-AMB-004</t>
        </is>
      </c>
      <c r="E104" s="15" t="inlineStr">
        <is>
          <t>29103-ST-1404</t>
        </is>
      </c>
      <c r="F104" s="15" t="inlineStr">
        <is>
          <t>29103-65R-ET-ST1403-01-01</t>
        </is>
      </c>
      <c r="G104" s="15" t="inlineStr">
        <is>
          <t>13.1</t>
        </is>
      </c>
      <c r="H104" s="15" t="inlineStr">
        <is>
          <t>1.6. 29103-HTP-003/1. EHT Insulation/29103-ET-ST1403-1-2.pdf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NO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D/32SB2114/18.2M/297/142/1.2M/LS23A/X/N12/XMN</t>
        </is>
      </c>
      <c r="AK104" s="15" t="inlineStr">
        <is>
          <t>18.2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29103-ET-ST1403-1-3</t>
        </is>
      </c>
      <c r="C105" s="15" t="inlineStr">
        <is>
          <t>29103-ET-ST1403-1</t>
        </is>
      </c>
      <c r="D105" s="15" t="inlineStr">
        <is>
          <t>29103-AMB-004</t>
        </is>
      </c>
      <c r="E105" s="15" t="inlineStr">
        <is>
          <t>29103-ST-1403</t>
        </is>
      </c>
      <c r="F105" s="15" t="inlineStr">
        <is>
          <t>29103-65R-ET-ST1403-01-01</t>
        </is>
      </c>
      <c r="G105" s="15" t="inlineStr">
        <is>
          <t>13.1</t>
        </is>
      </c>
      <c r="H105" s="15" t="inlineStr">
        <is>
          <t>1.6. 29103-HTP-003/1. EHT Insulation/29103-ET-ST1403-1-3.pdf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51.8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E/32SA2200/7.6M/127/79.7/1.2M/LS23A/X/N12/XNF</t>
        </is>
      </c>
      <c r="AK105" s="15" t="inlineStr">
        <is>
          <t>7.6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29103-ET-ST1403-1-4</t>
        </is>
      </c>
      <c r="C106" s="15" t="inlineStr">
        <is>
          <t>29103-ET-ST1403-1</t>
        </is>
      </c>
      <c r="D106" s="15" t="inlineStr">
        <is>
          <t>29103-AMB-004</t>
        </is>
      </c>
      <c r="E106" s="15" t="inlineStr">
        <is>
          <t>29103-ST-1403</t>
        </is>
      </c>
      <c r="F106" s="15" t="inlineStr">
        <is>
          <t>29103-65R-ET-ST1403-01-01</t>
        </is>
      </c>
      <c r="G106" s="15" t="inlineStr">
        <is>
          <t>13.1</t>
        </is>
      </c>
      <c r="H106" s="15" t="inlineStr">
        <is>
          <t>1.6. 29103-HTP-003/1. EHT Insulation/29103-ET-ST1403-1-4.pdf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YES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inlineStr">
        <is>
          <t>&gt;550 MΩ</t>
        </is>
      </c>
      <c r="V106" s="15" t="inlineStr">
        <is>
          <t>38.7 Ω</t>
        </is>
      </c>
      <c r="W106" s="15" t="inlineStr">
        <is>
          <t>2026-05-18</t>
        </is>
      </c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E/32SA2200/5.7M/95/59.8/1.2M/LS23A/X/N12/XMF</t>
        </is>
      </c>
      <c r="AK106" s="15" t="inlineStr">
        <is>
          <t>5.7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29103-ET-ST1403-1-5</t>
        </is>
      </c>
      <c r="C107" s="15" t="inlineStr">
        <is>
          <t>29103-ET-ST1403-1</t>
        </is>
      </c>
      <c r="D107" s="15" t="inlineStr">
        <is>
          <t>29103-AMB-004</t>
        </is>
      </c>
      <c r="E107" s="15" t="inlineStr">
        <is>
          <t>29103-ST-1403</t>
        </is>
      </c>
      <c r="F107" s="15" t="inlineStr">
        <is>
          <t>29103-65R-ET-ST1403-01-01</t>
        </is>
      </c>
      <c r="G107" s="15" t="inlineStr">
        <is>
          <t>13.1</t>
        </is>
      </c>
      <c r="H107" s="15" t="inlineStr">
        <is>
          <t>1.6. 29103-HTP-003/1. EHT Insulation/29103-ET-ST1403-1-5.pdf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YES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inlineStr">
        <is>
          <t>&gt;550 MΩ</t>
        </is>
      </c>
      <c r="V107" s="15" t="inlineStr">
        <is>
          <t>88.3 Ω</t>
        </is>
      </c>
      <c r="W107" s="15" t="inlineStr">
        <is>
          <t>2026-05-18</t>
        </is>
      </c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D/32SA2200/13.1M/219/137/1.2M/LS23A/X/N12/XMN</t>
        </is>
      </c>
      <c r="AK107" s="15" t="inlineStr">
        <is>
          <t>13.1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29103-ET-ST1503-1-1</t>
        </is>
      </c>
      <c r="C108" s="15" t="inlineStr">
        <is>
          <t>29103-ET-ST1503-1</t>
        </is>
      </c>
      <c r="D108" s="15" t="inlineStr">
        <is>
          <t>29103-AMB-006</t>
        </is>
      </c>
      <c r="E108" s="15" t="inlineStr">
        <is>
          <t>29103-ST-1504, 29103-ST-1503</t>
        </is>
      </c>
      <c r="F108" s="15" t="inlineStr">
        <is>
          <t>29103-65R-ET-ST1503-01-01</t>
        </is>
      </c>
      <c r="G108" s="15" t="inlineStr">
        <is>
          <t>13.1</t>
        </is>
      </c>
      <c r="H108" s="15" t="inlineStr">
        <is>
          <t>1.6. 29103-HTP-003/1. EHT Insulation/29103-ET-ST1503-1-1.pdf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NO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E/32SB2114/17.5M/282/136/1.2M/LS23A/X/N12/XNF</t>
        </is>
      </c>
      <c r="AK108" s="15" t="inlineStr">
        <is>
          <t>17.5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29103-ET-ST1503-1-2</t>
        </is>
      </c>
      <c r="C109" s="15" t="inlineStr">
        <is>
          <t>29103-ET-ST1503-1</t>
        </is>
      </c>
      <c r="D109" s="15" t="inlineStr">
        <is>
          <t>29103-AMB-006</t>
        </is>
      </c>
      <c r="E109" s="15" t="inlineStr">
        <is>
          <t>29103-ST-1504</t>
        </is>
      </c>
      <c r="F109" s="15" t="inlineStr">
        <is>
          <t>29103-65R-ET-ST1503-01-01</t>
        </is>
      </c>
      <c r="G109" s="15" t="inlineStr">
        <is>
          <t>13.1</t>
        </is>
      </c>
      <c r="H109" s="15" t="inlineStr">
        <is>
          <t>1.6. 29103-HTP-003/1. EHT Insulation/29103-ET-ST1503-1-2.pdf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NO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D/32SB2114/18.2M/293/141/1.2M/LS23A/X/N12/XMN</t>
        </is>
      </c>
      <c r="AK109" s="15" t="inlineStr">
        <is>
          <t>18.2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29103-ET-ST1503-1-3</t>
        </is>
      </c>
      <c r="C110" s="15" t="inlineStr">
        <is>
          <t>29103-ET-ST1503-1</t>
        </is>
      </c>
      <c r="D110" s="15" t="inlineStr">
        <is>
          <t>29103-AMB-006</t>
        </is>
      </c>
      <c r="E110" s="15" t="inlineStr">
        <is>
          <t>29103-ST-1503</t>
        </is>
      </c>
      <c r="F110" s="15" t="inlineStr">
        <is>
          <t>29103-65R-ET-ST1503-01-01</t>
        </is>
      </c>
      <c r="G110" s="15" t="inlineStr">
        <is>
          <t>13.1</t>
        </is>
      </c>
      <c r="H110" s="15" t="inlineStr">
        <is>
          <t>1.6. 29103-HTP-003/1. EHT Insulation/29103-ET-ST1503-1-3.pdf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55.5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E/32SA2170/9.5M/162/93/1.2M/LS23A/X/N12/XNF</t>
        </is>
      </c>
      <c r="AK110" s="15" t="inlineStr">
        <is>
          <t>9.5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29103-ET-ST1503-1-4</t>
        </is>
      </c>
      <c r="C111" s="15" t="inlineStr">
        <is>
          <t>29103-ET-ST1503-1</t>
        </is>
      </c>
      <c r="D111" s="15" t="inlineStr">
        <is>
          <t>29103-AMB-006</t>
        </is>
      </c>
      <c r="E111" s="15" t="inlineStr">
        <is>
          <t>29103-ST-1503</t>
        </is>
      </c>
      <c r="F111" s="15" t="inlineStr">
        <is>
          <t>29103-65R-ET-ST1503-01-01</t>
        </is>
      </c>
      <c r="G111" s="15" t="inlineStr">
        <is>
          <t>13.1</t>
        </is>
      </c>
      <c r="H111" s="15" t="inlineStr">
        <is>
          <t>1.6. 29103-HTP-003/1. EHT Insulation/29103-ET-ST1503-1-4.pdf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YES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inlineStr">
        <is>
          <t>&gt;550 MΩ</t>
        </is>
      </c>
      <c r="V111" s="15" t="inlineStr">
        <is>
          <t>33.5 Ω</t>
        </is>
      </c>
      <c r="W111" s="15" t="inlineStr">
        <is>
          <t>2026-05-18</t>
        </is>
      </c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E/32SA2170/5.7M/97/55.8/1.2M/LS23A/X/N12/XMF</t>
        </is>
      </c>
      <c r="AK111" s="15" t="inlineStr">
        <is>
          <t>5.7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29103-ET-ST1503-1-5</t>
        </is>
      </c>
      <c r="C112" s="15" t="inlineStr">
        <is>
          <t>29103-ET-ST1503-1</t>
        </is>
      </c>
      <c r="D112" s="15" t="inlineStr">
        <is>
          <t>29103-AMB-006</t>
        </is>
      </c>
      <c r="E112" s="15" t="inlineStr">
        <is>
          <t>29103-ST-1503</t>
        </is>
      </c>
      <c r="F112" s="15" t="inlineStr">
        <is>
          <t>29103-65R-ET-ST1503-01-01</t>
        </is>
      </c>
      <c r="G112" s="15" t="inlineStr">
        <is>
          <t>13.1</t>
        </is>
      </c>
      <c r="H112" s="15" t="inlineStr">
        <is>
          <t>1.6. 29103-HTP-003/1. EHT Insulation/29103-ET-ST1503-1-5.pdf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YES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inlineStr">
        <is>
          <t>&gt;550 MΩ</t>
        </is>
      </c>
      <c r="V112" s="15" t="inlineStr">
        <is>
          <t>76.1 Ω</t>
        </is>
      </c>
      <c r="W112" s="15" t="inlineStr">
        <is>
          <t>2026-05-18</t>
        </is>
      </c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D/32SA2170/13.1M/224/128/1.2M/LS23A/X/N12/XMN</t>
        </is>
      </c>
      <c r="AK112" s="15" t="inlineStr">
        <is>
          <t>13.1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EHT Trace</t>
        </is>
      </c>
      <c r="B113" s="15" t="inlineStr">
        <is>
          <t>29103-ET-ST1603-1-1</t>
        </is>
      </c>
      <c r="C113" s="15" t="inlineStr">
        <is>
          <t>29103-ET-ST1603-1</t>
        </is>
      </c>
      <c r="D113" s="15" t="inlineStr">
        <is>
          <t>29103-AMB-006</t>
        </is>
      </c>
      <c r="E113" s="15" t="inlineStr">
        <is>
          <t>29103-ST-1604, 29103-ST-1603</t>
        </is>
      </c>
      <c r="F113" s="15" t="inlineStr">
        <is>
          <t>29103-65R-ET-ST1603-01-01</t>
        </is>
      </c>
      <c r="G113" s="15" t="inlineStr">
        <is>
          <t>13.1</t>
        </is>
      </c>
      <c r="H113" s="15" t="inlineStr">
        <is>
          <t>1.6. 29103-HTP-003/1. EHT Insulation/29103-ET-ST1603-1-1.pdf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NO</v>
      </c>
      <c r="L113" s="6" t="str">
        <f>IF(OR($A113="EHT Trace"),IF(AND($X113&lt;&gt;"",$Y113&lt;&gt;""),"YES","NO"),"N/A")</f>
        <v>NO</v>
      </c>
      <c r="M113" s="6" t="str">
        <f>IF(OR($A113="EHT Trace"),IF(AND($AA113&lt;&gt;"",$AB113&lt;&gt;""),"YES","NO"),"N/A")</f>
        <v>NO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E/32SB2114/17.3M/282/135/1.2M/LS23A/X/N12/XNF</t>
        </is>
      </c>
      <c r="AK113" s="15" t="inlineStr">
        <is>
          <t>17.3 m m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EHT Trace</t>
        </is>
      </c>
      <c r="B114" s="15" t="inlineStr">
        <is>
          <t>29103-ET-ST1603-1-2</t>
        </is>
      </c>
      <c r="C114" s="15" t="inlineStr">
        <is>
          <t>29103-ET-ST1603-1</t>
        </is>
      </c>
      <c r="D114" s="15" t="inlineStr">
        <is>
          <t>29103-AMB-006</t>
        </is>
      </c>
      <c r="E114" s="15" t="inlineStr">
        <is>
          <t>29103-ST-1604</t>
        </is>
      </c>
      <c r="F114" s="15" t="inlineStr">
        <is>
          <t>29103-65R-ET-ST1603-01-01</t>
        </is>
      </c>
      <c r="G114" s="15" t="inlineStr">
        <is>
          <t>13.1</t>
        </is>
      </c>
      <c r="H114" s="15" t="inlineStr">
        <is>
          <t>1.6. 29103-HTP-003/1. EHT Insulation/29103-ET-ST1603-1-2.pdf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NO</v>
      </c>
      <c r="L114" s="6" t="str">
        <f>IF(OR($A114="EHT Trace"),IF(AND($X114&lt;&gt;"",$Y114&lt;&gt;""),"YES","NO"),"N/A")</f>
        <v>NO</v>
      </c>
      <c r="M114" s="6" t="str">
        <f>IF(OR($A114="EHT Trace"),IF(AND($AA114&lt;&gt;"",$AB114&lt;&gt;""),"YES","NO"),"N/A")</f>
        <v>NO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D/32SB2114/18.2M/297/142/1.2M/LS23A/X/N12/XMN</t>
        </is>
      </c>
      <c r="AK114" s="15" t="inlineStr">
        <is>
          <t>18.2 m m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EHT Trace</t>
        </is>
      </c>
      <c r="B115" s="15" t="inlineStr">
        <is>
          <t>29103-ET-ST1603-1-3</t>
        </is>
      </c>
      <c r="C115" s="15" t="inlineStr">
        <is>
          <t>29103-ET-ST1603-1</t>
        </is>
      </c>
      <c r="D115" s="15" t="inlineStr">
        <is>
          <t>29103-AMB-006</t>
        </is>
      </c>
      <c r="E115" s="15" t="inlineStr">
        <is>
          <t>29103-ST-1603</t>
        </is>
      </c>
      <c r="F115" s="15" t="inlineStr">
        <is>
          <t>29103-65R-ET-ST1603-01-01</t>
        </is>
      </c>
      <c r="G115" s="15" t="inlineStr">
        <is>
          <t>13.1</t>
        </is>
      </c>
      <c r="H115" s="15" t="inlineStr">
        <is>
          <t>1.6. 29103-HTP-003/1. EHT Insulation/29103-ET-ST1603-1-3.pdf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NO</v>
      </c>
      <c r="L115" s="6" t="str">
        <f>IF(OR($A115="EHT Trace"),IF(AND($X115&lt;&gt;"",$Y115&lt;&gt;""),"YES","NO"),"N/A")</f>
        <v>NO</v>
      </c>
      <c r="M115" s="6" t="str">
        <f>IF(OR($A115="EHT Trace"),IF(AND($AA115&lt;&gt;"",$AB115&lt;&gt;""),"YES","NO"),"N/A")</f>
        <v>NO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E/32SA2200/7.6M/127/79.7/1.2M/LS23A/X/N12/XNF</t>
        </is>
      </c>
      <c r="AK115" s="15" t="inlineStr">
        <is>
          <t>7.6 m m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EHT Trace</t>
        </is>
      </c>
      <c r="B116" s="15" t="inlineStr">
        <is>
          <t>29103-ET-ST1603-1-4</t>
        </is>
      </c>
      <c r="C116" s="15" t="inlineStr">
        <is>
          <t>29103-ET-ST1603-1</t>
        </is>
      </c>
      <c r="D116" s="15" t="inlineStr">
        <is>
          <t>29103-AMB-006</t>
        </is>
      </c>
      <c r="E116" s="15" t="inlineStr">
        <is>
          <t>29103-ST-1603</t>
        </is>
      </c>
      <c r="F116" s="15" t="inlineStr">
        <is>
          <t>29103-65R-ET-ST1603-01-01</t>
        </is>
      </c>
      <c r="G116" s="15" t="inlineStr">
        <is>
          <t>13.1</t>
        </is>
      </c>
      <c r="H116" s="15" t="inlineStr">
        <is>
          <t>1.6. 29103-HTP-003/1. EHT Insulation/29103-ET-ST1603-1-4.pdf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NO</v>
      </c>
      <c r="L116" s="6" t="str">
        <f>IF(OR($A116="EHT Trace"),IF(AND($X116&lt;&gt;"",$Y116&lt;&gt;""),"YES","NO"),"N/A")</f>
        <v>NO</v>
      </c>
      <c r="M116" s="6" t="str">
        <f>IF(OR($A116="EHT Trace"),IF(AND($AA116&lt;&gt;"",$AB116&lt;&gt;""),"YES","NO"),"N/A")</f>
        <v>NO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E/32SA2200/5.7M/95/59.8/1.2M/LS23A/X/N12/XMF</t>
        </is>
      </c>
      <c r="AK116" s="15" t="inlineStr">
        <is>
          <t>5.7 m m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EHT Trace</t>
        </is>
      </c>
      <c r="B117" s="15" t="inlineStr">
        <is>
          <t>29103-ET-ST1603-1-5</t>
        </is>
      </c>
      <c r="C117" s="15" t="inlineStr">
        <is>
          <t>29103-ET-ST1603-1</t>
        </is>
      </c>
      <c r="D117" s="15" t="inlineStr">
        <is>
          <t>29103-AMB-006</t>
        </is>
      </c>
      <c r="E117" s="15" t="inlineStr">
        <is>
          <t>29103-ST-1603</t>
        </is>
      </c>
      <c r="F117" s="15" t="inlineStr">
        <is>
          <t>29103-65R-ET-ST1603-01-01</t>
        </is>
      </c>
      <c r="G117" s="15" t="inlineStr">
        <is>
          <t>13.1</t>
        </is>
      </c>
      <c r="H117" s="15" t="inlineStr">
        <is>
          <t>1.6. 29103-HTP-003/1. EHT Insulation/29103-ET-ST1603-1-5.pdf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NO</v>
      </c>
      <c r="L117" s="6" t="str">
        <f>IF(OR($A117="EHT Trace"),IF(AND($X117&lt;&gt;"",$Y117&lt;&gt;""),"YES","NO"),"N/A")</f>
        <v>NO</v>
      </c>
      <c r="M117" s="6" t="str">
        <f>IF(OR($A117="EHT Trace"),IF(AND($AA117&lt;&gt;"",$AB117&lt;&gt;""),"YES","NO"),"N/A")</f>
        <v>NO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D/32SA2200/13.1M/219/137/1.2M/LS23A/X/N12/XMN</t>
        </is>
      </c>
      <c r="AK117" s="15" t="inlineStr">
        <is>
          <t>13.1 m m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EHT Trace</t>
        </is>
      </c>
      <c r="B118" s="15" t="inlineStr">
        <is>
          <t>29103-ET-ST1703-1-1</t>
        </is>
      </c>
      <c r="C118" s="15" t="inlineStr">
        <is>
          <t>29103-ET-ST1703-1</t>
        </is>
      </c>
      <c r="D118" s="15" t="inlineStr">
        <is>
          <t>29103-AMB-006</t>
        </is>
      </c>
      <c r="E118" s="15" t="inlineStr">
        <is>
          <t>29103-ST-1704, 29103-ST-1703</t>
        </is>
      </c>
      <c r="F118" s="15" t="inlineStr">
        <is>
          <t>29103-65R-ET-ST1703-01-01</t>
        </is>
      </c>
      <c r="G118" s="15" t="inlineStr">
        <is>
          <t>13.1</t>
        </is>
      </c>
      <c r="H118" s="15" t="inlineStr">
        <is>
          <t>1.6. 29103-HTP-003/1. EHT Insulation/29103-ET-ST1703-1-1.pdf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NO</v>
      </c>
      <c r="L118" s="6" t="str">
        <f>IF(OR($A118="EHT Trace"),IF(AND($X118&lt;&gt;"",$Y118&lt;&gt;""),"YES","NO"),"N/A")</f>
        <v>NO</v>
      </c>
      <c r="M118" s="6" t="str">
        <f>IF(OR($A118="EHT Trace"),IF(AND($AA118&lt;&gt;"",$AB118&lt;&gt;""),"YES","NO"),"N/A")</f>
        <v>NO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E/32SB2114/17.5M/282/136/1.2M/LS23A/X/N12/XNF</t>
        </is>
      </c>
      <c r="AK118" s="15" t="inlineStr">
        <is>
          <t>17.5 m m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EHT Trace</t>
        </is>
      </c>
      <c r="B119" s="15" t="inlineStr">
        <is>
          <t>29103-ET-ST1703-1-2</t>
        </is>
      </c>
      <c r="C119" s="15" t="inlineStr">
        <is>
          <t>29103-ET-ST1703-1</t>
        </is>
      </c>
      <c r="D119" s="15" t="inlineStr">
        <is>
          <t>29103-AMB-006</t>
        </is>
      </c>
      <c r="E119" s="15" t="inlineStr">
        <is>
          <t>29103-ST-1704</t>
        </is>
      </c>
      <c r="F119" s="15" t="inlineStr">
        <is>
          <t>29103-65R-ET-ST1703-01-01</t>
        </is>
      </c>
      <c r="G119" s="15" t="inlineStr">
        <is>
          <t>13.1</t>
        </is>
      </c>
      <c r="H119" s="15" t="inlineStr">
        <is>
          <t>1.6. 29103-HTP-003/1. EHT Insulation/29103-ET-ST1703-1-2.pdf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NO</v>
      </c>
      <c r="L119" s="6" t="str">
        <f>IF(OR($A119="EHT Trace"),IF(AND($X119&lt;&gt;"",$Y119&lt;&gt;""),"YES","NO"),"N/A")</f>
        <v>NO</v>
      </c>
      <c r="M119" s="6" t="str">
        <f>IF(OR($A119="EHT Trace"),IF(AND($AA119&lt;&gt;"",$AB119&lt;&gt;""),"YES","NO"),"N/A")</f>
        <v>NO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D/32SB2114/18.2M/293/141/1.2M/LS23A/X/N12/XMN</t>
        </is>
      </c>
      <c r="AK119" s="15" t="inlineStr">
        <is>
          <t>18.2 m m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EHT Trace</t>
        </is>
      </c>
      <c r="B120" s="15" t="inlineStr">
        <is>
          <t>29103-ET-ST1703-1-3</t>
        </is>
      </c>
      <c r="C120" s="15" t="inlineStr">
        <is>
          <t>29103-ET-ST1703-1</t>
        </is>
      </c>
      <c r="D120" s="15" t="inlineStr">
        <is>
          <t>29103-AMB-006</t>
        </is>
      </c>
      <c r="E120" s="15" t="inlineStr">
        <is>
          <t>29103-ST-1703</t>
        </is>
      </c>
      <c r="F120" s="15" t="inlineStr">
        <is>
          <t>29103-65R-ET-ST1703-01-01</t>
        </is>
      </c>
      <c r="G120" s="15" t="inlineStr">
        <is>
          <t>13.1</t>
        </is>
      </c>
      <c r="H120" s="15" t="inlineStr">
        <is>
          <t>1.6. 29103-HTP-003/1. EHT Insulation/29103-ET-ST1703-1-3.pdf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NO</v>
      </c>
      <c r="L120" s="6" t="str">
        <f>IF(OR($A120="EHT Trace"),IF(AND($X120&lt;&gt;"",$Y120&lt;&gt;""),"YES","NO"),"N/A")</f>
        <v>NO</v>
      </c>
      <c r="M120" s="6" t="str">
        <f>IF(OR($A120="EHT Trace"),IF(AND($AA120&lt;&gt;"",$AB120&lt;&gt;""),"YES","NO"),"N/A")</f>
        <v>NO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E/32SA2170/9.5M/162/93/1.2M/LS23A/X/N12/XNF</t>
        </is>
      </c>
      <c r="AK120" s="15" t="inlineStr">
        <is>
          <t>9.5 m m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EHT Trace</t>
        </is>
      </c>
      <c r="B121" s="15" t="inlineStr">
        <is>
          <t>29103-ET-ST1703-1-4</t>
        </is>
      </c>
      <c r="C121" s="15" t="inlineStr">
        <is>
          <t>29103-ET-ST1703-1</t>
        </is>
      </c>
      <c r="D121" s="15" t="inlineStr">
        <is>
          <t>29103-AMB-006</t>
        </is>
      </c>
      <c r="E121" s="15" t="inlineStr">
        <is>
          <t>29103-ST-1703</t>
        </is>
      </c>
      <c r="F121" s="15" t="inlineStr">
        <is>
          <t>29103-65R-ET-ST1703-01-01</t>
        </is>
      </c>
      <c r="G121" s="15" t="inlineStr">
        <is>
          <t>13.1</t>
        </is>
      </c>
      <c r="H121" s="15" t="inlineStr">
        <is>
          <t>1.6. 29103-HTP-003/1. EHT Insulation/29103-ET-ST1703-1-4.pdf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NO</v>
      </c>
      <c r="L121" s="6" t="str">
        <f>IF(OR($A121="EHT Trace"),IF(AND($X121&lt;&gt;"",$Y121&lt;&gt;""),"YES","NO"),"N/A")</f>
        <v>NO</v>
      </c>
      <c r="M121" s="6" t="str">
        <f>IF(OR($A121="EHT Trace"),IF(AND($AA121&lt;&gt;"",$AB121&lt;&gt;""),"YES","NO"),"N/A")</f>
        <v>NO</v>
      </c>
      <c r="N121" s="6" t="str">
        <f>IF(OR($A121="Power Cable"),IF(AND($AD121&lt;&gt;""),"YES","NO"),"N/A")</f>
        <v>N/A</v>
      </c>
      <c r="O121" s="6" t="str">
        <f>IF(OR($A121="Power Cable",$A121="RTD Cable",$A121="Fieldbus Cable"),IF(AND($AE121&lt;&gt;""),"YES","NO"),"N/A")</f>
        <v>N/A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E/32SA2170/5.7M/97/55.8/1.2M/LS23A/X/N12/XMF</t>
        </is>
      </c>
      <c r="AK121" s="15" t="inlineStr">
        <is>
          <t>5.7 m m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EHT Trace</t>
        </is>
      </c>
      <c r="B122" s="15" t="inlineStr">
        <is>
          <t>29103-ET-ST1703-1-5</t>
        </is>
      </c>
      <c r="C122" s="15" t="inlineStr">
        <is>
          <t>29103-ET-ST1703-1</t>
        </is>
      </c>
      <c r="D122" s="15" t="inlineStr">
        <is>
          <t>29103-AMB-006</t>
        </is>
      </c>
      <c r="E122" s="15" t="inlineStr">
        <is>
          <t>29103-ST-1703</t>
        </is>
      </c>
      <c r="F122" s="15" t="inlineStr">
        <is>
          <t>29103-65R-ET-ST1703-01-01</t>
        </is>
      </c>
      <c r="G122" s="15" t="inlineStr">
        <is>
          <t>13.1</t>
        </is>
      </c>
      <c r="H122" s="15" t="inlineStr">
        <is>
          <t>1.6. 29103-HTP-003/1. EHT Insulation/29103-ET-ST1703-1-5.pdf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NO</v>
      </c>
      <c r="L122" s="6" t="str">
        <f>IF(OR($A122="EHT Trace"),IF(AND($X122&lt;&gt;"",$Y122&lt;&gt;""),"YES","NO"),"N/A")</f>
        <v>NO</v>
      </c>
      <c r="M122" s="6" t="str">
        <f>IF(OR($A122="EHT Trace"),IF(AND($AA122&lt;&gt;"",$AB122&lt;&gt;""),"YES","NO"),"N/A")</f>
        <v>NO</v>
      </c>
      <c r="N122" s="6" t="str">
        <f>IF(OR($A122="Power Cable"),IF(AND($AD122&lt;&gt;""),"YES","NO"),"N/A")</f>
        <v>N/A</v>
      </c>
      <c r="O122" s="6" t="str">
        <f>IF(OR($A122="Power Cable",$A122="RTD Cable",$A122="Fieldbus Cable"),IF(AND($AE122&lt;&gt;""),"YES","NO"),"N/A")</f>
        <v>N/A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D/32SA2170/13.1M/224/128/1.2M/LS23A/X/N12/XMN</t>
        </is>
      </c>
      <c r="AK122" s="15" t="inlineStr">
        <is>
          <t>13.1 m m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29103-AMB-004</t>
        </is>
      </c>
      <c r="C123" s="15" t="inlineStr"/>
      <c r="D123" s="15" t="inlineStr"/>
      <c r="E123" s="15" t="inlineStr">
        <is>
          <t>29103-HTP-003</t>
        </is>
      </c>
      <c r="F123" s="15" t="inlineStr"/>
      <c r="G123" s="15" t="inlineStr">
        <is>
          <t>113</t>
        </is>
      </c>
      <c r="H123" s="15" t="inlineStr">
        <is>
          <t>1.6. 29103-HTP-003/3. Power Cables/29103-AMB-004.pdf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8AWG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29103-AMB-005</t>
        </is>
      </c>
      <c r="C124" s="15" t="inlineStr"/>
      <c r="D124" s="15" t="inlineStr"/>
      <c r="E124" s="15" t="inlineStr">
        <is>
          <t>29103-HTP-003</t>
        </is>
      </c>
      <c r="F124" s="15" t="inlineStr"/>
      <c r="G124" s="15" t="inlineStr">
        <is>
          <t>113</t>
        </is>
      </c>
      <c r="H124" s="15" t="inlineStr">
        <is>
          <t>1.6. 29103-HTP-003/3. Power Cables/29103-AMB-005.pdf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8AWG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29103-AMB-006</t>
        </is>
      </c>
      <c r="C125" s="15" t="inlineStr"/>
      <c r="D125" s="15" t="inlineStr"/>
      <c r="E125" s="15" t="inlineStr">
        <is>
          <t>29103-HTP-003</t>
        </is>
      </c>
      <c r="F125" s="15" t="inlineStr"/>
      <c r="G125" s="15" t="inlineStr">
        <is>
          <t>113</t>
        </is>
      </c>
      <c r="H125" s="15" t="inlineStr">
        <is>
          <t>1.6. 29103-HTP-003/3. Power Cables/29103-AMB-006.pdf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8AWG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29103-ET-FG1305-1-PWK-1</t>
        </is>
      </c>
      <c r="C126" s="15" t="inlineStr">
        <is>
          <t>29103-ET-FG1305-1</t>
        </is>
      </c>
      <c r="D126" s="15" t="inlineStr"/>
      <c r="E126" s="15" t="inlineStr">
        <is>
          <t>29103-HTP-003</t>
        </is>
      </c>
      <c r="F126" s="15" t="inlineStr"/>
      <c r="G126" s="15" t="inlineStr">
        <is>
          <t>113</t>
        </is>
      </c>
      <c r="H126" s="15" t="inlineStr">
        <is>
          <t>1.6. 29103-HTP-003/3. Power Cables/29103-ET-FG1305-1-PWK-1.pdf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29103-ET-FG1501-1-PWK-1</t>
        </is>
      </c>
      <c r="C127" s="15" t="inlineStr">
        <is>
          <t>29103-ET-FG1501-1</t>
        </is>
      </c>
      <c r="D127" s="15" t="inlineStr"/>
      <c r="E127" s="15" t="inlineStr">
        <is>
          <t>29103-HTP-003</t>
        </is>
      </c>
      <c r="F127" s="15" t="inlineStr"/>
      <c r="G127" s="15" t="inlineStr">
        <is>
          <t>113</t>
        </is>
      </c>
      <c r="H127" s="15" t="inlineStr">
        <is>
          <t>1.6. 29103-HTP-003/3. Power Cables/29103-ET-FG1501-1-PWK-1.pdf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29103-ET-FG1503-1-PWK-1</t>
        </is>
      </c>
      <c r="C128" s="15" t="inlineStr">
        <is>
          <t>29103-ET-FG1503-1</t>
        </is>
      </c>
      <c r="D128" s="15" t="inlineStr"/>
      <c r="E128" s="15" t="inlineStr">
        <is>
          <t>29103-HTP-003</t>
        </is>
      </c>
      <c r="F128" s="15" t="inlineStr"/>
      <c r="G128" s="15" t="inlineStr">
        <is>
          <t>113</t>
        </is>
      </c>
      <c r="H128" s="15" t="inlineStr">
        <is>
          <t>1.6. 29103-HTP-003/3. Power Cables/29103-ET-FG1503-1-PWK-1.pdf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29103-ET-FG1505-1-PWK-1</t>
        </is>
      </c>
      <c r="C129" s="15" t="inlineStr">
        <is>
          <t>29103-ET-FG1505-1</t>
        </is>
      </c>
      <c r="D129" s="15" t="inlineStr"/>
      <c r="E129" s="15" t="inlineStr">
        <is>
          <t>29103-HTP-003</t>
        </is>
      </c>
      <c r="F129" s="15" t="inlineStr"/>
      <c r="G129" s="15" t="inlineStr">
        <is>
          <t>113</t>
        </is>
      </c>
      <c r="H129" s="15" t="inlineStr">
        <is>
          <t>1.6. 29103-HTP-003/3. Power Cables/29103-ET-FG1505-1-PWK-1.pdf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29103-ET-FG1601-1-PWK-1</t>
        </is>
      </c>
      <c r="C130" s="15" t="inlineStr">
        <is>
          <t>29103-ET-FG1601-1</t>
        </is>
      </c>
      <c r="D130" s="15" t="inlineStr"/>
      <c r="E130" s="15" t="inlineStr">
        <is>
          <t>29103-HTP-003</t>
        </is>
      </c>
      <c r="F130" s="15" t="inlineStr"/>
      <c r="G130" s="15" t="inlineStr">
        <is>
          <t>113</t>
        </is>
      </c>
      <c r="H130" s="15" t="inlineStr">
        <is>
          <t>1.6. 29103-HTP-003/3. Power Cables/29103-ET-FG1601-1-PWK-1.pdf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29103-ET-FG1603-1-PWK-1</t>
        </is>
      </c>
      <c r="C131" s="15" t="inlineStr">
        <is>
          <t>29103-ET-FG1603-1</t>
        </is>
      </c>
      <c r="D131" s="15" t="inlineStr"/>
      <c r="E131" s="15" t="inlineStr">
        <is>
          <t>29103-HTP-003</t>
        </is>
      </c>
      <c r="F131" s="15" t="inlineStr"/>
      <c r="G131" s="15" t="inlineStr">
        <is>
          <t>113</t>
        </is>
      </c>
      <c r="H131" s="15" t="inlineStr">
        <is>
          <t>1.6. 29103-HTP-003/3. Power Cables/29103-ET-FG1603-1-PWK-1.pdf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29103-ET-FG1701-1-PWK-1</t>
        </is>
      </c>
      <c r="C132" s="15" t="inlineStr">
        <is>
          <t>29103-ET-FG1701-1</t>
        </is>
      </c>
      <c r="D132" s="15" t="inlineStr"/>
      <c r="E132" s="15" t="inlineStr">
        <is>
          <t>29103-HTP-003</t>
        </is>
      </c>
      <c r="F132" s="15" t="inlineStr"/>
      <c r="G132" s="15" t="inlineStr">
        <is>
          <t>113</t>
        </is>
      </c>
      <c r="H132" s="15" t="inlineStr">
        <is>
          <t>1.6. 29103-HTP-003/3. Power Cables/29103-ET-FG1701-1-PWK-1.pdf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29103-ET-FG1703-1-PWK-1</t>
        </is>
      </c>
      <c r="C133" s="15" t="inlineStr">
        <is>
          <t>29103-ET-FG1703-1</t>
        </is>
      </c>
      <c r="D133" s="15" t="inlineStr"/>
      <c r="E133" s="15" t="inlineStr">
        <is>
          <t>29103-HTP-003</t>
        </is>
      </c>
      <c r="F133" s="15" t="inlineStr"/>
      <c r="G133" s="15" t="inlineStr">
        <is>
          <t>113</t>
        </is>
      </c>
      <c r="H133" s="15" t="inlineStr">
        <is>
          <t>1.6. 29103-HTP-003/3. Power Cables/29103-ET-FG1703-1-PWK-1.pdf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29103-ET-P1404-1-PWK-1</t>
        </is>
      </c>
      <c r="C134" s="15" t="inlineStr">
        <is>
          <t>29103-ET-P1404-1</t>
        </is>
      </c>
      <c r="D134" s="15" t="inlineStr"/>
      <c r="E134" s="15" t="inlineStr">
        <is>
          <t>29103-HTP-003</t>
        </is>
      </c>
      <c r="F134" s="15" t="inlineStr"/>
      <c r="G134" s="15" t="inlineStr">
        <is>
          <t>113</t>
        </is>
      </c>
      <c r="H134" s="15" t="inlineStr">
        <is>
          <t>1.6. 29103-HTP-003/3. Power Cables/29103-ET-P1404-1-PWK-1.pdf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29103-ET-P1404-2-PWK-1</t>
        </is>
      </c>
      <c r="C135" s="15" t="inlineStr">
        <is>
          <t>29103-ET-P1404-2</t>
        </is>
      </c>
      <c r="D135" s="15" t="inlineStr"/>
      <c r="E135" s="15" t="inlineStr">
        <is>
          <t>29103-HTP-003</t>
        </is>
      </c>
      <c r="F135" s="15" t="inlineStr"/>
      <c r="G135" s="15" t="inlineStr">
        <is>
          <t>113</t>
        </is>
      </c>
      <c r="H135" s="15" t="inlineStr">
        <is>
          <t>1.6. 29103-HTP-003/3. Power Cables/29103-ET-P1404-2-PWK-1.pdf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29103-ET-P1501-1-PWK-1</t>
        </is>
      </c>
      <c r="C136" s="15" t="inlineStr">
        <is>
          <t>29103-ET-P1501-1</t>
        </is>
      </c>
      <c r="D136" s="15" t="inlineStr"/>
      <c r="E136" s="15" t="inlineStr">
        <is>
          <t>29103-HTP-003</t>
        </is>
      </c>
      <c r="F136" s="15" t="inlineStr"/>
      <c r="G136" s="15" t="inlineStr">
        <is>
          <t>113</t>
        </is>
      </c>
      <c r="H136" s="15" t="inlineStr">
        <is>
          <t>1.6. 29103-HTP-003/3. Power Cables/29103-ET-P1501-1-PWK-1.pdf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29103-ET-P1504-1-PWK-1</t>
        </is>
      </c>
      <c r="C137" s="15" t="inlineStr">
        <is>
          <t>29103-ET-P1504-1</t>
        </is>
      </c>
      <c r="D137" s="15" t="inlineStr"/>
      <c r="E137" s="15" t="inlineStr">
        <is>
          <t>29103-HTP-003</t>
        </is>
      </c>
      <c r="F137" s="15" t="inlineStr"/>
      <c r="G137" s="15" t="inlineStr">
        <is>
          <t>113</t>
        </is>
      </c>
      <c r="H137" s="15" t="inlineStr">
        <is>
          <t>1.6. 29103-HTP-003/3. Power Cables/29103-ET-P1504-1-PWK-1.pdf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29103-ET-P1504-2-PWK-1</t>
        </is>
      </c>
      <c r="C138" s="15" t="inlineStr">
        <is>
          <t>29103-ET-P1504-2</t>
        </is>
      </c>
      <c r="D138" s="15" t="inlineStr"/>
      <c r="E138" s="15" t="inlineStr">
        <is>
          <t>29103-HTP-003</t>
        </is>
      </c>
      <c r="F138" s="15" t="inlineStr"/>
      <c r="G138" s="15" t="inlineStr">
        <is>
          <t>113</t>
        </is>
      </c>
      <c r="H138" s="15" t="inlineStr">
        <is>
          <t>1.6. 29103-HTP-003/3. Power Cables/29103-ET-P1504-2-PWK-1.pdf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29103-ET-P1601-1-PWK-1</t>
        </is>
      </c>
      <c r="C139" s="15" t="inlineStr">
        <is>
          <t>29103-ET-P1601-1</t>
        </is>
      </c>
      <c r="D139" s="15" t="inlineStr"/>
      <c r="E139" s="15" t="inlineStr">
        <is>
          <t>29103-HTP-003</t>
        </is>
      </c>
      <c r="F139" s="15" t="inlineStr"/>
      <c r="G139" s="15" t="inlineStr">
        <is>
          <t>113</t>
        </is>
      </c>
      <c r="H139" s="15" t="inlineStr">
        <is>
          <t>1.6. 29103-HTP-003/3. Power Cables/29103-ET-P1601-1-PWK-1.pdf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29103-ET-P1604-1-PWK-1</t>
        </is>
      </c>
      <c r="C140" s="15" t="inlineStr">
        <is>
          <t>29103-ET-P1604-1</t>
        </is>
      </c>
      <c r="D140" s="15" t="inlineStr"/>
      <c r="E140" s="15" t="inlineStr">
        <is>
          <t>29103-HTP-003</t>
        </is>
      </c>
      <c r="F140" s="15" t="inlineStr"/>
      <c r="G140" s="15" t="inlineStr">
        <is>
          <t>113</t>
        </is>
      </c>
      <c r="H140" s="15" t="inlineStr">
        <is>
          <t>1.6. 29103-HTP-003/3. Power Cables/29103-ET-P1604-1-PWK-1.pdf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29103-ET-P1604-2-PWK-1</t>
        </is>
      </c>
      <c r="C141" s="15" t="inlineStr">
        <is>
          <t>29103-ET-P1604-2</t>
        </is>
      </c>
      <c r="D141" s="15" t="inlineStr"/>
      <c r="E141" s="15" t="inlineStr">
        <is>
          <t>29103-HTP-003</t>
        </is>
      </c>
      <c r="F141" s="15" t="inlineStr"/>
      <c r="G141" s="15" t="inlineStr">
        <is>
          <t>113</t>
        </is>
      </c>
      <c r="H141" s="15" t="inlineStr">
        <is>
          <t>1.6. 29103-HTP-003/3. Power Cables/29103-ET-P1604-2-PWK-1.pdf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29103-ET-P1701-1-PWK-1</t>
        </is>
      </c>
      <c r="C142" s="15" t="inlineStr">
        <is>
          <t>29103-ET-P1701-1</t>
        </is>
      </c>
      <c r="D142" s="15" t="inlineStr"/>
      <c r="E142" s="15" t="inlineStr">
        <is>
          <t>29103-HTP-003</t>
        </is>
      </c>
      <c r="F142" s="15" t="inlineStr"/>
      <c r="G142" s="15" t="inlineStr">
        <is>
          <t>113</t>
        </is>
      </c>
      <c r="H142" s="15" t="inlineStr">
        <is>
          <t>1.6. 29103-HTP-003/3. Power Cables/29103-ET-P1701-1-PWK-1.pdf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29103-ET-P1704-1-PWK-1</t>
        </is>
      </c>
      <c r="C143" s="15" t="inlineStr">
        <is>
          <t>29103-ET-P1704-1</t>
        </is>
      </c>
      <c r="D143" s="15" t="inlineStr"/>
      <c r="E143" s="15" t="inlineStr">
        <is>
          <t>29103-HTP-003</t>
        </is>
      </c>
      <c r="F143" s="15" t="inlineStr"/>
      <c r="G143" s="15" t="inlineStr">
        <is>
          <t>113</t>
        </is>
      </c>
      <c r="H143" s="15" t="inlineStr">
        <is>
          <t>1.6. 29103-HTP-003/3. Power Cables/29103-ET-P1704-1-PWK-1.pdf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29103-ET-P1704-2-PWK-1</t>
        </is>
      </c>
      <c r="C144" s="15" t="inlineStr">
        <is>
          <t>29103-ET-P1704-2</t>
        </is>
      </c>
      <c r="D144" s="15" t="inlineStr"/>
      <c r="E144" s="15" t="inlineStr">
        <is>
          <t>29103-HTP-003</t>
        </is>
      </c>
      <c r="F144" s="15" t="inlineStr"/>
      <c r="G144" s="15" t="inlineStr">
        <is>
          <t>113</t>
        </is>
      </c>
      <c r="H144" s="15" t="inlineStr">
        <is>
          <t>1.6. 29103-HTP-003/3. Power Cables/29103-ET-P1704-2-PWK-1.pdf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29103-ET-P1800-3-PWK-1</t>
        </is>
      </c>
      <c r="C145" s="15" t="inlineStr">
        <is>
          <t>29103-ET-P1800-3</t>
        </is>
      </c>
      <c r="D145" s="15" t="inlineStr"/>
      <c r="E145" s="15" t="inlineStr">
        <is>
          <t>29103-HTP-003</t>
        </is>
      </c>
      <c r="F145" s="15" t="inlineStr"/>
      <c r="G145" s="15" t="inlineStr">
        <is>
          <t>113</t>
        </is>
      </c>
      <c r="H145" s="15" t="inlineStr">
        <is>
          <t>1.6. 29103-HTP-003/3. Power Cables/29103-ET-P1800-3-PWK-1.pdf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29103-ET-PE1401-2-PWK-1</t>
        </is>
      </c>
      <c r="C146" s="15" t="inlineStr">
        <is>
          <t>29103-ET-PE1401-2</t>
        </is>
      </c>
      <c r="D146" s="15" t="inlineStr"/>
      <c r="E146" s="15" t="inlineStr">
        <is>
          <t>29103-HTP-003</t>
        </is>
      </c>
      <c r="F146" s="15" t="inlineStr"/>
      <c r="G146" s="15" t="inlineStr">
        <is>
          <t>113</t>
        </is>
      </c>
      <c r="H146" s="15" t="inlineStr">
        <is>
          <t>1.6. 29103-HTP-003/3. Power Cables/29103-ET-PE1401-2-PWK-1.pdf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29103-ET-PE1402-1-PWK-1</t>
        </is>
      </c>
      <c r="C147" s="15" t="inlineStr">
        <is>
          <t>29103-ET-PE1402-1</t>
        </is>
      </c>
      <c r="D147" s="15" t="inlineStr"/>
      <c r="E147" s="15" t="inlineStr">
        <is>
          <t>29103-HTP-003</t>
        </is>
      </c>
      <c r="F147" s="15" t="inlineStr"/>
      <c r="G147" s="15" t="inlineStr">
        <is>
          <t>113</t>
        </is>
      </c>
      <c r="H147" s="15" t="inlineStr">
        <is>
          <t>1.6. 29103-HTP-003/3. Power Cables/29103-ET-PE1402-1-PWK-1.pdf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29103-ET-PE1501-1-PWK-1</t>
        </is>
      </c>
      <c r="C148" s="15" t="inlineStr">
        <is>
          <t>29103-ET-PE1501-1</t>
        </is>
      </c>
      <c r="D148" s="15" t="inlineStr"/>
      <c r="E148" s="15" t="inlineStr">
        <is>
          <t>29103-HTP-003</t>
        </is>
      </c>
      <c r="F148" s="15" t="inlineStr"/>
      <c r="G148" s="15" t="inlineStr">
        <is>
          <t>113</t>
        </is>
      </c>
      <c r="H148" s="15" t="inlineStr">
        <is>
          <t>1.6. 29103-HTP-003/3. Power Cables/29103-ET-PE1501-1-PWK-1.pdf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29103-ET-PE1501-2-PWK-1</t>
        </is>
      </c>
      <c r="C149" s="15" t="inlineStr">
        <is>
          <t>29103-ET-PE1501-2</t>
        </is>
      </c>
      <c r="D149" s="15" t="inlineStr"/>
      <c r="E149" s="15" t="inlineStr">
        <is>
          <t>29103-HTP-003</t>
        </is>
      </c>
      <c r="F149" s="15" t="inlineStr"/>
      <c r="G149" s="15" t="inlineStr">
        <is>
          <t>113</t>
        </is>
      </c>
      <c r="H149" s="15" t="inlineStr">
        <is>
          <t>1.6. 29103-HTP-003/3. Power Cables/29103-ET-PE1501-2-PWK-1.pdf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29103-ET-PE1502-1-PWK-1</t>
        </is>
      </c>
      <c r="C150" s="15" t="inlineStr">
        <is>
          <t>29103-ET-PE1502-1</t>
        </is>
      </c>
      <c r="D150" s="15" t="inlineStr"/>
      <c r="E150" s="15" t="inlineStr">
        <is>
          <t>29103-HTP-003</t>
        </is>
      </c>
      <c r="F150" s="15" t="inlineStr"/>
      <c r="G150" s="15" t="inlineStr">
        <is>
          <t>113</t>
        </is>
      </c>
      <c r="H150" s="15" t="inlineStr">
        <is>
          <t>1.6. 29103-HTP-003/3. Power Cables/29103-ET-PE1502-1-PWK-1.pdf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29103-ET-PE1601-1-PWK-1</t>
        </is>
      </c>
      <c r="C151" s="15" t="inlineStr">
        <is>
          <t>29103-ET-PE1601-1</t>
        </is>
      </c>
      <c r="D151" s="15" t="inlineStr"/>
      <c r="E151" s="15" t="inlineStr">
        <is>
          <t>29103-HTP-003</t>
        </is>
      </c>
      <c r="F151" s="15" t="inlineStr"/>
      <c r="G151" s="15" t="inlineStr">
        <is>
          <t>113</t>
        </is>
      </c>
      <c r="H151" s="15" t="inlineStr">
        <is>
          <t>1.6. 29103-HTP-003/3. Power Cables/29103-ET-PE1601-1-PWK-1.pdf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29103-ET-PE1601-2-PWK-1</t>
        </is>
      </c>
      <c r="C152" s="15" t="inlineStr">
        <is>
          <t>29103-ET-PE1601-2</t>
        </is>
      </c>
      <c r="D152" s="15" t="inlineStr"/>
      <c r="E152" s="15" t="inlineStr">
        <is>
          <t>29103-HTP-003</t>
        </is>
      </c>
      <c r="F152" s="15" t="inlineStr"/>
      <c r="G152" s="15" t="inlineStr">
        <is>
          <t>113</t>
        </is>
      </c>
      <c r="H152" s="15" t="inlineStr">
        <is>
          <t>1.6. 29103-HTP-003/3. Power Cables/29103-ET-PE1601-2-PWK-1.pdf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29103-ET-PE1602-1-PWK-1</t>
        </is>
      </c>
      <c r="C153" s="15" t="inlineStr">
        <is>
          <t>29103-ET-PE1602-1</t>
        </is>
      </c>
      <c r="D153" s="15" t="inlineStr"/>
      <c r="E153" s="15" t="inlineStr">
        <is>
          <t>29103-HTP-003</t>
        </is>
      </c>
      <c r="F153" s="15" t="inlineStr"/>
      <c r="G153" s="15" t="inlineStr">
        <is>
          <t>113</t>
        </is>
      </c>
      <c r="H153" s="15" t="inlineStr">
        <is>
          <t>1.6. 29103-HTP-003/3. Power Cables/29103-ET-PE1602-1-PWK-1.pdf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29103-ET-PE1701-1-PWK-1</t>
        </is>
      </c>
      <c r="C154" s="15" t="inlineStr">
        <is>
          <t>29103-ET-PE1701-1</t>
        </is>
      </c>
      <c r="D154" s="15" t="inlineStr"/>
      <c r="E154" s="15" t="inlineStr">
        <is>
          <t>29103-HTP-003</t>
        </is>
      </c>
      <c r="F154" s="15" t="inlineStr"/>
      <c r="G154" s="15" t="inlineStr">
        <is>
          <t>113</t>
        </is>
      </c>
      <c r="H154" s="15" t="inlineStr">
        <is>
          <t>1.6. 29103-HTP-003/3. Power Cables/29103-ET-PE1701-1-PWK-1.pdf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29103-ET-PE1701-2-PWK-1</t>
        </is>
      </c>
      <c r="C155" s="15" t="inlineStr">
        <is>
          <t>29103-ET-PE1701-2</t>
        </is>
      </c>
      <c r="D155" s="15" t="inlineStr"/>
      <c r="E155" s="15" t="inlineStr">
        <is>
          <t>29103-HTP-003</t>
        </is>
      </c>
      <c r="F155" s="15" t="inlineStr"/>
      <c r="G155" s="15" t="inlineStr">
        <is>
          <t>113</t>
        </is>
      </c>
      <c r="H155" s="15" t="inlineStr">
        <is>
          <t>1.6. 29103-HTP-003/3. Power Cables/29103-ET-PE1701-2-PWK-1.pdf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29103-ET-PE1702-1-PWK-1</t>
        </is>
      </c>
      <c r="C156" s="15" t="inlineStr">
        <is>
          <t>29103-ET-PE1702-1</t>
        </is>
      </c>
      <c r="D156" s="15" t="inlineStr"/>
      <c r="E156" s="15" t="inlineStr">
        <is>
          <t>29103-HTP-003</t>
        </is>
      </c>
      <c r="F156" s="15" t="inlineStr"/>
      <c r="G156" s="15" t="inlineStr">
        <is>
          <t>113</t>
        </is>
      </c>
      <c r="H156" s="15" t="inlineStr">
        <is>
          <t>1.6. 29103-HTP-003/3. Power Cables/29103-ET-PE1702-1-PWK-1.pdf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29103-ET-PE1802-2-PWK-1</t>
        </is>
      </c>
      <c r="C157" s="15" t="inlineStr">
        <is>
          <t>29103-ET-PE1802-2</t>
        </is>
      </c>
      <c r="D157" s="15" t="inlineStr"/>
      <c r="E157" s="15" t="inlineStr">
        <is>
          <t>29103-HTP-003</t>
        </is>
      </c>
      <c r="F157" s="15" t="inlineStr"/>
      <c r="G157" s="15" t="inlineStr">
        <is>
          <t>113</t>
        </is>
      </c>
      <c r="H157" s="15" t="inlineStr">
        <is>
          <t>1.6. 29103-HTP-003/3. Power Cables/29103-ET-PE1802-2-PWK-1.pdf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29103-ET-PE1803-2-PWK-1</t>
        </is>
      </c>
      <c r="C158" s="15" t="inlineStr">
        <is>
          <t>29103-ET-PE1803-2</t>
        </is>
      </c>
      <c r="D158" s="15" t="inlineStr"/>
      <c r="E158" s="15" t="inlineStr">
        <is>
          <t>29103-HTP-003</t>
        </is>
      </c>
      <c r="F158" s="15" t="inlineStr"/>
      <c r="G158" s="15" t="inlineStr">
        <is>
          <t>113</t>
        </is>
      </c>
      <c r="H158" s="15" t="inlineStr">
        <is>
          <t>1.6. 29103-HTP-003/3. Power Cables/29103-ET-PE1803-2-PWK-1.pdf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29103-ET-PG1401-1-PWK-1</t>
        </is>
      </c>
      <c r="C159" s="15" t="inlineStr">
        <is>
          <t>29103-ET-PG1401-1</t>
        </is>
      </c>
      <c r="D159" s="15" t="inlineStr"/>
      <c r="E159" s="15" t="inlineStr">
        <is>
          <t>29103-HTP-003</t>
        </is>
      </c>
      <c r="F159" s="15" t="inlineStr"/>
      <c r="G159" s="15" t="inlineStr">
        <is>
          <t>113</t>
        </is>
      </c>
      <c r="H159" s="15" t="inlineStr">
        <is>
          <t>1.6. 29103-HTP-003/3. Power Cables/29103-ET-PG1401-1-PWK-1.pdf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Power Cable</t>
        </is>
      </c>
      <c r="B160" s="15" t="inlineStr">
        <is>
          <t>29103-ET-PG1401-2-PWK-1</t>
        </is>
      </c>
      <c r="C160" s="15" t="inlineStr">
        <is>
          <t>29103-ET-PG1401-2</t>
        </is>
      </c>
      <c r="D160" s="15" t="inlineStr"/>
      <c r="E160" s="15" t="inlineStr">
        <is>
          <t>29103-HTP-003</t>
        </is>
      </c>
      <c r="F160" s="15" t="inlineStr"/>
      <c r="G160" s="15" t="inlineStr">
        <is>
          <t>113</t>
        </is>
      </c>
      <c r="H160" s="15" t="inlineStr">
        <is>
          <t>1.6. 29103-HTP-003/3. Power Cables/29103-ET-PG1401-2-PWK-1.pdf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NO</v>
      </c>
      <c r="O160" s="6" t="str">
        <f>IF(OR($A160="Power Cable",$A160="RTD Cable",$A160="Fieldbus Cable"),IF(AND($AE160&lt;&gt;""),"YES","NO"),"N/A")</f>
        <v>NO</v>
      </c>
      <c r="P160" s="6" t="str">
        <f>IF(OR($A160="RTD"),IF(AND($AH160&lt;&gt;""),"YES","NO"),"N/A")</f>
        <v>N/A</v>
      </c>
      <c r="Q160" s="6" t="str">
        <f>IF(OR($A160="RTD"),IF(AND($AI160&lt;&gt;""),"YES","NO"),"N/A")</f>
        <v>N/A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inlineStr">
        <is>
          <t>Teck</t>
        </is>
      </c>
      <c r="AK160" s="15" t="inlineStr">
        <is>
          <t>10AWG</t>
        </is>
      </c>
      <c r="AL160" s="15" t="inlineStr">
        <is>
          <t>Levy Ostrup</t>
        </is>
      </c>
      <c r="AM160" s="15" t="n"/>
      <c r="AN160" s="15" t="n"/>
    </row>
    <row r="161">
      <c r="A161" s="15" t="inlineStr">
        <is>
          <t>Power Cable</t>
        </is>
      </c>
      <c r="B161" s="15" t="inlineStr">
        <is>
          <t>29103-ET-PG1501-1-PWK-1</t>
        </is>
      </c>
      <c r="C161" s="15" t="inlineStr">
        <is>
          <t>29103-ET-PG1501-1</t>
        </is>
      </c>
      <c r="D161" s="15" t="inlineStr"/>
      <c r="E161" s="15" t="inlineStr">
        <is>
          <t>29103-HTP-003</t>
        </is>
      </c>
      <c r="F161" s="15" t="inlineStr"/>
      <c r="G161" s="15" t="inlineStr">
        <is>
          <t>113</t>
        </is>
      </c>
      <c r="H161" s="15" t="inlineStr">
        <is>
          <t>1.6. 29103-HTP-003/3. Power Cables/29103-ET-PG1501-1-PWK-1.pdf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NO</v>
      </c>
      <c r="O161" s="6" t="str">
        <f>IF(OR($A161="Power Cable",$A161="RTD Cable",$A161="Fieldbus Cable"),IF(AND($AE161&lt;&gt;""),"YES","NO"),"N/A")</f>
        <v>NO</v>
      </c>
      <c r="P161" s="6" t="str">
        <f>IF(OR($A161="RTD"),IF(AND($AH161&lt;&gt;""),"YES","NO"),"N/A")</f>
        <v>N/A</v>
      </c>
      <c r="Q161" s="6" t="str">
        <f>IF(OR($A161="RTD"),IF(AND($AI161&lt;&gt;""),"YES","NO"),"N/A")</f>
        <v>N/A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inlineStr">
        <is>
          <t>Teck</t>
        </is>
      </c>
      <c r="AK161" s="15" t="inlineStr">
        <is>
          <t>10AWG</t>
        </is>
      </c>
      <c r="AL161" s="15" t="inlineStr">
        <is>
          <t>Levy Ostrup</t>
        </is>
      </c>
      <c r="AM161" s="15" t="n"/>
      <c r="AN161" s="15" t="n"/>
    </row>
    <row r="162">
      <c r="A162" s="15" t="inlineStr">
        <is>
          <t>Power Cable</t>
        </is>
      </c>
      <c r="B162" s="15" t="inlineStr">
        <is>
          <t>29103-ET-PG1501-2-PWK-1</t>
        </is>
      </c>
      <c r="C162" s="15" t="inlineStr">
        <is>
          <t>29103-ET-PG1501-2</t>
        </is>
      </c>
      <c r="D162" s="15" t="inlineStr"/>
      <c r="E162" s="15" t="inlineStr">
        <is>
          <t>29103-HTP-003</t>
        </is>
      </c>
      <c r="F162" s="15" t="inlineStr"/>
      <c r="G162" s="15" t="inlineStr">
        <is>
          <t>113</t>
        </is>
      </c>
      <c r="H162" s="15" t="inlineStr">
        <is>
          <t>1.6. 29103-HTP-003/3. Power Cables/29103-ET-PG1501-2-PWK-1.pdf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NO</v>
      </c>
      <c r="O162" s="6" t="str">
        <f>IF(OR($A162="Power Cable",$A162="RTD Cable",$A162="Fieldbus Cable"),IF(AND($AE162&lt;&gt;""),"YES","NO"),"N/A")</f>
        <v>NO</v>
      </c>
      <c r="P162" s="6" t="str">
        <f>IF(OR($A162="RTD"),IF(AND($AH162&lt;&gt;""),"YES","NO"),"N/A")</f>
        <v>N/A</v>
      </c>
      <c r="Q162" s="6" t="str">
        <f>IF(OR($A162="RTD"),IF(AND($AI162&lt;&gt;""),"YES","NO"),"N/A")</f>
        <v>N/A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inlineStr">
        <is>
          <t>Teck</t>
        </is>
      </c>
      <c r="AK162" s="15" t="inlineStr">
        <is>
          <t>10AWG</t>
        </is>
      </c>
      <c r="AL162" s="15" t="inlineStr">
        <is>
          <t>Levy Ostrup</t>
        </is>
      </c>
      <c r="AM162" s="15" t="n"/>
      <c r="AN162" s="15" t="n"/>
    </row>
    <row r="163">
      <c r="A163" s="15" t="inlineStr">
        <is>
          <t>Power Cable</t>
        </is>
      </c>
      <c r="B163" s="15" t="inlineStr">
        <is>
          <t>29103-ET-PG1601-1-PWK-1</t>
        </is>
      </c>
      <c r="C163" s="15" t="inlineStr">
        <is>
          <t>29103-ET-PG1601-1</t>
        </is>
      </c>
      <c r="D163" s="15" t="inlineStr"/>
      <c r="E163" s="15" t="inlineStr">
        <is>
          <t>29103-HTP-003</t>
        </is>
      </c>
      <c r="F163" s="15" t="inlineStr"/>
      <c r="G163" s="15" t="inlineStr">
        <is>
          <t>113</t>
        </is>
      </c>
      <c r="H163" s="15" t="inlineStr">
        <is>
          <t>1.6. 29103-HTP-003/3. Power Cables/29103-ET-PG1601-1-PWK-1.pdf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NO</v>
      </c>
      <c r="O163" s="6" t="str">
        <f>IF(OR($A163="Power Cable",$A163="RTD Cable",$A163="Fieldbus Cable"),IF(AND($AE163&lt;&gt;""),"YES","NO"),"N/A")</f>
        <v>NO</v>
      </c>
      <c r="P163" s="6" t="str">
        <f>IF(OR($A163="RTD"),IF(AND($AH163&lt;&gt;""),"YES","NO"),"N/A")</f>
        <v>N/A</v>
      </c>
      <c r="Q163" s="6" t="str">
        <f>IF(OR($A163="RTD"),IF(AND($AI163&lt;&gt;""),"YES","NO"),"N/A")</f>
        <v>N/A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inlineStr">
        <is>
          <t>Teck</t>
        </is>
      </c>
      <c r="AK163" s="15" t="inlineStr">
        <is>
          <t>10AWG</t>
        </is>
      </c>
      <c r="AL163" s="15" t="inlineStr">
        <is>
          <t>Levy Ostrup</t>
        </is>
      </c>
      <c r="AM163" s="15" t="n"/>
      <c r="AN163" s="15" t="n"/>
    </row>
    <row r="164">
      <c r="A164" s="15" t="inlineStr">
        <is>
          <t>Power Cable</t>
        </is>
      </c>
      <c r="B164" s="15" t="inlineStr">
        <is>
          <t>29103-ET-PG1601-2-PWK-1</t>
        </is>
      </c>
      <c r="C164" s="15" t="inlineStr">
        <is>
          <t>29103-ET-PG1601-2</t>
        </is>
      </c>
      <c r="D164" s="15" t="inlineStr"/>
      <c r="E164" s="15" t="inlineStr">
        <is>
          <t>29103-HTP-003</t>
        </is>
      </c>
      <c r="F164" s="15" t="inlineStr"/>
      <c r="G164" s="15" t="inlineStr">
        <is>
          <t>113</t>
        </is>
      </c>
      <c r="H164" s="15" t="inlineStr">
        <is>
          <t>1.6. 29103-HTP-003/3. Power Cables/29103-ET-PG1601-2-PWK-1.pdf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NO</v>
      </c>
      <c r="O164" s="6" t="str">
        <f>IF(OR($A164="Power Cable",$A164="RTD Cable",$A164="Fieldbus Cable"),IF(AND($AE164&lt;&gt;""),"YES","NO"),"N/A")</f>
        <v>NO</v>
      </c>
      <c r="P164" s="6" t="str">
        <f>IF(OR($A164="RTD"),IF(AND($AH164&lt;&gt;""),"YES","NO"),"N/A")</f>
        <v>N/A</v>
      </c>
      <c r="Q164" s="6" t="str">
        <f>IF(OR($A164="RTD"),IF(AND($AI164&lt;&gt;""),"YES","NO"),"N/A")</f>
        <v>N/A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inlineStr">
        <is>
          <t>Teck</t>
        </is>
      </c>
      <c r="AK164" s="15" t="inlineStr">
        <is>
          <t>10AWG</t>
        </is>
      </c>
      <c r="AL164" s="15" t="inlineStr">
        <is>
          <t>Levy Ostrup</t>
        </is>
      </c>
      <c r="AM164" s="15" t="n"/>
      <c r="AN164" s="15" t="n"/>
    </row>
    <row r="165">
      <c r="A165" s="15" t="inlineStr">
        <is>
          <t>Power Cable</t>
        </is>
      </c>
      <c r="B165" s="15" t="inlineStr">
        <is>
          <t>29103-ET-PG1701-1-PWK-1</t>
        </is>
      </c>
      <c r="C165" s="15" t="inlineStr">
        <is>
          <t>29103-ET-PG1701-1</t>
        </is>
      </c>
      <c r="D165" s="15" t="inlineStr"/>
      <c r="E165" s="15" t="inlineStr">
        <is>
          <t>29103-HTP-003</t>
        </is>
      </c>
      <c r="F165" s="15" t="inlineStr"/>
      <c r="G165" s="15" t="inlineStr">
        <is>
          <t>113</t>
        </is>
      </c>
      <c r="H165" s="15" t="inlineStr">
        <is>
          <t>1.6. 29103-HTP-003/3. Power Cables/29103-ET-PG1701-1-PWK-1.pdf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NO</v>
      </c>
      <c r="O165" s="6" t="str">
        <f>IF(OR($A165="Power Cable",$A165="RTD Cable",$A165="Fieldbus Cable"),IF(AND($AE165&lt;&gt;""),"YES","NO"),"N/A")</f>
        <v>NO</v>
      </c>
      <c r="P165" s="6" t="str">
        <f>IF(OR($A165="RTD"),IF(AND($AH165&lt;&gt;""),"YES","NO"),"N/A")</f>
        <v>N/A</v>
      </c>
      <c r="Q165" s="6" t="str">
        <f>IF(OR($A165="RTD"),IF(AND($AI165&lt;&gt;""),"YES","NO"),"N/A")</f>
        <v>N/A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inlineStr">
        <is>
          <t>Teck</t>
        </is>
      </c>
      <c r="AK165" s="15" t="inlineStr">
        <is>
          <t>10AWG</t>
        </is>
      </c>
      <c r="AL165" s="15" t="inlineStr">
        <is>
          <t>Levy Ostrup</t>
        </is>
      </c>
      <c r="AM165" s="15" t="n"/>
      <c r="AN165" s="15" t="n"/>
    </row>
    <row r="166">
      <c r="A166" s="15" t="inlineStr">
        <is>
          <t>Power Cable</t>
        </is>
      </c>
      <c r="B166" s="15" t="inlineStr">
        <is>
          <t>29103-ET-PG1701-2-PWK-1</t>
        </is>
      </c>
      <c r="C166" s="15" t="inlineStr">
        <is>
          <t>29103-ET-PG1701-2</t>
        </is>
      </c>
      <c r="D166" s="15" t="inlineStr"/>
      <c r="E166" s="15" t="inlineStr">
        <is>
          <t>29103-HTP-003</t>
        </is>
      </c>
      <c r="F166" s="15" t="inlineStr"/>
      <c r="G166" s="15" t="inlineStr">
        <is>
          <t>113</t>
        </is>
      </c>
      <c r="H166" s="15" t="inlineStr">
        <is>
          <t>1.6. 29103-HTP-003/3. Power Cables/29103-ET-PG1701-2-PWK-1.pdf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NO</v>
      </c>
      <c r="O166" s="6" t="str">
        <f>IF(OR($A166="Power Cable",$A166="RTD Cable",$A166="Fieldbus Cable"),IF(AND($AE166&lt;&gt;""),"YES","NO"),"N/A")</f>
        <v>NO</v>
      </c>
      <c r="P166" s="6" t="str">
        <f>IF(OR($A166="RTD"),IF(AND($AH166&lt;&gt;""),"YES","NO"),"N/A")</f>
        <v>N/A</v>
      </c>
      <c r="Q166" s="6" t="str">
        <f>IF(OR($A166="RTD"),IF(AND($AI166&lt;&gt;""),"YES","NO"),"N/A")</f>
        <v>N/A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inlineStr">
        <is>
          <t>Teck</t>
        </is>
      </c>
      <c r="AK166" s="15" t="inlineStr">
        <is>
          <t>10AWG</t>
        </is>
      </c>
      <c r="AL166" s="15" t="inlineStr">
        <is>
          <t>Levy Ostrup</t>
        </is>
      </c>
      <c r="AM166" s="15" t="n"/>
      <c r="AN166" s="15" t="n"/>
    </row>
    <row r="167">
      <c r="A167" s="15" t="inlineStr">
        <is>
          <t>Power Cable</t>
        </is>
      </c>
      <c r="B167" s="15" t="inlineStr">
        <is>
          <t>29103-ET-ST1303-1-PWK-1</t>
        </is>
      </c>
      <c r="C167" s="15" t="inlineStr">
        <is>
          <t>29103-ET-ST1303-1</t>
        </is>
      </c>
      <c r="D167" s="15" t="inlineStr"/>
      <c r="E167" s="15" t="inlineStr">
        <is>
          <t>29103-HTP-003</t>
        </is>
      </c>
      <c r="F167" s="15" t="inlineStr"/>
      <c r="G167" s="15" t="inlineStr">
        <is>
          <t>113</t>
        </is>
      </c>
      <c r="H167" s="15" t="inlineStr">
        <is>
          <t>1.6. 29103-HTP-003/3. Power Cables/29103-ET-ST1303-1-PWK-1.pdf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NO</v>
      </c>
      <c r="O167" s="6" t="str">
        <f>IF(OR($A167="Power Cable",$A167="RTD Cable",$A167="Fieldbus Cable"),IF(AND($AE167&lt;&gt;""),"YES","NO"),"N/A")</f>
        <v>NO</v>
      </c>
      <c r="P167" s="6" t="str">
        <f>IF(OR($A167="RTD"),IF(AND($AH167&lt;&gt;""),"YES","NO"),"N/A")</f>
        <v>N/A</v>
      </c>
      <c r="Q167" s="6" t="str">
        <f>IF(OR($A167="RTD"),IF(AND($AI167&lt;&gt;""),"YES","NO"),"N/A")</f>
        <v>N/A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inlineStr">
        <is>
          <t>Teck</t>
        </is>
      </c>
      <c r="AK167" s="15" t="inlineStr">
        <is>
          <t>10AWG</t>
        </is>
      </c>
      <c r="AL167" s="15" t="inlineStr">
        <is>
          <t>Levy Ostrup</t>
        </is>
      </c>
      <c r="AM167" s="15" t="n"/>
      <c r="AN167" s="15" t="n"/>
    </row>
    <row r="168">
      <c r="A168" s="15" t="inlineStr">
        <is>
          <t>Power Cable</t>
        </is>
      </c>
      <c r="B168" s="15" t="inlineStr">
        <is>
          <t>29103-ET-ST1403-1-PWK-1</t>
        </is>
      </c>
      <c r="C168" s="15" t="inlineStr">
        <is>
          <t>29103-ET-ST1403-1</t>
        </is>
      </c>
      <c r="D168" s="15" t="inlineStr"/>
      <c r="E168" s="15" t="inlineStr">
        <is>
          <t>29103-HTP-003</t>
        </is>
      </c>
      <c r="F168" s="15" t="inlineStr"/>
      <c r="G168" s="15" t="inlineStr">
        <is>
          <t>113</t>
        </is>
      </c>
      <c r="H168" s="15" t="inlineStr">
        <is>
          <t>1.6. 29103-HTP-003/3. Power Cables/29103-ET-ST1403-1-PWK-1.pdf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NO</v>
      </c>
      <c r="O168" s="6" t="str">
        <f>IF(OR($A168="Power Cable",$A168="RTD Cable",$A168="Fieldbus Cable"),IF(AND($AE168&lt;&gt;""),"YES","NO"),"N/A")</f>
        <v>NO</v>
      </c>
      <c r="P168" s="6" t="str">
        <f>IF(OR($A168="RTD"),IF(AND($AH168&lt;&gt;""),"YES","NO"),"N/A")</f>
        <v>N/A</v>
      </c>
      <c r="Q168" s="6" t="str">
        <f>IF(OR($A168="RTD"),IF(AND($AI168&lt;&gt;""),"YES","NO"),"N/A")</f>
        <v>N/A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inlineStr">
        <is>
          <t>Teck</t>
        </is>
      </c>
      <c r="AK168" s="15" t="inlineStr">
        <is>
          <t>10AWG</t>
        </is>
      </c>
      <c r="AL168" s="15" t="inlineStr">
        <is>
          <t>Levy Ostrup</t>
        </is>
      </c>
      <c r="AM168" s="15" t="n"/>
      <c r="AN168" s="15" t="n"/>
    </row>
    <row r="169">
      <c r="A169" s="15" t="inlineStr">
        <is>
          <t>Power Cable</t>
        </is>
      </c>
      <c r="B169" s="15" t="inlineStr">
        <is>
          <t>29103-ET-ST1503-1-PWK-1</t>
        </is>
      </c>
      <c r="C169" s="15" t="inlineStr">
        <is>
          <t>29103-ET-ST1503-1</t>
        </is>
      </c>
      <c r="D169" s="15" t="inlineStr"/>
      <c r="E169" s="15" t="inlineStr">
        <is>
          <t>29103-HTP-003</t>
        </is>
      </c>
      <c r="F169" s="15" t="inlineStr"/>
      <c r="G169" s="15" t="inlineStr">
        <is>
          <t>113</t>
        </is>
      </c>
      <c r="H169" s="15" t="inlineStr">
        <is>
          <t>1.6. 29103-HTP-003/3. Power Cables/29103-ET-ST1503-1-PWK-1.pdf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NO</v>
      </c>
      <c r="O169" s="6" t="str">
        <f>IF(OR($A169="Power Cable",$A169="RTD Cable",$A169="Fieldbus Cable"),IF(AND($AE169&lt;&gt;""),"YES","NO"),"N/A")</f>
        <v>NO</v>
      </c>
      <c r="P169" s="6" t="str">
        <f>IF(OR($A169="RTD"),IF(AND($AH169&lt;&gt;""),"YES","NO"),"N/A")</f>
        <v>N/A</v>
      </c>
      <c r="Q169" s="6" t="str">
        <f>IF(OR($A169="RTD"),IF(AND($AI169&lt;&gt;""),"YES","NO"),"N/A")</f>
        <v>N/A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inlineStr">
        <is>
          <t>Teck</t>
        </is>
      </c>
      <c r="AK169" s="15" t="inlineStr">
        <is>
          <t>10AWG</t>
        </is>
      </c>
      <c r="AL169" s="15" t="inlineStr">
        <is>
          <t>Levy Ostrup</t>
        </is>
      </c>
      <c r="AM169" s="15" t="n"/>
      <c r="AN169" s="15" t="n"/>
    </row>
    <row r="170">
      <c r="A170" s="15" t="inlineStr">
        <is>
          <t>Power Cable</t>
        </is>
      </c>
      <c r="B170" s="15" t="inlineStr">
        <is>
          <t>29103-ET-ST1603-1-PWK-1</t>
        </is>
      </c>
      <c r="C170" s="15" t="inlineStr">
        <is>
          <t>29103-ET-ST1603-1</t>
        </is>
      </c>
      <c r="D170" s="15" t="inlineStr"/>
      <c r="E170" s="15" t="inlineStr">
        <is>
          <t>29103-HTP-003</t>
        </is>
      </c>
      <c r="F170" s="15" t="inlineStr"/>
      <c r="G170" s="15" t="inlineStr">
        <is>
          <t>113</t>
        </is>
      </c>
      <c r="H170" s="15" t="inlineStr">
        <is>
          <t>1.6. 29103-HTP-003/3. Power Cables/29103-ET-ST1603-1-PWK-1.pdf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NO</v>
      </c>
      <c r="O170" s="6" t="str">
        <f>IF(OR($A170="Power Cable",$A170="RTD Cable",$A170="Fieldbus Cable"),IF(AND($AE170&lt;&gt;""),"YES","NO"),"N/A")</f>
        <v>NO</v>
      </c>
      <c r="P170" s="6" t="str">
        <f>IF(OR($A170="RTD"),IF(AND($AH170&lt;&gt;""),"YES","NO"),"N/A")</f>
        <v>N/A</v>
      </c>
      <c r="Q170" s="6" t="str">
        <f>IF(OR($A170="RTD"),IF(AND($AI170&lt;&gt;""),"YES","NO"),"N/A")</f>
        <v>N/A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inlineStr">
        <is>
          <t>Teck</t>
        </is>
      </c>
      <c r="AK170" s="15" t="inlineStr">
        <is>
          <t>10AWG</t>
        </is>
      </c>
      <c r="AL170" s="15" t="inlineStr">
        <is>
          <t>Levy Ostrup</t>
        </is>
      </c>
      <c r="AM170" s="15" t="n"/>
      <c r="AN170" s="15" t="n"/>
    </row>
    <row r="171">
      <c r="A171" s="15" t="inlineStr">
        <is>
          <t>Power Cable</t>
        </is>
      </c>
      <c r="B171" s="15" t="inlineStr">
        <is>
          <t>29103-ET-ST1703-1-PWK-1</t>
        </is>
      </c>
      <c r="C171" s="15" t="inlineStr">
        <is>
          <t>29103-ET-ST1703-1</t>
        </is>
      </c>
      <c r="D171" s="15" t="inlineStr"/>
      <c r="E171" s="15" t="inlineStr">
        <is>
          <t>29103-HTP-003</t>
        </is>
      </c>
      <c r="F171" s="15" t="inlineStr"/>
      <c r="G171" s="15" t="inlineStr">
        <is>
          <t>113</t>
        </is>
      </c>
      <c r="H171" s="15" t="inlineStr">
        <is>
          <t>1.6. 29103-HTP-003/3. Power Cables/29103-ET-ST1703-1-PWK-1.pdf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NO</v>
      </c>
      <c r="O171" s="6" t="str">
        <f>IF(OR($A171="Power Cable",$A171="RTD Cable",$A171="Fieldbus Cable"),IF(AND($AE171&lt;&gt;""),"YES","NO"),"N/A")</f>
        <v>NO</v>
      </c>
      <c r="P171" s="6" t="str">
        <f>IF(OR($A171="RTD"),IF(AND($AH171&lt;&gt;""),"YES","NO"),"N/A")</f>
        <v>N/A</v>
      </c>
      <c r="Q171" s="6" t="str">
        <f>IF(OR($A171="RTD"),IF(AND($AI171&lt;&gt;""),"YES","NO"),"N/A")</f>
        <v>N/A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inlineStr">
        <is>
          <t>Teck</t>
        </is>
      </c>
      <c r="AK171" s="15" t="inlineStr">
        <is>
          <t>10AWG</t>
        </is>
      </c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29103-ET-P1404-1-R-1</t>
        </is>
      </c>
      <c r="C172" s="15" t="inlineStr">
        <is>
          <t>29103-ET-P1404-1</t>
        </is>
      </c>
      <c r="D172" s="15" t="inlineStr">
        <is>
          <t>29103-HTP-003 HTC-34</t>
        </is>
      </c>
      <c r="E172" s="15" t="inlineStr">
        <is>
          <t>PRODUCED EMULSION</t>
        </is>
      </c>
      <c r="F172" s="15" t="inlineStr">
        <is>
          <t>29103-65R-ET-P1404-01-01</t>
        </is>
      </c>
      <c r="G172" s="15" t="inlineStr">
        <is>
          <t>13.2</t>
        </is>
      </c>
      <c r="H172" s="15" t="inlineStr">
        <is>
          <t>1.6. 29103-HTP-003/2. RTD Inspection/29103-ET-P1404-1-R-1.pdf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29103-ET-P1404-1-R-2</t>
        </is>
      </c>
      <c r="C173" s="15" t="inlineStr">
        <is>
          <t>29103-ET-P1404-1</t>
        </is>
      </c>
      <c r="D173" s="15" t="inlineStr">
        <is>
          <t>29103-HTP-003 HTC-01</t>
        </is>
      </c>
      <c r="E173" s="15" t="inlineStr">
        <is>
          <t>PRODUCED EMULSION</t>
        </is>
      </c>
      <c r="F173" s="15" t="inlineStr">
        <is>
          <t>29103-65R-ET-P1404-01-01</t>
        </is>
      </c>
      <c r="G173" s="15" t="inlineStr">
        <is>
          <t>13.2</t>
        </is>
      </c>
      <c r="H173" s="15" t="inlineStr">
        <is>
          <t>1.6. 29103-HTP-003/2. RTD Inspection/29103-ET-P1404-1-R-2.pdf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29103-ET-P1404-2-R-1</t>
        </is>
      </c>
      <c r="C174" s="15" t="inlineStr">
        <is>
          <t>29103-ET-P1404-2</t>
        </is>
      </c>
      <c r="D174" s="15" t="inlineStr">
        <is>
          <t>29103-HTP-003 HTC-26</t>
        </is>
      </c>
      <c r="E174" s="15" t="inlineStr">
        <is>
          <t>PRODUCED EMULSION</t>
        </is>
      </c>
      <c r="F174" s="15" t="inlineStr">
        <is>
          <t>29103-65R-ET-P1404-02-01</t>
        </is>
      </c>
      <c r="G174" s="15" t="inlineStr">
        <is>
          <t>13.2</t>
        </is>
      </c>
      <c r="H174" s="15" t="inlineStr">
        <is>
          <t>1.6. 29103-HTP-003/2. RTD Inspection/29103-ET-P1404-2-R-1.pdf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29103-ET-P1404-2-R-2</t>
        </is>
      </c>
      <c r="C175" s="15" t="inlineStr">
        <is>
          <t>29103-ET-P1404-2</t>
        </is>
      </c>
      <c r="D175" s="15" t="inlineStr">
        <is>
          <t>29103-HTP-003 HTC-03</t>
        </is>
      </c>
      <c r="E175" s="15" t="inlineStr">
        <is>
          <t>PRODUCED EMULSION</t>
        </is>
      </c>
      <c r="F175" s="15" t="inlineStr">
        <is>
          <t>29103-65R-ET-P1404-02-01</t>
        </is>
      </c>
      <c r="G175" s="15" t="inlineStr">
        <is>
          <t>13.2</t>
        </is>
      </c>
      <c r="H175" s="15" t="inlineStr">
        <is>
          <t>1.6. 29103-HTP-003/2. RTD Inspection/29103-ET-P1404-2-R-2.pdf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29103-ET-P1501-1-R-1</t>
        </is>
      </c>
      <c r="C176" s="15" t="inlineStr">
        <is>
          <t>29103-ET-P1501-1</t>
        </is>
      </c>
      <c r="D176" s="15" t="inlineStr">
        <is>
          <t>29103-HTP-003 HTC-04</t>
        </is>
      </c>
      <c r="E176" s="15" t="inlineStr">
        <is>
          <t>PRODUCED EMULSION</t>
        </is>
      </c>
      <c r="F176" s="15" t="inlineStr">
        <is>
          <t>29103-65R-ET-P1501-01-01</t>
        </is>
      </c>
      <c r="G176" s="15" t="inlineStr">
        <is>
          <t>13.2</t>
        </is>
      </c>
      <c r="H176" s="15" t="inlineStr">
        <is>
          <t>1.6. 29103-HTP-003/2. RTD Inspection/29103-ET-P1501-1-R-1.pdf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29103-ET-P1504-1-R-1</t>
        </is>
      </c>
      <c r="C177" s="15" t="inlineStr">
        <is>
          <t>29103-ET-P1504-1</t>
        </is>
      </c>
      <c r="D177" s="15" t="inlineStr">
        <is>
          <t>29103-HTP-003 HTC-02</t>
        </is>
      </c>
      <c r="E177" s="15" t="inlineStr">
        <is>
          <t>PRODUCED EMULSION</t>
        </is>
      </c>
      <c r="F177" s="15" t="inlineStr">
        <is>
          <t>29103-65R-ET-P1504-01-01</t>
        </is>
      </c>
      <c r="G177" s="15" t="inlineStr">
        <is>
          <t>13.2</t>
        </is>
      </c>
      <c r="H177" s="15" t="inlineStr">
        <is>
          <t>1.6. 29103-HTP-003/2. RTD Inspection/29103-ET-P1504-1-R-1.pdf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29103-ET-P1504-1-R-2</t>
        </is>
      </c>
      <c r="C178" s="15" t="inlineStr">
        <is>
          <t>29103-ET-P1504-1</t>
        </is>
      </c>
      <c r="D178" s="15" t="inlineStr">
        <is>
          <t>29103-HTP-003 I/O-1-3</t>
        </is>
      </c>
      <c r="E178" s="15" t="inlineStr">
        <is>
          <t>PRODUCED EMULSION</t>
        </is>
      </c>
      <c r="F178" s="15" t="inlineStr">
        <is>
          <t>29103-65R-ET-P1504-01-01</t>
        </is>
      </c>
      <c r="G178" s="15" t="inlineStr">
        <is>
          <t>13.2</t>
        </is>
      </c>
      <c r="H178" s="15" t="inlineStr">
        <is>
          <t>1.6. 29103-HTP-003/2. RTD Inspection/29103-ET-P1504-1-R-2.pdf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29103-ET-P1504-2-R-1</t>
        </is>
      </c>
      <c r="C179" s="15" t="inlineStr">
        <is>
          <t>29103-ET-P1504-2</t>
        </is>
      </c>
      <c r="D179" s="15" t="inlineStr">
        <is>
          <t>29103-HTP-003 HTC-27</t>
        </is>
      </c>
      <c r="E179" s="15" t="inlineStr">
        <is>
          <t>PRODUCED EMULSION</t>
        </is>
      </c>
      <c r="F179" s="15" t="inlineStr">
        <is>
          <t>29103-65R-ET-P1504-02-01</t>
        </is>
      </c>
      <c r="G179" s="15" t="inlineStr">
        <is>
          <t>13.2</t>
        </is>
      </c>
      <c r="H179" s="15" t="inlineStr">
        <is>
          <t>1.6. 29103-HTP-003/2. RTD Inspection/29103-ET-P1504-2-R-1.pdf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29103-ET-P1504-2-R-2</t>
        </is>
      </c>
      <c r="C180" s="15" t="inlineStr">
        <is>
          <t>29103-ET-P1504-2</t>
        </is>
      </c>
      <c r="D180" s="15" t="inlineStr">
        <is>
          <t>29103-HTP-003 HTC-58</t>
        </is>
      </c>
      <c r="E180" s="15" t="inlineStr">
        <is>
          <t>PRODUCED EMULSION</t>
        </is>
      </c>
      <c r="F180" s="15" t="inlineStr">
        <is>
          <t>29103-65R-ET-P1504-02-01</t>
        </is>
      </c>
      <c r="G180" s="15" t="inlineStr">
        <is>
          <t>13.2</t>
        </is>
      </c>
      <c r="H180" s="15" t="inlineStr">
        <is>
          <t>1.6. 29103-HTP-003/2. RTD Inspection/29103-ET-P1504-2-R-2.pdf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29103-ET-P1601-1-R-1</t>
        </is>
      </c>
      <c r="C181" s="15" t="inlineStr">
        <is>
          <t>29103-ET-P1601-1</t>
        </is>
      </c>
      <c r="D181" s="15" t="inlineStr">
        <is>
          <t>29103-HTP-003 HTC-05</t>
        </is>
      </c>
      <c r="E181" s="15" t="inlineStr">
        <is>
          <t>PRODUCED EMULSION</t>
        </is>
      </c>
      <c r="F181" s="15" t="inlineStr">
        <is>
          <t>29103-65R-ET-P1601-01-01</t>
        </is>
      </c>
      <c r="G181" s="15" t="inlineStr">
        <is>
          <t>13.2</t>
        </is>
      </c>
      <c r="H181" s="15" t="inlineStr">
        <is>
          <t>1.6. 29103-HTP-003/2. RTD Inspection/29103-ET-P1601-1-R-1.pdf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29103-ET-P1604-1-R-1</t>
        </is>
      </c>
      <c r="C182" s="15" t="inlineStr">
        <is>
          <t>29103-ET-P1604-1</t>
        </is>
      </c>
      <c r="D182" s="15" t="inlineStr">
        <is>
          <t>29103-HTP-003 HTC-09</t>
        </is>
      </c>
      <c r="E182" s="15" t="inlineStr">
        <is>
          <t>PRODUCED EMULSION</t>
        </is>
      </c>
      <c r="F182" s="15" t="inlineStr">
        <is>
          <t>29103-65R-ET-P1604-01-01</t>
        </is>
      </c>
      <c r="G182" s="15" t="inlineStr">
        <is>
          <t>13.2</t>
        </is>
      </c>
      <c r="H182" s="15" t="inlineStr">
        <is>
          <t>1.6. 29103-HTP-003/2. RTD Inspection/29103-ET-P1604-1-R-1.pdf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29103-ET-P1604-1-R-2</t>
        </is>
      </c>
      <c r="C183" s="15" t="inlineStr">
        <is>
          <t>29103-ET-P1604-1</t>
        </is>
      </c>
      <c r="D183" s="15" t="inlineStr">
        <is>
          <t>29103-HTP-003 I/O-1-4</t>
        </is>
      </c>
      <c r="E183" s="15" t="inlineStr">
        <is>
          <t>PRODUCED EMULSION</t>
        </is>
      </c>
      <c r="F183" s="15" t="inlineStr">
        <is>
          <t>29103-65R-ET-P1604-01-01</t>
        </is>
      </c>
      <c r="G183" s="15" t="inlineStr">
        <is>
          <t>13.2</t>
        </is>
      </c>
      <c r="H183" s="15" t="inlineStr">
        <is>
          <t>1.6. 29103-HTP-003/2. RTD Inspection/29103-ET-P1604-1-R-2.pdf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29103-ET-P1604-2-R-1</t>
        </is>
      </c>
      <c r="C184" s="15" t="inlineStr">
        <is>
          <t>29103-ET-P1604-2</t>
        </is>
      </c>
      <c r="D184" s="15" t="inlineStr">
        <is>
          <t>29103-HTP-003 HTC-17</t>
        </is>
      </c>
      <c r="E184" s="15" t="inlineStr">
        <is>
          <t>PRODUCED EMULSION</t>
        </is>
      </c>
      <c r="F184" s="15" t="inlineStr">
        <is>
          <t>29103-65R-ET-P1604-02-01</t>
        </is>
      </c>
      <c r="G184" s="15" t="inlineStr">
        <is>
          <t>13.2</t>
        </is>
      </c>
      <c r="H184" s="15" t="inlineStr">
        <is>
          <t>1.6. 29103-HTP-003/2. RTD Inspection/29103-ET-P1604-2-R-1.pdf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29103-ET-P1604-2-R-2</t>
        </is>
      </c>
      <c r="C185" s="15" t="inlineStr">
        <is>
          <t>29103-ET-P1604-2</t>
        </is>
      </c>
      <c r="D185" s="15" t="inlineStr">
        <is>
          <t>29103-HTP-003 HTC-59</t>
        </is>
      </c>
      <c r="E185" s="15" t="inlineStr">
        <is>
          <t>PRODUCED EMULSION</t>
        </is>
      </c>
      <c r="F185" s="15" t="inlineStr">
        <is>
          <t>29103-65R-ET-P1604-02-01</t>
        </is>
      </c>
      <c r="G185" s="15" t="inlineStr">
        <is>
          <t>13.2</t>
        </is>
      </c>
      <c r="H185" s="15" t="inlineStr">
        <is>
          <t>1.6. 29103-HTP-003/2. RTD Inspection/29103-ET-P1604-2-R-2.pdf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29103-ET-P1701-1-R-1</t>
        </is>
      </c>
      <c r="C186" s="15" t="inlineStr">
        <is>
          <t>29103-ET-P1701-1</t>
        </is>
      </c>
      <c r="D186" s="15" t="inlineStr">
        <is>
          <t>29103-HTP-003 HTC-19</t>
        </is>
      </c>
      <c r="E186" s="15" t="inlineStr">
        <is>
          <t>PRODUCED EMULSION</t>
        </is>
      </c>
      <c r="F186" s="15" t="inlineStr">
        <is>
          <t>29103-65R-ET-P1701-01-01</t>
        </is>
      </c>
      <c r="G186" s="15" t="inlineStr">
        <is>
          <t>13.2</t>
        </is>
      </c>
      <c r="H186" s="15" t="inlineStr">
        <is>
          <t>1.6. 29103-HTP-003/2. RTD Inspection/29103-ET-P1701-1-R-1.pdf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29103-ET-P1704-1-R-1</t>
        </is>
      </c>
      <c r="C187" s="15" t="inlineStr">
        <is>
          <t>29103-ET-P1704-1</t>
        </is>
      </c>
      <c r="D187" s="15" t="inlineStr">
        <is>
          <t>29103-HTP-003 HTC-18</t>
        </is>
      </c>
      <c r="E187" s="15" t="inlineStr">
        <is>
          <t>PRODUCED EMULSION</t>
        </is>
      </c>
      <c r="F187" s="15" t="inlineStr">
        <is>
          <t>29103-65R-ET-P1704-01-01</t>
        </is>
      </c>
      <c r="G187" s="15" t="inlineStr">
        <is>
          <t>13.2</t>
        </is>
      </c>
      <c r="H187" s="15" t="inlineStr">
        <is>
          <t>1.6. 29103-HTP-003/2. RTD Inspection/29103-ET-P1704-1-R-1.pdf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29103-ET-P1704-1-R-2</t>
        </is>
      </c>
      <c r="C188" s="15" t="inlineStr">
        <is>
          <t>29103-ET-P1704-1</t>
        </is>
      </c>
      <c r="D188" s="15" t="inlineStr">
        <is>
          <t>29103-HTP-003 I/O-2-1</t>
        </is>
      </c>
      <c r="E188" s="15" t="inlineStr">
        <is>
          <t>PRODUCED EMULSION</t>
        </is>
      </c>
      <c r="F188" s="15" t="inlineStr">
        <is>
          <t>29103-65R-ET-P1704-01-01</t>
        </is>
      </c>
      <c r="G188" s="15" t="inlineStr">
        <is>
          <t>13.2</t>
        </is>
      </c>
      <c r="H188" s="15" t="inlineStr">
        <is>
          <t>1.6. 29103-HTP-003/2. RTD Inspection/29103-ET-P1704-1-R-2.pdf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29103-ET-P1704-2-R-1</t>
        </is>
      </c>
      <c r="C189" s="15" t="inlineStr">
        <is>
          <t>29103-ET-P1704-2</t>
        </is>
      </c>
      <c r="D189" s="15" t="inlineStr">
        <is>
          <t>29103-HTP-003 HTC-32</t>
        </is>
      </c>
      <c r="E189" s="15" t="inlineStr">
        <is>
          <t>PRODUCED EMULSION</t>
        </is>
      </c>
      <c r="F189" s="15" t="inlineStr">
        <is>
          <t>29103-65R-ET-P1704-02-01</t>
        </is>
      </c>
      <c r="G189" s="15" t="inlineStr">
        <is>
          <t>13.2</t>
        </is>
      </c>
      <c r="H189" s="15" t="inlineStr">
        <is>
          <t>1.6. 29103-HTP-003/2. RTD Inspection/29103-ET-P1704-2-R-1.pdf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29103-ET-P1704-2-R-2</t>
        </is>
      </c>
      <c r="C190" s="15" t="inlineStr">
        <is>
          <t>29103-ET-P1704-2</t>
        </is>
      </c>
      <c r="D190" s="15" t="inlineStr">
        <is>
          <t>29103-HTP-003 HTC-60</t>
        </is>
      </c>
      <c r="E190" s="15" t="inlineStr">
        <is>
          <t>PRODUCED EMULSION</t>
        </is>
      </c>
      <c r="F190" s="15" t="inlineStr">
        <is>
          <t>29103-65R-ET-P1704-02-01</t>
        </is>
      </c>
      <c r="G190" s="15" t="inlineStr">
        <is>
          <t>13.2</t>
        </is>
      </c>
      <c r="H190" s="15" t="inlineStr">
        <is>
          <t>1.6. 29103-HTP-003/2. RTD Inspection/29103-ET-P1704-2-R-2.pdf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29103-ET-P1800-3-R-1</t>
        </is>
      </c>
      <c r="C191" s="15" t="inlineStr">
        <is>
          <t>29103-ET-P1800-3</t>
        </is>
      </c>
      <c r="D191" s="15" t="inlineStr">
        <is>
          <t>29103-HTP-003 HTC-24</t>
        </is>
      </c>
      <c r="E191" s="15" t="inlineStr">
        <is>
          <t>PRODUCED EMULSION</t>
        </is>
      </c>
      <c r="F191" s="15" t="inlineStr">
        <is>
          <t>29103-65R-ET-P1800-03-01</t>
        </is>
      </c>
      <c r="G191" s="15" t="inlineStr">
        <is>
          <t>13.2</t>
        </is>
      </c>
      <c r="H191" s="15" t="inlineStr">
        <is>
          <t>1.6. 29103-HTP-003/2. RTD Inspection/29103-ET-P1800-3-R-1.pdf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29103-ET-PE1401-2-R-2</t>
        </is>
      </c>
      <c r="C192" s="15" t="inlineStr">
        <is>
          <t>29103-ET-PE1401-2</t>
        </is>
      </c>
      <c r="D192" s="15" t="inlineStr">
        <is>
          <t>29103-HTP-003 I/O-4-3</t>
        </is>
      </c>
      <c r="E192" s="15" t="inlineStr">
        <is>
          <t>PRODUCED EMULSION</t>
        </is>
      </c>
      <c r="F192" s="15" t="inlineStr">
        <is>
          <t>29103-65R-ET-PE1401-02-01</t>
        </is>
      </c>
      <c r="G192" s="15" t="inlineStr">
        <is>
          <t>13.2</t>
        </is>
      </c>
      <c r="H192" s="15" t="inlineStr">
        <is>
          <t>1.6. 29103-HTP-003/2. RTD Inspection/29103-ET-PE1401-2-R-2.pdf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29103-ET-PE1402-1-R-1</t>
        </is>
      </c>
      <c r="C193" s="15" t="inlineStr">
        <is>
          <t>29103-ET-PE1402-1</t>
        </is>
      </c>
      <c r="D193" s="15" t="inlineStr">
        <is>
          <t>29103-HTP-003 I/O-4-4 / CB-33</t>
        </is>
      </c>
      <c r="E193" s="15" t="inlineStr">
        <is>
          <t>PRODUCED EMULSION</t>
        </is>
      </c>
      <c r="F193" s="15" t="inlineStr">
        <is>
          <t>29103-4"-PE-1402-DAPCO-64H-ET Rev 1A3   Trace: 29103-ET-PE1402-1-1</t>
        </is>
      </c>
      <c r="G193" s="15" t="inlineStr">
        <is>
          <t>13.2</t>
        </is>
      </c>
      <c r="H193" s="15" t="inlineStr">
        <is>
          <t>10-01_GIM_GONCHO/EHT Cable ITRS/2. RTD Inspection/29103-ET-PE1402-1-R-1.pdf</t>
        </is>
      </c>
      <c r="I193" s="6" t="str">
        <f>IF($H193&lt;&gt;"","YES","NO")</f>
        <v>YES</v>
      </c>
      <c r="J193" s="6" t="str">
        <f>IF(N($T193)&gt;0,"YES","NO")</f>
        <v>YES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YES</v>
      </c>
      <c r="S193" s="6" t="str">
        <f>IF(COUNTIF(I193:R193,"NO")=0,"YES","NO")</f>
        <v>NO</v>
      </c>
      <c r="T193" s="15" t="n">
        <v>5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inlineStr">
        <is>
          <t>2026/08/12</t>
        </is>
      </c>
      <c r="AN193" s="15" t="n"/>
    </row>
    <row r="194">
      <c r="A194" s="15" t="inlineStr">
        <is>
          <t>RTD</t>
        </is>
      </c>
      <c r="B194" s="15" t="inlineStr">
        <is>
          <t>29103-ET-PE1402-1-R-2</t>
        </is>
      </c>
      <c r="C194" s="15" t="inlineStr">
        <is>
          <t>29103-ET-PE1402-1</t>
        </is>
      </c>
      <c r="D194" s="15" t="inlineStr">
        <is>
          <t>29103-HTP-003 I/O-4-4 / CB-33</t>
        </is>
      </c>
      <c r="E194" s="15" t="inlineStr">
        <is>
          <t>PRODUCED EMULSION</t>
        </is>
      </c>
      <c r="F194" s="15" t="inlineStr">
        <is>
          <t>29103-4"-PE-1402-DAPCO-64H-ET Rev 1A3   Trace: 29103-ET-PE1402-1-1</t>
        </is>
      </c>
      <c r="G194" s="15" t="inlineStr">
        <is>
          <t>13.2</t>
        </is>
      </c>
      <c r="H194" s="15" t="inlineStr">
        <is>
          <t>10-01_GIM_GONCHO/EHT Cable ITRS/2. RTD Inspection/29103-ET-PE1402-1-R-1.pdf</t>
        </is>
      </c>
      <c r="I194" s="6" t="str">
        <f>IF($H194&lt;&gt;"","YES","NO")</f>
        <v>YES</v>
      </c>
      <c r="J194" s="6" t="str">
        <f>IF(N($T194)&gt;0,"YES","NO")</f>
        <v>YES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YES</v>
      </c>
      <c r="S194" s="6" t="str">
        <f>IF(COUNTIF(I194:R194,"NO")=0,"YES","NO")</f>
        <v>NO</v>
      </c>
      <c r="T194" s="15" t="n">
        <v>5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inlineStr">
        <is>
          <t>2026/08/12</t>
        </is>
      </c>
      <c r="AN194" s="15" t="n"/>
    </row>
    <row r="195">
      <c r="A195" s="15" t="inlineStr">
        <is>
          <t>RTD</t>
        </is>
      </c>
      <c r="B195" s="15" t="inlineStr">
        <is>
          <t>29103-ET-PE1501-1-R-1</t>
        </is>
      </c>
      <c r="C195" s="15" t="inlineStr">
        <is>
          <t>29103-ET-PE1501-1</t>
        </is>
      </c>
      <c r="D195" s="15" t="inlineStr">
        <is>
          <t>29103-HTP-003 HTC-10</t>
        </is>
      </c>
      <c r="E195" s="15" t="inlineStr">
        <is>
          <t>PRODUCED EMULSION</t>
        </is>
      </c>
      <c r="F195" s="15" t="inlineStr">
        <is>
          <t>29103-65R-ET-PE1501-01-01</t>
        </is>
      </c>
      <c r="G195" s="15" t="inlineStr">
        <is>
          <t>13.2</t>
        </is>
      </c>
      <c r="H195" s="15" t="inlineStr">
        <is>
          <t>1.6. 29103-HTP-003/2. RTD Inspection/29103-ET-PE1501-1-R-1.pdf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29103-ET-PE1501-2-R-2</t>
        </is>
      </c>
      <c r="C196" s="15" t="inlineStr">
        <is>
          <t>29103-ET-PE1501-2</t>
        </is>
      </c>
      <c r="D196" s="15" t="inlineStr">
        <is>
          <t>29103-HTP-003 I/O-2-2</t>
        </is>
      </c>
      <c r="E196" s="15" t="inlineStr">
        <is>
          <t>PRODUCED EMULSION</t>
        </is>
      </c>
      <c r="F196" s="15" t="inlineStr">
        <is>
          <t>29103-65R-ET-PE1501-02-01</t>
        </is>
      </c>
      <c r="G196" s="15" t="inlineStr">
        <is>
          <t>13.2</t>
        </is>
      </c>
      <c r="H196" s="15" t="inlineStr">
        <is>
          <t>1.6. 29103-HTP-003/2. RTD Inspection/29103-ET-PE1501-2-R-2.pdf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29103-ET-PE1502-1-R-1</t>
        </is>
      </c>
      <c r="C197" s="15" t="inlineStr">
        <is>
          <t>29103-ET-PE1502-1</t>
        </is>
      </c>
      <c r="D197" s="15" t="inlineStr">
        <is>
          <t>29103-HTP-003 I/O-2-3 / CB-06</t>
        </is>
      </c>
      <c r="E197" s="15" t="inlineStr">
        <is>
          <t>PRODUCED EMULSION</t>
        </is>
      </c>
      <c r="F197" s="15" t="inlineStr">
        <is>
          <t>29103-4"-PE-1502-DAPCO-64H-ET Rev 1A2   Trace: 29103-ET-PE1502-1-1</t>
        </is>
      </c>
      <c r="G197" s="15" t="inlineStr">
        <is>
          <t>13.2</t>
        </is>
      </c>
      <c r="H197" s="15" t="inlineStr">
        <is>
          <t>10-01_GIM_GONCHO/EHT Cable ITRS/2. RTD Inspection/29103-ET-PE1502-1-R-1.pdf</t>
        </is>
      </c>
      <c r="I197" s="6" t="str">
        <f>IF($H197&lt;&gt;"","YES","NO")</f>
        <v>YES</v>
      </c>
      <c r="J197" s="6" t="str">
        <f>IF(N($T197)&gt;0,"YES","NO")</f>
        <v>YES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YES</v>
      </c>
      <c r="S197" s="6" t="str">
        <f>IF(COUNTIF(I197:R197,"NO")=0,"YES","NO")</f>
        <v>NO</v>
      </c>
      <c r="T197" s="15" t="n">
        <v>5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inlineStr">
        <is>
          <t>2026/08/10</t>
        </is>
      </c>
      <c r="AN197" s="15" t="inlineStr">
        <is>
          <t>Core markers are correct.</t>
        </is>
      </c>
    </row>
    <row r="198">
      <c r="A198" s="15" t="inlineStr">
        <is>
          <t>RTD</t>
        </is>
      </c>
      <c r="B198" s="15" t="inlineStr">
        <is>
          <t>29103-ET-PE1502-1-R-2</t>
        </is>
      </c>
      <c r="C198" s="15" t="inlineStr">
        <is>
          <t>29103-ET-PE1502-1</t>
        </is>
      </c>
      <c r="D198" s="15" t="inlineStr">
        <is>
          <t>29103-HTP-003 I/O-2-3 / CB-06</t>
        </is>
      </c>
      <c r="E198" s="15" t="inlineStr">
        <is>
          <t>PRODUCED EMULSION</t>
        </is>
      </c>
      <c r="F198" s="15" t="inlineStr">
        <is>
          <t>29103-4"-PE-1502-DAPCO-64H-ET Rev 1A2   Trace: 29103-ET-PE1502-1-1</t>
        </is>
      </c>
      <c r="G198" s="15" t="inlineStr">
        <is>
          <t>13.2</t>
        </is>
      </c>
      <c r="H198" s="15" t="inlineStr">
        <is>
          <t>10-01_GIM_GONCHO/EHT Cable ITRS/2. RTD Inspection/29103-ET-PE1502-1-R-1.pdf</t>
        </is>
      </c>
      <c r="I198" s="6" t="str">
        <f>IF($H198&lt;&gt;"","YES","NO")</f>
        <v>YES</v>
      </c>
      <c r="J198" s="6" t="str">
        <f>IF(N($T198)&gt;0,"YES","NO")</f>
        <v>YES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YES</v>
      </c>
      <c r="S198" s="6" t="str">
        <f>IF(COUNTIF(I198:R198,"NO")=0,"YES","NO")</f>
        <v>NO</v>
      </c>
      <c r="T198" s="15" t="n">
        <v>5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inlineStr">
        <is>
          <t>2026/08/10</t>
        </is>
      </c>
      <c r="AN198" s="15" t="inlineStr">
        <is>
          <t>Core markers are correct.</t>
        </is>
      </c>
    </row>
    <row r="199">
      <c r="A199" s="15" t="inlineStr">
        <is>
          <t>RTD</t>
        </is>
      </c>
      <c r="B199" s="15" t="inlineStr">
        <is>
          <t>29103-ET-PE1601-1-R-1</t>
        </is>
      </c>
      <c r="C199" s="15" t="inlineStr">
        <is>
          <t>29103-ET-PE1601-1</t>
        </is>
      </c>
      <c r="D199" s="15" t="inlineStr">
        <is>
          <t>29103-HTP-003 HTC-08</t>
        </is>
      </c>
      <c r="E199" s="15" t="inlineStr">
        <is>
          <t>PRODUCED EMULSION</t>
        </is>
      </c>
      <c r="F199" s="15" t="inlineStr">
        <is>
          <t>29103-65R-ET-PE1601-01-01</t>
        </is>
      </c>
      <c r="G199" s="15" t="inlineStr">
        <is>
          <t>13.2</t>
        </is>
      </c>
      <c r="H199" s="15" t="inlineStr">
        <is>
          <t>1.6. 29103-HTP-003/2. RTD Inspection/29103-ET-PE1601-1-R-1.pdf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29103-ET-PE1601-2-R-2</t>
        </is>
      </c>
      <c r="C200" s="15" t="inlineStr">
        <is>
          <t>29103-ET-PE1601-2</t>
        </is>
      </c>
      <c r="D200" s="15" t="inlineStr">
        <is>
          <t>29103-HTP-003 I/O-2-4</t>
        </is>
      </c>
      <c r="E200" s="15" t="inlineStr">
        <is>
          <t>PRODUCED EMULSION</t>
        </is>
      </c>
      <c r="F200" s="15" t="inlineStr">
        <is>
          <t>29103-65R-ET-PE1601-02-01</t>
        </is>
      </c>
      <c r="G200" s="15" t="inlineStr">
        <is>
          <t>13.2</t>
        </is>
      </c>
      <c r="H200" s="15" t="inlineStr">
        <is>
          <t>1.6. 29103-HTP-003/2. RTD Inspection/29103-ET-PE1601-2-R-2.pdf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29103-ET-PE1602-1-R-1</t>
        </is>
      </c>
      <c r="C201" s="15" t="inlineStr">
        <is>
          <t>29103-ET-PE1602-1</t>
        </is>
      </c>
      <c r="D201" s="15" t="inlineStr">
        <is>
          <t>29103-HTP-003 I/O-3-1 / CB-15</t>
        </is>
      </c>
      <c r="E201" s="15" t="inlineStr">
        <is>
          <t>PRODUCED EMULSION</t>
        </is>
      </c>
      <c r="F201" s="15" t="inlineStr">
        <is>
          <t>29103-4"-PE-1602-DAPCO-64H-ET Rev 1A2   Trace: 29103-ET-PE1602-1-1</t>
        </is>
      </c>
      <c r="G201" s="15" t="inlineStr">
        <is>
          <t>13.2</t>
        </is>
      </c>
      <c r="H201" s="15" t="inlineStr">
        <is>
          <t>10-01_GIM_GONCHO/EHT Cable ITRS/2. RTD Inspection/29103-ET-PE1602-1-R-1.pdf</t>
        </is>
      </c>
      <c r="I201" s="6" t="str">
        <f>IF($H201&lt;&gt;"","YES","NO")</f>
        <v>YES</v>
      </c>
      <c r="J201" s="6" t="str">
        <f>IF(N($T201)&gt;0,"YES","NO")</f>
        <v>YES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YES</v>
      </c>
      <c r="S201" s="6" t="str">
        <f>IF(COUNTIF(I201:R201,"NO")=0,"YES","NO")</f>
        <v>NO</v>
      </c>
      <c r="T201" s="15" t="n">
        <v>6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inlineStr">
        <is>
          <t>2026/08/10</t>
        </is>
      </c>
      <c r="AN201" s="15" t="inlineStr">
        <is>
          <t>Has been terminated, SS tag is installed but upside down. | Core markers are 29103HTP003HTC15-P-H and 29103HTP003HTC15-P-N</t>
        </is>
      </c>
    </row>
    <row r="202">
      <c r="A202" s="15" t="inlineStr">
        <is>
          <t>RTD</t>
        </is>
      </c>
      <c r="B202" s="15" t="inlineStr">
        <is>
          <t>29103-ET-PE1602-1-R-2</t>
        </is>
      </c>
      <c r="C202" s="15" t="inlineStr">
        <is>
          <t>29103-ET-PE1602-1</t>
        </is>
      </c>
      <c r="D202" s="15" t="inlineStr">
        <is>
          <t>29103-HTP-003 I/O-3-1 / CB-15</t>
        </is>
      </c>
      <c r="E202" s="15" t="inlineStr">
        <is>
          <t>PRODUCED EMULSION</t>
        </is>
      </c>
      <c r="F202" s="15" t="inlineStr">
        <is>
          <t>29103-4"-PE-1602-DAPCO-64H-ET Rev 1A2   Trace: 29103-ET-PE1602-1-1</t>
        </is>
      </c>
      <c r="G202" s="15" t="inlineStr">
        <is>
          <t>13.2</t>
        </is>
      </c>
      <c r="H202" s="15" t="inlineStr">
        <is>
          <t>10-01_GIM_GONCHO/EHT Cable ITRS/2. RTD Inspection/29103-ET-PE1602-1-R-1.pdf</t>
        </is>
      </c>
      <c r="I202" s="6" t="str">
        <f>IF($H202&lt;&gt;"","YES","NO")</f>
        <v>YES</v>
      </c>
      <c r="J202" s="6" t="str">
        <f>IF(N($T202)&gt;0,"YES","NO")</f>
        <v>YES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YES</v>
      </c>
      <c r="S202" s="6" t="str">
        <f>IF(COUNTIF(I202:R202,"NO")=0,"YES","NO")</f>
        <v>NO</v>
      </c>
      <c r="T202" s="15" t="n">
        <v>6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inlineStr">
        <is>
          <t>2026/08/10</t>
        </is>
      </c>
      <c r="AN202" s="15" t="inlineStr">
        <is>
          <t>Has been terminated, SS tag is installed but upside down. | Core markers are 29103HTP003HTC15-P-H and 29103HTP003HTC15-P-N</t>
        </is>
      </c>
    </row>
    <row r="203">
      <c r="A203" s="15" t="inlineStr">
        <is>
          <t>RTD</t>
        </is>
      </c>
      <c r="B203" s="15" t="inlineStr">
        <is>
          <t>29103-ET-PE1701-1-R-1</t>
        </is>
      </c>
      <c r="C203" s="15" t="inlineStr">
        <is>
          <t>29103-ET-PE1701-1</t>
        </is>
      </c>
      <c r="D203" s="15" t="inlineStr">
        <is>
          <t>29103-HTP-003 HTC-23</t>
        </is>
      </c>
      <c r="E203" s="15" t="inlineStr">
        <is>
          <t>PRODUCED EMULSION</t>
        </is>
      </c>
      <c r="F203" s="15" t="inlineStr">
        <is>
          <t>29103-65R-ET-PE1701-01-01</t>
        </is>
      </c>
      <c r="G203" s="15" t="inlineStr">
        <is>
          <t>13.2</t>
        </is>
      </c>
      <c r="H203" s="15" t="inlineStr">
        <is>
          <t>1.6. 29103-HTP-003/2. RTD Inspection/29103-ET-PE1701-1-R-1.pdf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29103-ET-PE1701-2-R-2</t>
        </is>
      </c>
      <c r="C204" s="15" t="inlineStr">
        <is>
          <t>29103-ET-PE1701-2</t>
        </is>
      </c>
      <c r="D204" s="15" t="inlineStr">
        <is>
          <t>29103-HTP-003 I/O-3-2</t>
        </is>
      </c>
      <c r="E204" s="15" t="inlineStr">
        <is>
          <t>PRODUCED EMULSION</t>
        </is>
      </c>
      <c r="F204" s="15" t="inlineStr">
        <is>
          <t>29103-65R-ET-PE1701-02-01</t>
        </is>
      </c>
      <c r="G204" s="15" t="inlineStr">
        <is>
          <t>13.2</t>
        </is>
      </c>
      <c r="H204" s="15" t="inlineStr">
        <is>
          <t>1.6. 29103-HTP-003/2. RTD Inspection/29103-ET-PE1701-2-R-2.pdf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</t>
        </is>
      </c>
      <c r="B205" s="15" t="inlineStr">
        <is>
          <t>29103-ET-PE1702-1-R-1</t>
        </is>
      </c>
      <c r="C205" s="15" t="inlineStr">
        <is>
          <t>29103-ET-PE1702-1</t>
        </is>
      </c>
      <c r="D205" s="15" t="inlineStr">
        <is>
          <t>29103-HTP-003 HTC-20</t>
        </is>
      </c>
      <c r="E205" s="15" t="inlineStr">
        <is>
          <t>PRODUCED EMULSION</t>
        </is>
      </c>
      <c r="F205" s="15" t="inlineStr">
        <is>
          <t>29103-65R-ET-PE1702-01-01</t>
        </is>
      </c>
      <c r="G205" s="15" t="inlineStr">
        <is>
          <t>13.2</t>
        </is>
      </c>
      <c r="H205" s="15" t="inlineStr">
        <is>
          <t>1.6. 29103-HTP-003/2. RTD Inspection/29103-ET-PE1702-1-R-1.pdf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N/A</v>
      </c>
      <c r="P205" s="6" t="str">
        <f>IF(OR($A205="RTD"),IF(AND($AH205&lt;&gt;""),"YES","NO"),"N/A")</f>
        <v>NO</v>
      </c>
      <c r="Q205" s="6" t="str">
        <f>IF(OR($A205="RTD"),IF(AND($AI205&lt;&gt;""),"YES","NO"),"N/A")</f>
        <v>NO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n"/>
      <c r="AK205" s="15" t="n"/>
      <c r="AL205" s="15" t="inlineStr">
        <is>
          <t>Levy Ostrup</t>
        </is>
      </c>
      <c r="AM205" s="15" t="n"/>
      <c r="AN205" s="15" t="n"/>
    </row>
    <row r="206">
      <c r="A206" s="15" t="inlineStr">
        <is>
          <t>RTD</t>
        </is>
      </c>
      <c r="B206" s="15" t="inlineStr">
        <is>
          <t>29103-ET-PE1702-1-R-2</t>
        </is>
      </c>
      <c r="C206" s="15" t="inlineStr">
        <is>
          <t>29103-ET-PE1702-1</t>
        </is>
      </c>
      <c r="D206" s="15" t="inlineStr">
        <is>
          <t>29103-HTP-003 I/O-3-3</t>
        </is>
      </c>
      <c r="E206" s="15" t="inlineStr">
        <is>
          <t>PRODUCED EMULSION</t>
        </is>
      </c>
      <c r="F206" s="15" t="inlineStr">
        <is>
          <t>29103-65R-ET-PE1702-01-01</t>
        </is>
      </c>
      <c r="G206" s="15" t="inlineStr">
        <is>
          <t>13.2</t>
        </is>
      </c>
      <c r="H206" s="15" t="inlineStr">
        <is>
          <t>1.6. 29103-HTP-003/2. RTD Inspection/29103-ET-PE1702-1-R-2.pdf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N/A</v>
      </c>
      <c r="P206" s="6" t="str">
        <f>IF(OR($A206="RTD"),IF(AND($AH206&lt;&gt;""),"YES","NO"),"N/A")</f>
        <v>NO</v>
      </c>
      <c r="Q206" s="6" t="str">
        <f>IF(OR($A206="RTD"),IF(AND($AI206&lt;&gt;""),"YES","NO"),"N/A")</f>
        <v>NO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inlineStr">
        <is>
          <t>Levy Ostrup</t>
        </is>
      </c>
      <c r="AM206" s="15" t="n"/>
      <c r="AN206" s="15" t="n"/>
    </row>
    <row r="207">
      <c r="A207" s="15" t="inlineStr">
        <is>
          <t>RTD</t>
        </is>
      </c>
      <c r="B207" s="15" t="inlineStr">
        <is>
          <t>29103-ET-PE1802-2-R-1</t>
        </is>
      </c>
      <c r="C207" s="15" t="inlineStr">
        <is>
          <t>29103-ET-PE1802-2</t>
        </is>
      </c>
      <c r="D207" s="15" t="inlineStr">
        <is>
          <t>29103-HTP-003 HTC-13</t>
        </is>
      </c>
      <c r="E207" s="15" t="inlineStr">
        <is>
          <t>PRODUCED EMULSION</t>
        </is>
      </c>
      <c r="F207" s="15" t="inlineStr">
        <is>
          <t>29103-65R-ET-PE1802-02-01</t>
        </is>
      </c>
      <c r="G207" s="15" t="inlineStr">
        <is>
          <t>13.2</t>
        </is>
      </c>
      <c r="H207" s="15" t="inlineStr">
        <is>
          <t>1.6. 29103-HTP-003/2. RTD Inspection/29103-ET-PE1802-2-R-1.pdf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N/A</v>
      </c>
      <c r="P207" s="6" t="str">
        <f>IF(OR($A207="RTD"),IF(AND($AH207&lt;&gt;""),"YES","NO"),"N/A")</f>
        <v>NO</v>
      </c>
      <c r="Q207" s="6" t="str">
        <f>IF(OR($A207="RTD"),IF(AND($AI207&lt;&gt;""),"YES","NO"),"N/A")</f>
        <v>NO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n"/>
      <c r="AK207" s="15" t="n"/>
      <c r="AL207" s="15" t="inlineStr">
        <is>
          <t>Levy Ostrup</t>
        </is>
      </c>
      <c r="AM207" s="15" t="n"/>
      <c r="AN207" s="15" t="n"/>
    </row>
    <row r="208">
      <c r="A208" s="15" t="inlineStr">
        <is>
          <t>RTD</t>
        </is>
      </c>
      <c r="B208" s="15" t="inlineStr">
        <is>
          <t>29103-ET-PE1803-2-R-1</t>
        </is>
      </c>
      <c r="C208" s="15" t="inlineStr">
        <is>
          <t>29103-ET-PE1803-2</t>
        </is>
      </c>
      <c r="D208" s="15" t="inlineStr">
        <is>
          <t>29103-HTP-003 HTC-29</t>
        </is>
      </c>
      <c r="E208" s="15" t="inlineStr">
        <is>
          <t>PRODUCED EMULSION</t>
        </is>
      </c>
      <c r="F208" s="15" t="inlineStr">
        <is>
          <t>29103-65R-ET-PE1803-02-01</t>
        </is>
      </c>
      <c r="G208" s="15" t="inlineStr">
        <is>
          <t>13.2</t>
        </is>
      </c>
      <c r="H208" s="15" t="inlineStr">
        <is>
          <t>1.6. 29103-HTP-003/2. RTD Inspection/29103-ET-PE1803-2-R-1.pdf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N/A</v>
      </c>
      <c r="P208" s="6" t="str">
        <f>IF(OR($A208="RTD"),IF(AND($AH208&lt;&gt;""),"YES","NO"),"N/A")</f>
        <v>NO</v>
      </c>
      <c r="Q208" s="6" t="str">
        <f>IF(OR($A208="RTD"),IF(AND($AI208&lt;&gt;""),"YES","NO"),"N/A")</f>
        <v>NO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inlineStr">
        <is>
          <t>Levy Ostrup</t>
        </is>
      </c>
      <c r="AM208" s="15" t="n"/>
      <c r="AN208" s="15" t="n"/>
    </row>
    <row r="209">
      <c r="A209" s="15" t="inlineStr">
        <is>
          <t>RTD</t>
        </is>
      </c>
      <c r="B209" s="15" t="inlineStr">
        <is>
          <t>29103-ET-PG1401-1-R-1</t>
        </is>
      </c>
      <c r="C209" s="15" t="inlineStr">
        <is>
          <t>29103-ET-PG1401-1</t>
        </is>
      </c>
      <c r="D209" s="15" t="inlineStr">
        <is>
          <t>29103-HTP-003 HTC-35</t>
        </is>
      </c>
      <c r="E209" s="15" t="inlineStr">
        <is>
          <t>PRODUCED GAS</t>
        </is>
      </c>
      <c r="F209" s="15" t="inlineStr">
        <is>
          <t>29103-65R-ET-PG1401-01-01</t>
        </is>
      </c>
      <c r="G209" s="15" t="inlineStr">
        <is>
          <t>13.2</t>
        </is>
      </c>
      <c r="H209" s="15" t="inlineStr">
        <is>
          <t>1.6. 29103-HTP-003/2. RTD Inspection/29103-ET-PG1401-1-R-1.pdf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N/A</v>
      </c>
      <c r="P209" s="6" t="str">
        <f>IF(OR($A209="RTD"),IF(AND($AH209&lt;&gt;""),"YES","NO"),"N/A")</f>
        <v>NO</v>
      </c>
      <c r="Q209" s="6" t="str">
        <f>IF(OR($A209="RTD"),IF(AND($AI209&lt;&gt;""),"YES","NO"),"N/A")</f>
        <v>NO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n"/>
      <c r="AK209" s="15" t="n"/>
      <c r="AL209" s="15" t="inlineStr">
        <is>
          <t>Levy Ostrup</t>
        </is>
      </c>
      <c r="AM209" s="15" t="n"/>
      <c r="AN209" s="15" t="n"/>
    </row>
    <row r="210">
      <c r="A210" s="15" t="inlineStr">
        <is>
          <t>RTD</t>
        </is>
      </c>
      <c r="B210" s="15" t="inlineStr">
        <is>
          <t>29103-ET-PG1401-1-R-2</t>
        </is>
      </c>
      <c r="C210" s="15" t="inlineStr">
        <is>
          <t>29103-ET-PG1401-1</t>
        </is>
      </c>
      <c r="D210" s="15" t="inlineStr">
        <is>
          <t>29103-HTP-003 HTC-37</t>
        </is>
      </c>
      <c r="E210" s="15" t="inlineStr">
        <is>
          <t>PRODUCED GAS</t>
        </is>
      </c>
      <c r="F210" s="15" t="inlineStr">
        <is>
          <t>29103-65R-ET-PG1401-01-01</t>
        </is>
      </c>
      <c r="G210" s="15" t="inlineStr">
        <is>
          <t>13.2</t>
        </is>
      </c>
      <c r="H210" s="15" t="inlineStr">
        <is>
          <t>1.6. 29103-HTP-003/2. RTD Inspection/29103-ET-PG1401-1-R-2.pdf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N/A</v>
      </c>
      <c r="P210" s="6" t="str">
        <f>IF(OR($A210="RTD"),IF(AND($AH210&lt;&gt;""),"YES","NO"),"N/A")</f>
        <v>NO</v>
      </c>
      <c r="Q210" s="6" t="str">
        <f>IF(OR($A210="RTD"),IF(AND($AI210&lt;&gt;""),"YES","NO"),"N/A")</f>
        <v>NO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inlineStr">
        <is>
          <t>Levy Ostrup</t>
        </is>
      </c>
      <c r="AM210" s="15" t="n"/>
      <c r="AN210" s="15" t="n"/>
    </row>
    <row r="211">
      <c r="A211" s="15" t="inlineStr">
        <is>
          <t>RTD</t>
        </is>
      </c>
      <c r="B211" s="15" t="inlineStr">
        <is>
          <t>29103-ET-PG1401-2-R-1</t>
        </is>
      </c>
      <c r="C211" s="15" t="inlineStr">
        <is>
          <t>29103-ET-PG1401-2</t>
        </is>
      </c>
      <c r="D211" s="15" t="inlineStr">
        <is>
          <t>29103-HTP-003 HTC-22</t>
        </is>
      </c>
      <c r="E211" s="15" t="inlineStr">
        <is>
          <t>PRODUCED GAS</t>
        </is>
      </c>
      <c r="F211" s="15" t="inlineStr">
        <is>
          <t>29103-65R-ET-PG1401-02-01</t>
        </is>
      </c>
      <c r="G211" s="15" t="inlineStr">
        <is>
          <t>13.2</t>
        </is>
      </c>
      <c r="H211" s="15" t="inlineStr">
        <is>
          <t>1.6. 29103-HTP-003/2. RTD Inspection/29103-ET-PG1401-2-R-1.pdf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N/A</v>
      </c>
      <c r="P211" s="6" t="str">
        <f>IF(OR($A211="RTD"),IF(AND($AH211&lt;&gt;""),"YES","NO"),"N/A")</f>
        <v>NO</v>
      </c>
      <c r="Q211" s="6" t="str">
        <f>IF(OR($A211="RTD"),IF(AND($AI211&lt;&gt;""),"YES","NO"),"N/A")</f>
        <v>NO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n"/>
      <c r="AK211" s="15" t="n"/>
      <c r="AL211" s="15" t="inlineStr">
        <is>
          <t>Levy Ostrup</t>
        </is>
      </c>
      <c r="AM211" s="15" t="n"/>
      <c r="AN211" s="15" t="n"/>
    </row>
    <row r="212">
      <c r="A212" s="15" t="inlineStr">
        <is>
          <t>RTD</t>
        </is>
      </c>
      <c r="B212" s="15" t="inlineStr">
        <is>
          <t>29103-ET-PG1501-1-R-1</t>
        </is>
      </c>
      <c r="C212" s="15" t="inlineStr">
        <is>
          <t>29103-ET-PG1501-1</t>
        </is>
      </c>
      <c r="D212" s="15" t="inlineStr">
        <is>
          <t>29103-HTP-003 HTC-11</t>
        </is>
      </c>
      <c r="E212" s="15" t="inlineStr">
        <is>
          <t>PRODUCED GAS</t>
        </is>
      </c>
      <c r="F212" s="15" t="inlineStr">
        <is>
          <t>29103-65R-ET-PG1501-01-01</t>
        </is>
      </c>
      <c r="G212" s="15" t="inlineStr">
        <is>
          <t>13.2</t>
        </is>
      </c>
      <c r="H212" s="15" t="inlineStr">
        <is>
          <t>1.6. 29103-HTP-003/2. RTD Inspection/29103-ET-PG1501-1-R-1.pdf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N/A</v>
      </c>
      <c r="P212" s="6" t="str">
        <f>IF(OR($A212="RTD"),IF(AND($AH212&lt;&gt;""),"YES","NO"),"N/A")</f>
        <v>NO</v>
      </c>
      <c r="Q212" s="6" t="str">
        <f>IF(OR($A212="RTD"),IF(AND($AI212&lt;&gt;""),"YES","NO"),"N/A")</f>
        <v>NO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inlineStr">
        <is>
          <t>Levy Ostrup</t>
        </is>
      </c>
      <c r="AM212" s="15" t="n"/>
      <c r="AN212" s="15" t="n"/>
    </row>
    <row r="213">
      <c r="A213" s="15" t="inlineStr">
        <is>
          <t>RTD</t>
        </is>
      </c>
      <c r="B213" s="15" t="inlineStr">
        <is>
          <t>29103-ET-PG1501-1-R-2</t>
        </is>
      </c>
      <c r="C213" s="15" t="inlineStr">
        <is>
          <t>29103-ET-PG1501-1</t>
        </is>
      </c>
      <c r="D213" s="15" t="inlineStr">
        <is>
          <t>29103-HTP-003 I/O-3-4</t>
        </is>
      </c>
      <c r="E213" s="15" t="inlineStr">
        <is>
          <t>PRODUCED GAS</t>
        </is>
      </c>
      <c r="F213" s="15" t="inlineStr">
        <is>
          <t>29103-65R-ET-PG1501-01-01</t>
        </is>
      </c>
      <c r="G213" s="15" t="inlineStr">
        <is>
          <t>13.2</t>
        </is>
      </c>
      <c r="H213" s="15" t="inlineStr">
        <is>
          <t>1.6. 29103-HTP-003/2. RTD Inspection/29103-ET-PG1501-1-R-2.pdf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N/A</v>
      </c>
      <c r="P213" s="6" t="str">
        <f>IF(OR($A213="RTD"),IF(AND($AH213&lt;&gt;""),"YES","NO"),"N/A")</f>
        <v>NO</v>
      </c>
      <c r="Q213" s="6" t="str">
        <f>IF(OR($A213="RTD"),IF(AND($AI213&lt;&gt;""),"YES","NO"),"N/A")</f>
        <v>NO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n"/>
      <c r="AK213" s="15" t="n"/>
      <c r="AL213" s="15" t="inlineStr">
        <is>
          <t>Levy Ostrup</t>
        </is>
      </c>
      <c r="AM213" s="15" t="n"/>
      <c r="AN213" s="15" t="n"/>
    </row>
    <row r="214">
      <c r="A214" s="15" t="inlineStr">
        <is>
          <t>RTD</t>
        </is>
      </c>
      <c r="B214" s="15" t="inlineStr">
        <is>
          <t>29103-ET-PG1501-2-R-1</t>
        </is>
      </c>
      <c r="C214" s="15" t="inlineStr">
        <is>
          <t>29103-ET-PG1501-2</t>
        </is>
      </c>
      <c r="D214" s="15" t="inlineStr">
        <is>
          <t>29103-HTP-003 HTC-28</t>
        </is>
      </c>
      <c r="E214" s="15" t="inlineStr">
        <is>
          <t>PRODUCED GAS</t>
        </is>
      </c>
      <c r="F214" s="15" t="inlineStr">
        <is>
          <t>29103-65R-ET-PG1501-02-01</t>
        </is>
      </c>
      <c r="G214" s="15" t="inlineStr">
        <is>
          <t>13.2</t>
        </is>
      </c>
      <c r="H214" s="15" t="inlineStr">
        <is>
          <t>1.6. 29103-HTP-003/2. RTD Inspection/29103-ET-PG1501-2-R-1.pdf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N/A</v>
      </c>
      <c r="P214" s="6" t="str">
        <f>IF(OR($A214="RTD"),IF(AND($AH214&lt;&gt;""),"YES","NO"),"N/A")</f>
        <v>NO</v>
      </c>
      <c r="Q214" s="6" t="str">
        <f>IF(OR($A214="RTD"),IF(AND($AI214&lt;&gt;""),"YES","NO"),"N/A")</f>
        <v>NO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inlineStr">
        <is>
          <t>Levy Ostrup</t>
        </is>
      </c>
      <c r="AM214" s="15" t="n"/>
      <c r="AN214" s="15" t="n"/>
    </row>
    <row r="215">
      <c r="A215" s="15" t="inlineStr">
        <is>
          <t>RTD</t>
        </is>
      </c>
      <c r="B215" s="15" t="inlineStr">
        <is>
          <t>29103-ET-PG1601-1-R-1</t>
        </is>
      </c>
      <c r="C215" s="15" t="inlineStr">
        <is>
          <t>29103-ET-PG1601-1</t>
        </is>
      </c>
      <c r="D215" s="15" t="inlineStr">
        <is>
          <t>29103-HTP-003 HTC-14</t>
        </is>
      </c>
      <c r="E215" s="15" t="inlineStr">
        <is>
          <t>PRODUCED GAS</t>
        </is>
      </c>
      <c r="F215" s="15" t="inlineStr">
        <is>
          <t>29103-65R-ET-PG1601-01-01</t>
        </is>
      </c>
      <c r="G215" s="15" t="inlineStr">
        <is>
          <t>13.2</t>
        </is>
      </c>
      <c r="H215" s="15" t="inlineStr">
        <is>
          <t>1.6. 29103-HTP-003/2. RTD Inspection/29103-ET-PG1601-1-R-1.pdf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N/A</v>
      </c>
      <c r="P215" s="6" t="str">
        <f>IF(OR($A215="RTD"),IF(AND($AH215&lt;&gt;""),"YES","NO"),"N/A")</f>
        <v>NO</v>
      </c>
      <c r="Q215" s="6" t="str">
        <f>IF(OR($A215="RTD"),IF(AND($AI215&lt;&gt;""),"YES","NO"),"N/A")</f>
        <v>NO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n"/>
      <c r="AK215" s="15" t="n"/>
      <c r="AL215" s="15" t="inlineStr">
        <is>
          <t>Levy Ostrup</t>
        </is>
      </c>
      <c r="AM215" s="15" t="n"/>
      <c r="AN215" s="15" t="n"/>
    </row>
    <row r="216">
      <c r="A216" s="15" t="inlineStr">
        <is>
          <t>RTD</t>
        </is>
      </c>
      <c r="B216" s="15" t="inlineStr">
        <is>
          <t>29103-ET-PG1601-1-R-2</t>
        </is>
      </c>
      <c r="C216" s="15" t="inlineStr">
        <is>
          <t>29103-ET-PG1601-1</t>
        </is>
      </c>
      <c r="D216" s="15" t="inlineStr">
        <is>
          <t>29103-HTP-003 I/O-4-1</t>
        </is>
      </c>
      <c r="E216" s="15" t="inlineStr">
        <is>
          <t>PRODUCED GAS</t>
        </is>
      </c>
      <c r="F216" s="15" t="inlineStr">
        <is>
          <t>29103-65R-ET-PG1601-01-01</t>
        </is>
      </c>
      <c r="G216" s="15" t="inlineStr">
        <is>
          <t>13.2</t>
        </is>
      </c>
      <c r="H216" s="15" t="inlineStr">
        <is>
          <t>1.6. 29103-HTP-003/2. RTD Inspection/29103-ET-PG1601-1-R-2.pdf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N/A</v>
      </c>
      <c r="P216" s="6" t="str">
        <f>IF(OR($A216="RTD"),IF(AND($AH216&lt;&gt;""),"YES","NO"),"N/A")</f>
        <v>NO</v>
      </c>
      <c r="Q216" s="6" t="str">
        <f>IF(OR($A216="RTD"),IF(AND($AI216&lt;&gt;""),"YES","NO"),"N/A")</f>
        <v>NO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n"/>
      <c r="AK216" s="15" t="n"/>
      <c r="AL216" s="15" t="inlineStr">
        <is>
          <t>Levy Ostrup</t>
        </is>
      </c>
      <c r="AM216" s="15" t="n"/>
      <c r="AN216" s="15" t="n"/>
    </row>
    <row r="217">
      <c r="A217" s="15" t="inlineStr">
        <is>
          <t>RTD</t>
        </is>
      </c>
      <c r="B217" s="15" t="inlineStr">
        <is>
          <t>29103-ET-PG1601-2-R-1</t>
        </is>
      </c>
      <c r="C217" s="15" t="inlineStr">
        <is>
          <t>29103-ET-PG1601-2</t>
        </is>
      </c>
      <c r="D217" s="15" t="inlineStr">
        <is>
          <t>29103-HTP-003 HTC-31</t>
        </is>
      </c>
      <c r="E217" s="15" t="inlineStr">
        <is>
          <t>PRODUCED GAS</t>
        </is>
      </c>
      <c r="F217" s="15" t="inlineStr">
        <is>
          <t>29103-65R-ET-PG1601-02-01</t>
        </is>
      </c>
      <c r="G217" s="15" t="inlineStr">
        <is>
          <t>13.2</t>
        </is>
      </c>
      <c r="H217" s="15" t="inlineStr">
        <is>
          <t>1.6. 29103-HTP-003/2. RTD Inspection/29103-ET-PG1601-2-R-1.pdf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N/A</v>
      </c>
      <c r="P217" s="6" t="str">
        <f>IF(OR($A217="RTD"),IF(AND($AH217&lt;&gt;""),"YES","NO"),"N/A")</f>
        <v>NO</v>
      </c>
      <c r="Q217" s="6" t="str">
        <f>IF(OR($A217="RTD"),IF(AND($AI217&lt;&gt;""),"YES","NO"),"N/A")</f>
        <v>NO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n"/>
      <c r="AK217" s="15" t="n"/>
      <c r="AL217" s="15" t="inlineStr">
        <is>
          <t>Levy Ostrup</t>
        </is>
      </c>
      <c r="AM217" s="15" t="n"/>
      <c r="AN217" s="15" t="n"/>
    </row>
    <row r="218">
      <c r="A218" s="15" t="inlineStr">
        <is>
          <t>RTD</t>
        </is>
      </c>
      <c r="B218" s="15" t="inlineStr">
        <is>
          <t>29103-ET-PG1701-1-R-1</t>
        </is>
      </c>
      <c r="C218" s="15" t="inlineStr">
        <is>
          <t>29103-ET-PG1701-1</t>
        </is>
      </c>
      <c r="D218" s="15" t="inlineStr">
        <is>
          <t>29103-HTP-003 HTC-21</t>
        </is>
      </c>
      <c r="E218" s="15" t="inlineStr">
        <is>
          <t>PRODUCED GAS</t>
        </is>
      </c>
      <c r="F218" s="15" t="inlineStr">
        <is>
          <t>29103-65R-ET-PG1701-01-01</t>
        </is>
      </c>
      <c r="G218" s="15" t="inlineStr">
        <is>
          <t>13.2</t>
        </is>
      </c>
      <c r="H218" s="15" t="inlineStr">
        <is>
          <t>1.6. 29103-HTP-003/2. RTD Inspection/29103-ET-PG1701-1-R-1.pdf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N/A</v>
      </c>
      <c r="P218" s="6" t="str">
        <f>IF(OR($A218="RTD"),IF(AND($AH218&lt;&gt;""),"YES","NO"),"N/A")</f>
        <v>NO</v>
      </c>
      <c r="Q218" s="6" t="str">
        <f>IF(OR($A218="RTD"),IF(AND($AI218&lt;&gt;""),"YES","NO"),"N/A")</f>
        <v>NO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n"/>
      <c r="AK218" s="15" t="n"/>
      <c r="AL218" s="15" t="inlineStr">
        <is>
          <t>Levy Ostrup</t>
        </is>
      </c>
      <c r="AM218" s="15" t="n"/>
      <c r="AN218" s="15" t="n"/>
    </row>
    <row r="219">
      <c r="A219" s="15" t="inlineStr">
        <is>
          <t>RTD</t>
        </is>
      </c>
      <c r="B219" s="15" t="inlineStr">
        <is>
          <t>29103-ET-PG1701-1-R-2</t>
        </is>
      </c>
      <c r="C219" s="15" t="inlineStr">
        <is>
          <t>29103-ET-PG1701-1</t>
        </is>
      </c>
      <c r="D219" s="15" t="inlineStr">
        <is>
          <t>29103-HTP-003 I/O-4-2</t>
        </is>
      </c>
      <c r="E219" s="15" t="inlineStr">
        <is>
          <t>PRODUCED GAS</t>
        </is>
      </c>
      <c r="F219" s="15" t="inlineStr">
        <is>
          <t>29103-65R-ET-PG1701-01-01</t>
        </is>
      </c>
      <c r="G219" s="15" t="inlineStr">
        <is>
          <t>13.2</t>
        </is>
      </c>
      <c r="H219" s="15" t="inlineStr">
        <is>
          <t>1.6. 29103-HTP-003/2. RTD Inspection/29103-ET-PG1701-1-R-2.pdf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N/A</v>
      </c>
      <c r="P219" s="6" t="str">
        <f>IF(OR($A219="RTD"),IF(AND($AH219&lt;&gt;""),"YES","NO"),"N/A")</f>
        <v>NO</v>
      </c>
      <c r="Q219" s="6" t="str">
        <f>IF(OR($A219="RTD"),IF(AND($AI219&lt;&gt;""),"YES","NO"),"N/A")</f>
        <v>NO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n"/>
      <c r="AK219" s="15" t="n"/>
      <c r="AL219" s="15" t="inlineStr">
        <is>
          <t>Levy Ostrup</t>
        </is>
      </c>
      <c r="AM219" s="15" t="n"/>
      <c r="AN219" s="15" t="n"/>
    </row>
    <row r="220">
      <c r="A220" s="15" t="inlineStr">
        <is>
          <t>RTD</t>
        </is>
      </c>
      <c r="B220" s="15" t="inlineStr">
        <is>
          <t>29103-ET-PG1701-2-R-1</t>
        </is>
      </c>
      <c r="C220" s="15" t="inlineStr">
        <is>
          <t>29103-ET-PG1701-2</t>
        </is>
      </c>
      <c r="D220" s="15" t="inlineStr">
        <is>
          <t>29103-HTP-003 HTC-25</t>
        </is>
      </c>
      <c r="E220" s="15" t="inlineStr">
        <is>
          <t>PRODUCED GAS</t>
        </is>
      </c>
      <c r="F220" s="15" t="inlineStr">
        <is>
          <t>29103-65R-ET-PG1701-02-01</t>
        </is>
      </c>
      <c r="G220" s="15" t="inlineStr">
        <is>
          <t>13.2</t>
        </is>
      </c>
      <c r="H220" s="15" t="inlineStr">
        <is>
          <t>1.6. 29103-HTP-003/2. RTD Inspection/29103-ET-PG1701-2-R-1.pdf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N/A</v>
      </c>
      <c r="P220" s="6" t="str">
        <f>IF(OR($A220="RTD"),IF(AND($AH220&lt;&gt;""),"YES","NO"),"N/A")</f>
        <v>NO</v>
      </c>
      <c r="Q220" s="6" t="str">
        <f>IF(OR($A220="RTD"),IF(AND($AI220&lt;&gt;""),"YES","NO"),"N/A")</f>
        <v>NO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n"/>
      <c r="AK220" s="15" t="n"/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29103-ET-P1404-1-R-1</t>
        </is>
      </c>
      <c r="C221" s="15" t="inlineStr">
        <is>
          <t>29103-ET-P1404-1</t>
        </is>
      </c>
      <c r="D221" s="15" t="inlineStr"/>
      <c r="E221" s="15" t="inlineStr">
        <is>
          <t>29103-HTP-003</t>
        </is>
      </c>
      <c r="F221" s="15" t="inlineStr"/>
      <c r="G221" s="15" t="inlineStr">
        <is>
          <t>113</t>
        </is>
      </c>
      <c r="H221" s="15" t="inlineStr">
        <is>
          <t>1.6. 29103-HTP-003/4. RTD Cables/29103-ET-P1404-1-R-1.pdf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29103-ET-P1404-1-R-2</t>
        </is>
      </c>
      <c r="C222" s="15" t="inlineStr">
        <is>
          <t>29103-ET-P1404-1</t>
        </is>
      </c>
      <c r="D222" s="15" t="inlineStr"/>
      <c r="E222" s="15" t="inlineStr">
        <is>
          <t>29103-HTP-003</t>
        </is>
      </c>
      <c r="F222" s="15" t="inlineStr"/>
      <c r="G222" s="15" t="inlineStr">
        <is>
          <t>113</t>
        </is>
      </c>
      <c r="H222" s="15" t="inlineStr">
        <is>
          <t>1.6. 29103-HTP-003/4. RTD Cables/29103-ET-P1404-1-R-2.pdf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29103-ET-P1404-2-R-1</t>
        </is>
      </c>
      <c r="C223" s="15" t="inlineStr">
        <is>
          <t>29103-ET-P1404-2</t>
        </is>
      </c>
      <c r="D223" s="15" t="inlineStr"/>
      <c r="E223" s="15" t="inlineStr">
        <is>
          <t>29103-HTP-003</t>
        </is>
      </c>
      <c r="F223" s="15" t="inlineStr"/>
      <c r="G223" s="15" t="inlineStr">
        <is>
          <t>113</t>
        </is>
      </c>
      <c r="H223" s="15" t="inlineStr">
        <is>
          <t>1.6. 29103-HTP-003/4. RTD Cables/29103-ET-P1404-2-R-1.pdf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29103-ET-P1404-2-R-2</t>
        </is>
      </c>
      <c r="C224" s="15" t="inlineStr">
        <is>
          <t>29103-ET-P1404-2</t>
        </is>
      </c>
      <c r="D224" s="15" t="inlineStr"/>
      <c r="E224" s="15" t="inlineStr">
        <is>
          <t>29103-HTP-003</t>
        </is>
      </c>
      <c r="F224" s="15" t="inlineStr"/>
      <c r="G224" s="15" t="inlineStr">
        <is>
          <t>113</t>
        </is>
      </c>
      <c r="H224" s="15" t="inlineStr">
        <is>
          <t>1.6. 29103-HTP-003/4. RTD Cables/29103-ET-P1404-2-R-2.pdf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29103-ET-P1501-1-R-1</t>
        </is>
      </c>
      <c r="C225" s="15" t="inlineStr">
        <is>
          <t>29103-ET-P1501-1</t>
        </is>
      </c>
      <c r="D225" s="15" t="inlineStr"/>
      <c r="E225" s="15" t="inlineStr">
        <is>
          <t>29103-HTP-003</t>
        </is>
      </c>
      <c r="F225" s="15" t="inlineStr"/>
      <c r="G225" s="15" t="inlineStr">
        <is>
          <t>113</t>
        </is>
      </c>
      <c r="H225" s="15" t="inlineStr">
        <is>
          <t>1.6. 29103-HTP-003/4. RTD Cables/29103-ET-P1501-1-R-1.pdf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29103-ET-P1504-1-R-1</t>
        </is>
      </c>
      <c r="C226" s="15" t="inlineStr">
        <is>
          <t>29103-ET-P1504-1</t>
        </is>
      </c>
      <c r="D226" s="15" t="inlineStr"/>
      <c r="E226" s="15" t="inlineStr">
        <is>
          <t>29103-HTP-003</t>
        </is>
      </c>
      <c r="F226" s="15" t="inlineStr"/>
      <c r="G226" s="15" t="inlineStr">
        <is>
          <t>113</t>
        </is>
      </c>
      <c r="H226" s="15" t="inlineStr">
        <is>
          <t>1.6. 29103-HTP-003/4. RTD Cables/29103-ET-P1504-1-R-1.pdf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29103-ET-P1504-1-R-2</t>
        </is>
      </c>
      <c r="C227" s="15" t="inlineStr">
        <is>
          <t>29103-ET-P1504-1</t>
        </is>
      </c>
      <c r="D227" s="15" t="inlineStr"/>
      <c r="E227" s="15" t="inlineStr">
        <is>
          <t>29103-HTP-003</t>
        </is>
      </c>
      <c r="F227" s="15" t="inlineStr"/>
      <c r="G227" s="15" t="inlineStr">
        <is>
          <t>113</t>
        </is>
      </c>
      <c r="H227" s="15" t="inlineStr">
        <is>
          <t>1.6. 29103-HTP-003/4. RTD Cables/29103-ET-P1504-1-R-2.pdf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29103-ET-P1504-2-R-1</t>
        </is>
      </c>
      <c r="C228" s="15" t="inlineStr">
        <is>
          <t>29103-ET-P1504-2</t>
        </is>
      </c>
      <c r="D228" s="15" t="inlineStr"/>
      <c r="E228" s="15" t="inlineStr">
        <is>
          <t>29103-HTP-003</t>
        </is>
      </c>
      <c r="F228" s="15" t="inlineStr"/>
      <c r="G228" s="15" t="inlineStr">
        <is>
          <t>113</t>
        </is>
      </c>
      <c r="H228" s="15" t="inlineStr">
        <is>
          <t>1.6. 29103-HTP-003/4. RTD Cables/29103-ET-P1504-2-R-1.pdf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29103-ET-P1504-2-R-2</t>
        </is>
      </c>
      <c r="C229" s="15" t="inlineStr">
        <is>
          <t>29103-ET-P1504-2</t>
        </is>
      </c>
      <c r="D229" s="15" t="inlineStr"/>
      <c r="E229" s="15" t="inlineStr">
        <is>
          <t>29103-HTP-003</t>
        </is>
      </c>
      <c r="F229" s="15" t="inlineStr"/>
      <c r="G229" s="15" t="inlineStr">
        <is>
          <t>113</t>
        </is>
      </c>
      <c r="H229" s="15" t="inlineStr">
        <is>
          <t>1.6. 29103-HTP-003/4. RTD Cables/29103-ET-P1504-2-R-2.pdf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29103-ET-P1601-1-R-1</t>
        </is>
      </c>
      <c r="C230" s="15" t="inlineStr">
        <is>
          <t>29103-ET-P1601-1</t>
        </is>
      </c>
      <c r="D230" s="15" t="inlineStr"/>
      <c r="E230" s="15" t="inlineStr">
        <is>
          <t>29103-HTP-003</t>
        </is>
      </c>
      <c r="F230" s="15" t="inlineStr"/>
      <c r="G230" s="15" t="inlineStr">
        <is>
          <t>113</t>
        </is>
      </c>
      <c r="H230" s="15" t="inlineStr">
        <is>
          <t>1.6. 29103-HTP-003/4. RTD Cables/29103-ET-P1601-1-R-1.pdf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29103-ET-P1604-1-R-1</t>
        </is>
      </c>
      <c r="C231" s="15" t="inlineStr">
        <is>
          <t>29103-ET-P1604-1</t>
        </is>
      </c>
      <c r="D231" s="15" t="inlineStr"/>
      <c r="E231" s="15" t="inlineStr">
        <is>
          <t>29103-HTP-003</t>
        </is>
      </c>
      <c r="F231" s="15" t="inlineStr"/>
      <c r="G231" s="15" t="inlineStr">
        <is>
          <t>113</t>
        </is>
      </c>
      <c r="H231" s="15" t="inlineStr">
        <is>
          <t>1.6. 29103-HTP-003/4. RTD Cables/29103-ET-P1604-1-R-1.pdf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29103-ET-P1604-1-R-2</t>
        </is>
      </c>
      <c r="C232" s="15" t="inlineStr">
        <is>
          <t>29103-ET-P1604-1</t>
        </is>
      </c>
      <c r="D232" s="15" t="inlineStr"/>
      <c r="E232" s="15" t="inlineStr">
        <is>
          <t>29103-HTP-003</t>
        </is>
      </c>
      <c r="F232" s="15" t="inlineStr"/>
      <c r="G232" s="15" t="inlineStr">
        <is>
          <t>113</t>
        </is>
      </c>
      <c r="H232" s="15" t="inlineStr">
        <is>
          <t>1.6. 29103-HTP-003/4. RTD Cables/29103-ET-P1604-1-R-2.pdf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29103-ET-P1604-2-R-1</t>
        </is>
      </c>
      <c r="C233" s="15" t="inlineStr">
        <is>
          <t>29103-ET-P1604-2</t>
        </is>
      </c>
      <c r="D233" s="15" t="inlineStr"/>
      <c r="E233" s="15" t="inlineStr">
        <is>
          <t>29103-HTP-003</t>
        </is>
      </c>
      <c r="F233" s="15" t="inlineStr"/>
      <c r="G233" s="15" t="inlineStr">
        <is>
          <t>113</t>
        </is>
      </c>
      <c r="H233" s="15" t="inlineStr">
        <is>
          <t>1.6. 29103-HTP-003/4. RTD Cables/29103-ET-P1604-2-R-1.pdf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29103-ET-P1604-2-R-2</t>
        </is>
      </c>
      <c r="C234" s="15" t="inlineStr">
        <is>
          <t>29103-ET-P1604-2</t>
        </is>
      </c>
      <c r="D234" s="15" t="inlineStr"/>
      <c r="E234" s="15" t="inlineStr">
        <is>
          <t>29103-HTP-003</t>
        </is>
      </c>
      <c r="F234" s="15" t="inlineStr"/>
      <c r="G234" s="15" t="inlineStr">
        <is>
          <t>113</t>
        </is>
      </c>
      <c r="H234" s="15" t="inlineStr">
        <is>
          <t>1.6. 29103-HTP-003/4. RTD Cables/29103-ET-P1604-2-R-2.pdf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29103-ET-P1701-1-R-1</t>
        </is>
      </c>
      <c r="C235" s="15" t="inlineStr">
        <is>
          <t>29103-ET-P1701-1</t>
        </is>
      </c>
      <c r="D235" s="15" t="inlineStr"/>
      <c r="E235" s="15" t="inlineStr">
        <is>
          <t>29103-HTP-003</t>
        </is>
      </c>
      <c r="F235" s="15" t="inlineStr"/>
      <c r="G235" s="15" t="inlineStr">
        <is>
          <t>113</t>
        </is>
      </c>
      <c r="H235" s="15" t="inlineStr">
        <is>
          <t>1.6. 29103-HTP-003/4. RTD Cables/29103-ET-P1701-1-R-1.pdf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29103-ET-P1704-1-R-1</t>
        </is>
      </c>
      <c r="C236" s="15" t="inlineStr">
        <is>
          <t>29103-ET-P1704-1</t>
        </is>
      </c>
      <c r="D236" s="15" t="inlineStr"/>
      <c r="E236" s="15" t="inlineStr">
        <is>
          <t>29103-HTP-003</t>
        </is>
      </c>
      <c r="F236" s="15" t="inlineStr"/>
      <c r="G236" s="15" t="inlineStr">
        <is>
          <t>113</t>
        </is>
      </c>
      <c r="H236" s="15" t="inlineStr">
        <is>
          <t>1.6. 29103-HTP-003/4. RTD Cables/29103-ET-P1704-1-R-1.pdf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29103-ET-P1704-1-R-2</t>
        </is>
      </c>
      <c r="C237" s="15" t="inlineStr">
        <is>
          <t>29103-ET-P1704-1</t>
        </is>
      </c>
      <c r="D237" s="15" t="inlineStr"/>
      <c r="E237" s="15" t="inlineStr">
        <is>
          <t>29103-HTP-003</t>
        </is>
      </c>
      <c r="F237" s="15" t="inlineStr"/>
      <c r="G237" s="15" t="inlineStr">
        <is>
          <t>113</t>
        </is>
      </c>
      <c r="H237" s="15" t="inlineStr">
        <is>
          <t>1.6. 29103-HTP-003/4. RTD Cables/29103-ET-P1704-1-R-2.pdf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29103-ET-P1704-2-R-1</t>
        </is>
      </c>
      <c r="C238" s="15" t="inlineStr">
        <is>
          <t>29103-ET-P1704-2</t>
        </is>
      </c>
      <c r="D238" s="15" t="inlineStr"/>
      <c r="E238" s="15" t="inlineStr">
        <is>
          <t>29103-HTP-003</t>
        </is>
      </c>
      <c r="F238" s="15" t="inlineStr"/>
      <c r="G238" s="15" t="inlineStr">
        <is>
          <t>113</t>
        </is>
      </c>
      <c r="H238" s="15" t="inlineStr">
        <is>
          <t>1.6. 29103-HTP-003/4. RTD Cables/29103-ET-P1704-2-R-1.pdf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29103-ET-P1704-2-R-2</t>
        </is>
      </c>
      <c r="C239" s="15" t="inlineStr">
        <is>
          <t>29103-ET-P1704-2</t>
        </is>
      </c>
      <c r="D239" s="15" t="inlineStr"/>
      <c r="E239" s="15" t="inlineStr">
        <is>
          <t>29103-HTP-003</t>
        </is>
      </c>
      <c r="F239" s="15" t="inlineStr"/>
      <c r="G239" s="15" t="inlineStr">
        <is>
          <t>113</t>
        </is>
      </c>
      <c r="H239" s="15" t="inlineStr">
        <is>
          <t>1.6. 29103-HTP-003/4. RTD Cables/29103-ET-P1704-2-R-2.pdf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29103-ET-P1800-3-R-1</t>
        </is>
      </c>
      <c r="C240" s="15" t="inlineStr">
        <is>
          <t>29103-ET-P1800-3</t>
        </is>
      </c>
      <c r="D240" s="15" t="inlineStr"/>
      <c r="E240" s="15" t="inlineStr">
        <is>
          <t>29103-HTP-003</t>
        </is>
      </c>
      <c r="F240" s="15" t="inlineStr"/>
      <c r="G240" s="15" t="inlineStr">
        <is>
          <t>113</t>
        </is>
      </c>
      <c r="H240" s="15" t="inlineStr">
        <is>
          <t>1.6. 29103-HTP-003/4. RTD Cables/29103-ET-P1800-3-R-1.pdf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29103-ET-PE1401-2-R-2</t>
        </is>
      </c>
      <c r="C241" s="15" t="inlineStr">
        <is>
          <t>29103-ET-PE1401-2</t>
        </is>
      </c>
      <c r="D241" s="15" t="inlineStr"/>
      <c r="E241" s="15" t="inlineStr">
        <is>
          <t>29103-HTP-003</t>
        </is>
      </c>
      <c r="F241" s="15" t="inlineStr"/>
      <c r="G241" s="15" t="inlineStr">
        <is>
          <t>113</t>
        </is>
      </c>
      <c r="H241" s="15" t="inlineStr">
        <is>
          <t>1.6. 29103-HTP-003/4. RTD Cables/29103-ET-PE1401-2-R-2.pdf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29103-ET-PE1402-1-R-1</t>
        </is>
      </c>
      <c r="C242" s="15" t="inlineStr">
        <is>
          <t>29103-ET-PE1402-1</t>
        </is>
      </c>
      <c r="D242" s="15" t="inlineStr"/>
      <c r="E242" s="15" t="inlineStr">
        <is>
          <t>29103-HTP-003</t>
        </is>
      </c>
      <c r="F242" s="15" t="inlineStr"/>
      <c r="G242" s="15" t="inlineStr">
        <is>
          <t>113</t>
        </is>
      </c>
      <c r="H242" s="15" t="inlineStr">
        <is>
          <t>1.6. 29103-HTP-003/4. RTD Cables/29103-ET-PE1402-1-R-1.pdf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29103-ET-PE1402-1-R-2</t>
        </is>
      </c>
      <c r="C243" s="15" t="inlineStr">
        <is>
          <t>29103-ET-PE1402-1</t>
        </is>
      </c>
      <c r="D243" s="15" t="inlineStr"/>
      <c r="E243" s="15" t="inlineStr">
        <is>
          <t>29103-HTP-003</t>
        </is>
      </c>
      <c r="F243" s="15" t="inlineStr"/>
      <c r="G243" s="15" t="inlineStr">
        <is>
          <t>113</t>
        </is>
      </c>
      <c r="H243" s="15" t="inlineStr">
        <is>
          <t>1.6. 29103-HTP-003/4. RTD Cables/29103-ET-PE1402-1-R-2.pdf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29103-ET-PE1501-1-R-1</t>
        </is>
      </c>
      <c r="C244" s="15" t="inlineStr">
        <is>
          <t>29103-ET-PE1501-1</t>
        </is>
      </c>
      <c r="D244" s="15" t="inlineStr"/>
      <c r="E244" s="15" t="inlineStr">
        <is>
          <t>29103-HTP-003</t>
        </is>
      </c>
      <c r="F244" s="15" t="inlineStr"/>
      <c r="G244" s="15" t="inlineStr">
        <is>
          <t>113</t>
        </is>
      </c>
      <c r="H244" s="15" t="inlineStr">
        <is>
          <t>1.6. 29103-HTP-003/4. RTD Cables/29103-ET-PE1501-1-R-1.pdf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29103-ET-PE1501-2-R-2</t>
        </is>
      </c>
      <c r="C245" s="15" t="inlineStr">
        <is>
          <t>29103-ET-PE1501-2</t>
        </is>
      </c>
      <c r="D245" s="15" t="inlineStr"/>
      <c r="E245" s="15" t="inlineStr">
        <is>
          <t>29103-HTP-003</t>
        </is>
      </c>
      <c r="F245" s="15" t="inlineStr"/>
      <c r="G245" s="15" t="inlineStr">
        <is>
          <t>113</t>
        </is>
      </c>
      <c r="H245" s="15" t="inlineStr">
        <is>
          <t>1.6. 29103-HTP-003/4. RTD Cables/29103-ET-PE1501-2-R-2.pdf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29103-ET-PE1502-1-R-1</t>
        </is>
      </c>
      <c r="C246" s="15" t="inlineStr">
        <is>
          <t>29103-ET-PE1502-1</t>
        </is>
      </c>
      <c r="D246" s="15" t="inlineStr"/>
      <c r="E246" s="15" t="inlineStr">
        <is>
          <t>29103-HTP-003</t>
        </is>
      </c>
      <c r="F246" s="15" t="inlineStr"/>
      <c r="G246" s="15" t="inlineStr">
        <is>
          <t>113</t>
        </is>
      </c>
      <c r="H246" s="15" t="inlineStr">
        <is>
          <t>1.6. 29103-HTP-003/4. RTD Cables/29103-ET-PE1502-1-R-1.pdf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29103-ET-PE1502-1-R-2</t>
        </is>
      </c>
      <c r="C247" s="15" t="inlineStr">
        <is>
          <t>29103-ET-PE1502-1</t>
        </is>
      </c>
      <c r="D247" s="15" t="inlineStr"/>
      <c r="E247" s="15" t="inlineStr">
        <is>
          <t>29103-HTP-003</t>
        </is>
      </c>
      <c r="F247" s="15" t="inlineStr"/>
      <c r="G247" s="15" t="inlineStr">
        <is>
          <t>113</t>
        </is>
      </c>
      <c r="H247" s="15" t="inlineStr">
        <is>
          <t>1.6. 29103-HTP-003/4. RTD Cables/29103-ET-PE1502-1-R-2.pdf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29103-ET-PE1601-1-R-1</t>
        </is>
      </c>
      <c r="C248" s="15" t="inlineStr">
        <is>
          <t>29103-ET-PE1601-1</t>
        </is>
      </c>
      <c r="D248" s="15" t="inlineStr"/>
      <c r="E248" s="15" t="inlineStr">
        <is>
          <t>29103-HTP-003</t>
        </is>
      </c>
      <c r="F248" s="15" t="inlineStr"/>
      <c r="G248" s="15" t="inlineStr">
        <is>
          <t>113</t>
        </is>
      </c>
      <c r="H248" s="15" t="inlineStr">
        <is>
          <t>1.6. 29103-HTP-003/4. RTD Cables/29103-ET-PE1601-1-R-1.pdf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29103-ET-PE1601-2-R-2</t>
        </is>
      </c>
      <c r="C249" s="15" t="inlineStr">
        <is>
          <t>29103-ET-PE1601-2</t>
        </is>
      </c>
      <c r="D249" s="15" t="inlineStr"/>
      <c r="E249" s="15" t="inlineStr">
        <is>
          <t>29103-HTP-003</t>
        </is>
      </c>
      <c r="F249" s="15" t="inlineStr"/>
      <c r="G249" s="15" t="inlineStr">
        <is>
          <t>113</t>
        </is>
      </c>
      <c r="H249" s="15" t="inlineStr">
        <is>
          <t>1.6. 29103-HTP-003/4. RTD Cables/29103-ET-PE1601-2-R-2.pdf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29103-ET-PE1602-1-R-1</t>
        </is>
      </c>
      <c r="C250" s="15" t="inlineStr">
        <is>
          <t>29103-ET-PE1602-1</t>
        </is>
      </c>
      <c r="D250" s="15" t="inlineStr"/>
      <c r="E250" s="15" t="inlineStr">
        <is>
          <t>29103-HTP-003</t>
        </is>
      </c>
      <c r="F250" s="15" t="inlineStr"/>
      <c r="G250" s="15" t="inlineStr">
        <is>
          <t>113</t>
        </is>
      </c>
      <c r="H250" s="15" t="inlineStr">
        <is>
          <t>1.6. 29103-HTP-003/4. RTD Cables/29103-ET-PE1602-1-R-1.pdf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29103-ET-PE1602-1-R-2</t>
        </is>
      </c>
      <c r="C251" s="15" t="inlineStr">
        <is>
          <t>29103-ET-PE1602-1</t>
        </is>
      </c>
      <c r="D251" s="15" t="inlineStr"/>
      <c r="E251" s="15" t="inlineStr">
        <is>
          <t>29103-HTP-003</t>
        </is>
      </c>
      <c r="F251" s="15" t="inlineStr"/>
      <c r="G251" s="15" t="inlineStr">
        <is>
          <t>113</t>
        </is>
      </c>
      <c r="H251" s="15" t="inlineStr">
        <is>
          <t>1.6. 29103-HTP-003/4. RTD Cables/29103-ET-PE1602-1-R-2.pdf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29103-ET-PE1701-1-R-1</t>
        </is>
      </c>
      <c r="C252" s="15" t="inlineStr">
        <is>
          <t>29103-ET-PE1701-1</t>
        </is>
      </c>
      <c r="D252" s="15" t="inlineStr"/>
      <c r="E252" s="15" t="inlineStr">
        <is>
          <t>29103-HTP-003</t>
        </is>
      </c>
      <c r="F252" s="15" t="inlineStr"/>
      <c r="G252" s="15" t="inlineStr">
        <is>
          <t>113</t>
        </is>
      </c>
      <c r="H252" s="15" t="inlineStr">
        <is>
          <t>1.6. 29103-HTP-003/4. RTD Cables/29103-ET-PE1701-1-R-1.pdf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  <row r="253">
      <c r="A253" s="15" t="inlineStr">
        <is>
          <t>RTD Cable</t>
        </is>
      </c>
      <c r="B253" s="15" t="inlineStr">
        <is>
          <t>29103-ET-PE1701-2-R-2</t>
        </is>
      </c>
      <c r="C253" s="15" t="inlineStr">
        <is>
          <t>29103-ET-PE1701-2</t>
        </is>
      </c>
      <c r="D253" s="15" t="inlineStr"/>
      <c r="E253" s="15" t="inlineStr">
        <is>
          <t>29103-HTP-003</t>
        </is>
      </c>
      <c r="F253" s="15" t="inlineStr"/>
      <c r="G253" s="15" t="inlineStr">
        <is>
          <t>113</t>
        </is>
      </c>
      <c r="H253" s="15" t="inlineStr">
        <is>
          <t>1.6. 29103-HTP-003/4. RTD Cables/29103-ET-PE1701-2-R-2.pdf</t>
        </is>
      </c>
      <c r="I253" s="6" t="str">
        <f>IF($H253&lt;&gt;"","YES","NO")</f>
        <v>YES</v>
      </c>
      <c r="J253" s="6" t="str">
        <f>IF(N($T253)&gt;0,"YES","NO")</f>
        <v>NO</v>
      </c>
      <c r="K253" s="6" t="str">
        <f>IF(OR($A253="EHT Trace"),IF(AND($U253&lt;&gt;"",$V253&lt;&gt;""),"YES","NO"),"N/A")</f>
        <v>N/A</v>
      </c>
      <c r="L253" s="6" t="str">
        <f>IF(OR($A253="EHT Trace"),IF(AND($X253&lt;&gt;"",$Y253&lt;&gt;""),"YES","NO"),"N/A")</f>
        <v>N/A</v>
      </c>
      <c r="M253" s="6" t="str">
        <f>IF(OR($A253="EHT Trace"),IF(AND($AA253&lt;&gt;"",$AB253&lt;&gt;""),"YES","NO"),"N/A")</f>
        <v>N/A</v>
      </c>
      <c r="N253" s="6" t="str">
        <f>IF(OR($A253="Power Cable"),IF(AND($AD253&lt;&gt;""),"YES","NO"),"N/A")</f>
        <v>N/A</v>
      </c>
      <c r="O253" s="6" t="str">
        <f>IF(OR($A253="Power Cable",$A253="RTD Cable",$A253="Fieldbus Cable"),IF(AND($AE253&lt;&gt;""),"YES","NO"),"N/A")</f>
        <v>NO</v>
      </c>
      <c r="P253" s="6" t="str">
        <f>IF(OR($A253="RTD"),IF(AND($AH253&lt;&gt;""),"YES","NO"),"N/A")</f>
        <v>N/A</v>
      </c>
      <c r="Q253" s="6" t="str">
        <f>IF(OR($A253="RTD"),IF(AND($AI253&lt;&gt;""),"YES","NO"),"N/A")</f>
        <v>N/A</v>
      </c>
      <c r="R253" s="6" t="str">
        <f>IF(OR($AM253&lt;&gt;"",$Z253&lt;&gt;"",$AC253&lt;&gt;""),"YES","NO")</f>
        <v>NO</v>
      </c>
      <c r="S253" s="6" t="str">
        <f>IF(COUNTIF(I253:R253,"NO")=0,"YES","NO")</f>
        <v>NO</v>
      </c>
      <c r="T253" s="15" t="n">
        <v>0</v>
      </c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  <c r="AF253" s="15" t="n"/>
      <c r="AG253" s="15" t="n"/>
      <c r="AH253" s="15" t="n"/>
      <c r="AI253" s="15" t="n"/>
      <c r="AJ253" s="15" t="inlineStr">
        <is>
          <t>ACIC</t>
        </is>
      </c>
      <c r="AK253" s="15" t="inlineStr">
        <is>
          <t>16AWG</t>
        </is>
      </c>
      <c r="AL253" s="15" t="inlineStr">
        <is>
          <t>Levy Ostrup</t>
        </is>
      </c>
      <c r="AM253" s="15" t="n"/>
      <c r="AN253" s="15" t="n"/>
    </row>
    <row r="254">
      <c r="A254" s="15" t="inlineStr">
        <is>
          <t>RTD Cable</t>
        </is>
      </c>
      <c r="B254" s="15" t="inlineStr">
        <is>
          <t>29103-ET-PE1702-1-R-1</t>
        </is>
      </c>
      <c r="C254" s="15" t="inlineStr">
        <is>
          <t>29103-ET-PE1702-1</t>
        </is>
      </c>
      <c r="D254" s="15" t="inlineStr"/>
      <c r="E254" s="15" t="inlineStr">
        <is>
          <t>29103-HTP-003</t>
        </is>
      </c>
      <c r="F254" s="15" t="inlineStr"/>
      <c r="G254" s="15" t="inlineStr">
        <is>
          <t>113</t>
        </is>
      </c>
      <c r="H254" s="15" t="inlineStr">
        <is>
          <t>1.6. 29103-HTP-003/4. RTD Cables/29103-ET-PE1702-1-R-1.pdf</t>
        </is>
      </c>
      <c r="I254" s="6" t="str">
        <f>IF($H254&lt;&gt;"","YES","NO")</f>
        <v>YES</v>
      </c>
      <c r="J254" s="6" t="str">
        <f>IF(N($T254)&gt;0,"YES","NO")</f>
        <v>NO</v>
      </c>
      <c r="K254" s="6" t="str">
        <f>IF(OR($A254="EHT Trace"),IF(AND($U254&lt;&gt;"",$V254&lt;&gt;""),"YES","NO"),"N/A")</f>
        <v>N/A</v>
      </c>
      <c r="L254" s="6" t="str">
        <f>IF(OR($A254="EHT Trace"),IF(AND($X254&lt;&gt;"",$Y254&lt;&gt;""),"YES","NO"),"N/A")</f>
        <v>N/A</v>
      </c>
      <c r="M254" s="6" t="str">
        <f>IF(OR($A254="EHT Trace"),IF(AND($AA254&lt;&gt;"",$AB254&lt;&gt;""),"YES","NO"),"N/A")</f>
        <v>N/A</v>
      </c>
      <c r="N254" s="6" t="str">
        <f>IF(OR($A254="Power Cable"),IF(AND($AD254&lt;&gt;""),"YES","NO"),"N/A")</f>
        <v>N/A</v>
      </c>
      <c r="O254" s="6" t="str">
        <f>IF(OR($A254="Power Cable",$A254="RTD Cable",$A254="Fieldbus Cable"),IF(AND($AE254&lt;&gt;""),"YES","NO"),"N/A")</f>
        <v>NO</v>
      </c>
      <c r="P254" s="6" t="str">
        <f>IF(OR($A254="RTD"),IF(AND($AH254&lt;&gt;""),"YES","NO"),"N/A")</f>
        <v>N/A</v>
      </c>
      <c r="Q254" s="6" t="str">
        <f>IF(OR($A254="RTD"),IF(AND($AI254&lt;&gt;""),"YES","NO"),"N/A")</f>
        <v>N/A</v>
      </c>
      <c r="R254" s="6" t="str">
        <f>IF(OR($AM254&lt;&gt;"",$Z254&lt;&gt;"",$AC254&lt;&gt;""),"YES","NO")</f>
        <v>NO</v>
      </c>
      <c r="S254" s="6" t="str">
        <f>IF(COUNTIF(I254:R254,"NO")=0,"YES","NO")</f>
        <v>NO</v>
      </c>
      <c r="T254" s="15" t="n">
        <v>0</v>
      </c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  <c r="AF254" s="15" t="n"/>
      <c r="AG254" s="15" t="n"/>
      <c r="AH254" s="15" t="n"/>
      <c r="AI254" s="15" t="n"/>
      <c r="AJ254" s="15" t="inlineStr">
        <is>
          <t>ACIC</t>
        </is>
      </c>
      <c r="AK254" s="15" t="inlineStr">
        <is>
          <t>16AWG</t>
        </is>
      </c>
      <c r="AL254" s="15" t="inlineStr">
        <is>
          <t>Levy Ostrup</t>
        </is>
      </c>
      <c r="AM254" s="15" t="n"/>
      <c r="AN254" s="15" t="n"/>
    </row>
    <row r="255">
      <c r="A255" s="15" t="inlineStr">
        <is>
          <t>RTD Cable</t>
        </is>
      </c>
      <c r="B255" s="15" t="inlineStr">
        <is>
          <t>29103-ET-PE1702-1-R-2</t>
        </is>
      </c>
      <c r="C255" s="15" t="inlineStr">
        <is>
          <t>29103-ET-PE1702-1</t>
        </is>
      </c>
      <c r="D255" s="15" t="inlineStr"/>
      <c r="E255" s="15" t="inlineStr">
        <is>
          <t>29103-HTP-003</t>
        </is>
      </c>
      <c r="F255" s="15" t="inlineStr"/>
      <c r="G255" s="15" t="inlineStr">
        <is>
          <t>113</t>
        </is>
      </c>
      <c r="H255" s="15" t="inlineStr">
        <is>
          <t>1.6. 29103-HTP-003/4. RTD Cables/29103-ET-PE1702-1-R-2.pdf</t>
        </is>
      </c>
      <c r="I255" s="6" t="str">
        <f>IF($H255&lt;&gt;"","YES","NO")</f>
        <v>YES</v>
      </c>
      <c r="J255" s="6" t="str">
        <f>IF(N($T255)&gt;0,"YES","NO")</f>
        <v>NO</v>
      </c>
      <c r="K255" s="6" t="str">
        <f>IF(OR($A255="EHT Trace"),IF(AND($U255&lt;&gt;"",$V255&lt;&gt;""),"YES","NO"),"N/A")</f>
        <v>N/A</v>
      </c>
      <c r="L255" s="6" t="str">
        <f>IF(OR($A255="EHT Trace"),IF(AND($X255&lt;&gt;"",$Y255&lt;&gt;""),"YES","NO"),"N/A")</f>
        <v>N/A</v>
      </c>
      <c r="M255" s="6" t="str">
        <f>IF(OR($A255="EHT Trace"),IF(AND($AA255&lt;&gt;"",$AB255&lt;&gt;""),"YES","NO"),"N/A")</f>
        <v>N/A</v>
      </c>
      <c r="N255" s="6" t="str">
        <f>IF(OR($A255="Power Cable"),IF(AND($AD255&lt;&gt;""),"YES","NO"),"N/A")</f>
        <v>N/A</v>
      </c>
      <c r="O255" s="6" t="str">
        <f>IF(OR($A255="Power Cable",$A255="RTD Cable",$A255="Fieldbus Cable"),IF(AND($AE255&lt;&gt;""),"YES","NO"),"N/A")</f>
        <v>NO</v>
      </c>
      <c r="P255" s="6" t="str">
        <f>IF(OR($A255="RTD"),IF(AND($AH255&lt;&gt;""),"YES","NO"),"N/A")</f>
        <v>N/A</v>
      </c>
      <c r="Q255" s="6" t="str">
        <f>IF(OR($A255="RTD"),IF(AND($AI255&lt;&gt;""),"YES","NO"),"N/A")</f>
        <v>N/A</v>
      </c>
      <c r="R255" s="6" t="str">
        <f>IF(OR($AM255&lt;&gt;"",$Z255&lt;&gt;"",$AC255&lt;&gt;""),"YES","NO")</f>
        <v>NO</v>
      </c>
      <c r="S255" s="6" t="str">
        <f>IF(COUNTIF(I255:R255,"NO")=0,"YES","NO")</f>
        <v>NO</v>
      </c>
      <c r="T255" s="15" t="n">
        <v>0</v>
      </c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  <c r="AF255" s="15" t="n"/>
      <c r="AG255" s="15" t="n"/>
      <c r="AH255" s="15" t="n"/>
      <c r="AI255" s="15" t="n"/>
      <c r="AJ255" s="15" t="inlineStr">
        <is>
          <t>ACIC</t>
        </is>
      </c>
      <c r="AK255" s="15" t="inlineStr">
        <is>
          <t>16AWG</t>
        </is>
      </c>
      <c r="AL255" s="15" t="inlineStr">
        <is>
          <t>Levy Ostrup</t>
        </is>
      </c>
      <c r="AM255" s="15" t="n"/>
      <c r="AN255" s="15" t="n"/>
    </row>
    <row r="256">
      <c r="A256" s="15" t="inlineStr">
        <is>
          <t>RTD Cable</t>
        </is>
      </c>
      <c r="B256" s="15" t="inlineStr">
        <is>
          <t>29103-ET-PE1802-2-R-1</t>
        </is>
      </c>
      <c r="C256" s="15" t="inlineStr">
        <is>
          <t>29103-ET-PE1802-2</t>
        </is>
      </c>
      <c r="D256" s="15" t="inlineStr"/>
      <c r="E256" s="15" t="inlineStr">
        <is>
          <t>29103-HTP-003</t>
        </is>
      </c>
      <c r="F256" s="15" t="inlineStr"/>
      <c r="G256" s="15" t="inlineStr">
        <is>
          <t>113</t>
        </is>
      </c>
      <c r="H256" s="15" t="inlineStr">
        <is>
          <t>1.6. 29103-HTP-003/4. RTD Cables/29103-ET-PE1802-2-R-1.pdf</t>
        </is>
      </c>
      <c r="I256" s="6" t="str">
        <f>IF($H256&lt;&gt;"","YES","NO")</f>
        <v>YES</v>
      </c>
      <c r="J256" s="6" t="str">
        <f>IF(N($T256)&gt;0,"YES","NO")</f>
        <v>NO</v>
      </c>
      <c r="K256" s="6" t="str">
        <f>IF(OR($A256="EHT Trace"),IF(AND($U256&lt;&gt;"",$V256&lt;&gt;""),"YES","NO"),"N/A")</f>
        <v>N/A</v>
      </c>
      <c r="L256" s="6" t="str">
        <f>IF(OR($A256="EHT Trace"),IF(AND($X256&lt;&gt;"",$Y256&lt;&gt;""),"YES","NO"),"N/A")</f>
        <v>N/A</v>
      </c>
      <c r="M256" s="6" t="str">
        <f>IF(OR($A256="EHT Trace"),IF(AND($AA256&lt;&gt;"",$AB256&lt;&gt;""),"YES","NO"),"N/A")</f>
        <v>N/A</v>
      </c>
      <c r="N256" s="6" t="str">
        <f>IF(OR($A256="Power Cable"),IF(AND($AD256&lt;&gt;""),"YES","NO"),"N/A")</f>
        <v>N/A</v>
      </c>
      <c r="O256" s="6" t="str">
        <f>IF(OR($A256="Power Cable",$A256="RTD Cable",$A256="Fieldbus Cable"),IF(AND($AE256&lt;&gt;""),"YES","NO"),"N/A")</f>
        <v>NO</v>
      </c>
      <c r="P256" s="6" t="str">
        <f>IF(OR($A256="RTD"),IF(AND($AH256&lt;&gt;""),"YES","NO"),"N/A")</f>
        <v>N/A</v>
      </c>
      <c r="Q256" s="6" t="str">
        <f>IF(OR($A256="RTD"),IF(AND($AI256&lt;&gt;""),"YES","NO"),"N/A")</f>
        <v>N/A</v>
      </c>
      <c r="R256" s="6" t="str">
        <f>IF(OR($AM256&lt;&gt;"",$Z256&lt;&gt;"",$AC256&lt;&gt;""),"YES","NO")</f>
        <v>NO</v>
      </c>
      <c r="S256" s="6" t="str">
        <f>IF(COUNTIF(I256:R256,"NO")=0,"YES","NO")</f>
        <v>NO</v>
      </c>
      <c r="T256" s="15" t="n">
        <v>0</v>
      </c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  <c r="AF256" s="15" t="n"/>
      <c r="AG256" s="15" t="n"/>
      <c r="AH256" s="15" t="n"/>
      <c r="AI256" s="15" t="n"/>
      <c r="AJ256" s="15" t="inlineStr">
        <is>
          <t>ACIC</t>
        </is>
      </c>
      <c r="AK256" s="15" t="inlineStr">
        <is>
          <t>16AWG</t>
        </is>
      </c>
      <c r="AL256" s="15" t="inlineStr">
        <is>
          <t>Levy Ostrup</t>
        </is>
      </c>
      <c r="AM256" s="15" t="n"/>
      <c r="AN256" s="15" t="n"/>
    </row>
    <row r="257">
      <c r="A257" s="15" t="inlineStr">
        <is>
          <t>RTD Cable</t>
        </is>
      </c>
      <c r="B257" s="15" t="inlineStr">
        <is>
          <t>29103-ET-PE1803-2-R-1</t>
        </is>
      </c>
      <c r="C257" s="15" t="inlineStr">
        <is>
          <t>29103-ET-PE1803-2</t>
        </is>
      </c>
      <c r="D257" s="15" t="inlineStr"/>
      <c r="E257" s="15" t="inlineStr">
        <is>
          <t>29103-HTP-003</t>
        </is>
      </c>
      <c r="F257" s="15" t="inlineStr"/>
      <c r="G257" s="15" t="inlineStr">
        <is>
          <t>113</t>
        </is>
      </c>
      <c r="H257" s="15" t="inlineStr">
        <is>
          <t>1.6. 29103-HTP-003/4. RTD Cables/29103-ET-PE1803-2-R-1.pdf</t>
        </is>
      </c>
      <c r="I257" s="6" t="str">
        <f>IF($H257&lt;&gt;"","YES","NO")</f>
        <v>YES</v>
      </c>
      <c r="J257" s="6" t="str">
        <f>IF(N($T257)&gt;0,"YES","NO")</f>
        <v>NO</v>
      </c>
      <c r="K257" s="6" t="str">
        <f>IF(OR($A257="EHT Trace"),IF(AND($U257&lt;&gt;"",$V257&lt;&gt;""),"YES","NO"),"N/A")</f>
        <v>N/A</v>
      </c>
      <c r="L257" s="6" t="str">
        <f>IF(OR($A257="EHT Trace"),IF(AND($X257&lt;&gt;"",$Y257&lt;&gt;""),"YES","NO"),"N/A")</f>
        <v>N/A</v>
      </c>
      <c r="M257" s="6" t="str">
        <f>IF(OR($A257="EHT Trace"),IF(AND($AA257&lt;&gt;"",$AB257&lt;&gt;""),"YES","NO"),"N/A")</f>
        <v>N/A</v>
      </c>
      <c r="N257" s="6" t="str">
        <f>IF(OR($A257="Power Cable"),IF(AND($AD257&lt;&gt;""),"YES","NO"),"N/A")</f>
        <v>N/A</v>
      </c>
      <c r="O257" s="6" t="str">
        <f>IF(OR($A257="Power Cable",$A257="RTD Cable",$A257="Fieldbus Cable"),IF(AND($AE257&lt;&gt;""),"YES","NO"),"N/A")</f>
        <v>NO</v>
      </c>
      <c r="P257" s="6" t="str">
        <f>IF(OR($A257="RTD"),IF(AND($AH257&lt;&gt;""),"YES","NO"),"N/A")</f>
        <v>N/A</v>
      </c>
      <c r="Q257" s="6" t="str">
        <f>IF(OR($A257="RTD"),IF(AND($AI257&lt;&gt;""),"YES","NO"),"N/A")</f>
        <v>N/A</v>
      </c>
      <c r="R257" s="6" t="str">
        <f>IF(OR($AM257&lt;&gt;"",$Z257&lt;&gt;"",$AC257&lt;&gt;""),"YES","NO")</f>
        <v>NO</v>
      </c>
      <c r="S257" s="6" t="str">
        <f>IF(COUNTIF(I257:R257,"NO")=0,"YES","NO")</f>
        <v>NO</v>
      </c>
      <c r="T257" s="15" t="n">
        <v>0</v>
      </c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  <c r="AF257" s="15" t="n"/>
      <c r="AG257" s="15" t="n"/>
      <c r="AH257" s="15" t="n"/>
      <c r="AI257" s="15" t="n"/>
      <c r="AJ257" s="15" t="inlineStr">
        <is>
          <t>ACIC</t>
        </is>
      </c>
      <c r="AK257" s="15" t="inlineStr">
        <is>
          <t>16AWG</t>
        </is>
      </c>
      <c r="AL257" s="15" t="inlineStr">
        <is>
          <t>Levy Ostrup</t>
        </is>
      </c>
      <c r="AM257" s="15" t="n"/>
      <c r="AN257" s="15" t="n"/>
    </row>
    <row r="258">
      <c r="A258" s="15" t="inlineStr">
        <is>
          <t>RTD Cable</t>
        </is>
      </c>
      <c r="B258" s="15" t="inlineStr">
        <is>
          <t>29103-ET-PG1401-1-R-1</t>
        </is>
      </c>
      <c r="C258" s="15" t="inlineStr">
        <is>
          <t>29103-ET-PG1401-1</t>
        </is>
      </c>
      <c r="D258" s="15" t="inlineStr"/>
      <c r="E258" s="15" t="inlineStr">
        <is>
          <t>29103-HTP-003</t>
        </is>
      </c>
      <c r="F258" s="15" t="inlineStr"/>
      <c r="G258" s="15" t="inlineStr">
        <is>
          <t>113</t>
        </is>
      </c>
      <c r="H258" s="15" t="inlineStr">
        <is>
          <t>1.6. 29103-HTP-003/4. RTD Cables/29103-ET-PG1401-1-R-1.pdf</t>
        </is>
      </c>
      <c r="I258" s="6" t="str">
        <f>IF($H258&lt;&gt;"","YES","NO")</f>
        <v>YES</v>
      </c>
      <c r="J258" s="6" t="str">
        <f>IF(N($T258)&gt;0,"YES","NO")</f>
        <v>NO</v>
      </c>
      <c r="K258" s="6" t="str">
        <f>IF(OR($A258="EHT Trace"),IF(AND($U258&lt;&gt;"",$V258&lt;&gt;""),"YES","NO"),"N/A")</f>
        <v>N/A</v>
      </c>
      <c r="L258" s="6" t="str">
        <f>IF(OR($A258="EHT Trace"),IF(AND($X258&lt;&gt;"",$Y258&lt;&gt;""),"YES","NO"),"N/A")</f>
        <v>N/A</v>
      </c>
      <c r="M258" s="6" t="str">
        <f>IF(OR($A258="EHT Trace"),IF(AND($AA258&lt;&gt;"",$AB258&lt;&gt;""),"YES","NO"),"N/A")</f>
        <v>N/A</v>
      </c>
      <c r="N258" s="6" t="str">
        <f>IF(OR($A258="Power Cable"),IF(AND($AD258&lt;&gt;""),"YES","NO"),"N/A")</f>
        <v>N/A</v>
      </c>
      <c r="O258" s="6" t="str">
        <f>IF(OR($A258="Power Cable",$A258="RTD Cable",$A258="Fieldbus Cable"),IF(AND($AE258&lt;&gt;""),"YES","NO"),"N/A")</f>
        <v>NO</v>
      </c>
      <c r="P258" s="6" t="str">
        <f>IF(OR($A258="RTD"),IF(AND($AH258&lt;&gt;""),"YES","NO"),"N/A")</f>
        <v>N/A</v>
      </c>
      <c r="Q258" s="6" t="str">
        <f>IF(OR($A258="RTD"),IF(AND($AI258&lt;&gt;""),"YES","NO"),"N/A")</f>
        <v>N/A</v>
      </c>
      <c r="R258" s="6" t="str">
        <f>IF(OR($AM258&lt;&gt;"",$Z258&lt;&gt;"",$AC258&lt;&gt;""),"YES","NO")</f>
        <v>NO</v>
      </c>
      <c r="S258" s="6" t="str">
        <f>IF(COUNTIF(I258:R258,"NO")=0,"YES","NO")</f>
        <v>NO</v>
      </c>
      <c r="T258" s="15" t="n">
        <v>0</v>
      </c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  <c r="AF258" s="15" t="n"/>
      <c r="AG258" s="15" t="n"/>
      <c r="AH258" s="15" t="n"/>
      <c r="AI258" s="15" t="n"/>
      <c r="AJ258" s="15" t="inlineStr">
        <is>
          <t>ACIC</t>
        </is>
      </c>
      <c r="AK258" s="15" t="inlineStr">
        <is>
          <t>16AWG</t>
        </is>
      </c>
      <c r="AL258" s="15" t="inlineStr">
        <is>
          <t>Levy Ostrup</t>
        </is>
      </c>
      <c r="AM258" s="15" t="n"/>
      <c r="AN258" s="15" t="n"/>
    </row>
    <row r="259">
      <c r="A259" s="15" t="inlineStr">
        <is>
          <t>RTD Cable</t>
        </is>
      </c>
      <c r="B259" s="15" t="inlineStr">
        <is>
          <t>29103-ET-PG1401-1-R-2</t>
        </is>
      </c>
      <c r="C259" s="15" t="inlineStr">
        <is>
          <t>29103-ET-PG1401-1</t>
        </is>
      </c>
      <c r="D259" s="15" t="inlineStr"/>
      <c r="E259" s="15" t="inlineStr">
        <is>
          <t>29103-HTP-003</t>
        </is>
      </c>
      <c r="F259" s="15" t="inlineStr"/>
      <c r="G259" s="15" t="inlineStr">
        <is>
          <t>113</t>
        </is>
      </c>
      <c r="H259" s="15" t="inlineStr">
        <is>
          <t>1.6. 29103-HTP-003/4. RTD Cables/29103-ET-PG1401-1-R-2.pdf</t>
        </is>
      </c>
      <c r="I259" s="6" t="str">
        <f>IF($H259&lt;&gt;"","YES","NO")</f>
        <v>YES</v>
      </c>
      <c r="J259" s="6" t="str">
        <f>IF(N($T259)&gt;0,"YES","NO")</f>
        <v>NO</v>
      </c>
      <c r="K259" s="6" t="str">
        <f>IF(OR($A259="EHT Trace"),IF(AND($U259&lt;&gt;"",$V259&lt;&gt;""),"YES","NO"),"N/A")</f>
        <v>N/A</v>
      </c>
      <c r="L259" s="6" t="str">
        <f>IF(OR($A259="EHT Trace"),IF(AND($X259&lt;&gt;"",$Y259&lt;&gt;""),"YES","NO"),"N/A")</f>
        <v>N/A</v>
      </c>
      <c r="M259" s="6" t="str">
        <f>IF(OR($A259="EHT Trace"),IF(AND($AA259&lt;&gt;"",$AB259&lt;&gt;""),"YES","NO"),"N/A")</f>
        <v>N/A</v>
      </c>
      <c r="N259" s="6" t="str">
        <f>IF(OR($A259="Power Cable"),IF(AND($AD259&lt;&gt;""),"YES","NO"),"N/A")</f>
        <v>N/A</v>
      </c>
      <c r="O259" s="6" t="str">
        <f>IF(OR($A259="Power Cable",$A259="RTD Cable",$A259="Fieldbus Cable"),IF(AND($AE259&lt;&gt;""),"YES","NO"),"N/A")</f>
        <v>NO</v>
      </c>
      <c r="P259" s="6" t="str">
        <f>IF(OR($A259="RTD"),IF(AND($AH259&lt;&gt;""),"YES","NO"),"N/A")</f>
        <v>N/A</v>
      </c>
      <c r="Q259" s="6" t="str">
        <f>IF(OR($A259="RTD"),IF(AND($AI259&lt;&gt;""),"YES","NO"),"N/A")</f>
        <v>N/A</v>
      </c>
      <c r="R259" s="6" t="str">
        <f>IF(OR($AM259&lt;&gt;"",$Z259&lt;&gt;"",$AC259&lt;&gt;""),"YES","NO")</f>
        <v>NO</v>
      </c>
      <c r="S259" s="6" t="str">
        <f>IF(COUNTIF(I259:R259,"NO")=0,"YES","NO")</f>
        <v>NO</v>
      </c>
      <c r="T259" s="15" t="n">
        <v>0</v>
      </c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  <c r="AF259" s="15" t="n"/>
      <c r="AG259" s="15" t="n"/>
      <c r="AH259" s="15" t="n"/>
      <c r="AI259" s="15" t="n"/>
      <c r="AJ259" s="15" t="inlineStr">
        <is>
          <t>ACIC</t>
        </is>
      </c>
      <c r="AK259" s="15" t="inlineStr">
        <is>
          <t>16AWG</t>
        </is>
      </c>
      <c r="AL259" s="15" t="inlineStr">
        <is>
          <t>Levy Ostrup</t>
        </is>
      </c>
      <c r="AM259" s="15" t="n"/>
      <c r="AN259" s="15" t="n"/>
    </row>
    <row r="260">
      <c r="A260" s="15" t="inlineStr">
        <is>
          <t>RTD Cable</t>
        </is>
      </c>
      <c r="B260" s="15" t="inlineStr">
        <is>
          <t>29103-ET-PG1401-2-R-1</t>
        </is>
      </c>
      <c r="C260" s="15" t="inlineStr">
        <is>
          <t>29103-ET-PG1401-2</t>
        </is>
      </c>
      <c r="D260" s="15" t="inlineStr"/>
      <c r="E260" s="15" t="inlineStr">
        <is>
          <t>29103-HTP-003</t>
        </is>
      </c>
      <c r="F260" s="15" t="inlineStr"/>
      <c r="G260" s="15" t="inlineStr">
        <is>
          <t>113</t>
        </is>
      </c>
      <c r="H260" s="15" t="inlineStr">
        <is>
          <t>1.6. 29103-HTP-003/4. RTD Cables/29103-ET-PG1401-2-R-1.pdf</t>
        </is>
      </c>
      <c r="I260" s="6" t="str">
        <f>IF($H260&lt;&gt;"","YES","NO")</f>
        <v>YES</v>
      </c>
      <c r="J260" s="6" t="str">
        <f>IF(N($T260)&gt;0,"YES","NO")</f>
        <v>NO</v>
      </c>
      <c r="K260" s="6" t="str">
        <f>IF(OR($A260="EHT Trace"),IF(AND($U260&lt;&gt;"",$V260&lt;&gt;""),"YES","NO"),"N/A")</f>
        <v>N/A</v>
      </c>
      <c r="L260" s="6" t="str">
        <f>IF(OR($A260="EHT Trace"),IF(AND($X260&lt;&gt;"",$Y260&lt;&gt;""),"YES","NO"),"N/A")</f>
        <v>N/A</v>
      </c>
      <c r="M260" s="6" t="str">
        <f>IF(OR($A260="EHT Trace"),IF(AND($AA260&lt;&gt;"",$AB260&lt;&gt;""),"YES","NO"),"N/A")</f>
        <v>N/A</v>
      </c>
      <c r="N260" s="6" t="str">
        <f>IF(OR($A260="Power Cable"),IF(AND($AD260&lt;&gt;""),"YES","NO"),"N/A")</f>
        <v>N/A</v>
      </c>
      <c r="O260" s="6" t="str">
        <f>IF(OR($A260="Power Cable",$A260="RTD Cable",$A260="Fieldbus Cable"),IF(AND($AE260&lt;&gt;""),"YES","NO"),"N/A")</f>
        <v>NO</v>
      </c>
      <c r="P260" s="6" t="str">
        <f>IF(OR($A260="RTD"),IF(AND($AH260&lt;&gt;""),"YES","NO"),"N/A")</f>
        <v>N/A</v>
      </c>
      <c r="Q260" s="6" t="str">
        <f>IF(OR($A260="RTD"),IF(AND($AI260&lt;&gt;""),"YES","NO"),"N/A")</f>
        <v>N/A</v>
      </c>
      <c r="R260" s="6" t="str">
        <f>IF(OR($AM260&lt;&gt;"",$Z260&lt;&gt;"",$AC260&lt;&gt;""),"YES","NO")</f>
        <v>NO</v>
      </c>
      <c r="S260" s="6" t="str">
        <f>IF(COUNTIF(I260:R260,"NO")=0,"YES","NO")</f>
        <v>NO</v>
      </c>
      <c r="T260" s="15" t="n">
        <v>0</v>
      </c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  <c r="AF260" s="15" t="n"/>
      <c r="AG260" s="15" t="n"/>
      <c r="AH260" s="15" t="n"/>
      <c r="AI260" s="15" t="n"/>
      <c r="AJ260" s="15" t="inlineStr">
        <is>
          <t>ACIC</t>
        </is>
      </c>
      <c r="AK260" s="15" t="inlineStr">
        <is>
          <t>16AWG</t>
        </is>
      </c>
      <c r="AL260" s="15" t="inlineStr">
        <is>
          <t>Levy Ostrup</t>
        </is>
      </c>
      <c r="AM260" s="15" t="n"/>
      <c r="AN260" s="15" t="n"/>
    </row>
    <row r="261">
      <c r="A261" s="15" t="inlineStr">
        <is>
          <t>RTD Cable</t>
        </is>
      </c>
      <c r="B261" s="15" t="inlineStr">
        <is>
          <t>29103-ET-PG1501-1-R-1</t>
        </is>
      </c>
      <c r="C261" s="15" t="inlineStr">
        <is>
          <t>29103-ET-PG1501-1</t>
        </is>
      </c>
      <c r="D261" s="15" t="inlineStr"/>
      <c r="E261" s="15" t="inlineStr">
        <is>
          <t>29103-HTP-003</t>
        </is>
      </c>
      <c r="F261" s="15" t="inlineStr"/>
      <c r="G261" s="15" t="inlineStr">
        <is>
          <t>113</t>
        </is>
      </c>
      <c r="H261" s="15" t="inlineStr">
        <is>
          <t>1.6. 29103-HTP-003/4. RTD Cables/29103-ET-PG1501-1-R-1.pdf</t>
        </is>
      </c>
      <c r="I261" s="6" t="str">
        <f>IF($H261&lt;&gt;"","YES","NO")</f>
        <v>YES</v>
      </c>
      <c r="J261" s="6" t="str">
        <f>IF(N($T261)&gt;0,"YES","NO")</f>
        <v>NO</v>
      </c>
      <c r="K261" s="6" t="str">
        <f>IF(OR($A261="EHT Trace"),IF(AND($U261&lt;&gt;"",$V261&lt;&gt;""),"YES","NO"),"N/A")</f>
        <v>N/A</v>
      </c>
      <c r="L261" s="6" t="str">
        <f>IF(OR($A261="EHT Trace"),IF(AND($X261&lt;&gt;"",$Y261&lt;&gt;""),"YES","NO"),"N/A")</f>
        <v>N/A</v>
      </c>
      <c r="M261" s="6" t="str">
        <f>IF(OR($A261="EHT Trace"),IF(AND($AA261&lt;&gt;"",$AB261&lt;&gt;""),"YES","NO"),"N/A")</f>
        <v>N/A</v>
      </c>
      <c r="N261" s="6" t="str">
        <f>IF(OR($A261="Power Cable"),IF(AND($AD261&lt;&gt;""),"YES","NO"),"N/A")</f>
        <v>N/A</v>
      </c>
      <c r="O261" s="6" t="str">
        <f>IF(OR($A261="Power Cable",$A261="RTD Cable",$A261="Fieldbus Cable"),IF(AND($AE261&lt;&gt;""),"YES","NO"),"N/A")</f>
        <v>NO</v>
      </c>
      <c r="P261" s="6" t="str">
        <f>IF(OR($A261="RTD"),IF(AND($AH261&lt;&gt;""),"YES","NO"),"N/A")</f>
        <v>N/A</v>
      </c>
      <c r="Q261" s="6" t="str">
        <f>IF(OR($A261="RTD"),IF(AND($AI261&lt;&gt;""),"YES","NO"),"N/A")</f>
        <v>N/A</v>
      </c>
      <c r="R261" s="6" t="str">
        <f>IF(OR($AM261&lt;&gt;"",$Z261&lt;&gt;"",$AC261&lt;&gt;""),"YES","NO")</f>
        <v>NO</v>
      </c>
      <c r="S261" s="6" t="str">
        <f>IF(COUNTIF(I261:R261,"NO")=0,"YES","NO")</f>
        <v>NO</v>
      </c>
      <c r="T261" s="15" t="n">
        <v>0</v>
      </c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  <c r="AF261" s="15" t="n"/>
      <c r="AG261" s="15" t="n"/>
      <c r="AH261" s="15" t="n"/>
      <c r="AI261" s="15" t="n"/>
      <c r="AJ261" s="15" t="inlineStr">
        <is>
          <t>ACIC</t>
        </is>
      </c>
      <c r="AK261" s="15" t="inlineStr">
        <is>
          <t>16AWG</t>
        </is>
      </c>
      <c r="AL261" s="15" t="inlineStr">
        <is>
          <t>Levy Ostrup</t>
        </is>
      </c>
      <c r="AM261" s="15" t="n"/>
      <c r="AN261" s="15" t="n"/>
    </row>
    <row r="262">
      <c r="A262" s="15" t="inlineStr">
        <is>
          <t>RTD Cable</t>
        </is>
      </c>
      <c r="B262" s="15" t="inlineStr">
        <is>
          <t>29103-ET-PG1501-1-R-2</t>
        </is>
      </c>
      <c r="C262" s="15" t="inlineStr">
        <is>
          <t>29103-ET-PG1501-1</t>
        </is>
      </c>
      <c r="D262" s="15" t="inlineStr"/>
      <c r="E262" s="15" t="inlineStr">
        <is>
          <t>29103-HTP-003</t>
        </is>
      </c>
      <c r="F262" s="15" t="inlineStr"/>
      <c r="G262" s="15" t="inlineStr">
        <is>
          <t>113</t>
        </is>
      </c>
      <c r="H262" s="15" t="inlineStr">
        <is>
          <t>1.6. 29103-HTP-003/4. RTD Cables/29103-ET-PG1501-1-R-2.pdf</t>
        </is>
      </c>
      <c r="I262" s="6" t="str">
        <f>IF($H262&lt;&gt;"","YES","NO")</f>
        <v>YES</v>
      </c>
      <c r="J262" s="6" t="str">
        <f>IF(N($T262)&gt;0,"YES","NO")</f>
        <v>NO</v>
      </c>
      <c r="K262" s="6" t="str">
        <f>IF(OR($A262="EHT Trace"),IF(AND($U262&lt;&gt;"",$V262&lt;&gt;""),"YES","NO"),"N/A")</f>
        <v>N/A</v>
      </c>
      <c r="L262" s="6" t="str">
        <f>IF(OR($A262="EHT Trace"),IF(AND($X262&lt;&gt;"",$Y262&lt;&gt;""),"YES","NO"),"N/A")</f>
        <v>N/A</v>
      </c>
      <c r="M262" s="6" t="str">
        <f>IF(OR($A262="EHT Trace"),IF(AND($AA262&lt;&gt;"",$AB262&lt;&gt;""),"YES","NO"),"N/A")</f>
        <v>N/A</v>
      </c>
      <c r="N262" s="6" t="str">
        <f>IF(OR($A262="Power Cable"),IF(AND($AD262&lt;&gt;""),"YES","NO"),"N/A")</f>
        <v>N/A</v>
      </c>
      <c r="O262" s="6" t="str">
        <f>IF(OR($A262="Power Cable",$A262="RTD Cable",$A262="Fieldbus Cable"),IF(AND($AE262&lt;&gt;""),"YES","NO"),"N/A")</f>
        <v>NO</v>
      </c>
      <c r="P262" s="6" t="str">
        <f>IF(OR($A262="RTD"),IF(AND($AH262&lt;&gt;""),"YES","NO"),"N/A")</f>
        <v>N/A</v>
      </c>
      <c r="Q262" s="6" t="str">
        <f>IF(OR($A262="RTD"),IF(AND($AI262&lt;&gt;""),"YES","NO"),"N/A")</f>
        <v>N/A</v>
      </c>
      <c r="R262" s="6" t="str">
        <f>IF(OR($AM262&lt;&gt;"",$Z262&lt;&gt;"",$AC262&lt;&gt;""),"YES","NO")</f>
        <v>NO</v>
      </c>
      <c r="S262" s="6" t="str">
        <f>IF(COUNTIF(I262:R262,"NO")=0,"YES","NO")</f>
        <v>NO</v>
      </c>
      <c r="T262" s="15" t="n">
        <v>0</v>
      </c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  <c r="AF262" s="15" t="n"/>
      <c r="AG262" s="15" t="n"/>
      <c r="AH262" s="15" t="n"/>
      <c r="AI262" s="15" t="n"/>
      <c r="AJ262" s="15" t="inlineStr">
        <is>
          <t>ACIC</t>
        </is>
      </c>
      <c r="AK262" s="15" t="inlineStr">
        <is>
          <t>16AWG</t>
        </is>
      </c>
      <c r="AL262" s="15" t="inlineStr">
        <is>
          <t>Levy Ostrup</t>
        </is>
      </c>
      <c r="AM262" s="15" t="n"/>
      <c r="AN262" s="15" t="n"/>
    </row>
    <row r="263">
      <c r="A263" s="15" t="inlineStr">
        <is>
          <t>RTD Cable</t>
        </is>
      </c>
      <c r="B263" s="15" t="inlineStr">
        <is>
          <t>29103-ET-PG1501-2-R-1</t>
        </is>
      </c>
      <c r="C263" s="15" t="inlineStr">
        <is>
          <t>29103-ET-PG1501-2</t>
        </is>
      </c>
      <c r="D263" s="15" t="inlineStr"/>
      <c r="E263" s="15" t="inlineStr">
        <is>
          <t>29103-HTP-003</t>
        </is>
      </c>
      <c r="F263" s="15" t="inlineStr"/>
      <c r="G263" s="15" t="inlineStr">
        <is>
          <t>113</t>
        </is>
      </c>
      <c r="H263" s="15" t="inlineStr">
        <is>
          <t>1.6. 29103-HTP-003/4. RTD Cables/29103-ET-PG1501-2-R-1.pdf</t>
        </is>
      </c>
      <c r="I263" s="6" t="str">
        <f>IF($H263&lt;&gt;"","YES","NO")</f>
        <v>YES</v>
      </c>
      <c r="J263" s="6" t="str">
        <f>IF(N($T263)&gt;0,"YES","NO")</f>
        <v>NO</v>
      </c>
      <c r="K263" s="6" t="str">
        <f>IF(OR($A263="EHT Trace"),IF(AND($U263&lt;&gt;"",$V263&lt;&gt;""),"YES","NO"),"N/A")</f>
        <v>N/A</v>
      </c>
      <c r="L263" s="6" t="str">
        <f>IF(OR($A263="EHT Trace"),IF(AND($X263&lt;&gt;"",$Y263&lt;&gt;""),"YES","NO"),"N/A")</f>
        <v>N/A</v>
      </c>
      <c r="M263" s="6" t="str">
        <f>IF(OR($A263="EHT Trace"),IF(AND($AA263&lt;&gt;"",$AB263&lt;&gt;""),"YES","NO"),"N/A")</f>
        <v>N/A</v>
      </c>
      <c r="N263" s="6" t="str">
        <f>IF(OR($A263="Power Cable"),IF(AND($AD263&lt;&gt;""),"YES","NO"),"N/A")</f>
        <v>N/A</v>
      </c>
      <c r="O263" s="6" t="str">
        <f>IF(OR($A263="Power Cable",$A263="RTD Cable",$A263="Fieldbus Cable"),IF(AND($AE263&lt;&gt;""),"YES","NO"),"N/A")</f>
        <v>NO</v>
      </c>
      <c r="P263" s="6" t="str">
        <f>IF(OR($A263="RTD"),IF(AND($AH263&lt;&gt;""),"YES","NO"),"N/A")</f>
        <v>N/A</v>
      </c>
      <c r="Q263" s="6" t="str">
        <f>IF(OR($A263="RTD"),IF(AND($AI263&lt;&gt;""),"YES","NO"),"N/A")</f>
        <v>N/A</v>
      </c>
      <c r="R263" s="6" t="str">
        <f>IF(OR($AM263&lt;&gt;"",$Z263&lt;&gt;"",$AC263&lt;&gt;""),"YES","NO")</f>
        <v>NO</v>
      </c>
      <c r="S263" s="6" t="str">
        <f>IF(COUNTIF(I263:R263,"NO")=0,"YES","NO")</f>
        <v>NO</v>
      </c>
      <c r="T263" s="15" t="n">
        <v>0</v>
      </c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  <c r="AF263" s="15" t="n"/>
      <c r="AG263" s="15" t="n"/>
      <c r="AH263" s="15" t="n"/>
      <c r="AI263" s="15" t="n"/>
      <c r="AJ263" s="15" t="inlineStr">
        <is>
          <t>ACIC</t>
        </is>
      </c>
      <c r="AK263" s="15" t="inlineStr">
        <is>
          <t>16AWG</t>
        </is>
      </c>
      <c r="AL263" s="15" t="inlineStr">
        <is>
          <t>Levy Ostrup</t>
        </is>
      </c>
      <c r="AM263" s="15" t="n"/>
      <c r="AN263" s="15" t="n"/>
    </row>
    <row r="264">
      <c r="A264" s="15" t="inlineStr">
        <is>
          <t>RTD Cable</t>
        </is>
      </c>
      <c r="B264" s="15" t="inlineStr">
        <is>
          <t>29103-ET-PG1601-1-R-1</t>
        </is>
      </c>
      <c r="C264" s="15" t="inlineStr">
        <is>
          <t>29103-ET-PG1601-1</t>
        </is>
      </c>
      <c r="D264" s="15" t="inlineStr"/>
      <c r="E264" s="15" t="inlineStr">
        <is>
          <t>29103-HTP-003</t>
        </is>
      </c>
      <c r="F264" s="15" t="inlineStr"/>
      <c r="G264" s="15" t="inlineStr">
        <is>
          <t>113</t>
        </is>
      </c>
      <c r="H264" s="15" t="inlineStr">
        <is>
          <t>1.6. 29103-HTP-003/4. RTD Cables/29103-ET-PG1601-1-R-1.pdf</t>
        </is>
      </c>
      <c r="I264" s="6" t="str">
        <f>IF($H264&lt;&gt;"","YES","NO")</f>
        <v>YES</v>
      </c>
      <c r="J264" s="6" t="str">
        <f>IF(N($T264)&gt;0,"YES","NO")</f>
        <v>NO</v>
      </c>
      <c r="K264" s="6" t="str">
        <f>IF(OR($A264="EHT Trace"),IF(AND($U264&lt;&gt;"",$V264&lt;&gt;""),"YES","NO"),"N/A")</f>
        <v>N/A</v>
      </c>
      <c r="L264" s="6" t="str">
        <f>IF(OR($A264="EHT Trace"),IF(AND($X264&lt;&gt;"",$Y264&lt;&gt;""),"YES","NO"),"N/A")</f>
        <v>N/A</v>
      </c>
      <c r="M264" s="6" t="str">
        <f>IF(OR($A264="EHT Trace"),IF(AND($AA264&lt;&gt;"",$AB264&lt;&gt;""),"YES","NO"),"N/A")</f>
        <v>N/A</v>
      </c>
      <c r="N264" s="6" t="str">
        <f>IF(OR($A264="Power Cable"),IF(AND($AD264&lt;&gt;""),"YES","NO"),"N/A")</f>
        <v>N/A</v>
      </c>
      <c r="O264" s="6" t="str">
        <f>IF(OR($A264="Power Cable",$A264="RTD Cable",$A264="Fieldbus Cable"),IF(AND($AE264&lt;&gt;""),"YES","NO"),"N/A")</f>
        <v>NO</v>
      </c>
      <c r="P264" s="6" t="str">
        <f>IF(OR($A264="RTD"),IF(AND($AH264&lt;&gt;""),"YES","NO"),"N/A")</f>
        <v>N/A</v>
      </c>
      <c r="Q264" s="6" t="str">
        <f>IF(OR($A264="RTD"),IF(AND($AI264&lt;&gt;""),"YES","NO"),"N/A")</f>
        <v>N/A</v>
      </c>
      <c r="R264" s="6" t="str">
        <f>IF(OR($AM264&lt;&gt;"",$Z264&lt;&gt;"",$AC264&lt;&gt;""),"YES","NO")</f>
        <v>NO</v>
      </c>
      <c r="S264" s="6" t="str">
        <f>IF(COUNTIF(I264:R264,"NO")=0,"YES","NO")</f>
        <v>NO</v>
      </c>
      <c r="T264" s="15" t="n">
        <v>0</v>
      </c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  <c r="AF264" s="15" t="n"/>
      <c r="AG264" s="15" t="n"/>
      <c r="AH264" s="15" t="n"/>
      <c r="AI264" s="15" t="n"/>
      <c r="AJ264" s="15" t="inlineStr">
        <is>
          <t>ACIC</t>
        </is>
      </c>
      <c r="AK264" s="15" t="inlineStr">
        <is>
          <t>16AWG</t>
        </is>
      </c>
      <c r="AL264" s="15" t="inlineStr">
        <is>
          <t>Levy Ostrup</t>
        </is>
      </c>
      <c r="AM264" s="15" t="n"/>
      <c r="AN264" s="15" t="n"/>
    </row>
    <row r="265">
      <c r="A265" s="15" t="inlineStr">
        <is>
          <t>RTD Cable</t>
        </is>
      </c>
      <c r="B265" s="15" t="inlineStr">
        <is>
          <t>29103-ET-PG1601-1-R-2</t>
        </is>
      </c>
      <c r="C265" s="15" t="inlineStr">
        <is>
          <t>29103-ET-PG1601-1</t>
        </is>
      </c>
      <c r="D265" s="15" t="inlineStr"/>
      <c r="E265" s="15" t="inlineStr">
        <is>
          <t>29103-HTP-003</t>
        </is>
      </c>
      <c r="F265" s="15" t="inlineStr"/>
      <c r="G265" s="15" t="inlineStr">
        <is>
          <t>113</t>
        </is>
      </c>
      <c r="H265" s="15" t="inlineStr">
        <is>
          <t>1.6. 29103-HTP-003/4. RTD Cables/29103-ET-PG1601-1-R-2.pdf</t>
        </is>
      </c>
      <c r="I265" s="6" t="str">
        <f>IF($H265&lt;&gt;"","YES","NO")</f>
        <v>YES</v>
      </c>
      <c r="J265" s="6" t="str">
        <f>IF(N($T265)&gt;0,"YES","NO")</f>
        <v>NO</v>
      </c>
      <c r="K265" s="6" t="str">
        <f>IF(OR($A265="EHT Trace"),IF(AND($U265&lt;&gt;"",$V265&lt;&gt;""),"YES","NO"),"N/A")</f>
        <v>N/A</v>
      </c>
      <c r="L265" s="6" t="str">
        <f>IF(OR($A265="EHT Trace"),IF(AND($X265&lt;&gt;"",$Y265&lt;&gt;""),"YES","NO"),"N/A")</f>
        <v>N/A</v>
      </c>
      <c r="M265" s="6" t="str">
        <f>IF(OR($A265="EHT Trace"),IF(AND($AA265&lt;&gt;"",$AB265&lt;&gt;""),"YES","NO"),"N/A")</f>
        <v>N/A</v>
      </c>
      <c r="N265" s="6" t="str">
        <f>IF(OR($A265="Power Cable"),IF(AND($AD265&lt;&gt;""),"YES","NO"),"N/A")</f>
        <v>N/A</v>
      </c>
      <c r="O265" s="6" t="str">
        <f>IF(OR($A265="Power Cable",$A265="RTD Cable",$A265="Fieldbus Cable"),IF(AND($AE265&lt;&gt;""),"YES","NO"),"N/A")</f>
        <v>NO</v>
      </c>
      <c r="P265" s="6" t="str">
        <f>IF(OR($A265="RTD"),IF(AND($AH265&lt;&gt;""),"YES","NO"),"N/A")</f>
        <v>N/A</v>
      </c>
      <c r="Q265" s="6" t="str">
        <f>IF(OR($A265="RTD"),IF(AND($AI265&lt;&gt;""),"YES","NO"),"N/A")</f>
        <v>N/A</v>
      </c>
      <c r="R265" s="6" t="str">
        <f>IF(OR($AM265&lt;&gt;"",$Z265&lt;&gt;"",$AC265&lt;&gt;""),"YES","NO")</f>
        <v>NO</v>
      </c>
      <c r="S265" s="6" t="str">
        <f>IF(COUNTIF(I265:R265,"NO")=0,"YES","NO")</f>
        <v>NO</v>
      </c>
      <c r="T265" s="15" t="n">
        <v>0</v>
      </c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  <c r="AF265" s="15" t="n"/>
      <c r="AG265" s="15" t="n"/>
      <c r="AH265" s="15" t="n"/>
      <c r="AI265" s="15" t="n"/>
      <c r="AJ265" s="15" t="inlineStr">
        <is>
          <t>ACIC</t>
        </is>
      </c>
      <c r="AK265" s="15" t="inlineStr">
        <is>
          <t>16AWG</t>
        </is>
      </c>
      <c r="AL265" s="15" t="inlineStr">
        <is>
          <t>Levy Ostrup</t>
        </is>
      </c>
      <c r="AM265" s="15" t="n"/>
      <c r="AN265" s="15" t="n"/>
    </row>
    <row r="266">
      <c r="A266" s="15" t="inlineStr">
        <is>
          <t>RTD Cable</t>
        </is>
      </c>
      <c r="B266" s="15" t="inlineStr">
        <is>
          <t>29103-ET-PG1601-2-R-1</t>
        </is>
      </c>
      <c r="C266" s="15" t="inlineStr">
        <is>
          <t>29103-ET-PG1601-2</t>
        </is>
      </c>
      <c r="D266" s="15" t="inlineStr"/>
      <c r="E266" s="15" t="inlineStr">
        <is>
          <t>29103-HTP-003</t>
        </is>
      </c>
      <c r="F266" s="15" t="inlineStr"/>
      <c r="G266" s="15" t="inlineStr">
        <is>
          <t>113</t>
        </is>
      </c>
      <c r="H266" s="15" t="inlineStr">
        <is>
          <t>1.6. 29103-HTP-003/4. RTD Cables/29103-ET-PG1601-2-R-1.pdf</t>
        </is>
      </c>
      <c r="I266" s="6" t="str">
        <f>IF($H266&lt;&gt;"","YES","NO")</f>
        <v>YES</v>
      </c>
      <c r="J266" s="6" t="str">
        <f>IF(N($T266)&gt;0,"YES","NO")</f>
        <v>NO</v>
      </c>
      <c r="K266" s="6" t="str">
        <f>IF(OR($A266="EHT Trace"),IF(AND($U266&lt;&gt;"",$V266&lt;&gt;""),"YES","NO"),"N/A")</f>
        <v>N/A</v>
      </c>
      <c r="L266" s="6" t="str">
        <f>IF(OR($A266="EHT Trace"),IF(AND($X266&lt;&gt;"",$Y266&lt;&gt;""),"YES","NO"),"N/A")</f>
        <v>N/A</v>
      </c>
      <c r="M266" s="6" t="str">
        <f>IF(OR($A266="EHT Trace"),IF(AND($AA266&lt;&gt;"",$AB266&lt;&gt;""),"YES","NO"),"N/A")</f>
        <v>N/A</v>
      </c>
      <c r="N266" s="6" t="str">
        <f>IF(OR($A266="Power Cable"),IF(AND($AD266&lt;&gt;""),"YES","NO"),"N/A")</f>
        <v>N/A</v>
      </c>
      <c r="O266" s="6" t="str">
        <f>IF(OR($A266="Power Cable",$A266="RTD Cable",$A266="Fieldbus Cable"),IF(AND($AE266&lt;&gt;""),"YES","NO"),"N/A")</f>
        <v>NO</v>
      </c>
      <c r="P266" s="6" t="str">
        <f>IF(OR($A266="RTD"),IF(AND($AH266&lt;&gt;""),"YES","NO"),"N/A")</f>
        <v>N/A</v>
      </c>
      <c r="Q266" s="6" t="str">
        <f>IF(OR($A266="RTD"),IF(AND($AI266&lt;&gt;""),"YES","NO"),"N/A")</f>
        <v>N/A</v>
      </c>
      <c r="R266" s="6" t="str">
        <f>IF(OR($AM266&lt;&gt;"",$Z266&lt;&gt;"",$AC266&lt;&gt;""),"YES","NO")</f>
        <v>NO</v>
      </c>
      <c r="S266" s="6" t="str">
        <f>IF(COUNTIF(I266:R266,"NO")=0,"YES","NO")</f>
        <v>NO</v>
      </c>
      <c r="T266" s="15" t="n">
        <v>0</v>
      </c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  <c r="AF266" s="15" t="n"/>
      <c r="AG266" s="15" t="n"/>
      <c r="AH266" s="15" t="n"/>
      <c r="AI266" s="15" t="n"/>
      <c r="AJ266" s="15" t="inlineStr">
        <is>
          <t>ACIC</t>
        </is>
      </c>
      <c r="AK266" s="15" t="inlineStr">
        <is>
          <t>16AWG</t>
        </is>
      </c>
      <c r="AL266" s="15" t="inlineStr">
        <is>
          <t>Levy Ostrup</t>
        </is>
      </c>
      <c r="AM266" s="15" t="n"/>
      <c r="AN266" s="15" t="n"/>
    </row>
    <row r="267">
      <c r="A267" s="15" t="inlineStr">
        <is>
          <t>RTD Cable</t>
        </is>
      </c>
      <c r="B267" s="15" t="inlineStr">
        <is>
          <t>29103-ET-PG1701-1-R-1</t>
        </is>
      </c>
      <c r="C267" s="15" t="inlineStr">
        <is>
          <t>29103-ET-PG1701-1</t>
        </is>
      </c>
      <c r="D267" s="15" t="inlineStr"/>
      <c r="E267" s="15" t="inlineStr">
        <is>
          <t>29103-HTP-003</t>
        </is>
      </c>
      <c r="F267" s="15" t="inlineStr"/>
      <c r="G267" s="15" t="inlineStr">
        <is>
          <t>113</t>
        </is>
      </c>
      <c r="H267" s="15" t="inlineStr">
        <is>
          <t>1.6. 29103-HTP-003/4. RTD Cables/29103-ET-PG1701-1-R-1.pdf</t>
        </is>
      </c>
      <c r="I267" s="6" t="str">
        <f>IF($H267&lt;&gt;"","YES","NO")</f>
        <v>YES</v>
      </c>
      <c r="J267" s="6" t="str">
        <f>IF(N($T267)&gt;0,"YES","NO")</f>
        <v>NO</v>
      </c>
      <c r="K267" s="6" t="str">
        <f>IF(OR($A267="EHT Trace"),IF(AND($U267&lt;&gt;"",$V267&lt;&gt;""),"YES","NO"),"N/A")</f>
        <v>N/A</v>
      </c>
      <c r="L267" s="6" t="str">
        <f>IF(OR($A267="EHT Trace"),IF(AND($X267&lt;&gt;"",$Y267&lt;&gt;""),"YES","NO"),"N/A")</f>
        <v>N/A</v>
      </c>
      <c r="M267" s="6" t="str">
        <f>IF(OR($A267="EHT Trace"),IF(AND($AA267&lt;&gt;"",$AB267&lt;&gt;""),"YES","NO"),"N/A")</f>
        <v>N/A</v>
      </c>
      <c r="N267" s="6" t="str">
        <f>IF(OR($A267="Power Cable"),IF(AND($AD267&lt;&gt;""),"YES","NO"),"N/A")</f>
        <v>N/A</v>
      </c>
      <c r="O267" s="6" t="str">
        <f>IF(OR($A267="Power Cable",$A267="RTD Cable",$A267="Fieldbus Cable"),IF(AND($AE267&lt;&gt;""),"YES","NO"),"N/A")</f>
        <v>NO</v>
      </c>
      <c r="P267" s="6" t="str">
        <f>IF(OR($A267="RTD"),IF(AND($AH267&lt;&gt;""),"YES","NO"),"N/A")</f>
        <v>N/A</v>
      </c>
      <c r="Q267" s="6" t="str">
        <f>IF(OR($A267="RTD"),IF(AND($AI267&lt;&gt;""),"YES","NO"),"N/A")</f>
        <v>N/A</v>
      </c>
      <c r="R267" s="6" t="str">
        <f>IF(OR($AM267&lt;&gt;"",$Z267&lt;&gt;"",$AC267&lt;&gt;""),"YES","NO")</f>
        <v>NO</v>
      </c>
      <c r="S267" s="6" t="str">
        <f>IF(COUNTIF(I267:R267,"NO")=0,"YES","NO")</f>
        <v>NO</v>
      </c>
      <c r="T267" s="15" t="n">
        <v>0</v>
      </c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/>
      <c r="AE267" s="15" t="n"/>
      <c r="AF267" s="15" t="n"/>
      <c r="AG267" s="15" t="n"/>
      <c r="AH267" s="15" t="n"/>
      <c r="AI267" s="15" t="n"/>
      <c r="AJ267" s="15" t="inlineStr">
        <is>
          <t>ACIC</t>
        </is>
      </c>
      <c r="AK267" s="15" t="inlineStr">
        <is>
          <t>16AWG</t>
        </is>
      </c>
      <c r="AL267" s="15" t="inlineStr">
        <is>
          <t>Levy Ostrup</t>
        </is>
      </c>
      <c r="AM267" s="15" t="n"/>
      <c r="AN267" s="15" t="n"/>
    </row>
    <row r="268">
      <c r="A268" s="15" t="inlineStr">
        <is>
          <t>RTD Cable</t>
        </is>
      </c>
      <c r="B268" s="15" t="inlineStr">
        <is>
          <t>29103-ET-PG1701-1-R-2</t>
        </is>
      </c>
      <c r="C268" s="15" t="inlineStr">
        <is>
          <t>29103-ET-PG1701-1</t>
        </is>
      </c>
      <c r="D268" s="15" t="inlineStr"/>
      <c r="E268" s="15" t="inlineStr">
        <is>
          <t>29103-HTP-003</t>
        </is>
      </c>
      <c r="F268" s="15" t="inlineStr"/>
      <c r="G268" s="15" t="inlineStr">
        <is>
          <t>113</t>
        </is>
      </c>
      <c r="H268" s="15" t="inlineStr">
        <is>
          <t>1.6. 29103-HTP-003/4. RTD Cables/29103-ET-PG1701-1-R-2.pdf</t>
        </is>
      </c>
      <c r="I268" s="6" t="str">
        <f>IF($H268&lt;&gt;"","YES","NO")</f>
        <v>YES</v>
      </c>
      <c r="J268" s="6" t="str">
        <f>IF(N($T268)&gt;0,"YES","NO")</f>
        <v>NO</v>
      </c>
      <c r="K268" s="6" t="str">
        <f>IF(OR($A268="EHT Trace"),IF(AND($U268&lt;&gt;"",$V268&lt;&gt;""),"YES","NO"),"N/A")</f>
        <v>N/A</v>
      </c>
      <c r="L268" s="6" t="str">
        <f>IF(OR($A268="EHT Trace"),IF(AND($X268&lt;&gt;"",$Y268&lt;&gt;""),"YES","NO"),"N/A")</f>
        <v>N/A</v>
      </c>
      <c r="M268" s="6" t="str">
        <f>IF(OR($A268="EHT Trace"),IF(AND($AA268&lt;&gt;"",$AB268&lt;&gt;""),"YES","NO"),"N/A")</f>
        <v>N/A</v>
      </c>
      <c r="N268" s="6" t="str">
        <f>IF(OR($A268="Power Cable"),IF(AND($AD268&lt;&gt;""),"YES","NO"),"N/A")</f>
        <v>N/A</v>
      </c>
      <c r="O268" s="6" t="str">
        <f>IF(OR($A268="Power Cable",$A268="RTD Cable",$A268="Fieldbus Cable"),IF(AND($AE268&lt;&gt;""),"YES","NO"),"N/A")</f>
        <v>NO</v>
      </c>
      <c r="P268" s="6" t="str">
        <f>IF(OR($A268="RTD"),IF(AND($AH268&lt;&gt;""),"YES","NO"),"N/A")</f>
        <v>N/A</v>
      </c>
      <c r="Q268" s="6" t="str">
        <f>IF(OR($A268="RTD"),IF(AND($AI268&lt;&gt;""),"YES","NO"),"N/A")</f>
        <v>N/A</v>
      </c>
      <c r="R268" s="6" t="str">
        <f>IF(OR($AM268&lt;&gt;"",$Z268&lt;&gt;"",$AC268&lt;&gt;""),"YES","NO")</f>
        <v>NO</v>
      </c>
      <c r="S268" s="6" t="str">
        <f>IF(COUNTIF(I268:R268,"NO")=0,"YES","NO")</f>
        <v>NO</v>
      </c>
      <c r="T268" s="15" t="n">
        <v>0</v>
      </c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  <c r="AD268" s="15" t="n"/>
      <c r="AE268" s="15" t="n"/>
      <c r="AF268" s="15" t="n"/>
      <c r="AG268" s="15" t="n"/>
      <c r="AH268" s="15" t="n"/>
      <c r="AI268" s="15" t="n"/>
      <c r="AJ268" s="15" t="inlineStr">
        <is>
          <t>ACIC</t>
        </is>
      </c>
      <c r="AK268" s="15" t="inlineStr">
        <is>
          <t>16AWG</t>
        </is>
      </c>
      <c r="AL268" s="15" t="inlineStr">
        <is>
          <t>Levy Ostrup</t>
        </is>
      </c>
      <c r="AM268" s="15" t="n"/>
      <c r="AN268" s="15" t="n"/>
    </row>
    <row r="269">
      <c r="A269" s="15" t="inlineStr">
        <is>
          <t>RTD Cable</t>
        </is>
      </c>
      <c r="B269" s="15" t="inlineStr">
        <is>
          <t>29103-ET-PG1701-2-R-1</t>
        </is>
      </c>
      <c r="C269" s="15" t="inlineStr">
        <is>
          <t>29103-ET-PG1701-2</t>
        </is>
      </c>
      <c r="D269" s="15" t="inlineStr"/>
      <c r="E269" s="15" t="inlineStr">
        <is>
          <t>29103-HTP-003</t>
        </is>
      </c>
      <c r="F269" s="15" t="inlineStr"/>
      <c r="G269" s="15" t="inlineStr">
        <is>
          <t>113</t>
        </is>
      </c>
      <c r="H269" s="15" t="inlineStr">
        <is>
          <t>1.6. 29103-HTP-003/4. RTD Cables/29103-ET-PG1701-2-R-1.pdf</t>
        </is>
      </c>
      <c r="I269" s="6" t="str">
        <f>IF($H269&lt;&gt;"","YES","NO")</f>
        <v>YES</v>
      </c>
      <c r="J269" s="6" t="str">
        <f>IF(N($T269)&gt;0,"YES","NO")</f>
        <v>NO</v>
      </c>
      <c r="K269" s="6" t="str">
        <f>IF(OR($A269="EHT Trace"),IF(AND($U269&lt;&gt;"",$V269&lt;&gt;""),"YES","NO"),"N/A")</f>
        <v>N/A</v>
      </c>
      <c r="L269" s="6" t="str">
        <f>IF(OR($A269="EHT Trace"),IF(AND($X269&lt;&gt;"",$Y269&lt;&gt;""),"YES","NO"),"N/A")</f>
        <v>N/A</v>
      </c>
      <c r="M269" s="6" t="str">
        <f>IF(OR($A269="EHT Trace"),IF(AND($AA269&lt;&gt;"",$AB269&lt;&gt;""),"YES","NO"),"N/A")</f>
        <v>N/A</v>
      </c>
      <c r="N269" s="6" t="str">
        <f>IF(OR($A269="Power Cable"),IF(AND($AD269&lt;&gt;""),"YES","NO"),"N/A")</f>
        <v>N/A</v>
      </c>
      <c r="O269" s="6" t="str">
        <f>IF(OR($A269="Power Cable",$A269="RTD Cable",$A269="Fieldbus Cable"),IF(AND($AE269&lt;&gt;""),"YES","NO"),"N/A")</f>
        <v>NO</v>
      </c>
      <c r="P269" s="6" t="str">
        <f>IF(OR($A269="RTD"),IF(AND($AH269&lt;&gt;""),"YES","NO"),"N/A")</f>
        <v>N/A</v>
      </c>
      <c r="Q269" s="6" t="str">
        <f>IF(OR($A269="RTD"),IF(AND($AI269&lt;&gt;""),"YES","NO"),"N/A")</f>
        <v>N/A</v>
      </c>
      <c r="R269" s="6" t="str">
        <f>IF(OR($AM269&lt;&gt;"",$Z269&lt;&gt;"",$AC269&lt;&gt;""),"YES","NO")</f>
        <v>NO</v>
      </c>
      <c r="S269" s="6" t="str">
        <f>IF(COUNTIF(I269:R269,"NO")=0,"YES","NO")</f>
        <v>NO</v>
      </c>
      <c r="T269" s="15" t="n">
        <v>0</v>
      </c>
      <c r="U269" s="15" t="n"/>
      <c r="V269" s="15" t="n"/>
      <c r="W269" s="15" t="n"/>
      <c r="X269" s="15" t="n"/>
      <c r="Y269" s="15" t="n"/>
      <c r="Z269" s="15" t="n"/>
      <c r="AA269" s="15" t="n"/>
      <c r="AB269" s="15" t="n"/>
      <c r="AC269" s="15" t="n"/>
      <c r="AD269" s="15" t="n"/>
      <c r="AE269" s="15" t="n"/>
      <c r="AF269" s="15" t="n"/>
      <c r="AG269" s="15" t="n"/>
      <c r="AH269" s="15" t="n"/>
      <c r="AI269" s="15" t="n"/>
      <c r="AJ269" s="15" t="inlineStr">
        <is>
          <t>ACIC</t>
        </is>
      </c>
      <c r="AK269" s="15" t="inlineStr">
        <is>
          <t>16AWG</t>
        </is>
      </c>
      <c r="AL269" s="15" t="inlineStr">
        <is>
          <t>Levy Ostrup</t>
        </is>
      </c>
      <c r="AM269" s="15" t="n"/>
      <c r="AN269" s="15" t="n"/>
    </row>
    <row r="270">
      <c r="A270" s="15" t="inlineStr">
        <is>
          <t>RTD Cable</t>
        </is>
      </c>
      <c r="B270" s="15" t="inlineStr">
        <is>
          <t>29103-RJB-004</t>
        </is>
      </c>
      <c r="C270" s="15" t="inlineStr"/>
      <c r="D270" s="15" t="inlineStr"/>
      <c r="E270" s="15" t="inlineStr">
        <is>
          <t>29103-HTP-003</t>
        </is>
      </c>
      <c r="F270" s="15" t="inlineStr"/>
      <c r="G270" s="15" t="inlineStr">
        <is>
          <t>113</t>
        </is>
      </c>
      <c r="H270" s="15" t="inlineStr">
        <is>
          <t>1.6. 29103-HTP-003/4. RTD Cables/29103-RJB-004.pdf</t>
        </is>
      </c>
      <c r="I270" s="6" t="str">
        <f>IF($H270&lt;&gt;"","YES","NO")</f>
        <v>YES</v>
      </c>
      <c r="J270" s="6" t="str">
        <f>IF(N($T270)&gt;0,"YES","NO")</f>
        <v>NO</v>
      </c>
      <c r="K270" s="6" t="str">
        <f>IF(OR($A270="EHT Trace"),IF(AND($U270&lt;&gt;"",$V270&lt;&gt;""),"YES","NO"),"N/A")</f>
        <v>N/A</v>
      </c>
      <c r="L270" s="6" t="str">
        <f>IF(OR($A270="EHT Trace"),IF(AND($X270&lt;&gt;"",$Y270&lt;&gt;""),"YES","NO"),"N/A")</f>
        <v>N/A</v>
      </c>
      <c r="M270" s="6" t="str">
        <f>IF(OR($A270="EHT Trace"),IF(AND($AA270&lt;&gt;"",$AB270&lt;&gt;""),"YES","NO"),"N/A")</f>
        <v>N/A</v>
      </c>
      <c r="N270" s="6" t="str">
        <f>IF(OR($A270="Power Cable"),IF(AND($AD270&lt;&gt;""),"YES","NO"),"N/A")</f>
        <v>N/A</v>
      </c>
      <c r="O270" s="6" t="str">
        <f>IF(OR($A270="Power Cable",$A270="RTD Cable",$A270="Fieldbus Cable"),IF(AND($AE270&lt;&gt;""),"YES","NO"),"N/A")</f>
        <v>NO</v>
      </c>
      <c r="P270" s="6" t="str">
        <f>IF(OR($A270="RTD"),IF(AND($AH270&lt;&gt;""),"YES","NO"),"N/A")</f>
        <v>N/A</v>
      </c>
      <c r="Q270" s="6" t="str">
        <f>IF(OR($A270="RTD"),IF(AND($AI270&lt;&gt;""),"YES","NO"),"N/A")</f>
        <v>N/A</v>
      </c>
      <c r="R270" s="6" t="str">
        <f>IF(OR($AM270&lt;&gt;"",$Z270&lt;&gt;"",$AC270&lt;&gt;""),"YES","NO")</f>
        <v>NO</v>
      </c>
      <c r="S270" s="6" t="str">
        <f>IF(COUNTIF(I270:R270,"NO")=0,"YES","NO")</f>
        <v>NO</v>
      </c>
      <c r="T270" s="15" t="n">
        <v>0</v>
      </c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/>
      <c r="AF270" s="15" t="n"/>
      <c r="AG270" s="15" t="n"/>
      <c r="AH270" s="15" t="n"/>
      <c r="AI270" s="15" t="n"/>
      <c r="AJ270" s="15" t="inlineStr">
        <is>
          <t>ACIC</t>
        </is>
      </c>
      <c r="AK270" s="15" t="inlineStr">
        <is>
          <t>16AWG</t>
        </is>
      </c>
      <c r="AL270" s="15" t="inlineStr">
        <is>
          <t>Levy Ostrup</t>
        </is>
      </c>
      <c r="AM270" s="15" t="n"/>
      <c r="AN270" s="15" t="n"/>
    </row>
    <row r="271">
      <c r="A271" s="15" t="inlineStr">
        <is>
          <t>RTD Cable</t>
        </is>
      </c>
      <c r="B271" s="15" t="inlineStr">
        <is>
          <t>29103-RJB-005</t>
        </is>
      </c>
      <c r="C271" s="15" t="inlineStr"/>
      <c r="D271" s="15" t="inlineStr"/>
      <c r="E271" s="15" t="inlineStr">
        <is>
          <t>29103-HTP-003</t>
        </is>
      </c>
      <c r="F271" s="15" t="inlineStr"/>
      <c r="G271" s="15" t="inlineStr">
        <is>
          <t>113</t>
        </is>
      </c>
      <c r="H271" s="15" t="inlineStr">
        <is>
          <t>1.6. 29103-HTP-003/4. RTD Cables/29103-RJB-005.pdf</t>
        </is>
      </c>
      <c r="I271" s="6" t="str">
        <f>IF($H271&lt;&gt;"","YES","NO")</f>
        <v>YES</v>
      </c>
      <c r="J271" s="6" t="str">
        <f>IF(N($T271)&gt;0,"YES","NO")</f>
        <v>NO</v>
      </c>
      <c r="K271" s="6" t="str">
        <f>IF(OR($A271="EHT Trace"),IF(AND($U271&lt;&gt;"",$V271&lt;&gt;""),"YES","NO"),"N/A")</f>
        <v>N/A</v>
      </c>
      <c r="L271" s="6" t="str">
        <f>IF(OR($A271="EHT Trace"),IF(AND($X271&lt;&gt;"",$Y271&lt;&gt;""),"YES","NO"),"N/A")</f>
        <v>N/A</v>
      </c>
      <c r="M271" s="6" t="str">
        <f>IF(OR($A271="EHT Trace"),IF(AND($AA271&lt;&gt;"",$AB271&lt;&gt;""),"YES","NO"),"N/A")</f>
        <v>N/A</v>
      </c>
      <c r="N271" s="6" t="str">
        <f>IF(OR($A271="Power Cable"),IF(AND($AD271&lt;&gt;""),"YES","NO"),"N/A")</f>
        <v>N/A</v>
      </c>
      <c r="O271" s="6" t="str">
        <f>IF(OR($A271="Power Cable",$A271="RTD Cable",$A271="Fieldbus Cable"),IF(AND($AE271&lt;&gt;""),"YES","NO"),"N/A")</f>
        <v>NO</v>
      </c>
      <c r="P271" s="6" t="str">
        <f>IF(OR($A271="RTD"),IF(AND($AH271&lt;&gt;""),"YES","NO"),"N/A")</f>
        <v>N/A</v>
      </c>
      <c r="Q271" s="6" t="str">
        <f>IF(OR($A271="RTD"),IF(AND($AI271&lt;&gt;""),"YES","NO"),"N/A")</f>
        <v>N/A</v>
      </c>
      <c r="R271" s="6" t="str">
        <f>IF(OR($AM271&lt;&gt;"",$Z271&lt;&gt;"",$AC271&lt;&gt;""),"YES","NO")</f>
        <v>NO</v>
      </c>
      <c r="S271" s="6" t="str">
        <f>IF(COUNTIF(I271:R271,"NO")=0,"YES","NO")</f>
        <v>NO</v>
      </c>
      <c r="T271" s="15" t="n">
        <v>0</v>
      </c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/>
      <c r="AF271" s="15" t="n"/>
      <c r="AG271" s="15" t="n"/>
      <c r="AH271" s="15" t="n"/>
      <c r="AI271" s="15" t="n"/>
      <c r="AJ271" s="15" t="inlineStr">
        <is>
          <t>ACIC</t>
        </is>
      </c>
      <c r="AK271" s="15" t="inlineStr">
        <is>
          <t>16AWG</t>
        </is>
      </c>
      <c r="AL271" s="15" t="inlineStr">
        <is>
          <t>Levy Ostrup</t>
        </is>
      </c>
      <c r="AM271" s="15" t="n"/>
      <c r="AN271" s="15" t="n"/>
    </row>
    <row r="272">
      <c r="A272" s="15" t="inlineStr">
        <is>
          <t>RTD Cable</t>
        </is>
      </c>
      <c r="B272" s="15" t="inlineStr">
        <is>
          <t>29103-RJB-006</t>
        </is>
      </c>
      <c r="C272" s="15" t="inlineStr"/>
      <c r="D272" s="15" t="inlineStr"/>
      <c r="E272" s="15" t="inlineStr">
        <is>
          <t>29103-HTP-003</t>
        </is>
      </c>
      <c r="F272" s="15" t="inlineStr"/>
      <c r="G272" s="15" t="inlineStr">
        <is>
          <t>113</t>
        </is>
      </c>
      <c r="H272" s="15" t="inlineStr">
        <is>
          <t>1.6. 29103-HTP-003/4. RTD Cables/29103-RJB-006.pdf</t>
        </is>
      </c>
      <c r="I272" s="6" t="str">
        <f>IF($H272&lt;&gt;"","YES","NO")</f>
        <v>YES</v>
      </c>
      <c r="J272" s="6" t="str">
        <f>IF(N($T272)&gt;0,"YES","NO")</f>
        <v>NO</v>
      </c>
      <c r="K272" s="6" t="str">
        <f>IF(OR($A272="EHT Trace"),IF(AND($U272&lt;&gt;"",$V272&lt;&gt;""),"YES","NO"),"N/A")</f>
        <v>N/A</v>
      </c>
      <c r="L272" s="6" t="str">
        <f>IF(OR($A272="EHT Trace"),IF(AND($X272&lt;&gt;"",$Y272&lt;&gt;""),"YES","NO"),"N/A")</f>
        <v>N/A</v>
      </c>
      <c r="M272" s="6" t="str">
        <f>IF(OR($A272="EHT Trace"),IF(AND($AA272&lt;&gt;"",$AB272&lt;&gt;""),"YES","NO"),"N/A")</f>
        <v>N/A</v>
      </c>
      <c r="N272" s="6" t="str">
        <f>IF(OR($A272="Power Cable"),IF(AND($AD272&lt;&gt;""),"YES","NO"),"N/A")</f>
        <v>N/A</v>
      </c>
      <c r="O272" s="6" t="str">
        <f>IF(OR($A272="Power Cable",$A272="RTD Cable",$A272="Fieldbus Cable"),IF(AND($AE272&lt;&gt;""),"YES","NO"),"N/A")</f>
        <v>NO</v>
      </c>
      <c r="P272" s="6" t="str">
        <f>IF(OR($A272="RTD"),IF(AND($AH272&lt;&gt;""),"YES","NO"),"N/A")</f>
        <v>N/A</v>
      </c>
      <c r="Q272" s="6" t="str">
        <f>IF(OR($A272="RTD"),IF(AND($AI272&lt;&gt;""),"YES","NO"),"N/A")</f>
        <v>N/A</v>
      </c>
      <c r="R272" s="6" t="str">
        <f>IF(OR($AM272&lt;&gt;"",$Z272&lt;&gt;"",$AC272&lt;&gt;""),"YES","NO")</f>
        <v>NO</v>
      </c>
      <c r="S272" s="6" t="str">
        <f>IF(COUNTIF(I272:R272,"NO")=0,"YES","NO")</f>
        <v>NO</v>
      </c>
      <c r="T272" s="15" t="n">
        <v>0</v>
      </c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/>
      <c r="AF272" s="15" t="n"/>
      <c r="AG272" s="15" t="n"/>
      <c r="AH272" s="15" t="n"/>
      <c r="AI272" s="15" t="n"/>
      <c r="AJ272" s="15" t="inlineStr">
        <is>
          <t>ACIC</t>
        </is>
      </c>
      <c r="AK272" s="15" t="inlineStr">
        <is>
          <t>16AWG</t>
        </is>
      </c>
      <c r="AL272" s="15" t="inlineStr">
        <is>
          <t>Levy Ostrup</t>
        </is>
      </c>
      <c r="AM272" s="15" t="n"/>
      <c r="AN272" s="15" t="n"/>
    </row>
    <row r="273">
      <c r="A273" s="15" t="inlineStr">
        <is>
          <t>RTD Cable</t>
        </is>
      </c>
      <c r="B273" s="15" t="inlineStr">
        <is>
          <t>29103-RJB-007</t>
        </is>
      </c>
      <c r="C273" s="15" t="inlineStr"/>
      <c r="D273" s="15" t="inlineStr"/>
      <c r="E273" s="15" t="inlineStr">
        <is>
          <t>29103-HTP-003</t>
        </is>
      </c>
      <c r="F273" s="15" t="inlineStr"/>
      <c r="G273" s="15" t="inlineStr">
        <is>
          <t>113</t>
        </is>
      </c>
      <c r="H273" s="15" t="inlineStr">
        <is>
          <t>1.6. 29103-HTP-003/4. RTD Cables/29103-RJB-007.pdf</t>
        </is>
      </c>
      <c r="I273" s="6" t="str">
        <f>IF($H273&lt;&gt;"","YES","NO")</f>
        <v>YES</v>
      </c>
      <c r="J273" s="6" t="str">
        <f>IF(N($T273)&gt;0,"YES","NO")</f>
        <v>NO</v>
      </c>
      <c r="K273" s="6" t="str">
        <f>IF(OR($A273="EHT Trace"),IF(AND($U273&lt;&gt;"",$V273&lt;&gt;""),"YES","NO"),"N/A")</f>
        <v>N/A</v>
      </c>
      <c r="L273" s="6" t="str">
        <f>IF(OR($A273="EHT Trace"),IF(AND($X273&lt;&gt;"",$Y273&lt;&gt;""),"YES","NO"),"N/A")</f>
        <v>N/A</v>
      </c>
      <c r="M273" s="6" t="str">
        <f>IF(OR($A273="EHT Trace"),IF(AND($AA273&lt;&gt;"",$AB273&lt;&gt;""),"YES","NO"),"N/A")</f>
        <v>N/A</v>
      </c>
      <c r="N273" s="6" t="str">
        <f>IF(OR($A273="Power Cable"),IF(AND($AD273&lt;&gt;""),"YES","NO"),"N/A")</f>
        <v>N/A</v>
      </c>
      <c r="O273" s="6" t="str">
        <f>IF(OR($A273="Power Cable",$A273="RTD Cable",$A273="Fieldbus Cable"),IF(AND($AE273&lt;&gt;""),"YES","NO"),"N/A")</f>
        <v>NO</v>
      </c>
      <c r="P273" s="6" t="str">
        <f>IF(OR($A273="RTD"),IF(AND($AH273&lt;&gt;""),"YES","NO"),"N/A")</f>
        <v>N/A</v>
      </c>
      <c r="Q273" s="6" t="str">
        <f>IF(OR($A273="RTD"),IF(AND($AI273&lt;&gt;""),"YES","NO"),"N/A")</f>
        <v>N/A</v>
      </c>
      <c r="R273" s="6" t="str">
        <f>IF(OR($AM273&lt;&gt;"",$Z273&lt;&gt;"",$AC273&lt;&gt;""),"YES","NO")</f>
        <v>NO</v>
      </c>
      <c r="S273" s="6" t="str">
        <f>IF(COUNTIF(I273:R273,"NO")=0,"YES","NO")</f>
        <v>NO</v>
      </c>
      <c r="T273" s="15" t="n">
        <v>0</v>
      </c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/>
      <c r="AF273" s="15" t="n"/>
      <c r="AG273" s="15" t="n"/>
      <c r="AH273" s="15" t="n"/>
      <c r="AI273" s="15" t="n"/>
      <c r="AJ273" s="15" t="inlineStr">
        <is>
          <t>ACIC</t>
        </is>
      </c>
      <c r="AK273" s="15" t="inlineStr">
        <is>
          <t>16AWG</t>
        </is>
      </c>
      <c r="AL273" s="15" t="inlineStr">
        <is>
          <t>Levy Ostrup</t>
        </is>
      </c>
      <c r="AM273" s="15" t="n"/>
      <c r="AN273" s="15" t="n"/>
    </row>
  </sheetData>
  <autoFilter ref="A4:AN273"/>
  <mergeCells count="3">
    <mergeCell ref="A3:H3"/>
    <mergeCell ref="I3:S3"/>
    <mergeCell ref="T3:AN3"/>
  </mergeCells>
  <conditionalFormatting sqref="I5:S273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29103-HTP-002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29103-ET-FG1101-1-1</t>
        </is>
      </c>
      <c r="C5" s="15" t="inlineStr">
        <is>
          <t>29103-ET-FG1101-1</t>
        </is>
      </c>
      <c r="D5" s="15" t="inlineStr">
        <is>
          <t>29103-AMB-001</t>
        </is>
      </c>
      <c r="E5" s="15" t="inlineStr">
        <is>
          <t>29103-FG-1101</t>
        </is>
      </c>
      <c r="F5" s="15" t="inlineStr">
        <is>
          <t>29103-65R-ET-FG1101-01-01</t>
        </is>
      </c>
      <c r="G5" s="15" t="inlineStr">
        <is>
          <t>13.1</t>
        </is>
      </c>
      <c r="H5" s="15" t="inlineStr">
        <is>
          <t>1.7. 29103-HTP-002/1. EHT Insulation/29103-ET-FG1101-1-1.pdf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24.9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29103-ET-FG1101-1-2</t>
        </is>
      </c>
      <c r="C6" s="15" t="inlineStr">
        <is>
          <t>29103-ET-FG1101-1</t>
        </is>
      </c>
      <c r="D6" s="15" t="inlineStr">
        <is>
          <t>29103-AMB-001</t>
        </is>
      </c>
      <c r="E6" s="15" t="inlineStr"/>
      <c r="F6" s="15" t="inlineStr">
        <is>
          <t>29103-65R-ET-FG1101-01-01</t>
        </is>
      </c>
      <c r="G6" s="15" t="inlineStr">
        <is>
          <t>13.1</t>
        </is>
      </c>
      <c r="H6" s="15" t="inlineStr">
        <is>
          <t>1.7. 29103-HTP-002/1. EHT Insulation/29103-ET-FG1101-1-2.pdf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29103-ET-FG1103-1-1</t>
        </is>
      </c>
      <c r="C7" s="15" t="inlineStr">
        <is>
          <t>29103-ET-FG1103-1</t>
        </is>
      </c>
      <c r="D7" s="15" t="inlineStr">
        <is>
          <t>29103-AMB-001</t>
        </is>
      </c>
      <c r="E7" s="15" t="inlineStr">
        <is>
          <t>29103-FG-1103</t>
        </is>
      </c>
      <c r="F7" s="15" t="inlineStr">
        <is>
          <t>29103-65R-ET-FG1103-01-01</t>
        </is>
      </c>
      <c r="G7" s="15" t="inlineStr">
        <is>
          <t>13.1</t>
        </is>
      </c>
      <c r="H7" s="15" t="inlineStr">
        <is>
          <t>1.7. 29103-HTP-002/1. EHT Insulation/29103-ET-FG1103-1-1.pdf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12.8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29103-ET-FG1103-1-2</t>
        </is>
      </c>
      <c r="C8" s="15" t="inlineStr">
        <is>
          <t>29103-ET-FG1103-1</t>
        </is>
      </c>
      <c r="D8" s="15" t="inlineStr">
        <is>
          <t>29103-AMB-001</t>
        </is>
      </c>
      <c r="E8" s="15" t="inlineStr">
        <is>
          <t>29103-FG-1103</t>
        </is>
      </c>
      <c r="F8" s="15" t="inlineStr">
        <is>
          <t>29103-65R-ET-FG1103-01-01</t>
        </is>
      </c>
      <c r="G8" s="15" t="inlineStr">
        <is>
          <t>13.1</t>
        </is>
      </c>
      <c r="H8" s="15" t="inlineStr">
        <is>
          <t>1.7. 29103-HTP-002/1. EHT Insulation/29103-ET-FG1103-1-2.pdf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14.5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29103-ET-FG1103-1-3</t>
        </is>
      </c>
      <c r="C9" s="15" t="inlineStr">
        <is>
          <t>29103-ET-FG1103-1</t>
        </is>
      </c>
      <c r="D9" s="15" t="inlineStr">
        <is>
          <t>29103-AMB-001</t>
        </is>
      </c>
      <c r="E9" s="15" t="inlineStr"/>
      <c r="F9" s="15" t="inlineStr">
        <is>
          <t>29103-65R-ET-FG1103-01-01</t>
        </is>
      </c>
      <c r="G9" s="15" t="inlineStr">
        <is>
          <t>13.1</t>
        </is>
      </c>
      <c r="H9" s="15" t="inlineStr">
        <is>
          <t>1.7. 29103-HTP-002/1. EHT Insulation/29103-ET-FG1103-1-3.pdf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6.5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29103-ET-FG1103-1-4</t>
        </is>
      </c>
      <c r="C10" s="15" t="inlineStr">
        <is>
          <t>29103-ET-FG1103-1</t>
        </is>
      </c>
      <c r="D10" s="15" t="inlineStr">
        <is>
          <t>29103-AMB-001</t>
        </is>
      </c>
      <c r="E10" s="15" t="inlineStr"/>
      <c r="F10" s="15" t="inlineStr">
        <is>
          <t>29103-65R-ET-FG1103-01-01</t>
        </is>
      </c>
      <c r="G10" s="15" t="inlineStr">
        <is>
          <t>13.1</t>
        </is>
      </c>
      <c r="H10" s="15" t="inlineStr">
        <is>
          <t>1.7. 29103-HTP-002/1. EHT Insulation/29103-ET-FG1103-1-4.pdf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13.1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29103-ET-FG1105-1-1</t>
        </is>
      </c>
      <c r="C11" s="15" t="inlineStr">
        <is>
          <t>29103-ET-FG1105-1</t>
        </is>
      </c>
      <c r="D11" s="15" t="inlineStr">
        <is>
          <t>29103-AMB-002</t>
        </is>
      </c>
      <c r="E11" s="15" t="inlineStr">
        <is>
          <t>29103-FG-1106, 29103-FG-1105</t>
        </is>
      </c>
      <c r="F11" s="15" t="inlineStr">
        <is>
          <t>29103-65R-ET-FG1105-01-01</t>
        </is>
      </c>
      <c r="G11" s="15" t="inlineStr">
        <is>
          <t>13.1</t>
        </is>
      </c>
      <c r="H11" s="15" t="inlineStr">
        <is>
          <t>1.7. 29103-HTP-002/1. EHT Insulation/29103-ET-FG1105-1-1.pdf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YES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inlineStr">
        <is>
          <t>&gt;2.2 GΩ</t>
        </is>
      </c>
      <c r="V11" s="15" t="inlineStr">
        <is>
          <t>344 Ω</t>
        </is>
      </c>
      <c r="W11" s="15" t="inlineStr">
        <is>
          <t>2026-05-17</t>
        </is>
      </c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D/32SA2600/16.9M/230/277/1.2M/LS23A/X/N12</t>
        </is>
      </c>
      <c r="AK11" s="15" t="inlineStr">
        <is>
          <t>16.9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29103-ET-FG1201-1-1</t>
        </is>
      </c>
      <c r="C12" s="15" t="inlineStr">
        <is>
          <t>29103-ET-FG1201-1</t>
        </is>
      </c>
      <c r="D12" s="15" t="inlineStr">
        <is>
          <t>29103-AMB-001</t>
        </is>
      </c>
      <c r="E12" s="15" t="inlineStr">
        <is>
          <t>29103-FG-1201</t>
        </is>
      </c>
      <c r="F12" s="15" t="inlineStr">
        <is>
          <t>29103-65R-ET-FG1201-01-01</t>
        </is>
      </c>
      <c r="G12" s="15" t="inlineStr">
        <is>
          <t>13.1</t>
        </is>
      </c>
      <c r="H12" s="15" t="inlineStr">
        <is>
          <t>1.7. 29103-HTP-002/1. EHT Insulation/29103-ET-FG1201-1-1.pdf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24.3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29103-ET-FG1203-1-1</t>
        </is>
      </c>
      <c r="C13" s="15" t="inlineStr">
        <is>
          <t>29103-ET-FG1203-1</t>
        </is>
      </c>
      <c r="D13" s="15" t="inlineStr">
        <is>
          <t>29103-AMB-001</t>
        </is>
      </c>
      <c r="E13" s="15" t="inlineStr">
        <is>
          <t>29103-FG-1203</t>
        </is>
      </c>
      <c r="F13" s="15" t="inlineStr">
        <is>
          <t>29103-65R-ET-FG1203-01-01</t>
        </is>
      </c>
      <c r="G13" s="15" t="inlineStr">
        <is>
          <t>13.1</t>
        </is>
      </c>
      <c r="H13" s="15" t="inlineStr">
        <is>
          <t>1.7. 29103-HTP-002/1. EHT Insulation/29103-ET-FG1203-1-1.pdf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11.6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29103-ET-FG1203-1-2</t>
        </is>
      </c>
      <c r="C14" s="15" t="inlineStr">
        <is>
          <t>29103-ET-FG1203-1</t>
        </is>
      </c>
      <c r="D14" s="15" t="inlineStr">
        <is>
          <t>29103-AMB-001</t>
        </is>
      </c>
      <c r="E14" s="15" t="inlineStr">
        <is>
          <t>29103-FG-1203</t>
        </is>
      </c>
      <c r="F14" s="15" t="inlineStr">
        <is>
          <t>29103-65R-ET-FG1203-01-01</t>
        </is>
      </c>
      <c r="G14" s="15" t="inlineStr">
        <is>
          <t>13.1</t>
        </is>
      </c>
      <c r="H14" s="15" t="inlineStr">
        <is>
          <t>1.7. 29103-HTP-002/1. EHT Insulation/29103-ET-FG1203-1-2.pdf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13.3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29103-ET-FG1203-1-3</t>
        </is>
      </c>
      <c r="C15" s="15" t="inlineStr">
        <is>
          <t>29103-ET-FG1203-1</t>
        </is>
      </c>
      <c r="D15" s="15" t="inlineStr">
        <is>
          <t>29103-AMB-001</t>
        </is>
      </c>
      <c r="E15" s="15" t="inlineStr"/>
      <c r="F15" s="15" t="inlineStr">
        <is>
          <t>29103-65R-ET-FG1203-01-01</t>
        </is>
      </c>
      <c r="G15" s="15" t="inlineStr">
        <is>
          <t>13.1</t>
        </is>
      </c>
      <c r="H15" s="15" t="inlineStr">
        <is>
          <t>1.7. 29103-HTP-002/1. EHT Insulation/29103-ET-FG1203-1-3.pdf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6.1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29103-ET-FG1203-1-4</t>
        </is>
      </c>
      <c r="C16" s="15" t="inlineStr">
        <is>
          <t>29103-ET-FG1203-1</t>
        </is>
      </c>
      <c r="D16" s="15" t="inlineStr">
        <is>
          <t>29103-AMB-001</t>
        </is>
      </c>
      <c r="E16" s="15" t="inlineStr"/>
      <c r="F16" s="15" t="inlineStr">
        <is>
          <t>29103-65R-ET-FG1203-01-01</t>
        </is>
      </c>
      <c r="G16" s="15" t="inlineStr">
        <is>
          <t>13.1</t>
        </is>
      </c>
      <c r="H16" s="15" t="inlineStr">
        <is>
          <t>1.7. 29103-HTP-002/1. EHT Insulation/29103-ET-FG1203-1-4.pdf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13.1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29103-ET-FG1301-1-1</t>
        </is>
      </c>
      <c r="C17" s="15" t="inlineStr">
        <is>
          <t>29103-ET-FG1301-1</t>
        </is>
      </c>
      <c r="D17" s="15" t="inlineStr">
        <is>
          <t>29103-AMB-003</t>
        </is>
      </c>
      <c r="E17" s="15" t="inlineStr">
        <is>
          <t>29103-FG-1301</t>
        </is>
      </c>
      <c r="F17" s="15" t="inlineStr">
        <is>
          <t>29103-65R-ET-FG1301-01-01</t>
        </is>
      </c>
      <c r="G17" s="15" t="inlineStr">
        <is>
          <t>13.1</t>
        </is>
      </c>
      <c r="H17" s="15" t="inlineStr">
        <is>
          <t>1.7. 29103-HTP-002/1. EHT Insulation/29103-ET-FG1301-1-1.pdf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23.3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29103-ET-FG1303-1-1</t>
        </is>
      </c>
      <c r="C18" s="15" t="inlineStr">
        <is>
          <t>29103-ET-FG1303-1</t>
        </is>
      </c>
      <c r="D18" s="15" t="inlineStr">
        <is>
          <t>29103-AMB-003</t>
        </is>
      </c>
      <c r="E18" s="15" t="inlineStr">
        <is>
          <t>29103-FG-1303</t>
        </is>
      </c>
      <c r="F18" s="15" t="inlineStr">
        <is>
          <t>29103-65R-ET-FG1303-01-01</t>
        </is>
      </c>
      <c r="G18" s="15" t="inlineStr">
        <is>
          <t>13.1</t>
        </is>
      </c>
      <c r="H18" s="15" t="inlineStr">
        <is>
          <t>1.7. 29103-HTP-002/1. EHT Insulation/29103-ET-FG1303-1-1.pdf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13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29103-ET-FG1303-1-2</t>
        </is>
      </c>
      <c r="C19" s="15" t="inlineStr">
        <is>
          <t>29103-ET-FG1303-1</t>
        </is>
      </c>
      <c r="D19" s="15" t="inlineStr">
        <is>
          <t>29103-AMB-003</t>
        </is>
      </c>
      <c r="E19" s="15" t="inlineStr">
        <is>
          <t>29103-FG-1303</t>
        </is>
      </c>
      <c r="F19" s="15" t="inlineStr">
        <is>
          <t>29103-65R-ET-FG1303-01-01</t>
        </is>
      </c>
      <c r="G19" s="15" t="inlineStr">
        <is>
          <t>13.1</t>
        </is>
      </c>
      <c r="H19" s="15" t="inlineStr">
        <is>
          <t>1.7. 29103-HTP-002/1. EHT Insulation/29103-ET-FG1303-1-2.pdf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14.5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29103-ET-FG1303-1-3</t>
        </is>
      </c>
      <c r="C20" s="15" t="inlineStr">
        <is>
          <t>29103-ET-FG1303-1</t>
        </is>
      </c>
      <c r="D20" s="15" t="inlineStr">
        <is>
          <t>29103-AMB-003</t>
        </is>
      </c>
      <c r="E20" s="15" t="inlineStr"/>
      <c r="F20" s="15" t="inlineStr">
        <is>
          <t>29103-65R-ET-FG1303-01-01</t>
        </is>
      </c>
      <c r="G20" s="15" t="inlineStr">
        <is>
          <t>13.1</t>
        </is>
      </c>
      <c r="H20" s="15" t="inlineStr">
        <is>
          <t>1.7. 29103-HTP-002/1. EHT Insulation/29103-ET-FG1303-1-3.pdf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29103-ET-FG1303-1-4</t>
        </is>
      </c>
      <c r="C21" s="15" t="inlineStr">
        <is>
          <t>29103-ET-FG1303-1</t>
        </is>
      </c>
      <c r="D21" s="15" t="inlineStr">
        <is>
          <t>29103-AMB-003</t>
        </is>
      </c>
      <c r="E21" s="15" t="inlineStr"/>
      <c r="F21" s="15" t="inlineStr">
        <is>
          <t>29103-65R-ET-FG1303-01-01</t>
        </is>
      </c>
      <c r="G21" s="15" t="inlineStr">
        <is>
          <t>13.1</t>
        </is>
      </c>
      <c r="H21" s="15" t="inlineStr">
        <is>
          <t>1.7. 29103-HTP-002/1. EHT Insulation/29103-ET-FG1303-1-4.pdf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13.1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29103-ET-FG1401-1-1</t>
        </is>
      </c>
      <c r="C22" s="15" t="inlineStr">
        <is>
          <t>29103-ET-FG1401-1</t>
        </is>
      </c>
      <c r="D22" s="15" t="inlineStr">
        <is>
          <t>29103-AMB-003</t>
        </is>
      </c>
      <c r="E22" s="15" t="inlineStr">
        <is>
          <t>29103-FG-1401</t>
        </is>
      </c>
      <c r="F22" s="15" t="inlineStr">
        <is>
          <t>29103-65R-ET-FG1401-01-01</t>
        </is>
      </c>
      <c r="G22" s="15" t="inlineStr">
        <is>
          <t>13.1</t>
        </is>
      </c>
      <c r="H22" s="15" t="inlineStr">
        <is>
          <t>1.7. 29103-HTP-002/1. EHT Insulation/29103-ET-FG1401-1-1.pdf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24.4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29103-ET-FG1403-1-1</t>
        </is>
      </c>
      <c r="C23" s="15" t="inlineStr">
        <is>
          <t>29103-ET-FG1403-1</t>
        </is>
      </c>
      <c r="D23" s="15" t="inlineStr">
        <is>
          <t>29103-AMB-003</t>
        </is>
      </c>
      <c r="E23" s="15" t="inlineStr">
        <is>
          <t>29103-FG-1403</t>
        </is>
      </c>
      <c r="F23" s="15" t="inlineStr">
        <is>
          <t>29103-65R-ET-FG1403-01-01</t>
        </is>
      </c>
      <c r="G23" s="15" t="inlineStr">
        <is>
          <t>13.1</t>
        </is>
      </c>
      <c r="H23" s="15" t="inlineStr">
        <is>
          <t>1.7. 29103-HTP-002/1. EHT Insulation/29103-ET-FG1403-1-1.pdf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5XTVR2-CT</t>
        </is>
      </c>
      <c r="AK23" s="15" t="inlineStr">
        <is>
          <t>13.1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29103-ET-FG1403-1-2</t>
        </is>
      </c>
      <c r="C24" s="15" t="inlineStr">
        <is>
          <t>29103-ET-FG1403-1</t>
        </is>
      </c>
      <c r="D24" s="15" t="inlineStr">
        <is>
          <t>29103-AMB-003</t>
        </is>
      </c>
      <c r="E24" s="15" t="inlineStr">
        <is>
          <t>29103-FG-1403</t>
        </is>
      </c>
      <c r="F24" s="15" t="inlineStr">
        <is>
          <t>29103-65R-ET-FG1403-01-01</t>
        </is>
      </c>
      <c r="G24" s="15" t="inlineStr">
        <is>
          <t>13.1</t>
        </is>
      </c>
      <c r="H24" s="15" t="inlineStr">
        <is>
          <t>1.7. 29103-HTP-002/1. EHT Insulation/29103-ET-FG1403-1-2.pdf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13.5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29103-ET-FG1403-1-3</t>
        </is>
      </c>
      <c r="C25" s="15" t="inlineStr">
        <is>
          <t>29103-ET-FG1403-1</t>
        </is>
      </c>
      <c r="D25" s="15" t="inlineStr">
        <is>
          <t>29103-AMB-003</t>
        </is>
      </c>
      <c r="E25" s="15" t="inlineStr"/>
      <c r="F25" s="15" t="inlineStr">
        <is>
          <t>29103-65R-ET-FG1403-01-01</t>
        </is>
      </c>
      <c r="G25" s="15" t="inlineStr">
        <is>
          <t>13.1</t>
        </is>
      </c>
      <c r="H25" s="15" t="inlineStr">
        <is>
          <t>1.7. 29103-HTP-002/1. EHT Insulation/29103-ET-FG1403-1-3.pdf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5XTVR2-CT</t>
        </is>
      </c>
      <c r="AK25" s="15" t="inlineStr">
        <is>
          <t>6.1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29103-ET-FG1403-1-4</t>
        </is>
      </c>
      <c r="C26" s="15" t="inlineStr">
        <is>
          <t>29103-ET-FG1403-1</t>
        </is>
      </c>
      <c r="D26" s="15" t="inlineStr">
        <is>
          <t>29103-AMB-003</t>
        </is>
      </c>
      <c r="E26" s="15" t="inlineStr"/>
      <c r="F26" s="15" t="inlineStr">
        <is>
          <t>29103-65R-ET-FG1403-01-01</t>
        </is>
      </c>
      <c r="G26" s="15" t="inlineStr">
        <is>
          <t>13.1</t>
        </is>
      </c>
      <c r="H26" s="15" t="inlineStr">
        <is>
          <t>1.7. 29103-HTP-002/1. EHT Insulation/29103-ET-FG1403-1-4.pdf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29103-ET-P1101-1-1</t>
        </is>
      </c>
      <c r="C27" s="15" t="inlineStr">
        <is>
          <t>29103-ET-P1101-1</t>
        </is>
      </c>
      <c r="D27" s="15" t="inlineStr">
        <is>
          <t>HTC-37 / CB-37</t>
        </is>
      </c>
      <c r="E27" s="15" t="inlineStr">
        <is>
          <t>29103-P-1101</t>
        </is>
      </c>
      <c r="F27" s="15" t="inlineStr">
        <is>
          <t>29103-65R-ET-P1101-01-01</t>
        </is>
      </c>
      <c r="G27" s="15" t="inlineStr">
        <is>
          <t>13.1</t>
        </is>
      </c>
      <c r="H27" s="15" t="inlineStr">
        <is>
          <t>1.7. 29103-HTP-002/1. EHT Insulation/29103-ET-P1101-1-1.pdf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E/32SQ3374/20.5M/1007/166/1.2M/LS23A/X/N12/XNF</t>
        </is>
      </c>
      <c r="AK27" s="15" t="inlineStr">
        <is>
          <t>20.5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29103-ET-P1101-1-2</t>
        </is>
      </c>
      <c r="C28" s="15" t="inlineStr">
        <is>
          <t>29103-ET-P1101-1</t>
        </is>
      </c>
      <c r="D28" s="15" t="inlineStr">
        <is>
          <t>HTC-37 / CB-37</t>
        </is>
      </c>
      <c r="E28" s="15" t="inlineStr">
        <is>
          <t>29103-P-1101</t>
        </is>
      </c>
      <c r="F28" s="15" t="inlineStr">
        <is>
          <t>29103-65R-ET-P1101-01-01</t>
        </is>
      </c>
      <c r="G28" s="15" t="inlineStr">
        <is>
          <t>13.1</t>
        </is>
      </c>
      <c r="H28" s="15" t="inlineStr">
        <is>
          <t>1.7. 29103-HTP-002/1. EHT Insulation/29103-ET-P1101-1-2.pdf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D/32SQ3374/13.8M/678/111/1.2M/LS23A/X/N12/XMN</t>
        </is>
      </c>
      <c r="AK28" s="15" t="inlineStr">
        <is>
          <t>13.8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29103-ET-P1104-1-1</t>
        </is>
      </c>
      <c r="C29" s="15" t="inlineStr">
        <is>
          <t>29103-ET-P1104-1</t>
        </is>
      </c>
      <c r="D29" s="15" t="inlineStr">
        <is>
          <t>HTC-35 / CB-35</t>
        </is>
      </c>
      <c r="E29" s="15" t="inlineStr">
        <is>
          <t>29103-PE-1101, 29103-P-1104</t>
        </is>
      </c>
      <c r="F29" s="15" t="inlineStr">
        <is>
          <t>29103-65R-ET-P1104-01-01</t>
        </is>
      </c>
      <c r="G29" s="15" t="inlineStr">
        <is>
          <t>13.1</t>
        </is>
      </c>
      <c r="H29" s="15" t="inlineStr">
        <is>
          <t>1.7. 29103-HTP-002/1. EHT Insulation/29103-ET-P1104-1-1.pdf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D/32SA2200/20.9M/554/277/1.2M/LS23A/X/N12</t>
        </is>
      </c>
      <c r="AK29" s="15" t="inlineStr">
        <is>
          <t>20.9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29103-ET-P1104-1-2</t>
        </is>
      </c>
      <c r="C30" s="15" t="inlineStr">
        <is>
          <t>29103-ET-P1104-1</t>
        </is>
      </c>
      <c r="D30" s="15" t="inlineStr">
        <is>
          <t>HTC-35 / CB-35</t>
        </is>
      </c>
      <c r="E30" s="15" t="inlineStr">
        <is>
          <t>29103-P-1104</t>
        </is>
      </c>
      <c r="F30" s="15" t="inlineStr">
        <is>
          <t>29103-65R-ET-P1104-01-01</t>
        </is>
      </c>
      <c r="G30" s="15" t="inlineStr">
        <is>
          <t>13.1</t>
        </is>
      </c>
      <c r="H30" s="15" t="inlineStr">
        <is>
          <t>1.7. 29103-HTP-002/1. EHT Insulation/29103-ET-P1104-1-2.pdf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YES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inlineStr">
        <is>
          <t>&gt;2.2 GΩ</t>
        </is>
      </c>
      <c r="V30" s="15" t="inlineStr">
        <is>
          <t>12.7 Ω</t>
        </is>
      </c>
      <c r="W30" s="15" t="inlineStr">
        <is>
          <t>2026-05-17</t>
        </is>
      </c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E/32SQ3472/8M/461/78.9/1.2M/LS23A/X/N12/XNF</t>
        </is>
      </c>
      <c r="AK30" s="15" t="inlineStr">
        <is>
          <t>8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29103-ET-P1104-1-3</t>
        </is>
      </c>
      <c r="C31" s="15" t="inlineStr">
        <is>
          <t>29103-ET-P1104-1</t>
        </is>
      </c>
      <c r="D31" s="15" t="inlineStr">
        <is>
          <t>HTC-35 / CB-35</t>
        </is>
      </c>
      <c r="E31" s="15" t="inlineStr">
        <is>
          <t>29103-P-1104</t>
        </is>
      </c>
      <c r="F31" s="15" t="inlineStr">
        <is>
          <t>29103-65R-ET-P1104-01-01</t>
        </is>
      </c>
      <c r="G31" s="15" t="inlineStr">
        <is>
          <t>13.1</t>
        </is>
      </c>
      <c r="H31" s="15" t="inlineStr">
        <is>
          <t>1.7. 29103-HTP-002/1. EHT Insulation/29103-ET-P1104-1-3.pdf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11.3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E/32SQ3472/7M/403/69/1.2M/LS23A/X/N12/XMF</t>
        </is>
      </c>
      <c r="AK31" s="15" t="inlineStr">
        <is>
          <t>7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29103-ET-P1104-1-4</t>
        </is>
      </c>
      <c r="C32" s="15" t="inlineStr">
        <is>
          <t>29103-ET-P1104-1</t>
        </is>
      </c>
      <c r="D32" s="15" t="inlineStr">
        <is>
          <t>HTC-35 / CB-35</t>
        </is>
      </c>
      <c r="E32" s="15" t="inlineStr">
        <is>
          <t>29103-P-1104</t>
        </is>
      </c>
      <c r="F32" s="15" t="inlineStr">
        <is>
          <t>29103-65R-ET-P1104-01-01</t>
        </is>
      </c>
      <c r="G32" s="15" t="inlineStr">
        <is>
          <t>13.1</t>
        </is>
      </c>
      <c r="H32" s="15" t="inlineStr">
        <is>
          <t>1.7. 29103-HTP-002/1. EHT Insulation/29103-ET-P1104-1-4.pdf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21.1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D/32SQ3472/13.1M/755/129/1.2M/LS23A/X/N12/XMN</t>
        </is>
      </c>
      <c r="AK32" s="15" t="inlineStr">
        <is>
          <t>13.1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29103-ET-P1104-2-1</t>
        </is>
      </c>
      <c r="C33" s="15" t="inlineStr">
        <is>
          <t>29103-ET-P1104-2</t>
        </is>
      </c>
      <c r="D33" s="15" t="inlineStr">
        <is>
          <t>HTC-40 / CB-40</t>
        </is>
      </c>
      <c r="E33" s="15" t="inlineStr">
        <is>
          <t>29103-P-1104, 29103-FG-1102</t>
        </is>
      </c>
      <c r="F33" s="15" t="inlineStr">
        <is>
          <t>29103-65R-ET-P1104-02-01</t>
        </is>
      </c>
      <c r="G33" s="15" t="inlineStr">
        <is>
          <t>13.1</t>
        </is>
      </c>
      <c r="H33" s="15" t="inlineStr">
        <is>
          <t>1.7. 29103-HTP-002/1. EHT Insulation/29103-ET-P1104-2-1.pdf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373.2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D/32SF1180/6.2M/207/277/1.2M/LS23A/X/N12</t>
        </is>
      </c>
      <c r="AK33" s="15" t="inlineStr">
        <is>
          <t>6.2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29103-ET-P1201-1-1</t>
        </is>
      </c>
      <c r="C34" s="15" t="inlineStr">
        <is>
          <t>29103-ET-P1201-1</t>
        </is>
      </c>
      <c r="D34" s="15" t="inlineStr">
        <is>
          <t>HTC-39 / CB-39</t>
        </is>
      </c>
      <c r="E34" s="15" t="inlineStr">
        <is>
          <t>29103-P-1201</t>
        </is>
      </c>
      <c r="F34" s="15" t="inlineStr">
        <is>
          <t>29103-65R-ET-P1201-01-01</t>
        </is>
      </c>
      <c r="G34" s="15" t="inlineStr">
        <is>
          <t>13.1</t>
        </is>
      </c>
      <c r="H34" s="15" t="inlineStr">
        <is>
          <t>1.7. 29103-HTP-002/1. EHT Insulation/29103-ET-P1201-1-1.pdf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NO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E/32SQ3374/20.6M/1001/165/1.2M/LS23A/X/N12/XNF</t>
        </is>
      </c>
      <c r="AK34" s="15" t="inlineStr">
        <is>
          <t>20.6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29103-ET-P1201-1-2</t>
        </is>
      </c>
      <c r="C35" s="15" t="inlineStr">
        <is>
          <t>29103-ET-P1201-1</t>
        </is>
      </c>
      <c r="D35" s="15" t="inlineStr">
        <is>
          <t>HTC-39 / CB-39</t>
        </is>
      </c>
      <c r="E35" s="15" t="inlineStr">
        <is>
          <t>29103-P-1201</t>
        </is>
      </c>
      <c r="F35" s="15" t="inlineStr">
        <is>
          <t>29103-65R-ET-P1201-01-01</t>
        </is>
      </c>
      <c r="G35" s="15" t="inlineStr">
        <is>
          <t>13.1</t>
        </is>
      </c>
      <c r="H35" s="15" t="inlineStr">
        <is>
          <t>1.7. 29103-HTP-002/1. EHT Insulation/29103-ET-P1201-1-2.pdf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D/32SQ3374/13.9M/676/112/1.2M/LS23A/X/N12/XMN</t>
        </is>
      </c>
      <c r="AK35" s="15" t="inlineStr">
        <is>
          <t>13.9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29103-ET-P1204-1-1</t>
        </is>
      </c>
      <c r="C36" s="15" t="inlineStr">
        <is>
          <t>29103-ET-P1204-1</t>
        </is>
      </c>
      <c r="D36" s="15" t="inlineStr">
        <is>
          <t>HTC-27 / CB-27</t>
        </is>
      </c>
      <c r="E36" s="15" t="inlineStr">
        <is>
          <t>29103-PE-1201, 29103-P-1204</t>
        </is>
      </c>
      <c r="F36" s="15" t="inlineStr">
        <is>
          <t>29103-65R-ET-P1204-01-01</t>
        </is>
      </c>
      <c r="G36" s="15" t="inlineStr">
        <is>
          <t>13.1</t>
        </is>
      </c>
      <c r="H36" s="15" t="inlineStr">
        <is>
          <t>1.7. 29103-HTP-002/1. EHT Insulation/29103-ET-P1204-1-1.pdf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D/32SA2200/20.9M/554/277/1.2M/LS23A/X/N12</t>
        </is>
      </c>
      <c r="AK36" s="15" t="inlineStr">
        <is>
          <t>20.9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29103-ET-P1204-1-2</t>
        </is>
      </c>
      <c r="C37" s="15" t="inlineStr">
        <is>
          <t>29103-ET-P1204-1</t>
        </is>
      </c>
      <c r="D37" s="15" t="inlineStr">
        <is>
          <t>HTC-27 / CB-27</t>
        </is>
      </c>
      <c r="E37" s="15" t="inlineStr">
        <is>
          <t>29103-P-1204</t>
        </is>
      </c>
      <c r="F37" s="15" t="inlineStr">
        <is>
          <t>29103-65R-ET-P1204-01-01</t>
        </is>
      </c>
      <c r="G37" s="15" t="inlineStr">
        <is>
          <t>13.1</t>
        </is>
      </c>
      <c r="H37" s="15" t="inlineStr">
        <is>
          <t>1.7. 29103-HTP-002/1. EHT Insulation/29103-ET-P1204-1-2.pdf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YES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inlineStr">
        <is>
          <t>&gt;2.2 GΩ</t>
        </is>
      </c>
      <c r="V37" s="15" t="inlineStr">
        <is>
          <t>10.5 Ω</t>
        </is>
      </c>
      <c r="W37" s="15" t="inlineStr">
        <is>
          <t>2026-05-17</t>
        </is>
      </c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E/32SQ3472/6.5M/416/67.7/1.2M/LS23A/X/N12/XNF</t>
        </is>
      </c>
      <c r="AK37" s="15" t="inlineStr">
        <is>
          <t>6.5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29103-ET-P1204-1-3</t>
        </is>
      </c>
      <c r="C38" s="15" t="inlineStr">
        <is>
          <t>29103-ET-P1204-1</t>
        </is>
      </c>
      <c r="D38" s="15" t="inlineStr">
        <is>
          <t>HTC-27 / CB-27</t>
        </is>
      </c>
      <c r="E38" s="15" t="inlineStr">
        <is>
          <t>29103-P-1204</t>
        </is>
      </c>
      <c r="F38" s="15" t="inlineStr">
        <is>
          <t>29103-65R-ET-P1204-01-01</t>
        </is>
      </c>
      <c r="G38" s="15" t="inlineStr">
        <is>
          <t>13.1</t>
        </is>
      </c>
      <c r="H38" s="15" t="inlineStr">
        <is>
          <t>1.7. 29103-HTP-002/1. EHT Insulation/29103-ET-P1204-1-3.pdf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YES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inlineStr">
        <is>
          <t>&gt;2.2 GΩ</t>
        </is>
      </c>
      <c r="V38" s="15" t="inlineStr">
        <is>
          <t>11.6 Ω</t>
        </is>
      </c>
      <c r="W38" s="15" t="inlineStr">
        <is>
          <t>2026-05-17</t>
        </is>
      </c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E/32SQ3472/7M/448/72.9/1.2M/LS23A/X/N12/XMF</t>
        </is>
      </c>
      <c r="AK38" s="15" t="inlineStr">
        <is>
          <t>7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29103-ET-P1204-1-4</t>
        </is>
      </c>
      <c r="C39" s="15" t="inlineStr">
        <is>
          <t>29103-ET-P1204-1</t>
        </is>
      </c>
      <c r="D39" s="15" t="inlineStr">
        <is>
          <t>HTC-27 / CB-27</t>
        </is>
      </c>
      <c r="E39" s="15" t="inlineStr">
        <is>
          <t>29103-P-1204</t>
        </is>
      </c>
      <c r="F39" s="15" t="inlineStr">
        <is>
          <t>29103-65R-ET-P1204-01-01</t>
        </is>
      </c>
      <c r="G39" s="15" t="inlineStr">
        <is>
          <t>13.1</t>
        </is>
      </c>
      <c r="H39" s="15" t="inlineStr">
        <is>
          <t>1.7. 29103-HTP-002/1. EHT Insulation/29103-ET-P1204-1-4.pdf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20.9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D/32SQ3472/13.1M/838/136/1.2M/LS23A/X/N12/XMN</t>
        </is>
      </c>
      <c r="AK39" s="15" t="inlineStr">
        <is>
          <t>13.1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29103-ET-P1204-2-1</t>
        </is>
      </c>
      <c r="C40" s="15" t="inlineStr">
        <is>
          <t>29103-ET-P1204-2</t>
        </is>
      </c>
      <c r="D40" s="15" t="inlineStr">
        <is>
          <t>HTC-29 / CB-29</t>
        </is>
      </c>
      <c r="E40" s="15" t="inlineStr">
        <is>
          <t>29103-P-1204, 29103-FG-1202</t>
        </is>
      </c>
      <c r="F40" s="15" t="inlineStr">
        <is>
          <t>29103-65R-ET-P1204-02-01</t>
        </is>
      </c>
      <c r="G40" s="15" t="inlineStr">
        <is>
          <t>13.1</t>
        </is>
      </c>
      <c r="H40" s="15" t="inlineStr">
        <is>
          <t>1.7. 29103-HTP-002/1. EHT Insulation/29103-ET-P1204-2-1.pdf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262.1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D/32SF1110/7M/299/277/1.2M/LS23A/X/N12</t>
        </is>
      </c>
      <c r="AK40" s="15" t="inlineStr">
        <is>
          <t>7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29103-ET-P1301-1-1</t>
        </is>
      </c>
      <c r="C41" s="15" t="inlineStr">
        <is>
          <t>29103-ET-P1301-1</t>
        </is>
      </c>
      <c r="D41" s="15" t="inlineStr">
        <is>
          <t>HTC-38 / CB-38</t>
        </is>
      </c>
      <c r="E41" s="15" t="inlineStr">
        <is>
          <t>29103-P-1301</t>
        </is>
      </c>
      <c r="F41" s="15" t="inlineStr">
        <is>
          <t>29103-65R-ET-P1301-01-01</t>
        </is>
      </c>
      <c r="G41" s="15" t="inlineStr">
        <is>
          <t>13.1</t>
        </is>
      </c>
      <c r="H41" s="15" t="inlineStr">
        <is>
          <t>1.7. 29103-HTP-002/1. EHT Insulation/29103-ET-P1301-1-1.pdf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NO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E/32SQ3374/20.5M/1007/166/1.2M/LS23A/X/N12/XNF</t>
        </is>
      </c>
      <c r="AK41" s="15" t="inlineStr">
        <is>
          <t>20.5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29103-ET-P1301-1-2</t>
        </is>
      </c>
      <c r="C42" s="15" t="inlineStr">
        <is>
          <t>29103-ET-P1301-1</t>
        </is>
      </c>
      <c r="D42" s="15" t="inlineStr">
        <is>
          <t>HTC-38 / CB-38</t>
        </is>
      </c>
      <c r="E42" s="15" t="inlineStr">
        <is>
          <t>29103-P-1301</t>
        </is>
      </c>
      <c r="F42" s="15" t="inlineStr">
        <is>
          <t>29103-65R-ET-P1301-01-01</t>
        </is>
      </c>
      <c r="G42" s="15" t="inlineStr">
        <is>
          <t>13.1</t>
        </is>
      </c>
      <c r="H42" s="15" t="inlineStr">
        <is>
          <t>1.7. 29103-HTP-002/1. EHT Insulation/29103-ET-P1301-1-2.pdf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D/32SQ3374/13.8M/678/111/1.2M/LS23A/X/N12/XMN</t>
        </is>
      </c>
      <c r="AK42" s="15" t="inlineStr">
        <is>
          <t>13.8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29103-ET-P1304-1-1</t>
        </is>
      </c>
      <c r="C43" s="15" t="inlineStr">
        <is>
          <t>29103-ET-P1304-1</t>
        </is>
      </c>
      <c r="D43" s="15" t="inlineStr">
        <is>
          <t>HTC-09 / CB-09</t>
        </is>
      </c>
      <c r="E43" s="15" t="inlineStr">
        <is>
          <t>29103-PE-1301, 29103-P-1304</t>
        </is>
      </c>
      <c r="F43" s="15" t="inlineStr">
        <is>
          <t>29103-65R-ET-P1304-01-01</t>
        </is>
      </c>
      <c r="G43" s="15" t="inlineStr">
        <is>
          <t>13.1</t>
        </is>
      </c>
      <c r="H43" s="15" t="inlineStr">
        <is>
          <t>1.7. 29103-HTP-002/1. EHT Insulation/29103-ET-P1304-1-1.pdf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D/32SA2200/20.9M/554/277/1.2M/LS23A/X/N12</t>
        </is>
      </c>
      <c r="AK43" s="15" t="inlineStr">
        <is>
          <t>20.9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29103-ET-P1304-1-2</t>
        </is>
      </c>
      <c r="C44" s="15" t="inlineStr">
        <is>
          <t>29103-ET-P1304-1</t>
        </is>
      </c>
      <c r="D44" s="15" t="inlineStr">
        <is>
          <t>HTC-09 / CB-09</t>
        </is>
      </c>
      <c r="E44" s="15" t="inlineStr">
        <is>
          <t>29103-P-1304</t>
        </is>
      </c>
      <c r="F44" s="15" t="inlineStr">
        <is>
          <t>29103-65R-ET-P1304-01-01</t>
        </is>
      </c>
      <c r="G44" s="15" t="inlineStr">
        <is>
          <t>13.1</t>
        </is>
      </c>
      <c r="H44" s="15" t="inlineStr">
        <is>
          <t>1.7. 29103-HTP-002/1. EHT Insulation/29103-ET-P1304-1-2.pdf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YES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inlineStr">
        <is>
          <t>&gt;2.2 GΩ</t>
        </is>
      </c>
      <c r="V44" s="15" t="inlineStr">
        <is>
          <t>12.8 Ω</t>
        </is>
      </c>
      <c r="W44" s="15" t="inlineStr">
        <is>
          <t>2026-05-17</t>
        </is>
      </c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E/32SQ3472/8M/461/78.9/1.2M/LS23A/X/N12/XNF</t>
        </is>
      </c>
      <c r="AK44" s="15" t="inlineStr">
        <is>
          <t>8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29103-ET-P1304-1-3</t>
        </is>
      </c>
      <c r="C45" s="15" t="inlineStr">
        <is>
          <t>29103-ET-P1304-1</t>
        </is>
      </c>
      <c r="D45" s="15" t="inlineStr">
        <is>
          <t>HTC-09 / CB-09</t>
        </is>
      </c>
      <c r="E45" s="15" t="inlineStr">
        <is>
          <t>29103-P-1304</t>
        </is>
      </c>
      <c r="F45" s="15" t="inlineStr">
        <is>
          <t>29103-65R-ET-P1304-01-01</t>
        </is>
      </c>
      <c r="G45" s="15" t="inlineStr">
        <is>
          <t>13.1</t>
        </is>
      </c>
      <c r="H45" s="15" t="inlineStr">
        <is>
          <t>1.7. 29103-HTP-002/1. EHT Insulation/29103-ET-P1304-1-3.pdf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11.4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E/32SQ3472/7M/403/69/1.2M/LS23A/X/N12/XMF</t>
        </is>
      </c>
      <c r="AK45" s="15" t="inlineStr">
        <is>
          <t>7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29103-ET-P1304-1-4</t>
        </is>
      </c>
      <c r="C46" s="15" t="inlineStr">
        <is>
          <t>29103-ET-P1304-1</t>
        </is>
      </c>
      <c r="D46" s="15" t="inlineStr">
        <is>
          <t>HTC-09 / CB-09</t>
        </is>
      </c>
      <c r="E46" s="15" t="inlineStr">
        <is>
          <t>29103-P-1304</t>
        </is>
      </c>
      <c r="F46" s="15" t="inlineStr">
        <is>
          <t>29103-65R-ET-P1304-01-01</t>
        </is>
      </c>
      <c r="G46" s="15" t="inlineStr">
        <is>
          <t>13.1</t>
        </is>
      </c>
      <c r="H46" s="15" t="inlineStr">
        <is>
          <t>1.7. 29103-HTP-002/1. EHT Insulation/29103-ET-P1304-1-4.pdf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21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D/32SQ3472/13.1M/755/129/1.2M/LS23A/X/N12/XMN</t>
        </is>
      </c>
      <c r="AK46" s="15" t="inlineStr">
        <is>
          <t>13.1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29103-ET-P1304-2-1</t>
        </is>
      </c>
      <c r="C47" s="15" t="inlineStr">
        <is>
          <t>29103-ET-P1304-2</t>
        </is>
      </c>
      <c r="D47" s="15" t="inlineStr">
        <is>
          <t>HTC-19 / CB-19</t>
        </is>
      </c>
      <c r="E47" s="15" t="inlineStr">
        <is>
          <t>29103-P-1304, 29103-FG-1302</t>
        </is>
      </c>
      <c r="F47" s="15" t="inlineStr">
        <is>
          <t>29103-65R-ET-P1304-02-01</t>
        </is>
      </c>
      <c r="G47" s="15" t="inlineStr">
        <is>
          <t>13.1</t>
        </is>
      </c>
      <c r="H47" s="15" t="inlineStr">
        <is>
          <t>1.7. 29103-HTP-002/1. EHT Insulation/29103-ET-P1304-2-1.pdf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374.3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D/32SF1180/6.2M/207/277/1.2M/LS23A/X/N12</t>
        </is>
      </c>
      <c r="AK47" s="15" t="inlineStr">
        <is>
          <t>6.2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29103-ET-P1401-1-1</t>
        </is>
      </c>
      <c r="C48" s="15" t="inlineStr">
        <is>
          <t>29103-ET-P1401-1</t>
        </is>
      </c>
      <c r="D48" s="15" t="inlineStr">
        <is>
          <t>HTC-05 / CB-05</t>
        </is>
      </c>
      <c r="E48" s="15" t="inlineStr">
        <is>
          <t>29103-P-1401</t>
        </is>
      </c>
      <c r="F48" s="15" t="inlineStr">
        <is>
          <t>29103-65R-ET-P1401-01-01</t>
        </is>
      </c>
      <c r="G48" s="15" t="inlineStr">
        <is>
          <t>13.1</t>
        </is>
      </c>
      <c r="H48" s="15" t="inlineStr">
        <is>
          <t>1.7. 29103-HTP-002/1. EHT Insulation/29103-ET-P1401-1-1.pdf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NO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E/32SQ3374/20.6M/1001/165/1.2M/LS23A/X/N12/XNF</t>
        </is>
      </c>
      <c r="AK48" s="15" t="inlineStr">
        <is>
          <t>20.6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29103-ET-P1401-1-2</t>
        </is>
      </c>
      <c r="C49" s="15" t="inlineStr">
        <is>
          <t>29103-ET-P1401-1</t>
        </is>
      </c>
      <c r="D49" s="15" t="inlineStr">
        <is>
          <t>HTC-05 / CB-05</t>
        </is>
      </c>
      <c r="E49" s="15" t="inlineStr">
        <is>
          <t>29103-P-1401</t>
        </is>
      </c>
      <c r="F49" s="15" t="inlineStr">
        <is>
          <t>29103-65R-ET-P1401-01-01</t>
        </is>
      </c>
      <c r="G49" s="15" t="inlineStr">
        <is>
          <t>13.1</t>
        </is>
      </c>
      <c r="H49" s="15" t="inlineStr">
        <is>
          <t>1.7. 29103-HTP-002/1. EHT Insulation/29103-ET-P1401-1-2.pdf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D/32SQ3374/13.9M/676/112/1.2M/LS23A/X/N12/XMN</t>
        </is>
      </c>
      <c r="AK49" s="15" t="inlineStr">
        <is>
          <t>13.9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29103-ET-P1800-1-1</t>
        </is>
      </c>
      <c r="C50" s="15" t="inlineStr">
        <is>
          <t>29103-ET-P1800-1</t>
        </is>
      </c>
      <c r="D50" s="15" t="inlineStr">
        <is>
          <t>HTC-26 / CB-26</t>
        </is>
      </c>
      <c r="E50" s="15" t="inlineStr">
        <is>
          <t>29103-P-1800</t>
        </is>
      </c>
      <c r="F50" s="15" t="inlineStr">
        <is>
          <t>29103-65R-ET-P1800-01-01</t>
        </is>
      </c>
      <c r="G50" s="15" t="inlineStr">
        <is>
          <t>13.1</t>
        </is>
      </c>
      <c r="H50" s="15" t="inlineStr">
        <is>
          <t>1.7. 29103-HTP-002/1. EHT Insulation/29103-ET-P1800-1-1.pdf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D/32SP4734/58.6M/2332/198/2.1M/LS23A/X/N12</t>
        </is>
      </c>
      <c r="AK50" s="15" t="inlineStr">
        <is>
          <t>58.6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29103-ET-P1800-1-2</t>
        </is>
      </c>
      <c r="C51" s="15" t="inlineStr">
        <is>
          <t>29103-ET-P1800-1</t>
        </is>
      </c>
      <c r="D51" s="15" t="inlineStr">
        <is>
          <t>HTC-26 / CB-26</t>
        </is>
      </c>
      <c r="E51" s="15" t="inlineStr">
        <is>
          <t>29103-P-1800</t>
        </is>
      </c>
      <c r="F51" s="15" t="inlineStr">
        <is>
          <t>29103-65R-ET-P1800-01-01</t>
        </is>
      </c>
      <c r="G51" s="15" t="inlineStr">
        <is>
          <t>13.1</t>
        </is>
      </c>
      <c r="H51" s="15" t="inlineStr">
        <is>
          <t>1.7. 29103-HTP-002/1. EHT Insulation/29103-ET-P1800-1-2.pdf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D/32SP4734/23.3M/927/78.8/2.1M/LS23A/X/N12</t>
        </is>
      </c>
      <c r="AK51" s="15" t="inlineStr">
        <is>
          <t>23.3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29103-ET-P1800-2-1</t>
        </is>
      </c>
      <c r="C52" s="15" t="inlineStr">
        <is>
          <t>29103-ET-P1800-2</t>
        </is>
      </c>
      <c r="D52" s="15" t="inlineStr">
        <is>
          <t>HTC-16 / CB-16</t>
        </is>
      </c>
      <c r="E52" s="15" t="inlineStr">
        <is>
          <t>29103-P-1800</t>
        </is>
      </c>
      <c r="F52" s="15" t="inlineStr">
        <is>
          <t>29103-65R-ET-P1800-02-01</t>
        </is>
      </c>
      <c r="G52" s="15" t="inlineStr">
        <is>
          <t>13.1</t>
        </is>
      </c>
      <c r="H52" s="15" t="inlineStr">
        <is>
          <t>1.7. 29103-HTP-002/1. EHT Insulation/29103-ET-P1800-2-1.pdf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D/32SQ3100/47.1M/2553/207/2.1M/LS23A/X/N12</t>
        </is>
      </c>
      <c r="AK52" s="15" t="inlineStr">
        <is>
          <t>47.1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29103-ET-P1800-2-2</t>
        </is>
      </c>
      <c r="C53" s="15" t="inlineStr">
        <is>
          <t>29103-ET-P1800-2</t>
        </is>
      </c>
      <c r="D53" s="15" t="inlineStr">
        <is>
          <t>HTC-16 / CB-16</t>
        </is>
      </c>
      <c r="E53" s="15" t="inlineStr">
        <is>
          <t>29103-P-1800</t>
        </is>
      </c>
      <c r="F53" s="15" t="inlineStr">
        <is>
          <t>29103-65R-ET-P1800-02-01</t>
        </is>
      </c>
      <c r="G53" s="15" t="inlineStr">
        <is>
          <t>13.1</t>
        </is>
      </c>
      <c r="H53" s="15" t="inlineStr">
        <is>
          <t>1.7. 29103-HTP-002/1. EHT Insulation/29103-ET-P1800-2-2.pdf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D/32SQ3100/15.9M/862/69.9/2.1M/LS23A/X/N12</t>
        </is>
      </c>
      <c r="AK53" s="15" t="inlineStr">
        <is>
          <t>15.9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29103-ET-PE1101-1-1</t>
        </is>
      </c>
      <c r="C54" s="15" t="inlineStr">
        <is>
          <t>29103-ET-PE1101-1</t>
        </is>
      </c>
      <c r="D54" s="15" t="inlineStr">
        <is>
          <t>HTC-25 / CB-25</t>
        </is>
      </c>
      <c r="E54" s="15" t="inlineStr">
        <is>
          <t>29103-PE-1101</t>
        </is>
      </c>
      <c r="F54" s="15" t="inlineStr">
        <is>
          <t>29103-65R-ET-PE1101-01-01</t>
        </is>
      </c>
      <c r="G54" s="15" t="inlineStr">
        <is>
          <t>13.1</t>
        </is>
      </c>
      <c r="H54" s="15" t="inlineStr">
        <is>
          <t>1.7. 29103-HTP-002/1. EHT Insulation/29103-ET-PE1101-1-1.pdf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D/32SF1110/7.8M/269/277/1.2M/LS23A/X/N12</t>
        </is>
      </c>
      <c r="AK54" s="15" t="inlineStr">
        <is>
          <t>7.8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29103-ET-PE1101-1-2</t>
        </is>
      </c>
      <c r="C55" s="15" t="inlineStr">
        <is>
          <t>29103-ET-PE1101-1</t>
        </is>
      </c>
      <c r="D55" s="15" t="inlineStr">
        <is>
          <t>HTC-25 / CB-25</t>
        </is>
      </c>
      <c r="E55" s="15" t="inlineStr">
        <is>
          <t>29103-PE-1101</t>
        </is>
      </c>
      <c r="F55" s="15" t="inlineStr">
        <is>
          <t>29103-65R-ET-PE1101-01-01</t>
        </is>
      </c>
      <c r="G55" s="15" t="inlineStr">
        <is>
          <t>13.1</t>
        </is>
      </c>
      <c r="H55" s="15" t="inlineStr">
        <is>
          <t>1.7. 29103-HTP-002/1. EHT Insulation/29103-ET-PE1101-1-2.pdf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E/32SQ3472/9.5M/505/89.8/1.2M/LS23A/X/N12/XNF</t>
        </is>
      </c>
      <c r="AK55" s="15" t="inlineStr">
        <is>
          <t>9.5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29103-ET-PE1101-1-3</t>
        </is>
      </c>
      <c r="C56" s="15" t="inlineStr">
        <is>
          <t>29103-ET-PE1101-1</t>
        </is>
      </c>
      <c r="D56" s="15" t="inlineStr">
        <is>
          <t>HTC-25 / CB-25</t>
        </is>
      </c>
      <c r="E56" s="15" t="inlineStr">
        <is>
          <t>29103-PE-1101</t>
        </is>
      </c>
      <c r="F56" s="15" t="inlineStr">
        <is>
          <t>29103-65R-ET-PE1101-01-01</t>
        </is>
      </c>
      <c r="G56" s="15" t="inlineStr">
        <is>
          <t>13.1</t>
        </is>
      </c>
      <c r="H56" s="15" t="inlineStr">
        <is>
          <t>1.7. 29103-HTP-002/1. EHT Insulation/29103-ET-PE1101-1-3.pdf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E/32SQ3472/6.6M/351/62.4/1.2M/LS23A/X/N12/XMF</t>
        </is>
      </c>
      <c r="AK56" s="15" t="inlineStr">
        <is>
          <t>6.6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29103-ET-PE1101-1-4</t>
        </is>
      </c>
      <c r="C57" s="15" t="inlineStr">
        <is>
          <t>29103-ET-PE1101-1</t>
        </is>
      </c>
      <c r="D57" s="15" t="inlineStr">
        <is>
          <t>HTC-25 / CB-25</t>
        </is>
      </c>
      <c r="E57" s="15" t="inlineStr">
        <is>
          <t>29103-PE-1101</t>
        </is>
      </c>
      <c r="F57" s="15" t="inlineStr">
        <is>
          <t>29103-65R-ET-PE1101-01-01</t>
        </is>
      </c>
      <c r="G57" s="15" t="inlineStr">
        <is>
          <t>13.1</t>
        </is>
      </c>
      <c r="H57" s="15" t="inlineStr">
        <is>
          <t>1.7. 29103-HTP-002/1. EHT Insulation/29103-ET-PE1101-1-4.pdf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D/32SQ3472/13.2M/702/125/1.2M/LS23A/X/N12/XMN</t>
        </is>
      </c>
      <c r="AK57" s="15" t="inlineStr">
        <is>
          <t>13.2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29103-ET-PE1101-2-1</t>
        </is>
      </c>
      <c r="C58" s="15" t="inlineStr">
        <is>
          <t>29103-ET-PE1101-2</t>
        </is>
      </c>
      <c r="D58" s="15" t="inlineStr">
        <is>
          <t>HTC-24 / CB-24</t>
        </is>
      </c>
      <c r="E58" s="15" t="inlineStr">
        <is>
          <t>29103-PE-1101</t>
        </is>
      </c>
      <c r="F58" s="15" t="inlineStr">
        <is>
          <t>29103-65R-ET-PE1101-02-01</t>
        </is>
      </c>
      <c r="G58" s="15" t="inlineStr">
        <is>
          <t>13.1</t>
        </is>
      </c>
      <c r="H58" s="15" t="inlineStr">
        <is>
          <t>1.7. 29103-HTP-002/1. EHT Insulation/29103-ET-PE1101-2-1.pdf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D/32SQ3200/52.5M/2063/277/1.2M/LS23A/X/N12</t>
        </is>
      </c>
      <c r="AK58" s="15" t="inlineStr">
        <is>
          <t>52.5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29103-ET-PE1101-2-2</t>
        </is>
      </c>
      <c r="C59" s="15" t="inlineStr">
        <is>
          <t>29103-ET-PE1101-2</t>
        </is>
      </c>
      <c r="D59" s="15" t="inlineStr">
        <is>
          <t>HTC-24 / CB-24</t>
        </is>
      </c>
      <c r="E59" s="15" t="inlineStr">
        <is>
          <t>29103-PE-1101</t>
        </is>
      </c>
      <c r="F59" s="15" t="inlineStr">
        <is>
          <t>29103-65R-ET-PE1101-02-01</t>
        </is>
      </c>
      <c r="G59" s="15" t="inlineStr">
        <is>
          <t>13.1</t>
        </is>
      </c>
      <c r="H59" s="15" t="inlineStr">
        <is>
          <t>1.7. 29103-HTP-002/1. EHT Insulation/29103-ET-PE1101-2-2.pdf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D/32SB2114/29.4M/694/277/1.2M/LS23A/X/N12</t>
        </is>
      </c>
      <c r="AK59" s="15" t="inlineStr">
        <is>
          <t>29.4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29103-ET-PE1102-1-1</t>
        </is>
      </c>
      <c r="C60" s="15" t="inlineStr">
        <is>
          <t>29103-ET-PE1102-1</t>
        </is>
      </c>
      <c r="D60" s="15" t="inlineStr">
        <is>
          <t>HTC-23 / CB-23</t>
        </is>
      </c>
      <c r="E60" s="15" t="inlineStr">
        <is>
          <t>29103-PE-1103, 29103-PE-1102</t>
        </is>
      </c>
      <c r="F60" s="15" t="inlineStr">
        <is>
          <t>29103-65R-ET-PE1102-01-01</t>
        </is>
      </c>
      <c r="G60" s="15" t="inlineStr">
        <is>
          <t>13.1</t>
        </is>
      </c>
      <c r="H60" s="15" t="inlineStr">
        <is>
          <t>1.7. 29103-HTP-002/1. EHT Insulation/29103-ET-PE1102-1-1.pdf</t>
        </is>
      </c>
      <c r="I60" s="6" t="str">
        <f>IF($H60&lt;&gt;"","YES","NO")</f>
        <v>YES</v>
      </c>
      <c r="J60" s="6" t="str">
        <f>IF(N($T60)&gt;0,"YES","NO")</f>
        <v>YES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YES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YES</v>
      </c>
      <c r="S60" s="6" t="str">
        <f>IF(COUNTIF(I60:R60,"NO")=0,"YES","NO")</f>
        <v>NO</v>
      </c>
      <c r="T60" s="15" t="n">
        <v>3</v>
      </c>
      <c r="U60" s="15" t="n"/>
      <c r="V60" s="15" t="n"/>
      <c r="W60" s="15" t="n"/>
      <c r="X60" s="15" t="inlineStr">
        <is>
          <t>550 MΩ</t>
        </is>
      </c>
      <c r="Y60" s="15" t="inlineStr">
        <is>
          <t>44.7 Ω</t>
        </is>
      </c>
      <c r="Z60" s="15" t="inlineStr">
        <is>
          <t>2026-08-12</t>
        </is>
      </c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D/32SQ3374/34.9M/1658/277/1.2M/LS23A/X/N12</t>
        </is>
      </c>
      <c r="AK60" s="15" t="inlineStr">
        <is>
          <t>34.9 m m</t>
        </is>
      </c>
      <c r="AL60" s="15" t="inlineStr">
        <is>
          <t>Levy Ostrup</t>
        </is>
      </c>
      <c r="AM60" s="15" t="n"/>
      <c r="AN60" s="15" t="inlineStr">
        <is>
          <t>No core markers for the RTD.</t>
        </is>
      </c>
    </row>
    <row r="61">
      <c r="A61" s="15" t="inlineStr">
        <is>
          <t>EHT Trace</t>
        </is>
      </c>
      <c r="B61" s="15" t="inlineStr">
        <is>
          <t>29103-ET-PE1201-1-1</t>
        </is>
      </c>
      <c r="C61" s="15" t="inlineStr">
        <is>
          <t>29103-ET-PE1201-1</t>
        </is>
      </c>
      <c r="D61" s="15" t="inlineStr">
        <is>
          <t>HTC-22 / CB-22</t>
        </is>
      </c>
      <c r="E61" s="15" t="inlineStr">
        <is>
          <t>29103-PE-1201</t>
        </is>
      </c>
      <c r="F61" s="15" t="inlineStr">
        <is>
          <t>29103-65R-ET-PE1201-01-01</t>
        </is>
      </c>
      <c r="G61" s="15" t="inlineStr">
        <is>
          <t>13.1</t>
        </is>
      </c>
      <c r="H61" s="15" t="inlineStr">
        <is>
          <t>1.7. 29103-HTP-002/1. EHT Insulation/29103-ET-PE1201-1-1.pdf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D/32SF1110/7.5M/280/277/1.2M/LS23A/X/N12</t>
        </is>
      </c>
      <c r="AK61" s="15" t="inlineStr">
        <is>
          <t>7.5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29103-ET-PE1201-1-2</t>
        </is>
      </c>
      <c r="C62" s="15" t="inlineStr">
        <is>
          <t>29103-ET-PE1201-1</t>
        </is>
      </c>
      <c r="D62" s="15" t="inlineStr">
        <is>
          <t>HTC-22 / CB-22</t>
        </is>
      </c>
      <c r="E62" s="15" t="inlineStr">
        <is>
          <t>29103-PE-1201</t>
        </is>
      </c>
      <c r="F62" s="15" t="inlineStr">
        <is>
          <t>29103-65R-ET-PE1201-01-01</t>
        </is>
      </c>
      <c r="G62" s="15" t="inlineStr">
        <is>
          <t>13.1</t>
        </is>
      </c>
      <c r="H62" s="15" t="inlineStr">
        <is>
          <t>1.7. 29103-HTP-002/1. EHT Insulation/29103-ET-PE1201-1-2.pdf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E/32SQ3472/10.8M/522/97.1/1.2M/LS23A/X/N12/XNF</t>
        </is>
      </c>
      <c r="AK62" s="15" t="inlineStr">
        <is>
          <t>10.8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29103-ET-PE1201-1-3</t>
        </is>
      </c>
      <c r="C63" s="15" t="inlineStr">
        <is>
          <t>29103-ET-PE1201-1</t>
        </is>
      </c>
      <c r="D63" s="15" t="inlineStr">
        <is>
          <t>HTC-22 / CB-22</t>
        </is>
      </c>
      <c r="E63" s="15" t="inlineStr">
        <is>
          <t>29103-PE-1201</t>
        </is>
      </c>
      <c r="F63" s="15" t="inlineStr">
        <is>
          <t>29103-65R-ET-PE1201-01-01</t>
        </is>
      </c>
      <c r="G63" s="15" t="inlineStr">
        <is>
          <t>13.1</t>
        </is>
      </c>
      <c r="H63" s="15" t="inlineStr">
        <is>
          <t>1.7. 29103-HTP-002/1. EHT Insulation/29103-ET-PE1201-1-3.pdf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E/32SQ3472/6.6M/319/59.4/1.2M/LS23A/X/N12/XMF</t>
        </is>
      </c>
      <c r="AK63" s="15" t="inlineStr">
        <is>
          <t>6.6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29103-ET-PE1201-1-4</t>
        </is>
      </c>
      <c r="C64" s="15" t="inlineStr">
        <is>
          <t>29103-ET-PE1201-1</t>
        </is>
      </c>
      <c r="D64" s="15" t="inlineStr">
        <is>
          <t>HTC-22 / CB-22</t>
        </is>
      </c>
      <c r="E64" s="15" t="inlineStr">
        <is>
          <t>29103-PE-1201</t>
        </is>
      </c>
      <c r="F64" s="15" t="inlineStr">
        <is>
          <t>29103-65R-ET-PE1201-01-01</t>
        </is>
      </c>
      <c r="G64" s="15" t="inlineStr">
        <is>
          <t>13.1</t>
        </is>
      </c>
      <c r="H64" s="15" t="inlineStr">
        <is>
          <t>1.7. 29103-HTP-002/1. EHT Insulation/29103-ET-PE1201-1-4.pdf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D/32SQ3472/13.4M/647/121/1.2M/LS23A/X/N12/XMN</t>
        </is>
      </c>
      <c r="AK64" s="15" t="inlineStr">
        <is>
          <t>13.4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29103-ET-PE1201-2-1</t>
        </is>
      </c>
      <c r="C65" s="15" t="inlineStr">
        <is>
          <t>29103-ET-PE1201-2</t>
        </is>
      </c>
      <c r="D65" s="15" t="inlineStr">
        <is>
          <t>HTC-20 / CB-20</t>
        </is>
      </c>
      <c r="E65" s="15" t="inlineStr">
        <is>
          <t>29103-PE-1201</t>
        </is>
      </c>
      <c r="F65" s="15" t="inlineStr">
        <is>
          <t>29103-65R-ET-PE1201-02-01</t>
        </is>
      </c>
      <c r="G65" s="15" t="inlineStr">
        <is>
          <t>13.1</t>
        </is>
      </c>
      <c r="H65" s="15" t="inlineStr">
        <is>
          <t>1.7. 29103-HTP-002/1. EHT Insulation/29103-ET-PE1201-2-1.pdf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D/32SQ3200/52.1M/2079/277/1.2M/LS23A/X/N12</t>
        </is>
      </c>
      <c r="AK65" s="15" t="inlineStr">
        <is>
          <t>52.1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29103-ET-PE1201-2-2</t>
        </is>
      </c>
      <c r="C66" s="15" t="inlineStr">
        <is>
          <t>29103-ET-PE1201-2</t>
        </is>
      </c>
      <c r="D66" s="15" t="inlineStr">
        <is>
          <t>HTC-20 / CB-20</t>
        </is>
      </c>
      <c r="E66" s="15" t="inlineStr">
        <is>
          <t>29103-PE-1201</t>
        </is>
      </c>
      <c r="F66" s="15" t="inlineStr">
        <is>
          <t>29103-65R-ET-PE1201-02-01</t>
        </is>
      </c>
      <c r="G66" s="15" t="inlineStr">
        <is>
          <t>13.1</t>
        </is>
      </c>
      <c r="H66" s="15" t="inlineStr">
        <is>
          <t>1.7. 29103-HTP-002/1. EHT Insulation/29103-ET-PE1201-2-2.pdf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D/32SB2114/29.2M/701/277/1.2M/LS23A/X/N12</t>
        </is>
      </c>
      <c r="AK66" s="15" t="inlineStr">
        <is>
          <t>29.2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29103-ET-PE1202-1-1</t>
        </is>
      </c>
      <c r="C67" s="15" t="inlineStr">
        <is>
          <t>29103-ET-PE1202-1</t>
        </is>
      </c>
      <c r="D67" s="15" t="inlineStr">
        <is>
          <t>HTC-18 / CB-18</t>
        </is>
      </c>
      <c r="E67" s="15" t="inlineStr">
        <is>
          <t>29103-PE-1203, 29103-PE-1202</t>
        </is>
      </c>
      <c r="F67" s="15" t="inlineStr">
        <is>
          <t>29103-65R-ET-PE1202-01-01</t>
        </is>
      </c>
      <c r="G67" s="15" t="inlineStr">
        <is>
          <t>13.1</t>
        </is>
      </c>
      <c r="H67" s="15" t="inlineStr">
        <is>
          <t>1.7. 29103-HTP-002/1. EHT Insulation/29103-ET-PE1202-1-1.pdf</t>
        </is>
      </c>
      <c r="I67" s="6" t="str">
        <f>IF($H67&lt;&gt;"","YES","NO")</f>
        <v>YES</v>
      </c>
      <c r="J67" s="6" t="str">
        <f>IF(N($T67)&gt;0,"YES","NO")</f>
        <v>YES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YES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YES</v>
      </c>
      <c r="S67" s="6" t="str">
        <f>IF(COUNTIF(I67:R67,"NO")=0,"YES","NO")</f>
        <v>NO</v>
      </c>
      <c r="T67" s="15" t="n">
        <v>3</v>
      </c>
      <c r="U67" s="15" t="n"/>
      <c r="V67" s="15" t="n"/>
      <c r="W67" s="15" t="n"/>
      <c r="X67" s="15" t="inlineStr">
        <is>
          <t>550 MΩ</t>
        </is>
      </c>
      <c r="Y67" s="15" t="inlineStr">
        <is>
          <t>44.7 Ω</t>
        </is>
      </c>
      <c r="Z67" s="15" t="inlineStr">
        <is>
          <t>2026-08-12</t>
        </is>
      </c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D/32SQ3374/35.4M/1635/277/1.2M/LS23A/X/N12</t>
        </is>
      </c>
      <c r="AK67" s="15" t="inlineStr">
        <is>
          <t>35.4 m m</t>
        </is>
      </c>
      <c r="AL67" s="15" t="inlineStr">
        <is>
          <t>Levy Ostrup</t>
        </is>
      </c>
      <c r="AM67" s="15" t="n"/>
      <c r="AN67" s="15" t="inlineStr">
        <is>
          <t>No stainless steel tags for the JB or RTD.</t>
        </is>
      </c>
    </row>
    <row r="68">
      <c r="A68" s="15" t="inlineStr">
        <is>
          <t>EHT Trace</t>
        </is>
      </c>
      <c r="B68" s="15" t="inlineStr">
        <is>
          <t>29103-ET-PE1301-1-1</t>
        </is>
      </c>
      <c r="C68" s="15" t="inlineStr">
        <is>
          <t>29103-ET-PE1301-1</t>
        </is>
      </c>
      <c r="D68" s="15" t="inlineStr">
        <is>
          <t>HTC-10 / CB-10</t>
        </is>
      </c>
      <c r="E68" s="15" t="inlineStr">
        <is>
          <t>29103-PE-1301</t>
        </is>
      </c>
      <c r="F68" s="15" t="inlineStr">
        <is>
          <t>29103-65R-ET-PE1301-01-01</t>
        </is>
      </c>
      <c r="G68" s="15" t="inlineStr">
        <is>
          <t>13.1</t>
        </is>
      </c>
      <c r="H68" s="15" t="inlineStr">
        <is>
          <t>1.7. 29103-HTP-002/1. EHT Insulation/29103-ET-PE1301-1-1.pdf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D/32SF1110/7.8M/269/277/1.2M/LS23A/X/N12</t>
        </is>
      </c>
      <c r="AK68" s="15" t="inlineStr">
        <is>
          <t>7.8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29103-ET-PE1301-1-2</t>
        </is>
      </c>
      <c r="C69" s="15" t="inlineStr">
        <is>
          <t>29103-ET-PE1301-1</t>
        </is>
      </c>
      <c r="D69" s="15" t="inlineStr">
        <is>
          <t>HTC-10 / CB-10</t>
        </is>
      </c>
      <c r="E69" s="15" t="inlineStr">
        <is>
          <t>29103-PE-1301</t>
        </is>
      </c>
      <c r="F69" s="15" t="inlineStr">
        <is>
          <t>29103-65R-ET-PE1301-01-01</t>
        </is>
      </c>
      <c r="G69" s="15" t="inlineStr">
        <is>
          <t>13.1</t>
        </is>
      </c>
      <c r="H69" s="15" t="inlineStr">
        <is>
          <t>1.7. 29103-HTP-002/1. EHT Insulation/29103-ET-PE1301-1-2.pdf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E/32SQ3472/9.5M/505/89.8/1.2M/LS23A/X/N12/XNF</t>
        </is>
      </c>
      <c r="AK69" s="15" t="inlineStr">
        <is>
          <t>9.5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29103-ET-PE1301-1-3</t>
        </is>
      </c>
      <c r="C70" s="15" t="inlineStr">
        <is>
          <t>29103-ET-PE1301-1</t>
        </is>
      </c>
      <c r="D70" s="15" t="inlineStr">
        <is>
          <t>HTC-10 / CB-10</t>
        </is>
      </c>
      <c r="E70" s="15" t="inlineStr">
        <is>
          <t>29103-PE-1301</t>
        </is>
      </c>
      <c r="F70" s="15" t="inlineStr">
        <is>
          <t>29103-65R-ET-PE1301-01-01</t>
        </is>
      </c>
      <c r="G70" s="15" t="inlineStr">
        <is>
          <t>13.1</t>
        </is>
      </c>
      <c r="H70" s="15" t="inlineStr">
        <is>
          <t>1.7. 29103-HTP-002/1. EHT Insulation/29103-ET-PE1301-1-3.pdf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E/32SQ3472/6.6M/351/62.4/1.2M/LS23A/X/N12/XMF</t>
        </is>
      </c>
      <c r="AK70" s="15" t="inlineStr">
        <is>
          <t>6.6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29103-ET-PE1301-1-4</t>
        </is>
      </c>
      <c r="C71" s="15" t="inlineStr">
        <is>
          <t>29103-ET-PE1301-1</t>
        </is>
      </c>
      <c r="D71" s="15" t="inlineStr">
        <is>
          <t>HTC-10 / CB-10</t>
        </is>
      </c>
      <c r="E71" s="15" t="inlineStr">
        <is>
          <t>29103-PE-1301</t>
        </is>
      </c>
      <c r="F71" s="15" t="inlineStr">
        <is>
          <t>29103-65R-ET-PE1301-01-01</t>
        </is>
      </c>
      <c r="G71" s="15" t="inlineStr">
        <is>
          <t>13.1</t>
        </is>
      </c>
      <c r="H71" s="15" t="inlineStr">
        <is>
          <t>1.7. 29103-HTP-002/1. EHT Insulation/29103-ET-PE1301-1-4.pdf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D/32SQ3472/13.2M/702/125/1.2M/LS23A/X/N12/XMN</t>
        </is>
      </c>
      <c r="AK71" s="15" t="inlineStr">
        <is>
          <t>13.2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29103-ET-PE1301-2-1</t>
        </is>
      </c>
      <c r="C72" s="15" t="inlineStr">
        <is>
          <t>29103-ET-PE1301-2</t>
        </is>
      </c>
      <c r="D72" s="15" t="inlineStr">
        <is>
          <t>HTC-07 / CB-07</t>
        </is>
      </c>
      <c r="E72" s="15" t="inlineStr">
        <is>
          <t>29103-PE-1301</t>
        </is>
      </c>
      <c r="F72" s="15" t="inlineStr">
        <is>
          <t>29103-65R-ET-PE1301-02-01</t>
        </is>
      </c>
      <c r="G72" s="15" t="inlineStr">
        <is>
          <t>13.1</t>
        </is>
      </c>
      <c r="H72" s="15" t="inlineStr">
        <is>
          <t>1.7. 29103-HTP-002/1. EHT Insulation/29103-ET-PE1301-2-1.pdf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D/32SQ3200/52.5M/2063/277/1.2M/LS23A/X/N12</t>
        </is>
      </c>
      <c r="AK72" s="15" t="inlineStr">
        <is>
          <t>52.5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29103-ET-PE1301-2-2</t>
        </is>
      </c>
      <c r="C73" s="15" t="inlineStr">
        <is>
          <t>29103-ET-PE1301-2</t>
        </is>
      </c>
      <c r="D73" s="15" t="inlineStr">
        <is>
          <t>HTC-07 / CB-07</t>
        </is>
      </c>
      <c r="E73" s="15" t="inlineStr">
        <is>
          <t>29103-PE-1301</t>
        </is>
      </c>
      <c r="F73" s="15" t="inlineStr">
        <is>
          <t>29103-65R-ET-PE1301-02-01</t>
        </is>
      </c>
      <c r="G73" s="15" t="inlineStr">
        <is>
          <t>13.1</t>
        </is>
      </c>
      <c r="H73" s="15" t="inlineStr">
        <is>
          <t>1.7. 29103-HTP-002/1. EHT Insulation/29103-ET-PE1301-2-2.pdf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D/32SB2114/29.4M/694/277/1.2M/LS23A/X/N12</t>
        </is>
      </c>
      <c r="AK73" s="15" t="inlineStr">
        <is>
          <t>29.4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29103-ET-PE1302-1-1</t>
        </is>
      </c>
      <c r="C74" s="15" t="inlineStr">
        <is>
          <t>29103-ET-PE1302-1</t>
        </is>
      </c>
      <c r="D74" s="15" t="inlineStr">
        <is>
          <t>HTC-06 / CB-06</t>
        </is>
      </c>
      <c r="E74" s="15" t="inlineStr">
        <is>
          <t>29103-PE-1303, 29103-PE-1302</t>
        </is>
      </c>
      <c r="F74" s="15" t="inlineStr">
        <is>
          <t>29103-65R-ET-PE1302-01-01</t>
        </is>
      </c>
      <c r="G74" s="15" t="inlineStr">
        <is>
          <t>13.1</t>
        </is>
      </c>
      <c r="H74" s="15" t="inlineStr">
        <is>
          <t>1.7. 29103-HTP-002/1. EHT Insulation/29103-ET-PE1302-1-1.pdf</t>
        </is>
      </c>
      <c r="I74" s="6" t="str">
        <f>IF($H74&lt;&gt;"","YES","NO")</f>
        <v>YES</v>
      </c>
      <c r="J74" s="6" t="str">
        <f>IF(N($T74)&gt;0,"YES","NO")</f>
        <v>YES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YES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YES</v>
      </c>
      <c r="S74" s="6" t="str">
        <f>IF(COUNTIF(I74:R74,"NO")=0,"YES","NO")</f>
        <v>NO</v>
      </c>
      <c r="T74" s="15" t="n">
        <v>3</v>
      </c>
      <c r="U74" s="15" t="n"/>
      <c r="V74" s="15" t="n"/>
      <c r="W74" s="15" t="n"/>
      <c r="X74" s="15" t="inlineStr">
        <is>
          <t>550 MΩ</t>
        </is>
      </c>
      <c r="Y74" s="15" t="inlineStr">
        <is>
          <t>44.9 Ω</t>
        </is>
      </c>
      <c r="Z74" s="15" t="inlineStr">
        <is>
          <t>2026-08-12</t>
        </is>
      </c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D/32SQ3374/34.9M/1658/277/1.2M/LS23A/X/N12</t>
        </is>
      </c>
      <c r="AK74" s="15" t="inlineStr">
        <is>
          <t>34.9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29103-ET-PE1401-1-1</t>
        </is>
      </c>
      <c r="C75" s="15" t="inlineStr">
        <is>
          <t>29103-ET-PE1401-1</t>
        </is>
      </c>
      <c r="D75" s="15" t="inlineStr">
        <is>
          <t>HTC-04 / CB-04</t>
        </is>
      </c>
      <c r="E75" s="15" t="inlineStr">
        <is>
          <t>29103-PE-1401</t>
        </is>
      </c>
      <c r="F75" s="15" t="inlineStr">
        <is>
          <t>29103-65R-ET-PE1401-01-01</t>
        </is>
      </c>
      <c r="G75" s="15" t="inlineStr">
        <is>
          <t>13.1</t>
        </is>
      </c>
      <c r="H75" s="15" t="inlineStr">
        <is>
          <t>1.7. 29103-HTP-002/1. EHT Insulation/29103-ET-PE1401-1-1.pdf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D/32SF1110/7.5M/280/277/1.2M/LS23A/X/N12</t>
        </is>
      </c>
      <c r="AK75" s="15" t="inlineStr">
        <is>
          <t>7.5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29103-ET-PE1401-1-2</t>
        </is>
      </c>
      <c r="C76" s="15" t="inlineStr">
        <is>
          <t>29103-ET-PE1401-1</t>
        </is>
      </c>
      <c r="D76" s="15" t="inlineStr">
        <is>
          <t>HTC-04 / CB-04</t>
        </is>
      </c>
      <c r="E76" s="15" t="inlineStr">
        <is>
          <t>29103-PE-1401</t>
        </is>
      </c>
      <c r="F76" s="15" t="inlineStr">
        <is>
          <t>29103-65R-ET-PE1401-01-01</t>
        </is>
      </c>
      <c r="G76" s="15" t="inlineStr">
        <is>
          <t>13.1</t>
        </is>
      </c>
      <c r="H76" s="15" t="inlineStr">
        <is>
          <t>1.7. 29103-HTP-002/1. EHT Insulation/29103-ET-PE1401-1-2.pdf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E/32SQ3472/10.8M/522/97.1/1.2M/LS23A/X/N12/XNF</t>
        </is>
      </c>
      <c r="AK76" s="15" t="inlineStr">
        <is>
          <t>10.8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29103-ET-PE1401-1-3</t>
        </is>
      </c>
      <c r="C77" s="15" t="inlineStr">
        <is>
          <t>29103-ET-PE1401-1</t>
        </is>
      </c>
      <c r="D77" s="15" t="inlineStr">
        <is>
          <t>HTC-04 / CB-04</t>
        </is>
      </c>
      <c r="E77" s="15" t="inlineStr">
        <is>
          <t>29103-PE-1401</t>
        </is>
      </c>
      <c r="F77" s="15" t="inlineStr">
        <is>
          <t>29103-65R-ET-PE1401-01-01</t>
        </is>
      </c>
      <c r="G77" s="15" t="inlineStr">
        <is>
          <t>13.1</t>
        </is>
      </c>
      <c r="H77" s="15" t="inlineStr">
        <is>
          <t>1.7. 29103-HTP-002/1. EHT Insulation/29103-ET-PE1401-1-3.pdf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E/32SQ3472/6.6M/319/59.4/1.2M/LS23A/X/N12/XMF</t>
        </is>
      </c>
      <c r="AK77" s="15" t="inlineStr">
        <is>
          <t>6.6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29103-ET-PE1401-1-4</t>
        </is>
      </c>
      <c r="C78" s="15" t="inlineStr">
        <is>
          <t>29103-ET-PE1401-1</t>
        </is>
      </c>
      <c r="D78" s="15" t="inlineStr">
        <is>
          <t>HTC-04 / CB-04</t>
        </is>
      </c>
      <c r="E78" s="15" t="inlineStr">
        <is>
          <t>29103-PE-1401</t>
        </is>
      </c>
      <c r="F78" s="15" t="inlineStr">
        <is>
          <t>29103-65R-ET-PE1401-01-01</t>
        </is>
      </c>
      <c r="G78" s="15" t="inlineStr">
        <is>
          <t>13.1</t>
        </is>
      </c>
      <c r="H78" s="15" t="inlineStr">
        <is>
          <t>1.7. 29103-HTP-002/1. EHT Insulation/29103-ET-PE1401-1-4.pdf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D/32SQ3472/13.4M/647/121/1.2M/LS23A/X/N12/XMN</t>
        </is>
      </c>
      <c r="AK78" s="15" t="inlineStr">
        <is>
          <t>13.4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29103-ET-PE1802-1-1</t>
        </is>
      </c>
      <c r="C79" s="15" t="inlineStr">
        <is>
          <t>29103-ET-PE1802-1</t>
        </is>
      </c>
      <c r="D79" s="15" t="inlineStr">
        <is>
          <t>HTC-17 / CB-17</t>
        </is>
      </c>
      <c r="E79" s="15" t="inlineStr">
        <is>
          <t>29103-PE-1802</t>
        </is>
      </c>
      <c r="F79" s="15" t="inlineStr">
        <is>
          <t>29103-65R-ET-PE1802-01-01</t>
        </is>
      </c>
      <c r="G79" s="15" t="inlineStr">
        <is>
          <t>13.1</t>
        </is>
      </c>
      <c r="H79" s="15" t="inlineStr">
        <is>
          <t>1.7. 29103-HTP-002/1. EHT Insulation/29103-ET-PE1802-1-1.pdf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E/32SP4734/24.2M/2105/126/2.1-1.2M/LS23A/X/N12/XNF</t>
        </is>
      </c>
      <c r="AK79" s="15" t="inlineStr">
        <is>
          <t>24.2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29103-ET-PE1802-1-2</t>
        </is>
      </c>
      <c r="C80" s="15" t="inlineStr">
        <is>
          <t>29103-ET-PE1802-1</t>
        </is>
      </c>
      <c r="D80" s="15" t="inlineStr">
        <is>
          <t>HTC-17 / CB-17</t>
        </is>
      </c>
      <c r="E80" s="15" t="inlineStr">
        <is>
          <t>29103-PE-1802</t>
        </is>
      </c>
      <c r="F80" s="15" t="inlineStr">
        <is>
          <t>29103-65R-ET-PE1802-01-01</t>
        </is>
      </c>
      <c r="G80" s="15" t="inlineStr">
        <is>
          <t>13.1</t>
        </is>
      </c>
      <c r="H80" s="15" t="inlineStr">
        <is>
          <t>1.7. 29103-HTP-002/1. EHT Insulation/29103-ET-PE1802-1-2.pdf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E/32SP4734/8.9M/774/46.2/1.2M/LS23A/X/N12/XMF</t>
        </is>
      </c>
      <c r="AK80" s="15" t="inlineStr">
        <is>
          <t>8.9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29103-ET-PE1802-1-3</t>
        </is>
      </c>
      <c r="C81" s="15" t="inlineStr">
        <is>
          <t>29103-ET-PE1802-1</t>
        </is>
      </c>
      <c r="D81" s="15" t="inlineStr">
        <is>
          <t>HTC-17 / CB-17</t>
        </is>
      </c>
      <c r="E81" s="15" t="inlineStr">
        <is>
          <t>29103-PE-1802</t>
        </is>
      </c>
      <c r="F81" s="15" t="inlineStr">
        <is>
          <t>29103-65R-ET-PE1802-01-01</t>
        </is>
      </c>
      <c r="G81" s="15" t="inlineStr">
        <is>
          <t>13.1</t>
        </is>
      </c>
      <c r="H81" s="15" t="inlineStr">
        <is>
          <t>1.7. 29103-HTP-002/1. EHT Insulation/29103-ET-PE1802-1-3.pdf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D/32SP4734/20.3M/1766/105/1.2M/LS23A/X/N12/XMN</t>
        </is>
      </c>
      <c r="AK81" s="15" t="inlineStr">
        <is>
          <t>20.3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29103-ET-PE1803-1-1</t>
        </is>
      </c>
      <c r="C82" s="15" t="inlineStr">
        <is>
          <t>29103-ET-PE1803-1</t>
        </is>
      </c>
      <c r="D82" s="15" t="inlineStr">
        <is>
          <t>HTC-21 / CB-21</t>
        </is>
      </c>
      <c r="E82" s="15" t="inlineStr">
        <is>
          <t>29103-PE-1803</t>
        </is>
      </c>
      <c r="F82" s="15" t="inlineStr">
        <is>
          <t>29103-65R-ET-PE1803-01-01</t>
        </is>
      </c>
      <c r="G82" s="15" t="inlineStr">
        <is>
          <t>13.1</t>
        </is>
      </c>
      <c r="H82" s="15" t="inlineStr">
        <is>
          <t>1.7. 29103-HTP-002/1. EHT Insulation/29103-ET-PE1803-1-1.pdf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E/32SQ3100/9.7M/437/38.8/1.2M/LS23A/X/N12/XNF</t>
        </is>
      </c>
      <c r="AK82" s="15" t="inlineStr">
        <is>
          <t>9.7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29103-ET-PE1803-1-2</t>
        </is>
      </c>
      <c r="C83" s="15" t="inlineStr">
        <is>
          <t>29103-ET-PE1803-1</t>
        </is>
      </c>
      <c r="D83" s="15" t="inlineStr">
        <is>
          <t>HTC-21 / CB-21</t>
        </is>
      </c>
      <c r="E83" s="15" t="inlineStr">
        <is>
          <t>29103-PE-1803</t>
        </is>
      </c>
      <c r="F83" s="15" t="inlineStr">
        <is>
          <t>29103-65R-ET-PE1803-01-01</t>
        </is>
      </c>
      <c r="G83" s="15" t="inlineStr">
        <is>
          <t>13.1</t>
        </is>
      </c>
      <c r="H83" s="15" t="inlineStr">
        <is>
          <t>1.7. 29103-HTP-002/1. EHT Insulation/29103-ET-PE1803-1-2.pdf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D/32SQ3100/26.3M/1186/105/1.2M/LS23A/X/N12/XMN</t>
        </is>
      </c>
      <c r="AK83" s="15" t="inlineStr">
        <is>
          <t>26.3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29103-ET-PE1803-1-3</t>
        </is>
      </c>
      <c r="C84" s="15" t="inlineStr">
        <is>
          <t>29103-ET-PE1803-1</t>
        </is>
      </c>
      <c r="D84" s="15" t="inlineStr">
        <is>
          <t>HTC-21 / CB-21</t>
        </is>
      </c>
      <c r="E84" s="15" t="inlineStr">
        <is>
          <t>29103-PE-1803</t>
        </is>
      </c>
      <c r="F84" s="15" t="inlineStr">
        <is>
          <t>29103-65R-ET-PE1803-01-01</t>
        </is>
      </c>
      <c r="G84" s="15" t="inlineStr">
        <is>
          <t>13.1</t>
        </is>
      </c>
      <c r="H84" s="15" t="inlineStr">
        <is>
          <t>1.7. 29103-HTP-002/1. EHT Insulation/29103-ET-PE1803-1-3.pdf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E/32SQ3100/22.1M/997/88.3/1.2M/LS23A/X/N12/XNF</t>
        </is>
      </c>
      <c r="AK84" s="15" t="inlineStr">
        <is>
          <t>22.1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29103-ET-PE1803-1-4</t>
        </is>
      </c>
      <c r="C85" s="15" t="inlineStr">
        <is>
          <t>29103-ET-PE1803-1</t>
        </is>
      </c>
      <c r="D85" s="15" t="inlineStr">
        <is>
          <t>HTC-21 / CB-21</t>
        </is>
      </c>
      <c r="E85" s="15" t="inlineStr">
        <is>
          <t>29103-PE-1803</t>
        </is>
      </c>
      <c r="F85" s="15" t="inlineStr">
        <is>
          <t>29103-65R-ET-PE1803-01-01</t>
        </is>
      </c>
      <c r="G85" s="15" t="inlineStr">
        <is>
          <t>13.1</t>
        </is>
      </c>
      <c r="H85" s="15" t="inlineStr">
        <is>
          <t>1.7. 29103-HTP-002/1. EHT Insulation/29103-ET-PE1803-1-4.pdf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D/32SQ3100/11.2M/505/44.8/1.2M/LS23A/X/N12/XMN</t>
        </is>
      </c>
      <c r="AK85" s="15" t="inlineStr">
        <is>
          <t>11.2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29103-ET-PG1101-1-1</t>
        </is>
      </c>
      <c r="C86" s="15" t="inlineStr">
        <is>
          <t>29103-ET-PG1101-1</t>
        </is>
      </c>
      <c r="D86" s="15" t="inlineStr">
        <is>
          <t>HTC-15 / CB-15</t>
        </is>
      </c>
      <c r="E86" s="15" t="inlineStr">
        <is>
          <t>29103-PG-1101, 29103-PE-1102, 29103-P-1100</t>
        </is>
      </c>
      <c r="F86" s="15" t="inlineStr">
        <is>
          <t>29103-65R-ET-PG1101-01-01</t>
        </is>
      </c>
      <c r="G86" s="15" t="inlineStr">
        <is>
          <t>13.1</t>
        </is>
      </c>
      <c r="H86" s="15" t="inlineStr">
        <is>
          <t>1.7. 29103-HTP-002/1. EHT Insulation/29103-ET-PG1101-1-1.pdf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D/32SP4734/90M/3006/277/1.2M/LS23A/X/N12</t>
        </is>
      </c>
      <c r="AK86" s="15" t="inlineStr">
        <is>
          <t>90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29103-ET-PG1101-2-1</t>
        </is>
      </c>
      <c r="C87" s="15" t="inlineStr">
        <is>
          <t>29103-ET-PG1101-2</t>
        </is>
      </c>
      <c r="D87" s="15" t="inlineStr">
        <is>
          <t>HTC-14 / CB-14</t>
        </is>
      </c>
      <c r="E87" s="15" t="inlineStr">
        <is>
          <t>29103-PG-1101</t>
        </is>
      </c>
      <c r="F87" s="15" t="inlineStr">
        <is>
          <t>29103-65R-ET-PG1101-02-01</t>
        </is>
      </c>
      <c r="G87" s="15" t="inlineStr">
        <is>
          <t>13.1</t>
        </is>
      </c>
      <c r="H87" s="15" t="inlineStr">
        <is>
          <t>1.7. 29103-HTP-002/1. EHT Insulation/29103-ET-PG1101-2-1.pdf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E/32SB3700/9.2M/409/93.3/1.2M/LS23A/X/N12/XNF</t>
        </is>
      </c>
      <c r="AK87" s="15" t="inlineStr">
        <is>
          <t>9.2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29103-ET-PG1101-2-2</t>
        </is>
      </c>
      <c r="C88" s="15" t="inlineStr">
        <is>
          <t>29103-ET-PG1101-2</t>
        </is>
      </c>
      <c r="D88" s="15" t="inlineStr">
        <is>
          <t>HTC-14 / CB-14</t>
        </is>
      </c>
      <c r="E88" s="15" t="inlineStr">
        <is>
          <t>29103-PG-1101</t>
        </is>
      </c>
      <c r="F88" s="15" t="inlineStr">
        <is>
          <t>29103-65R-ET-PG1101-02-01</t>
        </is>
      </c>
      <c r="G88" s="15" t="inlineStr">
        <is>
          <t>13.1</t>
        </is>
      </c>
      <c r="H88" s="15" t="inlineStr">
        <is>
          <t>1.7. 29103-HTP-002/1. EHT Insulation/29103-ET-PG1101-2-2.pdf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E/32SB3700/6.3M/280/63.9/1.2M/LS23A/X/N12/XMF</t>
        </is>
      </c>
      <c r="AK88" s="15" t="inlineStr">
        <is>
          <t>6.3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29103-ET-PG1101-2-3</t>
        </is>
      </c>
      <c r="C89" s="15" t="inlineStr">
        <is>
          <t>29103-ET-PG1101-2</t>
        </is>
      </c>
      <c r="D89" s="15" t="inlineStr">
        <is>
          <t>HTC-14 / CB-14</t>
        </is>
      </c>
      <c r="E89" s="15" t="inlineStr">
        <is>
          <t>29103-PG-1101</t>
        </is>
      </c>
      <c r="F89" s="15" t="inlineStr">
        <is>
          <t>29103-65R-ET-PG1101-02-01</t>
        </is>
      </c>
      <c r="G89" s="15" t="inlineStr">
        <is>
          <t>13.1</t>
        </is>
      </c>
      <c r="H89" s="15" t="inlineStr">
        <is>
          <t>1.7. 29103-HTP-002/1. EHT Insulation/29103-ET-PG1101-2-3.pdf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D/32SB3700/11.8M/525/120/1.2M/LS23A/X/N12/XMN</t>
        </is>
      </c>
      <c r="AK89" s="15" t="inlineStr">
        <is>
          <t>11.8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29103-ET-PG1201-1-1</t>
        </is>
      </c>
      <c r="C90" s="15" t="inlineStr">
        <is>
          <t>29103-ET-PG1201-1</t>
        </is>
      </c>
      <c r="D90" s="15" t="inlineStr">
        <is>
          <t>HTC-12 / CB-12</t>
        </is>
      </c>
      <c r="E90" s="15" t="inlineStr">
        <is>
          <t>29103-PG-1201, 29103-PE-1202, 29103-P-1200</t>
        </is>
      </c>
      <c r="F90" s="15" t="inlineStr">
        <is>
          <t>29103-65R-ET-PG1201-01-01</t>
        </is>
      </c>
      <c r="G90" s="15" t="inlineStr">
        <is>
          <t>13.1</t>
        </is>
      </c>
      <c r="H90" s="15" t="inlineStr">
        <is>
          <t>1.7. 29103-HTP-002/1. EHT Insulation/29103-ET-PG1201-1-1.pdf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NO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D/32SP4734/93.1M/2914/277/1.2M/LS23A/X/N12</t>
        </is>
      </c>
      <c r="AK90" s="15" t="inlineStr">
        <is>
          <t>93.1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29103-ET-PG1201-2-1</t>
        </is>
      </c>
      <c r="C91" s="15" t="inlineStr">
        <is>
          <t>29103-ET-PG1201-2</t>
        </is>
      </c>
      <c r="D91" s="15" t="inlineStr">
        <is>
          <t>HTC-08 / CB-08</t>
        </is>
      </c>
      <c r="E91" s="15" t="inlineStr">
        <is>
          <t>29103-PG-1201</t>
        </is>
      </c>
      <c r="F91" s="15" t="inlineStr">
        <is>
          <t>29103-65R-ET-PG1201-02-01</t>
        </is>
      </c>
      <c r="G91" s="15" t="inlineStr">
        <is>
          <t>13.1</t>
        </is>
      </c>
      <c r="H91" s="15" t="inlineStr">
        <is>
          <t>1.7. 29103-HTP-002/1. EHT Insulation/29103-ET-PG1201-2-1.pdf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NO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E/32SB3700/8.6M/401/89.2/1.2M/LS23A/X/N12/XNF</t>
        </is>
      </c>
      <c r="AK91" s="15" t="inlineStr">
        <is>
          <t>8.6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29103-ET-PG1201-2-2</t>
        </is>
      </c>
      <c r="C92" s="15" t="inlineStr">
        <is>
          <t>29103-ET-PG1201-2</t>
        </is>
      </c>
      <c r="D92" s="15" t="inlineStr">
        <is>
          <t>HTC-08 / CB-08</t>
        </is>
      </c>
      <c r="E92" s="15" t="inlineStr">
        <is>
          <t>29103-PG-1201</t>
        </is>
      </c>
      <c r="F92" s="15" t="inlineStr">
        <is>
          <t>29103-65R-ET-PG1201-02-01</t>
        </is>
      </c>
      <c r="G92" s="15" t="inlineStr">
        <is>
          <t>13.1</t>
        </is>
      </c>
      <c r="H92" s="15" t="inlineStr">
        <is>
          <t>1.7. 29103-HTP-002/1. EHT Insulation/29103-ET-PG1201-2-2.pdf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NO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E/32SB3700/6.3M/294/65.4/1.2M/LS23A/X/N12/XMF</t>
        </is>
      </c>
      <c r="AK92" s="15" t="inlineStr">
        <is>
          <t>6.3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29103-ET-PG1201-2-3</t>
        </is>
      </c>
      <c r="C93" s="15" t="inlineStr">
        <is>
          <t>29103-ET-PG1201-2</t>
        </is>
      </c>
      <c r="D93" s="15" t="inlineStr">
        <is>
          <t>HTC-08 / CB-08</t>
        </is>
      </c>
      <c r="E93" s="15" t="inlineStr">
        <is>
          <t>29103-PG-1201</t>
        </is>
      </c>
      <c r="F93" s="15" t="inlineStr">
        <is>
          <t>29103-65R-ET-PG1201-02-01</t>
        </is>
      </c>
      <c r="G93" s="15" t="inlineStr">
        <is>
          <t>13.1</t>
        </is>
      </c>
      <c r="H93" s="15" t="inlineStr">
        <is>
          <t>1.7. 29103-HTP-002/1. EHT Insulation/29103-ET-PG1201-2-3.pdf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NO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D/32SB3700/11.8M/550/122/1.2M/LS23A/X/N12/XMN</t>
        </is>
      </c>
      <c r="AK93" s="15" t="inlineStr">
        <is>
          <t>11.8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29103-ET-PG1301-1-1</t>
        </is>
      </c>
      <c r="C94" s="15" t="inlineStr">
        <is>
          <t>29103-ET-PG1301-1</t>
        </is>
      </c>
      <c r="D94" s="15" t="inlineStr">
        <is>
          <t>HTC-11 / CB-11</t>
        </is>
      </c>
      <c r="E94" s="15" t="inlineStr">
        <is>
          <t>29103-PG-1301, 29103-PE-1302, 29103-P-1300</t>
        </is>
      </c>
      <c r="F94" s="15" t="inlineStr">
        <is>
          <t>29103-65R-ET-PG1301-01-01</t>
        </is>
      </c>
      <c r="G94" s="15" t="inlineStr">
        <is>
          <t>13.1</t>
        </is>
      </c>
      <c r="H94" s="15" t="inlineStr">
        <is>
          <t>1.7. 29103-HTP-002/1. EHT Insulation/29103-ET-PG1301-1-1.pdf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NO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D/32SP4734/89M/3035/277/1.2M/LS23A/X/N12</t>
        </is>
      </c>
      <c r="AK94" s="15" t="inlineStr">
        <is>
          <t>89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29103-ET-PG1301-2-1</t>
        </is>
      </c>
      <c r="C95" s="15" t="inlineStr">
        <is>
          <t>29103-ET-PG1301-2</t>
        </is>
      </c>
      <c r="D95" s="15" t="inlineStr">
        <is>
          <t>HTC-13 / CB-13</t>
        </is>
      </c>
      <c r="E95" s="15" t="inlineStr">
        <is>
          <t>29103-PG-1301</t>
        </is>
      </c>
      <c r="F95" s="15" t="inlineStr">
        <is>
          <t>29103-65R-ET-PG1301-02-01</t>
        </is>
      </c>
      <c r="G95" s="15" t="inlineStr">
        <is>
          <t>13.1</t>
        </is>
      </c>
      <c r="H95" s="15" t="inlineStr">
        <is>
          <t>1.7. 29103-HTP-002/1. EHT Insulation/29103-ET-PG1301-2-1.pdf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NO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E/32SB3700/9.2M/409/93.3/1.2M/LS23A/X/N12/XNF</t>
        </is>
      </c>
      <c r="AK95" s="15" t="inlineStr">
        <is>
          <t>9.2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29103-ET-PG1301-2-2</t>
        </is>
      </c>
      <c r="C96" s="15" t="inlineStr">
        <is>
          <t>29103-ET-PG1301-2</t>
        </is>
      </c>
      <c r="D96" s="15" t="inlineStr">
        <is>
          <t>HTC-13 / CB-13</t>
        </is>
      </c>
      <c r="E96" s="15" t="inlineStr">
        <is>
          <t>29103-PG-1301</t>
        </is>
      </c>
      <c r="F96" s="15" t="inlineStr">
        <is>
          <t>29103-65R-ET-PG1301-02-01</t>
        </is>
      </c>
      <c r="G96" s="15" t="inlineStr">
        <is>
          <t>13.1</t>
        </is>
      </c>
      <c r="H96" s="15" t="inlineStr">
        <is>
          <t>1.7. 29103-HTP-002/1. EHT Insulation/29103-ET-PG1301-2-2.pdf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E/32SB3700/6.3M/280/63.9/1.2M/LS23A/X/N12/XMF</t>
        </is>
      </c>
      <c r="AK96" s="15" t="inlineStr">
        <is>
          <t>6.3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29103-ET-PG1301-2-3</t>
        </is>
      </c>
      <c r="C97" s="15" t="inlineStr">
        <is>
          <t>29103-ET-PG1301-2</t>
        </is>
      </c>
      <c r="D97" s="15" t="inlineStr">
        <is>
          <t>HTC-13 / CB-13</t>
        </is>
      </c>
      <c r="E97" s="15" t="inlineStr">
        <is>
          <t>29103-PG-1301</t>
        </is>
      </c>
      <c r="F97" s="15" t="inlineStr">
        <is>
          <t>29103-65R-ET-PG1301-02-01</t>
        </is>
      </c>
      <c r="G97" s="15" t="inlineStr">
        <is>
          <t>13.1</t>
        </is>
      </c>
      <c r="H97" s="15" t="inlineStr">
        <is>
          <t>1.7. 29103-HTP-002/1. EHT Insulation/29103-ET-PG1301-2-3.pdf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NO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D/32SB3700/11.8M/525/120/1.2M/LS23A/X/N12/XMN</t>
        </is>
      </c>
      <c r="AK97" s="15" t="inlineStr">
        <is>
          <t>11.8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29103-ET-SC1800-1-1</t>
        </is>
      </c>
      <c r="C98" s="15" t="inlineStr">
        <is>
          <t>29103-ET-SC1800-1</t>
        </is>
      </c>
      <c r="D98" s="15" t="inlineStr">
        <is>
          <t>29103-AMB-002</t>
        </is>
      </c>
      <c r="E98" s="15" t="inlineStr">
        <is>
          <t>29103-ST-1815, 29103-ST-1814, 29103-ST-1813, 29103- ST-1812, 29103-SC-1803, 29103-SC-1800</t>
        </is>
      </c>
      <c r="F98" s="15" t="inlineStr">
        <is>
          <t>29103-65R-ET-SC1800-01-01</t>
        </is>
      </c>
      <c r="G98" s="15" t="inlineStr">
        <is>
          <t>13.1</t>
        </is>
      </c>
      <c r="H98" s="15" t="inlineStr">
        <is>
          <t>1.7. 29103-HTP-002/1. EHT Insulation/29103-ET-SC1800-1-1.pdf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NO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D/32SB3914/39.4M/650/277/1.2M/LS23A/X/N12</t>
        </is>
      </c>
      <c r="AK98" s="15" t="inlineStr">
        <is>
          <t>39.4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29103-ET-ST1001-1-1</t>
        </is>
      </c>
      <c r="C99" s="15" t="inlineStr">
        <is>
          <t>29103-ET-ST1001-1</t>
        </is>
      </c>
      <c r="D99" s="15" t="inlineStr">
        <is>
          <t>29103-AMB-002</t>
        </is>
      </c>
      <c r="E99" s="15" t="inlineStr">
        <is>
          <t>29103-ST-1001</t>
        </is>
      </c>
      <c r="F99" s="15" t="inlineStr">
        <is>
          <t>29103-65R-ET-ST1001-01-01</t>
        </is>
      </c>
      <c r="G99" s="15" t="inlineStr">
        <is>
          <t>13.1</t>
        </is>
      </c>
      <c r="H99" s="15" t="inlineStr">
        <is>
          <t>1.7. 29103-HTP-002/1. EHT Insulation/29103-ET-ST1001-1-1.pdf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NO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E/32SB2114/12.6M/169/89.3/1.2M/LS23A/X/N12/XNF</t>
        </is>
      </c>
      <c r="AK99" s="15" t="inlineStr">
        <is>
          <t>12.6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29103-ET-ST1001-1-2</t>
        </is>
      </c>
      <c r="C100" s="15" t="inlineStr">
        <is>
          <t>29103-ET-ST1001-1</t>
        </is>
      </c>
      <c r="D100" s="15" t="inlineStr">
        <is>
          <t>29103-AMB-002</t>
        </is>
      </c>
      <c r="E100" s="15" t="inlineStr">
        <is>
          <t>29103-ST-1002, 29103-ST-1001</t>
        </is>
      </c>
      <c r="F100" s="15" t="inlineStr">
        <is>
          <t>29103-65R-ET-ST1001-01-01</t>
        </is>
      </c>
      <c r="G100" s="15" t="inlineStr">
        <is>
          <t>13.1</t>
        </is>
      </c>
      <c r="H100" s="15" t="inlineStr">
        <is>
          <t>1.7. 29103-HTP-002/1. EHT Insulation/29103-ET-ST1001-1-2.pdf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NO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D/32SB2114/26.5M/355/188/1.2M/LS23A/X/N12/XMN</t>
        </is>
      </c>
      <c r="AK100" s="15" t="inlineStr">
        <is>
          <t>26.5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29103-ET-ST1103-1-1</t>
        </is>
      </c>
      <c r="C101" s="15" t="inlineStr">
        <is>
          <t>29103-ET-ST1103-1</t>
        </is>
      </c>
      <c r="D101" s="15" t="inlineStr">
        <is>
          <t>29103-AMB-002</t>
        </is>
      </c>
      <c r="E101" s="15" t="inlineStr">
        <is>
          <t>29103-ST-1104, 29103-ST-1103</t>
        </is>
      </c>
      <c r="F101" s="15" t="inlineStr">
        <is>
          <t>29103-65R-ET-ST1103-01-01</t>
        </is>
      </c>
      <c r="G101" s="15" t="inlineStr">
        <is>
          <t>13.1</t>
        </is>
      </c>
      <c r="H101" s="15" t="inlineStr">
        <is>
          <t>1.7. 29103-HTP-002/1. EHT Insulation/29103-ET-ST1103-1-1.pdf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E/32SB2114/17.5M/282/136/1.2M/LS23A/X/N12/XNF</t>
        </is>
      </c>
      <c r="AK101" s="15" t="inlineStr">
        <is>
          <t>17.5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29103-ET-ST1103-1-2</t>
        </is>
      </c>
      <c r="C102" s="15" t="inlineStr">
        <is>
          <t>29103-ET-ST1103-1</t>
        </is>
      </c>
      <c r="D102" s="15" t="inlineStr">
        <is>
          <t>29103-AMB-002</t>
        </is>
      </c>
      <c r="E102" s="15" t="inlineStr">
        <is>
          <t>29103-ST-1104</t>
        </is>
      </c>
      <c r="F102" s="15" t="inlineStr">
        <is>
          <t>29103-65R-ET-ST1103-01-01</t>
        </is>
      </c>
      <c r="G102" s="15" t="inlineStr">
        <is>
          <t>13.1</t>
        </is>
      </c>
      <c r="H102" s="15" t="inlineStr">
        <is>
          <t>1.7. 29103-HTP-002/1. EHT Insulation/29103-ET-ST1103-1-2.pdf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D/32SB2114/18.2M/293/141/1.2M/LS23A/X/N12/XMN</t>
        </is>
      </c>
      <c r="AK102" s="15" t="inlineStr">
        <is>
          <t>18.2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29103-ET-ST1103-1-3</t>
        </is>
      </c>
      <c r="C103" s="15" t="inlineStr">
        <is>
          <t>29103-ET-ST1103-1</t>
        </is>
      </c>
      <c r="D103" s="15" t="inlineStr">
        <is>
          <t>29103-AMB-002</t>
        </is>
      </c>
      <c r="E103" s="15" t="inlineStr">
        <is>
          <t>29103-ST-1103</t>
        </is>
      </c>
      <c r="F103" s="15" t="inlineStr">
        <is>
          <t>29103-65R-ET-ST1103-01-01</t>
        </is>
      </c>
      <c r="G103" s="15" t="inlineStr">
        <is>
          <t>13.1</t>
        </is>
      </c>
      <c r="H103" s="15" t="inlineStr">
        <is>
          <t>1.7. 29103-HTP-002/1. EHT Insulation/29103-ET-ST1103-1-3.pdf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YES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inlineStr">
        <is>
          <t>&gt;550 MΩ</t>
        </is>
      </c>
      <c r="V103" s="15" t="inlineStr">
        <is>
          <t>55.2 Ω</t>
        </is>
      </c>
      <c r="W103" s="15" t="inlineStr">
        <is>
          <t>2026-05-18</t>
        </is>
      </c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E/32SA2170/9.5M/162/93/1.2M/LS23A/X/N12/XNF</t>
        </is>
      </c>
      <c r="AK103" s="15" t="inlineStr">
        <is>
          <t>9.5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29103-ET-ST1103-1-4</t>
        </is>
      </c>
      <c r="C104" s="15" t="inlineStr">
        <is>
          <t>29103-ET-ST1103-1</t>
        </is>
      </c>
      <c r="D104" s="15" t="inlineStr">
        <is>
          <t>29103-AMB-002</t>
        </is>
      </c>
      <c r="E104" s="15" t="inlineStr">
        <is>
          <t>29103-ST-1103</t>
        </is>
      </c>
      <c r="F104" s="15" t="inlineStr">
        <is>
          <t>29103-65R-ET-ST1103-01-01</t>
        </is>
      </c>
      <c r="G104" s="15" t="inlineStr">
        <is>
          <t>13.1</t>
        </is>
      </c>
      <c r="H104" s="15" t="inlineStr">
        <is>
          <t>1.7. 29103-HTP-002/1. EHT Insulation/29103-ET-ST1103-1-4.pdf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YES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inlineStr">
        <is>
          <t>&gt;550 MΩ</t>
        </is>
      </c>
      <c r="V104" s="15" t="inlineStr">
        <is>
          <t>33.5 Ω</t>
        </is>
      </c>
      <c r="W104" s="15" t="inlineStr">
        <is>
          <t>2026-05-18</t>
        </is>
      </c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E/32SA2170/5.7M/97/55.8/1.2M/LS23A/X/N12/XMF</t>
        </is>
      </c>
      <c r="AK104" s="15" t="inlineStr">
        <is>
          <t>5.7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29103-ET-ST1103-1-5</t>
        </is>
      </c>
      <c r="C105" s="15" t="inlineStr">
        <is>
          <t>29103-ET-ST1103-1</t>
        </is>
      </c>
      <c r="D105" s="15" t="inlineStr">
        <is>
          <t>29103-AMB-002</t>
        </is>
      </c>
      <c r="E105" s="15" t="inlineStr">
        <is>
          <t>29103-ST-1103</t>
        </is>
      </c>
      <c r="F105" s="15" t="inlineStr">
        <is>
          <t>29103-65R-ET-ST1103-01-01</t>
        </is>
      </c>
      <c r="G105" s="15" t="inlineStr">
        <is>
          <t>13.1</t>
        </is>
      </c>
      <c r="H105" s="15" t="inlineStr">
        <is>
          <t>1.7. 29103-HTP-002/1. EHT Insulation/29103-ET-ST1103-1-5.pdf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75.6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D/32SA2170/13.1M/224/128/1.2M/LS23A/X/N12/XMN</t>
        </is>
      </c>
      <c r="AK105" s="15" t="inlineStr">
        <is>
          <t>13.1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29103-ET-ST1203-1-1</t>
        </is>
      </c>
      <c r="C106" s="15" t="inlineStr">
        <is>
          <t>29103-ET-ST1203-1</t>
        </is>
      </c>
      <c r="D106" s="15" t="inlineStr">
        <is>
          <t>29103-AMB-002</t>
        </is>
      </c>
      <c r="E106" s="15" t="inlineStr">
        <is>
          <t>29103-ST-1204, 29103-ST-1203</t>
        </is>
      </c>
      <c r="F106" s="15" t="inlineStr">
        <is>
          <t>29103-65R-ET-ST1203-01-01</t>
        </is>
      </c>
      <c r="G106" s="15" t="inlineStr">
        <is>
          <t>13.1</t>
        </is>
      </c>
      <c r="H106" s="15" t="inlineStr">
        <is>
          <t>1.7. 29103-HTP-002/1. EHT Insulation/29103-ET-ST1203-1-1.pdf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NO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E/32SB2114/17.3M/282/135/1.2M/LS23A/X/N12/XNF</t>
        </is>
      </c>
      <c r="AK106" s="15" t="inlineStr">
        <is>
          <t>17.3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29103-ET-ST1203-1-2</t>
        </is>
      </c>
      <c r="C107" s="15" t="inlineStr">
        <is>
          <t>29103-ET-ST1203-1</t>
        </is>
      </c>
      <c r="D107" s="15" t="inlineStr">
        <is>
          <t>29103-AMB-002</t>
        </is>
      </c>
      <c r="E107" s="15" t="inlineStr">
        <is>
          <t>29103-ST-1204</t>
        </is>
      </c>
      <c r="F107" s="15" t="inlineStr">
        <is>
          <t>29103-65R-ET-ST1203-01-01</t>
        </is>
      </c>
      <c r="G107" s="15" t="inlineStr">
        <is>
          <t>13.1</t>
        </is>
      </c>
      <c r="H107" s="15" t="inlineStr">
        <is>
          <t>1.7. 29103-HTP-002/1. EHT Insulation/29103-ET-ST1203-1-2.pdf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NO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D/32SB2114/18.2M/297/142/1.2M/LS23A/X/N12/XMN</t>
        </is>
      </c>
      <c r="AK107" s="15" t="inlineStr">
        <is>
          <t>18.2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29103-ET-ST1203-1-3</t>
        </is>
      </c>
      <c r="C108" s="15" t="inlineStr">
        <is>
          <t>29103-ET-ST1203-1</t>
        </is>
      </c>
      <c r="D108" s="15" t="inlineStr">
        <is>
          <t>29103-AMB-002</t>
        </is>
      </c>
      <c r="E108" s="15" t="inlineStr">
        <is>
          <t>29103-ST-1203</t>
        </is>
      </c>
      <c r="F108" s="15" t="inlineStr">
        <is>
          <t>29103-65R-ET-ST1203-01-01</t>
        </is>
      </c>
      <c r="G108" s="15" t="inlineStr">
        <is>
          <t>13.1</t>
        </is>
      </c>
      <c r="H108" s="15" t="inlineStr">
        <is>
          <t>1.7. 29103-HTP-002/1. EHT Insulation/29103-ET-ST1203-1-3.pdf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YES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inlineStr">
        <is>
          <t>&gt;550 MΩ</t>
        </is>
      </c>
      <c r="V108" s="15" t="inlineStr">
        <is>
          <t>51.6 Ω</t>
        </is>
      </c>
      <c r="W108" s="15" t="inlineStr">
        <is>
          <t>2026-05-18</t>
        </is>
      </c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E/32SA2200/7.6M/127/79.7/1.2M/LS23A/X/N12/XNF</t>
        </is>
      </c>
      <c r="AK108" s="15" t="inlineStr">
        <is>
          <t>7.6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29103-ET-ST1203-1-4</t>
        </is>
      </c>
      <c r="C109" s="15" t="inlineStr">
        <is>
          <t>29103-ET-ST1203-1</t>
        </is>
      </c>
      <c r="D109" s="15" t="inlineStr">
        <is>
          <t>29103-AMB-002</t>
        </is>
      </c>
      <c r="E109" s="15" t="inlineStr">
        <is>
          <t>29103-ST-1203</t>
        </is>
      </c>
      <c r="F109" s="15" t="inlineStr">
        <is>
          <t>29103-65R-ET-ST1203-01-01</t>
        </is>
      </c>
      <c r="G109" s="15" t="inlineStr">
        <is>
          <t>13.1</t>
        </is>
      </c>
      <c r="H109" s="15" t="inlineStr">
        <is>
          <t>1.7. 29103-HTP-002/1. EHT Insulation/29103-ET-ST1203-1-4.pdf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YES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inlineStr">
        <is>
          <t>&gt;550 MΩ</t>
        </is>
      </c>
      <c r="V109" s="15" t="inlineStr">
        <is>
          <t>38.6 Ω</t>
        </is>
      </c>
      <c r="W109" s="15" t="inlineStr">
        <is>
          <t>2026-05-18</t>
        </is>
      </c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E/32SA2200/5.7M/95/59.8/1.2M/LS23A/X/N12/XMF</t>
        </is>
      </c>
      <c r="AK109" s="15" t="inlineStr">
        <is>
          <t>5.7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29103-ET-ST1203-1-5</t>
        </is>
      </c>
      <c r="C110" s="15" t="inlineStr">
        <is>
          <t>29103-ET-ST1203-1</t>
        </is>
      </c>
      <c r="D110" s="15" t="inlineStr">
        <is>
          <t>29103-AMB-002</t>
        </is>
      </c>
      <c r="E110" s="15" t="inlineStr">
        <is>
          <t>29103-ST-1203</t>
        </is>
      </c>
      <c r="F110" s="15" t="inlineStr">
        <is>
          <t>29103-65R-ET-ST1203-01-01</t>
        </is>
      </c>
      <c r="G110" s="15" t="inlineStr">
        <is>
          <t>13.1</t>
        </is>
      </c>
      <c r="H110" s="15" t="inlineStr">
        <is>
          <t>1.7. 29103-HTP-002/1. EHT Insulation/29103-ET-ST1203-1-5.pdf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88.7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D/32SA2200/13.1M/219/137/1.2M/LS23A/X/N12/XMN</t>
        </is>
      </c>
      <c r="AK110" s="15" t="inlineStr">
        <is>
          <t>13.1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Power Cable</t>
        </is>
      </c>
      <c r="B111" s="15" t="inlineStr">
        <is>
          <t>29103-AMB-001</t>
        </is>
      </c>
      <c r="C111" s="15" t="inlineStr"/>
      <c r="D111" s="15" t="inlineStr"/>
      <c r="E111" s="15" t="inlineStr">
        <is>
          <t>29103-HTP-002</t>
        </is>
      </c>
      <c r="F111" s="15" t="inlineStr"/>
      <c r="G111" s="15" t="inlineStr">
        <is>
          <t>113</t>
        </is>
      </c>
      <c r="H111" s="15" t="inlineStr">
        <is>
          <t>1.7. 29103-HTP-002/3. Power Cables/29103-AMB-001.pdf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N/A</v>
      </c>
      <c r="L111" s="6" t="str">
        <f>IF(OR($A111="EHT Trace"),IF(AND($X111&lt;&gt;"",$Y111&lt;&gt;""),"YES","NO"),"N/A")</f>
        <v>N/A</v>
      </c>
      <c r="M111" s="6" t="str">
        <f>IF(OR($A111="EHT Trace"),IF(AND($AA111&lt;&gt;"",$AB111&lt;&gt;""),"YES","NO"),"N/A")</f>
        <v>N/A</v>
      </c>
      <c r="N111" s="6" t="str">
        <f>IF(OR($A111="Power Cable"),IF(AND($AD111&lt;&gt;""),"YES","NO"),"N/A")</f>
        <v>NO</v>
      </c>
      <c r="O111" s="6" t="str">
        <f>IF(OR($A111="Power Cable",$A111="RTD Cable",$A111="Fieldbus Cable"),IF(AND($AE111&lt;&gt;""),"YES","NO"),"N/A")</f>
        <v>NO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Teck</t>
        </is>
      </c>
      <c r="AK111" s="15" t="inlineStr">
        <is>
          <t>8AWG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Power Cable</t>
        </is>
      </c>
      <c r="B112" s="15" t="inlineStr">
        <is>
          <t>29103-AMB-002</t>
        </is>
      </c>
      <c r="C112" s="15" t="inlineStr"/>
      <c r="D112" s="15" t="inlineStr"/>
      <c r="E112" s="15" t="inlineStr">
        <is>
          <t>29103-HTP-002</t>
        </is>
      </c>
      <c r="F112" s="15" t="inlineStr"/>
      <c r="G112" s="15" t="inlineStr">
        <is>
          <t>113</t>
        </is>
      </c>
      <c r="H112" s="15" t="inlineStr">
        <is>
          <t>1.7. 29103-HTP-002/3. Power Cables/29103-AMB-002.pdf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N/A</v>
      </c>
      <c r="L112" s="6" t="str">
        <f>IF(OR($A112="EHT Trace"),IF(AND($X112&lt;&gt;"",$Y112&lt;&gt;""),"YES","NO"),"N/A")</f>
        <v>N/A</v>
      </c>
      <c r="M112" s="6" t="str">
        <f>IF(OR($A112="EHT Trace"),IF(AND($AA112&lt;&gt;"",$AB112&lt;&gt;""),"YES","NO"),"N/A")</f>
        <v>N/A</v>
      </c>
      <c r="N112" s="6" t="str">
        <f>IF(OR($A112="Power Cable"),IF(AND($AD112&lt;&gt;""),"YES","NO"),"N/A")</f>
        <v>NO</v>
      </c>
      <c r="O112" s="6" t="str">
        <f>IF(OR($A112="Power Cable",$A112="RTD Cable",$A112="Fieldbus Cable"),IF(AND($AE112&lt;&gt;""),"YES","NO"),"N/A")</f>
        <v>NO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Teck</t>
        </is>
      </c>
      <c r="AK112" s="15" t="inlineStr">
        <is>
          <t>8AWG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Power Cable</t>
        </is>
      </c>
      <c r="B113" s="15" t="inlineStr">
        <is>
          <t>29103-AMB-003</t>
        </is>
      </c>
      <c r="C113" s="15" t="inlineStr"/>
      <c r="D113" s="15" t="inlineStr"/>
      <c r="E113" s="15" t="inlineStr">
        <is>
          <t>29103-HTP-002</t>
        </is>
      </c>
      <c r="F113" s="15" t="inlineStr"/>
      <c r="G113" s="15" t="inlineStr">
        <is>
          <t>113</t>
        </is>
      </c>
      <c r="H113" s="15" t="inlineStr">
        <is>
          <t>1.7. 29103-HTP-002/3. Power Cables/29103-AMB-003.pdf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NO</v>
      </c>
      <c r="O113" s="6" t="str">
        <f>IF(OR($A113="Power Cable",$A113="RTD Cable",$A113="Fieldbus Cable"),IF(AND($AE113&lt;&gt;""),"YES","NO"),"N/A")</f>
        <v>NO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Teck</t>
        </is>
      </c>
      <c r="AK113" s="15" t="inlineStr">
        <is>
          <t>8AWG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Power Cable</t>
        </is>
      </c>
      <c r="B114" s="15" t="inlineStr">
        <is>
          <t>29103-ET-FG1101-1-PWK-1</t>
        </is>
      </c>
      <c r="C114" s="15" t="inlineStr">
        <is>
          <t>29103-ET-FG1101-1</t>
        </is>
      </c>
      <c r="D114" s="15" t="inlineStr"/>
      <c r="E114" s="15" t="inlineStr">
        <is>
          <t>29103-HTP-002</t>
        </is>
      </c>
      <c r="F114" s="15" t="inlineStr"/>
      <c r="G114" s="15" t="inlineStr">
        <is>
          <t>113</t>
        </is>
      </c>
      <c r="H114" s="15" t="inlineStr">
        <is>
          <t>1.7. 29103-HTP-002/3. Power Cables/29103-ET-FG1101-1-PWK-1.pdf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NO</v>
      </c>
      <c r="O114" s="6" t="str">
        <f>IF(OR($A114="Power Cable",$A114="RTD Cable",$A114="Fieldbus Cable"),IF(AND($AE114&lt;&gt;""),"YES","NO"),"N/A")</f>
        <v>NO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Teck</t>
        </is>
      </c>
      <c r="AK114" s="15" t="inlineStr">
        <is>
          <t>10AWG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Power Cable</t>
        </is>
      </c>
      <c r="B115" s="15" t="inlineStr">
        <is>
          <t>29103-ET-FG1103-1-PWK-1</t>
        </is>
      </c>
      <c r="C115" s="15" t="inlineStr">
        <is>
          <t>29103-ET-FG1103-1</t>
        </is>
      </c>
      <c r="D115" s="15" t="inlineStr"/>
      <c r="E115" s="15" t="inlineStr">
        <is>
          <t>29103-HTP-002</t>
        </is>
      </c>
      <c r="F115" s="15" t="inlineStr"/>
      <c r="G115" s="15" t="inlineStr">
        <is>
          <t>113</t>
        </is>
      </c>
      <c r="H115" s="15" t="inlineStr">
        <is>
          <t>1.7. 29103-HTP-002/3. Power Cables/29103-ET-FG1103-1-PWK-1.pdf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NO</v>
      </c>
      <c r="O115" s="6" t="str">
        <f>IF(OR($A115="Power Cable",$A115="RTD Cable",$A115="Fieldbus Cable"),IF(AND($AE115&lt;&gt;""),"YES","NO"),"N/A")</f>
        <v>NO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Teck</t>
        </is>
      </c>
      <c r="AK115" s="15" t="inlineStr">
        <is>
          <t>10AWG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Power Cable</t>
        </is>
      </c>
      <c r="B116" s="15" t="inlineStr">
        <is>
          <t>29103-ET-FG1105-1-PWK-1</t>
        </is>
      </c>
      <c r="C116" s="15" t="inlineStr">
        <is>
          <t>29103-ET-FG1105-1</t>
        </is>
      </c>
      <c r="D116" s="15" t="inlineStr"/>
      <c r="E116" s="15" t="inlineStr">
        <is>
          <t>29103-HTP-002</t>
        </is>
      </c>
      <c r="F116" s="15" t="inlineStr"/>
      <c r="G116" s="15" t="inlineStr">
        <is>
          <t>113</t>
        </is>
      </c>
      <c r="H116" s="15" t="inlineStr">
        <is>
          <t>1.7. 29103-HTP-002/3. Power Cables/29103-ET-FG1105-1-PWK-1.pdf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NO</v>
      </c>
      <c r="O116" s="6" t="str">
        <f>IF(OR($A116="Power Cable",$A116="RTD Cable",$A116="Fieldbus Cable"),IF(AND($AE116&lt;&gt;""),"YES","NO"),"N/A")</f>
        <v>NO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Teck</t>
        </is>
      </c>
      <c r="AK116" s="15" t="inlineStr">
        <is>
          <t>10AWG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Power Cable</t>
        </is>
      </c>
      <c r="B117" s="15" t="inlineStr">
        <is>
          <t>29103-ET-FG1201-1-PWK-1</t>
        </is>
      </c>
      <c r="C117" s="15" t="inlineStr">
        <is>
          <t>29103-ET-FG1201-1</t>
        </is>
      </c>
      <c r="D117" s="15" t="inlineStr"/>
      <c r="E117" s="15" t="inlineStr">
        <is>
          <t>29103-HTP-002</t>
        </is>
      </c>
      <c r="F117" s="15" t="inlineStr"/>
      <c r="G117" s="15" t="inlineStr">
        <is>
          <t>113</t>
        </is>
      </c>
      <c r="H117" s="15" t="inlineStr">
        <is>
          <t>1.7. 29103-HTP-002/3. Power Cables/29103-ET-FG1201-1-PWK-1.pdf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NO</v>
      </c>
      <c r="O117" s="6" t="str">
        <f>IF(OR($A117="Power Cable",$A117="RTD Cable",$A117="Fieldbus Cable"),IF(AND($AE117&lt;&gt;""),"YES","NO"),"N/A")</f>
        <v>NO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Teck</t>
        </is>
      </c>
      <c r="AK117" s="15" t="inlineStr">
        <is>
          <t>10AWG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Power Cable</t>
        </is>
      </c>
      <c r="B118" s="15" t="inlineStr">
        <is>
          <t>29103-ET-FG1203-1-PWK-1</t>
        </is>
      </c>
      <c r="C118" s="15" t="inlineStr">
        <is>
          <t>29103-ET-FG1203-1</t>
        </is>
      </c>
      <c r="D118" s="15" t="inlineStr"/>
      <c r="E118" s="15" t="inlineStr">
        <is>
          <t>29103-HTP-002</t>
        </is>
      </c>
      <c r="F118" s="15" t="inlineStr"/>
      <c r="G118" s="15" t="inlineStr">
        <is>
          <t>113</t>
        </is>
      </c>
      <c r="H118" s="15" t="inlineStr">
        <is>
          <t>1.7. 29103-HTP-002/3. Power Cables/29103-ET-FG1203-1-PWK-1.pdf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NO</v>
      </c>
      <c r="O118" s="6" t="str">
        <f>IF(OR($A118="Power Cable",$A118="RTD Cable",$A118="Fieldbus Cable"),IF(AND($AE118&lt;&gt;""),"YES","NO"),"N/A")</f>
        <v>NO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Teck</t>
        </is>
      </c>
      <c r="AK118" s="15" t="inlineStr">
        <is>
          <t>10AWG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Power Cable</t>
        </is>
      </c>
      <c r="B119" s="15" t="inlineStr">
        <is>
          <t>29103-ET-FG1301-1-PWK-1</t>
        </is>
      </c>
      <c r="C119" s="15" t="inlineStr">
        <is>
          <t>29103-ET-FG1301-1</t>
        </is>
      </c>
      <c r="D119" s="15" t="inlineStr"/>
      <c r="E119" s="15" t="inlineStr">
        <is>
          <t>29103-HTP-002</t>
        </is>
      </c>
      <c r="F119" s="15" t="inlineStr"/>
      <c r="G119" s="15" t="inlineStr">
        <is>
          <t>113</t>
        </is>
      </c>
      <c r="H119" s="15" t="inlineStr">
        <is>
          <t>1.7. 29103-HTP-002/3. Power Cables/29103-ET-FG1301-1-PWK-1.pdf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NO</v>
      </c>
      <c r="O119" s="6" t="str">
        <f>IF(OR($A119="Power Cable",$A119="RTD Cable",$A119="Fieldbus Cable"),IF(AND($AE119&lt;&gt;""),"YES","NO"),"N/A")</f>
        <v>NO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Teck</t>
        </is>
      </c>
      <c r="AK119" s="15" t="inlineStr">
        <is>
          <t>10AWG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Power Cable</t>
        </is>
      </c>
      <c r="B120" s="15" t="inlineStr">
        <is>
          <t>29103-ET-FG1303-1-PWK-1</t>
        </is>
      </c>
      <c r="C120" s="15" t="inlineStr">
        <is>
          <t>29103-ET-FG1303-1</t>
        </is>
      </c>
      <c r="D120" s="15" t="inlineStr"/>
      <c r="E120" s="15" t="inlineStr">
        <is>
          <t>29103-HTP-002</t>
        </is>
      </c>
      <c r="F120" s="15" t="inlineStr"/>
      <c r="G120" s="15" t="inlineStr">
        <is>
          <t>113</t>
        </is>
      </c>
      <c r="H120" s="15" t="inlineStr">
        <is>
          <t>1.7. 29103-HTP-002/3. Power Cables/29103-ET-FG1303-1-PWK-1.pdf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NO</v>
      </c>
      <c r="O120" s="6" t="str">
        <f>IF(OR($A120="Power Cable",$A120="RTD Cable",$A120="Fieldbus Cable"),IF(AND($AE120&lt;&gt;""),"YES","NO"),"N/A")</f>
        <v>NO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Teck</t>
        </is>
      </c>
      <c r="AK120" s="15" t="inlineStr">
        <is>
          <t>10AWG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29103-ET-FG1401-1-PWK-1</t>
        </is>
      </c>
      <c r="C121" s="15" t="inlineStr">
        <is>
          <t>29103-ET-FG1401-1</t>
        </is>
      </c>
      <c r="D121" s="15" t="inlineStr"/>
      <c r="E121" s="15" t="inlineStr">
        <is>
          <t>29103-HTP-002</t>
        </is>
      </c>
      <c r="F121" s="15" t="inlineStr"/>
      <c r="G121" s="15" t="inlineStr">
        <is>
          <t>113</t>
        </is>
      </c>
      <c r="H121" s="15" t="inlineStr">
        <is>
          <t>1.7. 29103-HTP-002/3. Power Cables/29103-ET-FG1401-1-PWK-1.pdf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10AWG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29103-ET-FG1403-1-PWK-1</t>
        </is>
      </c>
      <c r="C122" s="15" t="inlineStr">
        <is>
          <t>29103-ET-FG1403-1</t>
        </is>
      </c>
      <c r="D122" s="15" t="inlineStr"/>
      <c r="E122" s="15" t="inlineStr">
        <is>
          <t>29103-HTP-002</t>
        </is>
      </c>
      <c r="F122" s="15" t="inlineStr"/>
      <c r="G122" s="15" t="inlineStr">
        <is>
          <t>113</t>
        </is>
      </c>
      <c r="H122" s="15" t="inlineStr">
        <is>
          <t>1.7. 29103-HTP-002/3. Power Cables/29103-ET-FG1403-1-PWK-1.pdf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10AWG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29103-ET-P1101-1-PWK-1</t>
        </is>
      </c>
      <c r="C123" s="15" t="inlineStr">
        <is>
          <t>29103-ET-P1101-1</t>
        </is>
      </c>
      <c r="D123" s="15" t="inlineStr"/>
      <c r="E123" s="15" t="inlineStr">
        <is>
          <t>29103-HTP-002</t>
        </is>
      </c>
      <c r="F123" s="15" t="inlineStr"/>
      <c r="G123" s="15" t="inlineStr">
        <is>
          <t>113</t>
        </is>
      </c>
      <c r="H123" s="15" t="inlineStr">
        <is>
          <t>10-01_GIM_GONCHO/Small Power Cables ITR 100/29103-ET-P1101-1-PWK-1.pdf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YES</v>
      </c>
      <c r="O123" s="6" t="str">
        <f>IF(OR($A123="Power Cable",$A123="RTD Cable",$A123="Fieldbus Cable"),IF(AND($AE123&lt;&gt;""),"YES","NO"),"N/A")</f>
        <v>YES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YES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inlineStr">
        <is>
          <t>&gt;550 MΩ / &gt;550 MΩ / &gt;550 MΩ</t>
        </is>
      </c>
      <c r="AE123" s="15" t="inlineStr">
        <is>
          <t>0.4 Ω / OL / OL</t>
        </is>
      </c>
      <c r="AF123" s="15" t="inlineStr">
        <is>
          <t>Fluke 1587 FC 72300003</t>
        </is>
      </c>
      <c r="AG123" s="15" t="n"/>
      <c r="AH123" s="15" t="n"/>
      <c r="AI123" s="15" t="n"/>
      <c r="AJ123" s="15" t="inlineStr">
        <is>
          <t>TECK</t>
        </is>
      </c>
      <c r="AK123" s="15" t="inlineStr">
        <is>
          <t>10 AWG</t>
        </is>
      </c>
      <c r="AL123" s="15" t="inlineStr">
        <is>
          <t>Levy Ostrup</t>
        </is>
      </c>
      <c r="AM123" s="15" t="inlineStr">
        <is>
          <t>Sept 29</t>
        </is>
      </c>
      <c r="AN123" s="15" t="inlineStr">
        <is>
          <t>Cable is pulled &amp; glanded; no terms</t>
        </is>
      </c>
    </row>
    <row r="124">
      <c r="A124" s="15" t="inlineStr">
        <is>
          <t>Power Cable</t>
        </is>
      </c>
      <c r="B124" s="15" t="inlineStr">
        <is>
          <t>29103-ET-P1104-1-PWK-1</t>
        </is>
      </c>
      <c r="C124" s="15" t="inlineStr">
        <is>
          <t>29103-ET-P1104-1</t>
        </is>
      </c>
      <c r="D124" s="15" t="inlineStr"/>
      <c r="E124" s="15" t="inlineStr">
        <is>
          <t>29103-HTP-002</t>
        </is>
      </c>
      <c r="F124" s="15" t="inlineStr"/>
      <c r="G124" s="15" t="inlineStr">
        <is>
          <t>113</t>
        </is>
      </c>
      <c r="H124" s="15" t="inlineStr">
        <is>
          <t>10-01_GIM_GONCHO/Small Power Cables ITR 100/29103-ET-P1104-1-PWK-1.pdf</t>
        </is>
      </c>
      <c r="I124" s="6" t="str">
        <f>IF($H124&lt;&gt;"","YES","NO")</f>
        <v>YES</v>
      </c>
      <c r="J124" s="6" t="str">
        <f>IF(N($T124)&gt;0,"YES","NO")</f>
        <v>YES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YES</v>
      </c>
      <c r="O124" s="6" t="str">
        <f>IF(OR($A124="Power Cable",$A124="RTD Cable",$A124="Fieldbus Cable"),IF(AND($AE124&lt;&gt;""),"YES","NO"),"N/A")</f>
        <v>YES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YES</v>
      </c>
      <c r="S124" s="6" t="str">
        <f>IF(COUNTIF(I124:R124,"NO")=0,"YES","NO")</f>
        <v>YES</v>
      </c>
      <c r="T124" s="15" t="n">
        <v>11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inlineStr">
        <is>
          <t>&gt;550 MΩ / &gt;550 MΩ / &gt;550 MΩ</t>
        </is>
      </c>
      <c r="AE124" s="15" t="inlineStr">
        <is>
          <t>0.4 Ω / OL / OL</t>
        </is>
      </c>
      <c r="AF124" s="15" t="inlineStr">
        <is>
          <t>Fluke 1587 FC 72300003</t>
        </is>
      </c>
      <c r="AG124" s="15" t="n"/>
      <c r="AH124" s="15" t="n"/>
      <c r="AI124" s="15" t="n"/>
      <c r="AJ124" s="15" t="inlineStr">
        <is>
          <t>TECK</t>
        </is>
      </c>
      <c r="AK124" s="15" t="inlineStr">
        <is>
          <t>10 AWG</t>
        </is>
      </c>
      <c r="AL124" s="15" t="inlineStr">
        <is>
          <t>Levy Ostrup</t>
        </is>
      </c>
      <c r="AM124" s="15" t="inlineStr">
        <is>
          <t>Sept 29</t>
        </is>
      </c>
      <c r="AN124" s="15" t="n"/>
    </row>
    <row r="125">
      <c r="A125" s="15" t="inlineStr">
        <is>
          <t>Power Cable</t>
        </is>
      </c>
      <c r="B125" s="15" t="inlineStr">
        <is>
          <t>29103-ET-P1104-2-PWK-1</t>
        </is>
      </c>
      <c r="C125" s="15" t="inlineStr">
        <is>
          <t>29103-ET-P1104-2</t>
        </is>
      </c>
      <c r="D125" s="15" t="inlineStr"/>
      <c r="E125" s="15" t="inlineStr">
        <is>
          <t>29103-HTP-002</t>
        </is>
      </c>
      <c r="F125" s="15" t="inlineStr"/>
      <c r="G125" s="15" t="inlineStr">
        <is>
          <t>113</t>
        </is>
      </c>
      <c r="H125" s="15" t="inlineStr">
        <is>
          <t>10-01_GIM_GONCHO/Small Power Cables ITR 100/29103-ET-P1104-2-PWK-1.pdf</t>
        </is>
      </c>
      <c r="I125" s="6" t="str">
        <f>IF($H125&lt;&gt;"","YES","NO")</f>
        <v>YES</v>
      </c>
      <c r="J125" s="6" t="str">
        <f>IF(N($T125)&gt;0,"YES","NO")</f>
        <v>YES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YES</v>
      </c>
      <c r="O125" s="6" t="str">
        <f>IF(OR($A125="Power Cable",$A125="RTD Cable",$A125="Fieldbus Cable"),IF(AND($AE125&lt;&gt;""),"YES","NO"),"N/A")</f>
        <v>YES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YES</v>
      </c>
      <c r="S125" s="6" t="str">
        <f>IF(COUNTIF(I125:R125,"NO")=0,"YES","NO")</f>
        <v>YES</v>
      </c>
      <c r="T125" s="15" t="n">
        <v>10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inlineStr">
        <is>
          <t>&gt;550 MΩ / &gt;550 MΩ / &gt;550 MΩ</t>
        </is>
      </c>
      <c r="AE125" s="15" t="inlineStr">
        <is>
          <t>0.5 Ω / OL / OL</t>
        </is>
      </c>
      <c r="AF125" s="15" t="inlineStr">
        <is>
          <t>Fluke 1587 FC 72300003</t>
        </is>
      </c>
      <c r="AG125" s="15" t="n"/>
      <c r="AH125" s="15" t="n"/>
      <c r="AI125" s="15" t="n"/>
      <c r="AJ125" s="15" t="inlineStr">
        <is>
          <t>TECK</t>
        </is>
      </c>
      <c r="AK125" s="15" t="inlineStr">
        <is>
          <t>10 AWG</t>
        </is>
      </c>
      <c r="AL125" s="15" t="inlineStr">
        <is>
          <t>Levy Ostrup</t>
        </is>
      </c>
      <c r="AM125" s="15" t="inlineStr">
        <is>
          <t>Sept 29</t>
        </is>
      </c>
      <c r="AN125" s="15" t="inlineStr">
        <is>
          <t>Missing cable tag both sides</t>
        </is>
      </c>
    </row>
    <row r="126">
      <c r="A126" s="15" t="inlineStr">
        <is>
          <t>Power Cable</t>
        </is>
      </c>
      <c r="B126" s="15" t="inlineStr">
        <is>
          <t>29103-ET-P1201-1-PWK-1</t>
        </is>
      </c>
      <c r="C126" s="15" t="inlineStr">
        <is>
          <t>29103-ET-P1201-1</t>
        </is>
      </c>
      <c r="D126" s="15" t="inlineStr"/>
      <c r="E126" s="15" t="inlineStr">
        <is>
          <t>29103-HTP-002</t>
        </is>
      </c>
      <c r="F126" s="15" t="inlineStr"/>
      <c r="G126" s="15" t="inlineStr">
        <is>
          <t>113</t>
        </is>
      </c>
      <c r="H126" s="15" t="inlineStr">
        <is>
          <t>10-01_GIM_GONCHO/Small Power Cables ITR 100/29103-ET-P1201-1-PWK-1.pdf</t>
        </is>
      </c>
      <c r="I126" s="6" t="str">
        <f>IF($H126&lt;&gt;"","YES","NO")</f>
        <v>YES</v>
      </c>
      <c r="J126" s="6" t="str">
        <f>IF(N($T126)&gt;0,"YES","NO")</f>
        <v>YES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YES</v>
      </c>
      <c r="O126" s="6" t="str">
        <f>IF(OR($A126="Power Cable",$A126="RTD Cable",$A126="Fieldbus Cable"),IF(AND($AE126&lt;&gt;""),"YES","NO"),"N/A")</f>
        <v>YES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YES</v>
      </c>
      <c r="S126" s="6" t="str">
        <f>IF(COUNTIF(I126:R126,"NO")=0,"YES","NO")</f>
        <v>YES</v>
      </c>
      <c r="T126" s="15" t="n">
        <v>5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inlineStr">
        <is>
          <t>&gt;550 MΩ / &gt;550 MΩ / &gt;550 MΩ</t>
        </is>
      </c>
      <c r="AE126" s="15" t="inlineStr">
        <is>
          <t>0.4 Ω / OL / OL</t>
        </is>
      </c>
      <c r="AF126" s="15" t="inlineStr">
        <is>
          <t>Fluke 1587 FC 72300003</t>
        </is>
      </c>
      <c r="AG126" s="15" t="n"/>
      <c r="AH126" s="15" t="n"/>
      <c r="AI126" s="15" t="n"/>
      <c r="AJ126" s="15" t="inlineStr">
        <is>
          <t>TECK</t>
        </is>
      </c>
      <c r="AK126" s="15" t="inlineStr">
        <is>
          <t>10 AWG</t>
        </is>
      </c>
      <c r="AL126" s="15" t="inlineStr">
        <is>
          <t>Levy Ostrup</t>
        </is>
      </c>
      <c r="AM126" s="15" t="inlineStr">
        <is>
          <t>Sept 29</t>
        </is>
      </c>
      <c r="AN126" s="15" t="inlineStr">
        <is>
          <t>Core markers missing; not termed</t>
        </is>
      </c>
    </row>
    <row r="127">
      <c r="A127" s="15" t="inlineStr">
        <is>
          <t>Power Cable</t>
        </is>
      </c>
      <c r="B127" s="15" t="inlineStr">
        <is>
          <t>29103-ET-P1204-1-PWK-1</t>
        </is>
      </c>
      <c r="C127" s="15" t="inlineStr">
        <is>
          <t>29103-ET-P1204-1</t>
        </is>
      </c>
      <c r="D127" s="15" t="inlineStr"/>
      <c r="E127" s="15" t="inlineStr">
        <is>
          <t>29103-HTP-002</t>
        </is>
      </c>
      <c r="F127" s="15" t="inlineStr"/>
      <c r="G127" s="15" t="inlineStr">
        <is>
          <t>113</t>
        </is>
      </c>
      <c r="H127" s="15" t="inlineStr">
        <is>
          <t>1.7. 29103-HTP-002/3. Power Cables/29103-ET-P1204-1-PWK-1.pdf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29103-ET-P1204-2-PWK-1</t>
        </is>
      </c>
      <c r="C128" s="15" t="inlineStr">
        <is>
          <t>29103-ET-P1204-2</t>
        </is>
      </c>
      <c r="D128" s="15" t="inlineStr"/>
      <c r="E128" s="15" t="inlineStr">
        <is>
          <t>29103-HTP-002</t>
        </is>
      </c>
      <c r="F128" s="15" t="inlineStr"/>
      <c r="G128" s="15" t="inlineStr">
        <is>
          <t>113</t>
        </is>
      </c>
      <c r="H128" s="15" t="inlineStr">
        <is>
          <t>10-01_GIM_GONCHO/Small Power Cables ITR 100/29103-ET-P1204-2-PWK-1.pdf</t>
        </is>
      </c>
      <c r="I128" s="6" t="str">
        <f>IF($H128&lt;&gt;"","YES","NO")</f>
        <v>YES</v>
      </c>
      <c r="J128" s="6" t="str">
        <f>IF(N($T128)&gt;0,"YES","NO")</f>
        <v>YES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YES</v>
      </c>
      <c r="O128" s="6" t="str">
        <f>IF(OR($A128="Power Cable",$A128="RTD Cable",$A128="Fieldbus Cable"),IF(AND($AE128&lt;&gt;""),"YES","NO"),"N/A")</f>
        <v>YES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YES</v>
      </c>
      <c r="S128" s="6" t="str">
        <f>IF(COUNTIF(I128:R128,"NO")=0,"YES","NO")</f>
        <v>YES</v>
      </c>
      <c r="T128" s="15" t="n">
        <v>9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inlineStr">
        <is>
          <t>&gt;550 MΩ / &gt;550 MΩ / &gt;550 MΩ</t>
        </is>
      </c>
      <c r="AE128" s="15" t="inlineStr">
        <is>
          <t>0.4 Ω / OL / OL</t>
        </is>
      </c>
      <c r="AF128" s="15" t="inlineStr">
        <is>
          <t>Fluke 1587 FC 72300003</t>
        </is>
      </c>
      <c r="AG128" s="15" t="n"/>
      <c r="AH128" s="15" t="n"/>
      <c r="AI128" s="15" t="n"/>
      <c r="AJ128" s="15" t="inlineStr">
        <is>
          <t>TECK</t>
        </is>
      </c>
      <c r="AK128" s="15" t="inlineStr">
        <is>
          <t>10 AWG</t>
        </is>
      </c>
      <c r="AL128" s="15" t="inlineStr">
        <is>
          <t>Levy Ostrup</t>
        </is>
      </c>
      <c r="AM128" s="15" t="inlineStr">
        <is>
          <t>Sept 28</t>
        </is>
      </c>
      <c r="AN128" s="15" t="inlineStr">
        <is>
          <t>Missing cable tag; service loop on cold lead</t>
        </is>
      </c>
    </row>
    <row r="129">
      <c r="A129" s="15" t="inlineStr">
        <is>
          <t>Power Cable</t>
        </is>
      </c>
      <c r="B129" s="15" t="inlineStr">
        <is>
          <t>29103-ET-P1301-1-PWK-1</t>
        </is>
      </c>
      <c r="C129" s="15" t="inlineStr">
        <is>
          <t>29103-ET-P1301-1</t>
        </is>
      </c>
      <c r="D129" s="15" t="inlineStr"/>
      <c r="E129" s="15" t="inlineStr">
        <is>
          <t>29103-HTP-002</t>
        </is>
      </c>
      <c r="F129" s="15" t="inlineStr"/>
      <c r="G129" s="15" t="inlineStr">
        <is>
          <t>113</t>
        </is>
      </c>
      <c r="H129" s="15" t="inlineStr">
        <is>
          <t>1.7. 29103-HTP-002/3. Power Cables/29103-ET-P1301-1-PWK-1.pdf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29103-ET-P1304-1-PWK-1</t>
        </is>
      </c>
      <c r="C130" s="15" t="inlineStr">
        <is>
          <t>29103-ET-P1304-1</t>
        </is>
      </c>
      <c r="D130" s="15" t="inlineStr"/>
      <c r="E130" s="15" t="inlineStr">
        <is>
          <t>29103-HTP-002</t>
        </is>
      </c>
      <c r="F130" s="15" t="inlineStr"/>
      <c r="G130" s="15" t="inlineStr">
        <is>
          <t>113</t>
        </is>
      </c>
      <c r="H130" s="15" t="inlineStr">
        <is>
          <t>1.7. 29103-HTP-002/3. Power Cables/29103-ET-P1304-1-PWK-1.pdf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29103-ET-P1304-2-PWK-1</t>
        </is>
      </c>
      <c r="C131" s="15" t="inlineStr">
        <is>
          <t>29103-ET-P1304-2</t>
        </is>
      </c>
      <c r="D131" s="15" t="inlineStr"/>
      <c r="E131" s="15" t="inlineStr">
        <is>
          <t>29103-HTP-002</t>
        </is>
      </c>
      <c r="F131" s="15" t="inlineStr"/>
      <c r="G131" s="15" t="inlineStr">
        <is>
          <t>113</t>
        </is>
      </c>
      <c r="H131" s="15" t="inlineStr">
        <is>
          <t>1.7. 29103-HTP-002/3. Power Cables/29103-ET-P1304-2-PWK-1.pdf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29103-ET-P1401-1-PWK-1</t>
        </is>
      </c>
      <c r="C132" s="15" t="inlineStr">
        <is>
          <t>29103-ET-P1401-1</t>
        </is>
      </c>
      <c r="D132" s="15" t="inlineStr"/>
      <c r="E132" s="15" t="inlineStr">
        <is>
          <t>29103-HTP-002</t>
        </is>
      </c>
      <c r="F132" s="15" t="inlineStr"/>
      <c r="G132" s="15" t="inlineStr">
        <is>
          <t>113</t>
        </is>
      </c>
      <c r="H132" s="15" t="inlineStr">
        <is>
          <t>1.7. 29103-HTP-002/3. Power Cables/29103-ET-P1401-1-PWK-1.pdf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29103-ET-P1800-1-PWK-1</t>
        </is>
      </c>
      <c r="C133" s="15" t="inlineStr">
        <is>
          <t>29103-ET-P1800-1</t>
        </is>
      </c>
      <c r="D133" s="15" t="inlineStr"/>
      <c r="E133" s="15" t="inlineStr">
        <is>
          <t>29103-HTP-002</t>
        </is>
      </c>
      <c r="F133" s="15" t="inlineStr"/>
      <c r="G133" s="15" t="inlineStr">
        <is>
          <t>113</t>
        </is>
      </c>
      <c r="H133" s="15" t="inlineStr">
        <is>
          <t>1.7. 29103-HTP-002/3. Power Cables/29103-ET-P1800-1-PWK-1.pdf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29103-ET-P1800-2-PWK-1</t>
        </is>
      </c>
      <c r="C134" s="15" t="inlineStr">
        <is>
          <t>29103-ET-P1800-2</t>
        </is>
      </c>
      <c r="D134" s="15" t="inlineStr"/>
      <c r="E134" s="15" t="inlineStr">
        <is>
          <t>29103-HTP-002</t>
        </is>
      </c>
      <c r="F134" s="15" t="inlineStr"/>
      <c r="G134" s="15" t="inlineStr">
        <is>
          <t>113</t>
        </is>
      </c>
      <c r="H134" s="15" t="inlineStr">
        <is>
          <t>1.7. 29103-HTP-002/3. Power Cables/29103-ET-P1800-2-PWK-1.pdf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29103-ET-PE1101-1-PWK-1</t>
        </is>
      </c>
      <c r="C135" s="15" t="inlineStr">
        <is>
          <t>29103-ET-PE1101-1</t>
        </is>
      </c>
      <c r="D135" s="15" t="inlineStr"/>
      <c r="E135" s="15" t="inlineStr">
        <is>
          <t>29103-HTP-002</t>
        </is>
      </c>
      <c r="F135" s="15" t="inlineStr"/>
      <c r="G135" s="15" t="inlineStr">
        <is>
          <t>113</t>
        </is>
      </c>
      <c r="H135" s="15" t="inlineStr">
        <is>
          <t>10-01_GIM_GONCHO/Small Power Cables ITR 100/29103-ET-PE1101-1-PWK-1.pdf</t>
        </is>
      </c>
      <c r="I135" s="6" t="str">
        <f>IF($H135&lt;&gt;"","YES","NO")</f>
        <v>YES</v>
      </c>
      <c r="J135" s="6" t="str">
        <f>IF(N($T135)&gt;0,"YES","NO")</f>
        <v>YES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YES</v>
      </c>
      <c r="O135" s="6" t="str">
        <f>IF(OR($A135="Power Cable",$A135="RTD Cable",$A135="Fieldbus Cable"),IF(AND($AE135&lt;&gt;""),"YES","NO"),"N/A")</f>
        <v>YES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YES</v>
      </c>
      <c r="S135" s="6" t="str">
        <f>IF(COUNTIF(I135:R135,"NO")=0,"YES","NO")</f>
        <v>YES</v>
      </c>
      <c r="T135" s="15" t="n">
        <v>11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inlineStr">
        <is>
          <t>&gt;550 MΩ / &gt;550 MΩ / &gt;550 MΩ</t>
        </is>
      </c>
      <c r="AE135" s="15" t="inlineStr">
        <is>
          <t>0.4 Ω / OL / OL</t>
        </is>
      </c>
      <c r="AF135" s="15" t="inlineStr">
        <is>
          <t>Fluke 1587 FC 72300003</t>
        </is>
      </c>
      <c r="AG135" s="15" t="n"/>
      <c r="AH135" s="15" t="n"/>
      <c r="AI135" s="15" t="n"/>
      <c r="AJ135" s="15" t="inlineStr">
        <is>
          <t>TECK</t>
        </is>
      </c>
      <c r="AK135" s="15" t="inlineStr">
        <is>
          <t>10 AWG</t>
        </is>
      </c>
      <c r="AL135" s="15" t="inlineStr">
        <is>
          <t>Levy Ostrup</t>
        </is>
      </c>
      <c r="AM135" s="15" t="inlineStr">
        <is>
          <t>Sept 28</t>
        </is>
      </c>
      <c r="AN135" s="15" t="n"/>
    </row>
    <row r="136">
      <c r="A136" s="15" t="inlineStr">
        <is>
          <t>Power Cable</t>
        </is>
      </c>
      <c r="B136" s="15" t="inlineStr">
        <is>
          <t>29103-ET-PE1101-2-PWK-1</t>
        </is>
      </c>
      <c r="C136" s="15" t="inlineStr">
        <is>
          <t>29103-ET-PE1101-2</t>
        </is>
      </c>
      <c r="D136" s="15" t="inlineStr"/>
      <c r="E136" s="15" t="inlineStr">
        <is>
          <t>29103-HTP-002</t>
        </is>
      </c>
      <c r="F136" s="15" t="inlineStr"/>
      <c r="G136" s="15" t="inlineStr">
        <is>
          <t>113</t>
        </is>
      </c>
      <c r="H136" s="15" t="inlineStr">
        <is>
          <t>1.7. 29103-HTP-002/3. Power Cables/29103-ET-PE1101-2-PWK-1.pdf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29103-ET-PE1102-1-PWK-1</t>
        </is>
      </c>
      <c r="C137" s="15" t="inlineStr">
        <is>
          <t>29103-ET-PE1102-1</t>
        </is>
      </c>
      <c r="D137" s="15" t="inlineStr"/>
      <c r="E137" s="15" t="inlineStr">
        <is>
          <t>29103-HTP-002</t>
        </is>
      </c>
      <c r="F137" s="15" t="inlineStr"/>
      <c r="G137" s="15" t="inlineStr">
        <is>
          <t>113</t>
        </is>
      </c>
      <c r="H137" s="15" t="inlineStr">
        <is>
          <t>10-01_GIM_GONCHO/Small Power Cables ITR 100/29103-ET-PE1102-1-PWK-1.pdf</t>
        </is>
      </c>
      <c r="I137" s="6" t="str">
        <f>IF($H137&lt;&gt;"","YES","NO")</f>
        <v>YES</v>
      </c>
      <c r="J137" s="6" t="str">
        <f>IF(N($T137)&gt;0,"YES","NO")</f>
        <v>YES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YES</v>
      </c>
      <c r="O137" s="6" t="str">
        <f>IF(OR($A137="Power Cable",$A137="RTD Cable",$A137="Fieldbus Cable"),IF(AND($AE137&lt;&gt;""),"YES","NO"),"N/A")</f>
        <v>YES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YES</v>
      </c>
      <c r="S137" s="6" t="str">
        <f>IF(COUNTIF(I137:R137,"NO")=0,"YES","NO")</f>
        <v>YES</v>
      </c>
      <c r="T137" s="15" t="n">
        <v>4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inlineStr">
        <is>
          <t>550 MΩ / 550 MΩ / 550 MΩ</t>
        </is>
      </c>
      <c r="AE137" s="15" t="inlineStr">
        <is>
          <t>0.4 Ω / OL / OL</t>
        </is>
      </c>
      <c r="AF137" s="15" t="inlineStr">
        <is>
          <t>Fluke 1587 FC 72300003</t>
        </is>
      </c>
      <c r="AG137" s="15" t="n"/>
      <c r="AH137" s="15" t="n"/>
      <c r="AI137" s="15" t="n"/>
      <c r="AJ137" s="15" t="inlineStr">
        <is>
          <t>TECK</t>
        </is>
      </c>
      <c r="AK137" s="15" t="inlineStr">
        <is>
          <t>10 AWG</t>
        </is>
      </c>
      <c r="AL137" s="15" t="inlineStr">
        <is>
          <t>Levy Ostrup</t>
        </is>
      </c>
      <c r="AM137" s="15" t="inlineStr">
        <is>
          <t>Sept 28/26</t>
        </is>
      </c>
      <c r="AN137" s="15" t="inlineStr">
        <is>
          <t>No core markers / cable tags | Not terminated | No GRL on HT connector</t>
        </is>
      </c>
    </row>
    <row r="138">
      <c r="A138" s="15" t="inlineStr">
        <is>
          <t>Power Cable</t>
        </is>
      </c>
      <c r="B138" s="15" t="inlineStr">
        <is>
          <t>29103-ET-PE1201-1-PWK-1</t>
        </is>
      </c>
      <c r="C138" s="15" t="inlineStr">
        <is>
          <t>29103-ET-PE1201-1</t>
        </is>
      </c>
      <c r="D138" s="15" t="inlineStr"/>
      <c r="E138" s="15" t="inlineStr">
        <is>
          <t>29103-HTP-002</t>
        </is>
      </c>
      <c r="F138" s="15" t="inlineStr"/>
      <c r="G138" s="15" t="inlineStr">
        <is>
          <t>113</t>
        </is>
      </c>
      <c r="H138" s="15" t="inlineStr">
        <is>
          <t>10-01_GIM_GONCHO/Small Power Cables ITR 100/29103-ET-PE1201-1-PWK-1.pdf</t>
        </is>
      </c>
      <c r="I138" s="6" t="str">
        <f>IF($H138&lt;&gt;"","YES","NO")</f>
        <v>YES</v>
      </c>
      <c r="J138" s="6" t="str">
        <f>IF(N($T138)&gt;0,"YES","NO")</f>
        <v>YES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YES</v>
      </c>
      <c r="O138" s="6" t="str">
        <f>IF(OR($A138="Power Cable",$A138="RTD Cable",$A138="Fieldbus Cable"),IF(AND($AE138&lt;&gt;""),"YES","NO"),"N/A")</f>
        <v>YES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YES</v>
      </c>
      <c r="S138" s="6" t="str">
        <f>IF(COUNTIF(I138:R138,"NO")=0,"YES","NO")</f>
        <v>YES</v>
      </c>
      <c r="T138" s="15" t="n">
        <v>9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inlineStr">
        <is>
          <t>&gt;550 MΩ / &gt;550 MΩ / &gt;550 MΩ</t>
        </is>
      </c>
      <c r="AE138" s="15" t="inlineStr">
        <is>
          <t>0.4 Ω / OL / OL</t>
        </is>
      </c>
      <c r="AF138" s="15" t="inlineStr">
        <is>
          <t>Fluke 1587 FC 72300003</t>
        </is>
      </c>
      <c r="AG138" s="15" t="n"/>
      <c r="AH138" s="15" t="n"/>
      <c r="AI138" s="15" t="n"/>
      <c r="AJ138" s="15" t="inlineStr">
        <is>
          <t>TECK</t>
        </is>
      </c>
      <c r="AK138" s="15" t="inlineStr">
        <is>
          <t>10 AWG</t>
        </is>
      </c>
      <c r="AL138" s="15" t="inlineStr">
        <is>
          <t>Levy Ostrup</t>
        </is>
      </c>
      <c r="AM138" s="15" t="inlineStr">
        <is>
          <t>Sept 28</t>
        </is>
      </c>
      <c r="AN138" s="15" t="inlineStr">
        <is>
          <t>Cable tag upside down</t>
        </is>
      </c>
    </row>
    <row r="139">
      <c r="A139" s="15" t="inlineStr">
        <is>
          <t>Power Cable</t>
        </is>
      </c>
      <c r="B139" s="15" t="inlineStr">
        <is>
          <t>29103-ET-PE1201-2-PWK-1</t>
        </is>
      </c>
      <c r="C139" s="15" t="inlineStr">
        <is>
          <t>29103-ET-PE1201-2</t>
        </is>
      </c>
      <c r="D139" s="15" t="inlineStr"/>
      <c r="E139" s="15" t="inlineStr">
        <is>
          <t>29103-HTP-002</t>
        </is>
      </c>
      <c r="F139" s="15" t="inlineStr"/>
      <c r="G139" s="15" t="inlineStr">
        <is>
          <t>113</t>
        </is>
      </c>
      <c r="H139" s="15" t="inlineStr">
        <is>
          <t>1.7. 29103-HTP-002/3. Power Cables/29103-ET-PE1201-2-PWK-1.pdf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29103-ET-PE1202-1-PWK-1</t>
        </is>
      </c>
      <c r="C140" s="15" t="inlineStr">
        <is>
          <t>29103-ET-PE1202-1</t>
        </is>
      </c>
      <c r="D140" s="15" t="inlineStr"/>
      <c r="E140" s="15" t="inlineStr">
        <is>
          <t>29103-HTP-002</t>
        </is>
      </c>
      <c r="F140" s="15" t="inlineStr"/>
      <c r="G140" s="15" t="inlineStr">
        <is>
          <t>113</t>
        </is>
      </c>
      <c r="H140" s="15" t="inlineStr">
        <is>
          <t>1.7. 29103-HTP-002/3. Power Cables/29103-ET-PE1202-1-PWK-1.pdf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29103-ET-PE1301-1-PWK-1</t>
        </is>
      </c>
      <c r="C141" s="15" t="inlineStr">
        <is>
          <t>29103-ET-PE1301-1</t>
        </is>
      </c>
      <c r="D141" s="15" t="inlineStr"/>
      <c r="E141" s="15" t="inlineStr">
        <is>
          <t>29103-HTP-002</t>
        </is>
      </c>
      <c r="F141" s="15" t="inlineStr"/>
      <c r="G141" s="15" t="inlineStr">
        <is>
          <t>113</t>
        </is>
      </c>
      <c r="H141" s="15" t="inlineStr">
        <is>
          <t>1.7. 29103-HTP-002/3. Power Cables/29103-ET-PE1301-1-PWK-1.pdf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29103-ET-PE1301-2-PWK-1</t>
        </is>
      </c>
      <c r="C142" s="15" t="inlineStr">
        <is>
          <t>29103-ET-PE1301-2</t>
        </is>
      </c>
      <c r="D142" s="15" t="inlineStr"/>
      <c r="E142" s="15" t="inlineStr">
        <is>
          <t>29103-HTP-002</t>
        </is>
      </c>
      <c r="F142" s="15" t="inlineStr"/>
      <c r="G142" s="15" t="inlineStr">
        <is>
          <t>113</t>
        </is>
      </c>
      <c r="H142" s="15" t="inlineStr">
        <is>
          <t>1.7. 29103-HTP-002/3. Power Cables/29103-ET-PE1301-2-PWK-1.pdf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29103-ET-PE1302-1-PWK-1</t>
        </is>
      </c>
      <c r="C143" s="15" t="inlineStr">
        <is>
          <t>29103-ET-PE1302-1</t>
        </is>
      </c>
      <c r="D143" s="15" t="inlineStr"/>
      <c r="E143" s="15" t="inlineStr">
        <is>
          <t>29103-HTP-002</t>
        </is>
      </c>
      <c r="F143" s="15" t="inlineStr"/>
      <c r="G143" s="15" t="inlineStr">
        <is>
          <t>113</t>
        </is>
      </c>
      <c r="H143" s="15" t="inlineStr">
        <is>
          <t>1.7. 29103-HTP-002/3. Power Cables/29103-ET-PE1302-1-PWK-1.pdf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29103-ET-PE1401-1-PWK-1</t>
        </is>
      </c>
      <c r="C144" s="15" t="inlineStr">
        <is>
          <t>29103-ET-PE1401-1</t>
        </is>
      </c>
      <c r="D144" s="15" t="inlineStr"/>
      <c r="E144" s="15" t="inlineStr">
        <is>
          <t>29103-HTP-002</t>
        </is>
      </c>
      <c r="F144" s="15" t="inlineStr"/>
      <c r="G144" s="15" t="inlineStr">
        <is>
          <t>113</t>
        </is>
      </c>
      <c r="H144" s="15" t="inlineStr">
        <is>
          <t>1.7. 29103-HTP-002/3. Power Cables/29103-ET-PE1401-1-PWK-1.pdf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29103-ET-PE1802-1-PWK-1</t>
        </is>
      </c>
      <c r="C145" s="15" t="inlineStr">
        <is>
          <t>29103-ET-PE1802-1</t>
        </is>
      </c>
      <c r="D145" s="15" t="inlineStr"/>
      <c r="E145" s="15" t="inlineStr">
        <is>
          <t>29103-HTP-002</t>
        </is>
      </c>
      <c r="F145" s="15" t="inlineStr"/>
      <c r="G145" s="15" t="inlineStr">
        <is>
          <t>113</t>
        </is>
      </c>
      <c r="H145" s="15" t="inlineStr">
        <is>
          <t>10-01_GIM_GONCHO/Small Power Cables ITR 100/29103-ET-PE1802-1-PWK-1.pdf</t>
        </is>
      </c>
      <c r="I145" s="6" t="str">
        <f>IF($H145&lt;&gt;"","YES","NO")</f>
        <v>YES</v>
      </c>
      <c r="J145" s="6" t="str">
        <f>IF(N($T145)&gt;0,"YES","NO")</f>
        <v>YES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YES</v>
      </c>
      <c r="O145" s="6" t="str">
        <f>IF(OR($A145="Power Cable",$A145="RTD Cable",$A145="Fieldbus Cable"),IF(AND($AE145&lt;&gt;""),"YES","NO"),"N/A")</f>
        <v>YES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YES</v>
      </c>
      <c r="S145" s="6" t="str">
        <f>IF(COUNTIF(I145:R145,"NO")=0,"YES","NO")</f>
        <v>YES</v>
      </c>
      <c r="T145" s="15" t="n">
        <v>8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inlineStr">
        <is>
          <t>550 MΩ / 550 MΩ / 550 MΩ</t>
        </is>
      </c>
      <c r="AE145" s="15" t="inlineStr">
        <is>
          <t>0.4 Ω / OL / OL</t>
        </is>
      </c>
      <c r="AF145" s="15" t="inlineStr">
        <is>
          <t>Fluke 1587 FC 72300003</t>
        </is>
      </c>
      <c r="AG145" s="15" t="n"/>
      <c r="AH145" s="15" t="n"/>
      <c r="AI145" s="15" t="n"/>
      <c r="AJ145" s="15" t="inlineStr">
        <is>
          <t>TECK</t>
        </is>
      </c>
      <c r="AK145" s="15" t="inlineStr">
        <is>
          <t>10 AWG</t>
        </is>
      </c>
      <c r="AL145" s="15" t="inlineStr">
        <is>
          <t>Levy Ostrup</t>
        </is>
      </c>
      <c r="AM145" s="15" t="inlineStr">
        <is>
          <t>Sept 28</t>
        </is>
      </c>
      <c r="AN145" s="15" t="inlineStr">
        <is>
          <t>Needs core markers | Cable tag upside down</t>
        </is>
      </c>
    </row>
    <row r="146">
      <c r="A146" s="15" t="inlineStr">
        <is>
          <t>Power Cable</t>
        </is>
      </c>
      <c r="B146" s="15" t="inlineStr">
        <is>
          <t>29103-ET-PE1803-1-PWK-1</t>
        </is>
      </c>
      <c r="C146" s="15" t="inlineStr">
        <is>
          <t>29103-ET-PE1803-1</t>
        </is>
      </c>
      <c r="D146" s="15" t="inlineStr"/>
      <c r="E146" s="15" t="inlineStr">
        <is>
          <t>29103-HTP-002</t>
        </is>
      </c>
      <c r="F146" s="15" t="inlineStr"/>
      <c r="G146" s="15" t="inlineStr">
        <is>
          <t>113</t>
        </is>
      </c>
      <c r="H146" s="15" t="inlineStr">
        <is>
          <t>1.7. 29103-HTP-002/3. Power Cables/29103-ET-PE1803-1-PWK-1.pdf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29103-ET-PG1101-1-PWK-1</t>
        </is>
      </c>
      <c r="C147" s="15" t="inlineStr">
        <is>
          <t>29103-ET-PG1101-1</t>
        </is>
      </c>
      <c r="D147" s="15" t="inlineStr"/>
      <c r="E147" s="15" t="inlineStr">
        <is>
          <t>29103-HTP-002</t>
        </is>
      </c>
      <c r="F147" s="15" t="inlineStr"/>
      <c r="G147" s="15" t="inlineStr">
        <is>
          <t>113</t>
        </is>
      </c>
      <c r="H147" s="15" t="inlineStr">
        <is>
          <t>10-01_GIM_GONCHO/Small Power Cables ITR 100/29103-ET-PG1101-1-PWK-1.pdf</t>
        </is>
      </c>
      <c r="I147" s="6" t="str">
        <f>IF($H147&lt;&gt;"","YES","NO")</f>
        <v>YES</v>
      </c>
      <c r="J147" s="6" t="str">
        <f>IF(N($T147)&gt;0,"YES","NO")</f>
        <v>YES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YES</v>
      </c>
      <c r="O147" s="6" t="str">
        <f>IF(OR($A147="Power Cable",$A147="RTD Cable",$A147="Fieldbus Cable"),IF(AND($AE147&lt;&gt;""),"YES","NO"),"N/A")</f>
        <v>YES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YES</v>
      </c>
      <c r="S147" s="6" t="str">
        <f>IF(COUNTIF(I147:R147,"NO")=0,"YES","NO")</f>
        <v>YES</v>
      </c>
      <c r="T147" s="15" t="n">
        <v>10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inlineStr">
        <is>
          <t>&gt;550 MΩ / &gt;550 MΩ / &gt;550 MΩ</t>
        </is>
      </c>
      <c r="AE147" s="15" t="inlineStr">
        <is>
          <t>0.4 Ω / OL / OL</t>
        </is>
      </c>
      <c r="AF147" s="15" t="inlineStr">
        <is>
          <t>Fluke 1587 FC 72300003</t>
        </is>
      </c>
      <c r="AG147" s="15" t="n"/>
      <c r="AH147" s="15" t="n"/>
      <c r="AI147" s="15" t="n"/>
      <c r="AJ147" s="15" t="inlineStr">
        <is>
          <t>TECK</t>
        </is>
      </c>
      <c r="AK147" s="15" t="inlineStr">
        <is>
          <t>10 AWG</t>
        </is>
      </c>
      <c r="AL147" s="15" t="inlineStr">
        <is>
          <t>Levy Ostrup</t>
        </is>
      </c>
      <c r="AM147" s="15" t="inlineStr">
        <is>
          <t>Sept 29</t>
        </is>
      </c>
      <c r="AN147" s="15" t="inlineStr">
        <is>
          <t>Power cable missing core markers</t>
        </is>
      </c>
    </row>
    <row r="148">
      <c r="A148" s="15" t="inlineStr">
        <is>
          <t>Power Cable</t>
        </is>
      </c>
      <c r="B148" s="15" t="inlineStr">
        <is>
          <t>29103-ET-PG1101-2-PWK-1</t>
        </is>
      </c>
      <c r="C148" s="15" t="inlineStr">
        <is>
          <t>29103-ET-PG1101-2</t>
        </is>
      </c>
      <c r="D148" s="15" t="inlineStr"/>
      <c r="E148" s="15" t="inlineStr">
        <is>
          <t>29103-HTP-002</t>
        </is>
      </c>
      <c r="F148" s="15" t="inlineStr"/>
      <c r="G148" s="15" t="inlineStr">
        <is>
          <t>113</t>
        </is>
      </c>
      <c r="H148" s="15" t="inlineStr">
        <is>
          <t>1.7. 29103-HTP-002/3. Power Cables/29103-ET-PG1101-2-PWK-1.pdf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29103-ET-PG1201-1-PWK-1</t>
        </is>
      </c>
      <c r="C149" s="15" t="inlineStr">
        <is>
          <t>29103-ET-PG1201-1</t>
        </is>
      </c>
      <c r="D149" s="15" t="inlineStr"/>
      <c r="E149" s="15" t="inlineStr">
        <is>
          <t>29103-HTP-002</t>
        </is>
      </c>
      <c r="F149" s="15" t="inlineStr"/>
      <c r="G149" s="15" t="inlineStr">
        <is>
          <t>113</t>
        </is>
      </c>
      <c r="H149" s="15" t="inlineStr">
        <is>
          <t>1.7. 29103-HTP-002/3. Power Cables/29103-ET-PG1201-1-PWK-1.pdf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29103-ET-PG1201-2-PWK-1</t>
        </is>
      </c>
      <c r="C150" s="15" t="inlineStr">
        <is>
          <t>29103-ET-PG1201-2</t>
        </is>
      </c>
      <c r="D150" s="15" t="inlineStr"/>
      <c r="E150" s="15" t="inlineStr">
        <is>
          <t>29103-HTP-002</t>
        </is>
      </c>
      <c r="F150" s="15" t="inlineStr"/>
      <c r="G150" s="15" t="inlineStr">
        <is>
          <t>113</t>
        </is>
      </c>
      <c r="H150" s="15" t="inlineStr">
        <is>
          <t>1.7. 29103-HTP-002/3. Power Cables/29103-ET-PG1201-2-PWK-1.pdf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29103-ET-PG1301-1-PWK-1</t>
        </is>
      </c>
      <c r="C151" s="15" t="inlineStr">
        <is>
          <t>29103-ET-PG1301-1</t>
        </is>
      </c>
      <c r="D151" s="15" t="inlineStr"/>
      <c r="E151" s="15" t="inlineStr">
        <is>
          <t>29103-HTP-002</t>
        </is>
      </c>
      <c r="F151" s="15" t="inlineStr"/>
      <c r="G151" s="15" t="inlineStr">
        <is>
          <t>113</t>
        </is>
      </c>
      <c r="H151" s="15" t="inlineStr">
        <is>
          <t>1.7. 29103-HTP-002/3. Power Cables/29103-ET-PG1301-1-PWK-1.pdf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29103-ET-PG1301-2-PWK-1</t>
        </is>
      </c>
      <c r="C152" s="15" t="inlineStr">
        <is>
          <t>29103-ET-PG1301-2</t>
        </is>
      </c>
      <c r="D152" s="15" t="inlineStr"/>
      <c r="E152" s="15" t="inlineStr">
        <is>
          <t>29103-HTP-002</t>
        </is>
      </c>
      <c r="F152" s="15" t="inlineStr"/>
      <c r="G152" s="15" t="inlineStr">
        <is>
          <t>113</t>
        </is>
      </c>
      <c r="H152" s="15" t="inlineStr">
        <is>
          <t>1.7. 29103-HTP-002/3. Power Cables/29103-ET-PG1301-2-PWK-1.pdf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29103-ET-SC1800-1-PWK-1</t>
        </is>
      </c>
      <c r="C153" s="15" t="inlineStr">
        <is>
          <t>29103-ET-SC1800-1</t>
        </is>
      </c>
      <c r="D153" s="15" t="inlineStr"/>
      <c r="E153" s="15" t="inlineStr">
        <is>
          <t>29103-HTP-002</t>
        </is>
      </c>
      <c r="F153" s="15" t="inlineStr"/>
      <c r="G153" s="15" t="inlineStr">
        <is>
          <t>113</t>
        </is>
      </c>
      <c r="H153" s="15" t="inlineStr">
        <is>
          <t>1.7. 29103-HTP-002/3. Power Cables/29103-ET-SC1800-1-PWK-1.pdf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29103-ET-ST1001-1-PWK-1</t>
        </is>
      </c>
      <c r="C154" s="15" t="inlineStr">
        <is>
          <t>29103-ET-ST1001-1</t>
        </is>
      </c>
      <c r="D154" s="15" t="inlineStr"/>
      <c r="E154" s="15" t="inlineStr">
        <is>
          <t>29103-HTP-002</t>
        </is>
      </c>
      <c r="F154" s="15" t="inlineStr"/>
      <c r="G154" s="15" t="inlineStr">
        <is>
          <t>113</t>
        </is>
      </c>
      <c r="H154" s="15" t="inlineStr">
        <is>
          <t>1.7. 29103-HTP-002/3. Power Cables/29103-ET-ST1001-1-PWK-1.pdf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29103-ET-ST1103-1-PWK-1</t>
        </is>
      </c>
      <c r="C155" s="15" t="inlineStr">
        <is>
          <t>29103-ET-ST1103-1</t>
        </is>
      </c>
      <c r="D155" s="15" t="inlineStr"/>
      <c r="E155" s="15" t="inlineStr">
        <is>
          <t>29103-HTP-002</t>
        </is>
      </c>
      <c r="F155" s="15" t="inlineStr"/>
      <c r="G155" s="15" t="inlineStr">
        <is>
          <t>113</t>
        </is>
      </c>
      <c r="H155" s="15" t="inlineStr">
        <is>
          <t>1.7. 29103-HTP-002/3. Power Cables/29103-ET-ST1103-1-PWK-1.pdf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29103-ET-ST1203-1-PWK-1</t>
        </is>
      </c>
      <c r="C156" s="15" t="inlineStr">
        <is>
          <t>29103-ET-ST1203-1</t>
        </is>
      </c>
      <c r="D156" s="15" t="inlineStr"/>
      <c r="E156" s="15" t="inlineStr">
        <is>
          <t>29103-HTP-002</t>
        </is>
      </c>
      <c r="F156" s="15" t="inlineStr"/>
      <c r="G156" s="15" t="inlineStr">
        <is>
          <t>113</t>
        </is>
      </c>
      <c r="H156" s="15" t="inlineStr">
        <is>
          <t>1.7. 29103-HTP-002/3. Power Cables/29103-ET-ST1203-1-PWK-1.pdf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RTD</t>
        </is>
      </c>
      <c r="B157" s="15" t="inlineStr">
        <is>
          <t>29103-ET-P1101-1-R-1</t>
        </is>
      </c>
      <c r="C157" s="15" t="inlineStr">
        <is>
          <t>29103-ET-P1101-1</t>
        </is>
      </c>
      <c r="D157" s="15" t="inlineStr">
        <is>
          <t>29103-HTP-002 (TB5 / CB-37)</t>
        </is>
      </c>
      <c r="E157" s="15" t="inlineStr">
        <is>
          <t>PRODUCED EMULSION</t>
        </is>
      </c>
      <c r="F157" s="15" t="inlineStr">
        <is>
          <t>29103-ET-P1101-1</t>
        </is>
      </c>
      <c r="G157" s="15" t="inlineStr">
        <is>
          <t>13.2</t>
        </is>
      </c>
      <c r="H157" s="15" t="inlineStr">
        <is>
          <t>1.7. 29103-HTP-002/2. RTD Inspection/29103-ET-P1101-1-R-1.pdf</t>
        </is>
      </c>
      <c r="I157" s="6" t="str">
        <f>IF($H157&lt;&gt;"","YES","NO")</f>
        <v>YES</v>
      </c>
      <c r="J157" s="6" t="str">
        <f>IF(N($T157)&gt;0,"YES","NO")</f>
        <v>YES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N/A</v>
      </c>
      <c r="O157" s="6" t="str">
        <f>IF(OR($A157="Power Cable",$A157="RTD Cable",$A157="Fieldbus Cable"),IF(AND($AE157&lt;&gt;""),"YES","NO"),"N/A")</f>
        <v>N/A</v>
      </c>
      <c r="P157" s="6" t="str">
        <f>IF(OR($A157="RTD"),IF(AND($AH157&lt;&gt;""),"YES","NO"),"N/A")</f>
        <v>YES</v>
      </c>
      <c r="Q157" s="6" t="str">
        <f>IF(OR($A157="RTD"),IF(AND($AI157&lt;&gt;""),"YES","NO"),"N/A")</f>
        <v>YES</v>
      </c>
      <c r="R157" s="6" t="str">
        <f>IF(OR($AM157&lt;&gt;"",$Z157&lt;&gt;"",$AC157&lt;&gt;""),"YES","NO")</f>
        <v>YES</v>
      </c>
      <c r="S157" s="6" t="str">
        <f>IF(COUNTIF(I157:R157,"NO")=0,"YES","NO")</f>
        <v>YES</v>
      </c>
      <c r="T157" s="15" t="n">
        <v>9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inlineStr">
        <is>
          <t>Fluke 179 70180306</t>
        </is>
      </c>
      <c r="AG157" s="15" t="inlineStr">
        <is>
          <t>100</t>
        </is>
      </c>
      <c r="AH157" s="15" t="inlineStr">
        <is>
          <t>104 / 104 / 0.2</t>
        </is>
      </c>
      <c r="AI157" s="15" t="inlineStr">
        <is>
          <t>102 Ω / 102 Ω / 0.2 Ω</t>
        </is>
      </c>
      <c r="AJ157" s="15" t="n"/>
      <c r="AK157" s="15" t="n"/>
      <c r="AL157" s="15" t="inlineStr">
        <is>
          <t>Levy Ostrup</t>
        </is>
      </c>
      <c r="AM157" s="15" t="inlineStr">
        <is>
          <t>Oct 1 2026</t>
        </is>
      </c>
      <c r="AN157" s="15" t="inlineStr">
        <is>
          <t>- Switched term points with ETP11041R1</t>
        </is>
      </c>
    </row>
    <row r="158">
      <c r="A158" s="15" t="inlineStr">
        <is>
          <t>RTD</t>
        </is>
      </c>
      <c r="B158" s="15" t="inlineStr">
        <is>
          <t>29103-ET-P1104-1-R-1</t>
        </is>
      </c>
      <c r="C158" s="15" t="inlineStr">
        <is>
          <t>29103-ET-P1104-1</t>
        </is>
      </c>
      <c r="D158" s="15" t="inlineStr">
        <is>
          <t>29103-HTP-002 (TB5 / CB-35)</t>
        </is>
      </c>
      <c r="E158" s="15" t="inlineStr">
        <is>
          <t>PRODUCED EMULSION</t>
        </is>
      </c>
      <c r="F158" s="15" t="inlineStr">
        <is>
          <t>29103-ET-P1104-1</t>
        </is>
      </c>
      <c r="G158" s="15" t="inlineStr">
        <is>
          <t>13.2</t>
        </is>
      </c>
      <c r="H158" s="15" t="inlineStr">
        <is>
          <t>1.7. 29103-HTP-002/2. RTD Inspection/29103-ET-P1104-1-R-1.pdf</t>
        </is>
      </c>
      <c r="I158" s="6" t="str">
        <f>IF($H158&lt;&gt;"","YES","NO")</f>
        <v>YES</v>
      </c>
      <c r="J158" s="6" t="str">
        <f>IF(N($T158)&gt;0,"YES","NO")</f>
        <v>YES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N/A</v>
      </c>
      <c r="O158" s="6" t="str">
        <f>IF(OR($A158="Power Cable",$A158="RTD Cable",$A158="Fieldbus Cable"),IF(AND($AE158&lt;&gt;""),"YES","NO"),"N/A")</f>
        <v>N/A</v>
      </c>
      <c r="P158" s="6" t="str">
        <f>IF(OR($A158="RTD"),IF(AND($AH158&lt;&gt;""),"YES","NO"),"N/A")</f>
        <v>NO</v>
      </c>
      <c r="Q158" s="6" t="str">
        <f>IF(OR($A158="RTD"),IF(AND($AI158&lt;&gt;""),"YES","NO"),"N/A")</f>
        <v>YES</v>
      </c>
      <c r="R158" s="6" t="str">
        <f>IF(OR($AM158&lt;&gt;"",$Z158&lt;&gt;"",$AC158&lt;&gt;""),"YES","NO")</f>
        <v>YES</v>
      </c>
      <c r="S158" s="6" t="str">
        <f>IF(COUNTIF(I158:R158,"NO")=0,"YES","NO")</f>
        <v>NO</v>
      </c>
      <c r="T158" s="15" t="n">
        <v>7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inlineStr">
        <is>
          <t>Fluke 179 70180306</t>
        </is>
      </c>
      <c r="AG158" s="15" t="inlineStr">
        <is>
          <t>104.1</t>
        </is>
      </c>
      <c r="AH158" s="15" t="n"/>
      <c r="AI158" s="15" t="inlineStr">
        <is>
          <t>104 / 104 / 0.2</t>
        </is>
      </c>
      <c r="AJ158" s="15" t="n"/>
      <c r="AK158" s="15" t="n"/>
      <c r="AL158" s="15" t="inlineStr">
        <is>
          <t>Levy Ostrup</t>
        </is>
      </c>
      <c r="AM158" s="15" t="inlineStr">
        <is>
          <t>Sept 30 2026</t>
        </is>
      </c>
      <c r="AN158" s="15" t="inlineStr">
        <is>
          <t>- Switched termination points with ETP11011R1</t>
        </is>
      </c>
    </row>
    <row r="159">
      <c r="A159" s="15" t="inlineStr">
        <is>
          <t>RTD</t>
        </is>
      </c>
      <c r="B159" s="15" t="inlineStr">
        <is>
          <t>29103-ET-P1104-1-R-2</t>
        </is>
      </c>
      <c r="C159" s="15" t="inlineStr">
        <is>
          <t>29103-ET-P1104-1</t>
        </is>
      </c>
      <c r="D159" s="15" t="inlineStr">
        <is>
          <t>29103-HTP-002 (TB8 / I/O 2-3)</t>
        </is>
      </c>
      <c r="E159" s="15" t="inlineStr">
        <is>
          <t>PRODUCED EMULSION</t>
        </is>
      </c>
      <c r="F159" s="15" t="inlineStr">
        <is>
          <t>29103-ET-P1104-1</t>
        </is>
      </c>
      <c r="G159" s="15" t="inlineStr">
        <is>
          <t>13.2</t>
        </is>
      </c>
      <c r="H159" s="15" t="inlineStr">
        <is>
          <t>1.7. 29103-HTP-002/2. RTD Inspection/29103-ET-P1104-1-R-2.pdf</t>
        </is>
      </c>
      <c r="I159" s="6" t="str">
        <f>IF($H159&lt;&gt;"","YES","NO")</f>
        <v>YES</v>
      </c>
      <c r="J159" s="6" t="str">
        <f>IF(N($T159)&gt;0,"YES","NO")</f>
        <v>YES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N/A</v>
      </c>
      <c r="O159" s="6" t="str">
        <f>IF(OR($A159="Power Cable",$A159="RTD Cable",$A159="Fieldbus Cable"),IF(AND($AE159&lt;&gt;""),"YES","NO"),"N/A")</f>
        <v>N/A</v>
      </c>
      <c r="P159" s="6" t="str">
        <f>IF(OR($A159="RTD"),IF(AND($AH159&lt;&gt;""),"YES","NO"),"N/A")</f>
        <v>NO</v>
      </c>
      <c r="Q159" s="6" t="str">
        <f>IF(OR($A159="RTD"),IF(AND($AI159&lt;&gt;""),"YES","NO"),"N/A")</f>
        <v>YES</v>
      </c>
      <c r="R159" s="6" t="str">
        <f>IF(OR($AM159&lt;&gt;"",$Z159&lt;&gt;"",$AC159&lt;&gt;""),"YES","NO")</f>
        <v>YES</v>
      </c>
      <c r="S159" s="6" t="str">
        <f>IF(COUNTIF(I159:R159,"NO")=0,"YES","NO")</f>
        <v>NO</v>
      </c>
      <c r="T159" s="15" t="n">
        <v>9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inlineStr">
        <is>
          <t>Fluke 179 70180306</t>
        </is>
      </c>
      <c r="AG159" s="15" t="inlineStr">
        <is>
          <t>100</t>
        </is>
      </c>
      <c r="AH159" s="15" t="n"/>
      <c r="AI159" s="15" t="inlineStr">
        <is>
          <t>104 / 104 / 0.2</t>
        </is>
      </c>
      <c r="AJ159" s="15" t="n"/>
      <c r="AK159" s="15" t="n"/>
      <c r="AL159" s="15" t="inlineStr">
        <is>
          <t>Levy Ostrup</t>
        </is>
      </c>
      <c r="AM159" s="15" t="inlineStr">
        <is>
          <t>Sept 30, 2026</t>
        </is>
      </c>
      <c r="AN159" s="15" t="n"/>
    </row>
    <row r="160">
      <c r="A160" s="15" t="inlineStr">
        <is>
          <t>RTD</t>
        </is>
      </c>
      <c r="B160" s="15" t="inlineStr">
        <is>
          <t>29103-ET-P1104-2-R-1</t>
        </is>
      </c>
      <c r="C160" s="15" t="inlineStr">
        <is>
          <t>29103-ET-P1104-2</t>
        </is>
      </c>
      <c r="D160" s="15" t="inlineStr">
        <is>
          <t>29103-HTP-002 (TB5 / CB-40)</t>
        </is>
      </c>
      <c r="E160" s="15" t="inlineStr">
        <is>
          <t>PRODUCED EMULSION</t>
        </is>
      </c>
      <c r="F160" s="15" t="inlineStr">
        <is>
          <t>29103-ET-P1104-2</t>
        </is>
      </c>
      <c r="G160" s="15" t="inlineStr">
        <is>
          <t>13.2</t>
        </is>
      </c>
      <c r="H160" s="15" t="inlineStr">
        <is>
          <t>1.7. 29103-HTP-002/2. RTD Inspection/29103-ET-P1104-2-R-1.pdf</t>
        </is>
      </c>
      <c r="I160" s="6" t="str">
        <f>IF($H160&lt;&gt;"","YES","NO")</f>
        <v>YES</v>
      </c>
      <c r="J160" s="6" t="str">
        <f>IF(N($T160)&gt;0,"YES","NO")</f>
        <v>YES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N/A</v>
      </c>
      <c r="O160" s="6" t="str">
        <f>IF(OR($A160="Power Cable",$A160="RTD Cable",$A160="Fieldbus Cable"),IF(AND($AE160&lt;&gt;""),"YES","NO"),"N/A")</f>
        <v>N/A</v>
      </c>
      <c r="P160" s="6" t="str">
        <f>IF(OR($A160="RTD"),IF(AND($AH160&lt;&gt;""),"YES","NO"),"N/A")</f>
        <v>NO</v>
      </c>
      <c r="Q160" s="6" t="str">
        <f>IF(OR($A160="RTD"),IF(AND($AI160&lt;&gt;""),"YES","NO"),"N/A")</f>
        <v>YES</v>
      </c>
      <c r="R160" s="6" t="str">
        <f>IF(OR($AM160&lt;&gt;"",$Z160&lt;&gt;"",$AC160&lt;&gt;""),"YES","NO")</f>
        <v>YES</v>
      </c>
      <c r="S160" s="6" t="str">
        <f>IF(COUNTIF(I160:R160,"NO")=0,"YES","NO")</f>
        <v>NO</v>
      </c>
      <c r="T160" s="15" t="n">
        <v>8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inlineStr">
        <is>
          <t>Fluke 179 70180306</t>
        </is>
      </c>
      <c r="AG160" s="15" t="inlineStr">
        <is>
          <t>100</t>
        </is>
      </c>
      <c r="AH160" s="15" t="n"/>
      <c r="AI160" s="15" t="inlineStr">
        <is>
          <t>104 / 104 / 0.2</t>
        </is>
      </c>
      <c r="AJ160" s="15" t="n"/>
      <c r="AK160" s="15" t="n"/>
      <c r="AL160" s="15" t="inlineStr">
        <is>
          <t>Levy Ostrup</t>
        </is>
      </c>
      <c r="AM160" s="15" t="inlineStr">
        <is>
          <t>Sept 30 2026</t>
        </is>
      </c>
      <c r="AN160" s="15" t="inlineStr">
        <is>
          <t>- RTD sitting on trace (MI)</t>
        </is>
      </c>
    </row>
    <row r="161">
      <c r="A161" s="15" t="inlineStr">
        <is>
          <t>RTD</t>
        </is>
      </c>
      <c r="B161" s="15" t="inlineStr">
        <is>
          <t>29103-ET-P1104-2-R-2</t>
        </is>
      </c>
      <c r="C161" s="15" t="inlineStr">
        <is>
          <t>29103-ET-P1104-2</t>
        </is>
      </c>
      <c r="D161" s="15" t="inlineStr">
        <is>
          <t>29103-HTP-002 (I/O 2-4 / TB-8)</t>
        </is>
      </c>
      <c r="E161" s="15" t="inlineStr">
        <is>
          <t>PRODUCED EMULSION</t>
        </is>
      </c>
      <c r="F161" s="15" t="inlineStr">
        <is>
          <t>29103-ET-P1104-2</t>
        </is>
      </c>
      <c r="G161" s="15" t="inlineStr">
        <is>
          <t>13.2</t>
        </is>
      </c>
      <c r="H161" s="15" t="inlineStr">
        <is>
          <t>1.7. 29103-HTP-002/2. RTD Inspection/29103-ET-P1104-2-R-2.pdf</t>
        </is>
      </c>
      <c r="I161" s="6" t="str">
        <f>IF($H161&lt;&gt;"","YES","NO")</f>
        <v>YES</v>
      </c>
      <c r="J161" s="6" t="str">
        <f>IF(N($T161)&gt;0,"YES","NO")</f>
        <v>YES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N/A</v>
      </c>
      <c r="O161" s="6" t="str">
        <f>IF(OR($A161="Power Cable",$A161="RTD Cable",$A161="Fieldbus Cable"),IF(AND($AE161&lt;&gt;""),"YES","NO"),"N/A")</f>
        <v>N/A</v>
      </c>
      <c r="P161" s="6" t="str">
        <f>IF(OR($A161="RTD"),IF(AND($AH161&lt;&gt;""),"YES","NO"),"N/A")</f>
        <v>NO</v>
      </c>
      <c r="Q161" s="6" t="str">
        <f>IF(OR($A161="RTD"),IF(AND($AI161&lt;&gt;""),"YES","NO"),"N/A")</f>
        <v>YES</v>
      </c>
      <c r="R161" s="6" t="str">
        <f>IF(OR($AM161&lt;&gt;"",$Z161&lt;&gt;"",$AC161&lt;&gt;""),"YES","NO")</f>
        <v>YES</v>
      </c>
      <c r="S161" s="6" t="str">
        <f>IF(COUNTIF(I161:R161,"NO")=0,"YES","NO")</f>
        <v>NO</v>
      </c>
      <c r="T161" s="15" t="n">
        <v>9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inlineStr">
        <is>
          <t>Fluke 179 70180306</t>
        </is>
      </c>
      <c r="AG161" s="15" t="inlineStr">
        <is>
          <t>100</t>
        </is>
      </c>
      <c r="AH161" s="15" t="n"/>
      <c r="AI161" s="15" t="inlineStr">
        <is>
          <t>104 / 104 / 0.2</t>
        </is>
      </c>
      <c r="AJ161" s="15" t="n"/>
      <c r="AK161" s="15" t="n"/>
      <c r="AL161" s="15" t="inlineStr">
        <is>
          <t>Levy Ostrup</t>
        </is>
      </c>
      <c r="AM161" s="15" t="inlineStr">
        <is>
          <t>Sept 29 2026</t>
        </is>
      </c>
      <c r="AN161" s="15" t="n"/>
    </row>
    <row r="162">
      <c r="A162" s="15" t="inlineStr">
        <is>
          <t>RTD</t>
        </is>
      </c>
      <c r="B162" s="15" t="inlineStr">
        <is>
          <t>29103-ET-P1201-1-R-1</t>
        </is>
      </c>
      <c r="C162" s="15" t="inlineStr">
        <is>
          <t>29103-ET-P1201-1</t>
        </is>
      </c>
      <c r="D162" s="15" t="inlineStr">
        <is>
          <t>29103-HTP-002 HTC-39</t>
        </is>
      </c>
      <c r="E162" s="15" t="inlineStr">
        <is>
          <t>PRODUCED EMULSION</t>
        </is>
      </c>
      <c r="F162" s="15" t="inlineStr">
        <is>
          <t>29103-65R-ET-P1201-01-01</t>
        </is>
      </c>
      <c r="G162" s="15" t="inlineStr">
        <is>
          <t>13.2</t>
        </is>
      </c>
      <c r="H162" s="15" t="inlineStr">
        <is>
          <t>1.7. 29103-HTP-002/2. RTD Inspection/29103-ET-P1201-1-R-1.pdf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N/A</v>
      </c>
      <c r="O162" s="6" t="str">
        <f>IF(OR($A162="Power Cable",$A162="RTD Cable",$A162="Fieldbus Cable"),IF(AND($AE162&lt;&gt;""),"YES","NO"),"N/A")</f>
        <v>N/A</v>
      </c>
      <c r="P162" s="6" t="str">
        <f>IF(OR($A162="RTD"),IF(AND($AH162&lt;&gt;""),"YES","NO"),"N/A")</f>
        <v>NO</v>
      </c>
      <c r="Q162" s="6" t="str">
        <f>IF(OR($A162="RTD"),IF(AND($AI162&lt;&gt;""),"YES","NO"),"N/A")</f>
        <v>NO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inlineStr">
        <is>
          <t>Levy Ostrup</t>
        </is>
      </c>
      <c r="AM162" s="15" t="n"/>
      <c r="AN162" s="15" t="n"/>
    </row>
    <row r="163">
      <c r="A163" s="15" t="inlineStr">
        <is>
          <t>RTD</t>
        </is>
      </c>
      <c r="B163" s="15" t="inlineStr">
        <is>
          <t>29103-ET-P1204-1-R-1</t>
        </is>
      </c>
      <c r="C163" s="15" t="inlineStr">
        <is>
          <t>29103-ET-P1204-1</t>
        </is>
      </c>
      <c r="D163" s="15" t="inlineStr">
        <is>
          <t>29103-HTP-002 HTC-27</t>
        </is>
      </c>
      <c r="E163" s="15" t="inlineStr">
        <is>
          <t>PRODUCED EMULSION</t>
        </is>
      </c>
      <c r="F163" s="15" t="inlineStr">
        <is>
          <t>29103-65R-ET-P1204-01-01</t>
        </is>
      </c>
      <c r="G163" s="15" t="inlineStr">
        <is>
          <t>13.2</t>
        </is>
      </c>
      <c r="H163" s="15" t="inlineStr">
        <is>
          <t>1.7. 29103-HTP-002/2. RTD Inspection/29103-ET-P1204-1-R-1.pdf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N/A</v>
      </c>
      <c r="O163" s="6" t="str">
        <f>IF(OR($A163="Power Cable",$A163="RTD Cable",$A163="Fieldbus Cable"),IF(AND($AE163&lt;&gt;""),"YES","NO"),"N/A")</f>
        <v>N/A</v>
      </c>
      <c r="P163" s="6" t="str">
        <f>IF(OR($A163="RTD"),IF(AND($AH163&lt;&gt;""),"YES","NO"),"N/A")</f>
        <v>NO</v>
      </c>
      <c r="Q163" s="6" t="str">
        <f>IF(OR($A163="RTD"),IF(AND($AI163&lt;&gt;""),"YES","NO"),"N/A")</f>
        <v>NO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  <c r="AL163" s="15" t="inlineStr">
        <is>
          <t>Levy Ostrup</t>
        </is>
      </c>
      <c r="AM163" s="15" t="n"/>
      <c r="AN163" s="15" t="n"/>
    </row>
    <row r="164">
      <c r="A164" s="15" t="inlineStr">
        <is>
          <t>RTD</t>
        </is>
      </c>
      <c r="B164" s="15" t="inlineStr">
        <is>
          <t>29103-ET-P1204-1-R-2</t>
        </is>
      </c>
      <c r="C164" s="15" t="inlineStr">
        <is>
          <t>29103-ET-P1204-1</t>
        </is>
      </c>
      <c r="D164" s="15" t="inlineStr">
        <is>
          <t>29103-HTP-002 (TB8 / I/O 4-2)</t>
        </is>
      </c>
      <c r="E164" s="15" t="inlineStr">
        <is>
          <t>PRODUCED EMULSION</t>
        </is>
      </c>
      <c r="F164" s="15" t="inlineStr">
        <is>
          <t>29103-ET-P1204-1</t>
        </is>
      </c>
      <c r="G164" s="15" t="inlineStr">
        <is>
          <t>13.2</t>
        </is>
      </c>
      <c r="H164" s="15" t="inlineStr">
        <is>
          <t>1.7. 29103-HTP-002/2. RTD Inspection/29103-ET-P1204-1-R-2.pdf</t>
        </is>
      </c>
      <c r="I164" s="6" t="str">
        <f>IF($H164&lt;&gt;"","YES","NO")</f>
        <v>YES</v>
      </c>
      <c r="J164" s="6" t="str">
        <f>IF(N($T164)&gt;0,"YES","NO")</f>
        <v>YES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N/A</v>
      </c>
      <c r="O164" s="6" t="str">
        <f>IF(OR($A164="Power Cable",$A164="RTD Cable",$A164="Fieldbus Cable"),IF(AND($AE164&lt;&gt;""),"YES","NO"),"N/A")</f>
        <v>N/A</v>
      </c>
      <c r="P164" s="6" t="str">
        <f>IF(OR($A164="RTD"),IF(AND($AH164&lt;&gt;""),"YES","NO"),"N/A")</f>
        <v>NO</v>
      </c>
      <c r="Q164" s="6" t="str">
        <f>IF(OR($A164="RTD"),IF(AND($AI164&lt;&gt;""),"YES","NO"),"N/A")</f>
        <v>YES</v>
      </c>
      <c r="R164" s="6" t="str">
        <f>IF(OR($AM164&lt;&gt;"",$Z164&lt;&gt;"",$AC164&lt;&gt;""),"YES","NO")</f>
        <v>YES</v>
      </c>
      <c r="S164" s="6" t="str">
        <f>IF(COUNTIF(I164:R164,"NO")=0,"YES","NO")</f>
        <v>NO</v>
      </c>
      <c r="T164" s="15" t="n">
        <v>9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inlineStr">
        <is>
          <t>Fluke 179 70180306</t>
        </is>
      </c>
      <c r="AG164" s="15" t="inlineStr">
        <is>
          <t>100</t>
        </is>
      </c>
      <c r="AH164" s="15" t="n"/>
      <c r="AI164" s="15" t="inlineStr">
        <is>
          <t>104 / 104 / 0.2</t>
        </is>
      </c>
      <c r="AJ164" s="15" t="n"/>
      <c r="AK164" s="15" t="n"/>
      <c r="AL164" s="15" t="inlineStr">
        <is>
          <t>Levy Ostrup</t>
        </is>
      </c>
      <c r="AM164" s="15" t="inlineStr">
        <is>
          <t>Sept 30, 2026</t>
        </is>
      </c>
      <c r="AN164" s="15" t="n"/>
    </row>
    <row r="165">
      <c r="A165" s="15" t="inlineStr">
        <is>
          <t>RTD</t>
        </is>
      </c>
      <c r="B165" s="15" t="inlineStr">
        <is>
          <t>29103-ET-P1204-2-R-1</t>
        </is>
      </c>
      <c r="C165" s="15" t="inlineStr">
        <is>
          <t>29103-ET-P1204-2</t>
        </is>
      </c>
      <c r="D165" s="15" t="inlineStr">
        <is>
          <t>29103-HTP-002 (TB5 / HTC-29)</t>
        </is>
      </c>
      <c r="E165" s="15" t="inlineStr">
        <is>
          <t>PRODUCED EMULSION</t>
        </is>
      </c>
      <c r="F165" s="15" t="inlineStr">
        <is>
          <t>29103-ET-P1204-2</t>
        </is>
      </c>
      <c r="G165" s="15" t="inlineStr">
        <is>
          <t>13.2</t>
        </is>
      </c>
      <c r="H165" s="15" t="inlineStr">
        <is>
          <t>1.7. 29103-HTP-002/2. RTD Inspection/29103-ET-P1204-2-R-1.pdf</t>
        </is>
      </c>
      <c r="I165" s="6" t="str">
        <f>IF($H165&lt;&gt;"","YES","NO")</f>
        <v>YES</v>
      </c>
      <c r="J165" s="6" t="str">
        <f>IF(N($T165)&gt;0,"YES","NO")</f>
        <v>YES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N/A</v>
      </c>
      <c r="O165" s="6" t="str">
        <f>IF(OR($A165="Power Cable",$A165="RTD Cable",$A165="Fieldbus Cable"),IF(AND($AE165&lt;&gt;""),"YES","NO"),"N/A")</f>
        <v>N/A</v>
      </c>
      <c r="P165" s="6" t="str">
        <f>IF(OR($A165="RTD"),IF(AND($AH165&lt;&gt;""),"YES","NO"),"N/A")</f>
        <v>NO</v>
      </c>
      <c r="Q165" s="6" t="str">
        <f>IF(OR($A165="RTD"),IF(AND($AI165&lt;&gt;""),"YES","NO"),"N/A")</f>
        <v>YES</v>
      </c>
      <c r="R165" s="6" t="str">
        <f>IF(OR($AM165&lt;&gt;"",$Z165&lt;&gt;"",$AC165&lt;&gt;""),"YES","NO")</f>
        <v>YES</v>
      </c>
      <c r="S165" s="6" t="str">
        <f>IF(COUNTIF(I165:R165,"NO")=0,"YES","NO")</f>
        <v>NO</v>
      </c>
      <c r="T165" s="15" t="n">
        <v>9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inlineStr">
        <is>
          <t>Fluke 179 70180306</t>
        </is>
      </c>
      <c r="AG165" s="15" t="inlineStr">
        <is>
          <t>100</t>
        </is>
      </c>
      <c r="AH165" s="15" t="n"/>
      <c r="AI165" s="15" t="inlineStr">
        <is>
          <t>104 / 104 / 0.2</t>
        </is>
      </c>
      <c r="AJ165" s="15" t="n"/>
      <c r="AK165" s="15" t="n"/>
      <c r="AL165" s="15" t="inlineStr">
        <is>
          <t>Levy Ostrup</t>
        </is>
      </c>
      <c r="AM165" s="15" t="inlineStr">
        <is>
          <t>Sept 30, 2026</t>
        </is>
      </c>
      <c r="AN165" s="15" t="n"/>
    </row>
    <row r="166">
      <c r="A166" s="15" t="inlineStr">
        <is>
          <t>RTD</t>
        </is>
      </c>
      <c r="B166" s="15" t="inlineStr">
        <is>
          <t>29103-ET-P1204-2-R-2</t>
        </is>
      </c>
      <c r="C166" s="15" t="inlineStr">
        <is>
          <t>29103-ET-P1204-2</t>
        </is>
      </c>
      <c r="D166" s="15" t="inlineStr">
        <is>
          <t>29103-HTP-002 I/O-4-3</t>
        </is>
      </c>
      <c r="E166" s="15" t="inlineStr">
        <is>
          <t>PRODUCED EMULSION</t>
        </is>
      </c>
      <c r="F166" s="15" t="inlineStr">
        <is>
          <t>29103-65R-ET-P1204-02-01</t>
        </is>
      </c>
      <c r="G166" s="15" t="inlineStr">
        <is>
          <t>13.2</t>
        </is>
      </c>
      <c r="H166" s="15" t="inlineStr">
        <is>
          <t>1.7. 29103-HTP-002/2. RTD Inspection/29103-ET-P1204-2-R-2.pdf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N/A</v>
      </c>
      <c r="O166" s="6" t="str">
        <f>IF(OR($A166="Power Cable",$A166="RTD Cable",$A166="Fieldbus Cable"),IF(AND($AE166&lt;&gt;""),"YES","NO"),"N/A")</f>
        <v>N/A</v>
      </c>
      <c r="P166" s="6" t="str">
        <f>IF(OR($A166="RTD"),IF(AND($AH166&lt;&gt;""),"YES","NO"),"N/A")</f>
        <v>NO</v>
      </c>
      <c r="Q166" s="6" t="str">
        <f>IF(OR($A166="RTD"),IF(AND($AI166&lt;&gt;""),"YES","NO"),"N/A")</f>
        <v>NO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inlineStr">
        <is>
          <t>Levy Ostrup</t>
        </is>
      </c>
      <c r="AM166" s="15" t="n"/>
      <c r="AN166" s="15" t="n"/>
    </row>
    <row r="167">
      <c r="A167" s="15" t="inlineStr">
        <is>
          <t>RTD</t>
        </is>
      </c>
      <c r="B167" s="15" t="inlineStr">
        <is>
          <t>29103-ET-P1301-1-R-1</t>
        </is>
      </c>
      <c r="C167" s="15" t="inlineStr">
        <is>
          <t>29103-ET-P1301-1</t>
        </is>
      </c>
      <c r="D167" s="15" t="inlineStr">
        <is>
          <t>29103-HTP-002 HTC-38</t>
        </is>
      </c>
      <c r="E167" s="15" t="inlineStr">
        <is>
          <t>PRODUCED EMULSION</t>
        </is>
      </c>
      <c r="F167" s="15" t="inlineStr">
        <is>
          <t>29103-65R-ET-P1301-01-01</t>
        </is>
      </c>
      <c r="G167" s="15" t="inlineStr">
        <is>
          <t>13.2</t>
        </is>
      </c>
      <c r="H167" s="15" t="inlineStr">
        <is>
          <t>1.7. 29103-HTP-002/2. RTD Inspection/29103-ET-P1301-1-R-1.pdf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N/A</v>
      </c>
      <c r="O167" s="6" t="str">
        <f>IF(OR($A167="Power Cable",$A167="RTD Cable",$A167="Fieldbus Cable"),IF(AND($AE167&lt;&gt;""),"YES","NO"),"N/A")</f>
        <v>N/A</v>
      </c>
      <c r="P167" s="6" t="str">
        <f>IF(OR($A167="RTD"),IF(AND($AH167&lt;&gt;""),"YES","NO"),"N/A")</f>
        <v>NO</v>
      </c>
      <c r="Q167" s="6" t="str">
        <f>IF(OR($A167="RTD"),IF(AND($AI167&lt;&gt;""),"YES","NO"),"N/A")</f>
        <v>NO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n"/>
      <c r="AK167" s="15" t="n"/>
      <c r="AL167" s="15" t="inlineStr">
        <is>
          <t>Levy Ostrup</t>
        </is>
      </c>
      <c r="AM167" s="15" t="n"/>
      <c r="AN167" s="15" t="n"/>
    </row>
    <row r="168">
      <c r="A168" s="15" t="inlineStr">
        <is>
          <t>RTD</t>
        </is>
      </c>
      <c r="B168" s="15" t="inlineStr">
        <is>
          <t>29103-ET-P1304-1-R-1</t>
        </is>
      </c>
      <c r="C168" s="15" t="inlineStr">
        <is>
          <t>29103-ET-P1304-1</t>
        </is>
      </c>
      <c r="D168" s="15" t="inlineStr">
        <is>
          <t>29103-HTP-002 HTC-09</t>
        </is>
      </c>
      <c r="E168" s="15" t="inlineStr">
        <is>
          <t>PRODUCED EMULSION</t>
        </is>
      </c>
      <c r="F168" s="15" t="inlineStr">
        <is>
          <t>29103-65R-ET-P1304-01-01</t>
        </is>
      </c>
      <c r="G168" s="15" t="inlineStr">
        <is>
          <t>13.2</t>
        </is>
      </c>
      <c r="H168" s="15" t="inlineStr">
        <is>
          <t>1.7. 29103-HTP-002/2. RTD Inspection/29103-ET-P1304-1-R-1.pdf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N/A</v>
      </c>
      <c r="O168" s="6" t="str">
        <f>IF(OR($A168="Power Cable",$A168="RTD Cable",$A168="Fieldbus Cable"),IF(AND($AE168&lt;&gt;""),"YES","NO"),"N/A")</f>
        <v>N/A</v>
      </c>
      <c r="P168" s="6" t="str">
        <f>IF(OR($A168="RTD"),IF(AND($AH168&lt;&gt;""),"YES","NO"),"N/A")</f>
        <v>NO</v>
      </c>
      <c r="Q168" s="6" t="str">
        <f>IF(OR($A168="RTD"),IF(AND($AI168&lt;&gt;""),"YES","NO"),"N/A")</f>
        <v>NO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29103-ET-P1304-1-R-2</t>
        </is>
      </c>
      <c r="C169" s="15" t="inlineStr">
        <is>
          <t>29103-ET-P1304-1</t>
        </is>
      </c>
      <c r="D169" s="15" t="inlineStr">
        <is>
          <t>29103-HTP-002 I/O-1-3</t>
        </is>
      </c>
      <c r="E169" s="15" t="inlineStr">
        <is>
          <t>PRODUCED EMULSION</t>
        </is>
      </c>
      <c r="F169" s="15" t="inlineStr">
        <is>
          <t>29103-65R-ET-P1304-01-01</t>
        </is>
      </c>
      <c r="G169" s="15" t="inlineStr">
        <is>
          <t>13.2</t>
        </is>
      </c>
      <c r="H169" s="15" t="inlineStr">
        <is>
          <t>1.7. 29103-HTP-002/2. RTD Inspection/29103-ET-P1304-1-R-2.pdf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29103-ET-P1304-2-R-1</t>
        </is>
      </c>
      <c r="C170" s="15" t="inlineStr">
        <is>
          <t>29103-ET-P1304-2</t>
        </is>
      </c>
      <c r="D170" s="15" t="inlineStr">
        <is>
          <t>29103-HTP-002 HTC-19</t>
        </is>
      </c>
      <c r="E170" s="15" t="inlineStr">
        <is>
          <t>PRODUCED EMULSION</t>
        </is>
      </c>
      <c r="F170" s="15" t="inlineStr">
        <is>
          <t>29103-65R-ET-P1304-02-01</t>
        </is>
      </c>
      <c r="G170" s="15" t="inlineStr">
        <is>
          <t>13.2</t>
        </is>
      </c>
      <c r="H170" s="15" t="inlineStr">
        <is>
          <t>1.7. 29103-HTP-002/2. RTD Inspection/29103-ET-P1304-2-R-1.pdf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29103-ET-P1304-2-R-2</t>
        </is>
      </c>
      <c r="C171" s="15" t="inlineStr">
        <is>
          <t>29103-ET-P1304-2</t>
        </is>
      </c>
      <c r="D171" s="15" t="inlineStr">
        <is>
          <t>29103-HTP-002 I/O-3-3</t>
        </is>
      </c>
      <c r="E171" s="15" t="inlineStr">
        <is>
          <t>PRODUCED EMULSION</t>
        </is>
      </c>
      <c r="F171" s="15" t="inlineStr">
        <is>
          <t>29103-65R-ET-P1304-02-01</t>
        </is>
      </c>
      <c r="G171" s="15" t="inlineStr">
        <is>
          <t>13.2</t>
        </is>
      </c>
      <c r="H171" s="15" t="inlineStr">
        <is>
          <t>1.7. 29103-HTP-002/2. RTD Inspection/29103-ET-P1304-2-R-2.pdf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29103-ET-P1401-1-R-1</t>
        </is>
      </c>
      <c r="C172" s="15" t="inlineStr">
        <is>
          <t>29103-ET-P1401-1</t>
        </is>
      </c>
      <c r="D172" s="15" t="inlineStr">
        <is>
          <t>29103-HTP-002 HTC-05</t>
        </is>
      </c>
      <c r="E172" s="15" t="inlineStr">
        <is>
          <t>PRODUCED EMULSION</t>
        </is>
      </c>
      <c r="F172" s="15" t="inlineStr">
        <is>
          <t>29103-65R-ET-P1401-01-01</t>
        </is>
      </c>
      <c r="G172" s="15" t="inlineStr">
        <is>
          <t>13.2</t>
        </is>
      </c>
      <c r="H172" s="15" t="inlineStr">
        <is>
          <t>1.7. 29103-HTP-002/2. RTD Inspection/29103-ET-P1401-1-R-1.pdf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29103-ET-P1800-1-R-1</t>
        </is>
      </c>
      <c r="C173" s="15" t="inlineStr">
        <is>
          <t>29103-ET-P1800-1</t>
        </is>
      </c>
      <c r="D173" s="15" t="inlineStr">
        <is>
          <t>29103-HTP-002 (TB-5 / CB-26)</t>
        </is>
      </c>
      <c r="E173" s="15" t="inlineStr">
        <is>
          <t>PRODUCED EMULSION</t>
        </is>
      </c>
      <c r="F173" s="15" t="inlineStr">
        <is>
          <t>29103-ET-P1800-1</t>
        </is>
      </c>
      <c r="G173" s="15" t="inlineStr">
        <is>
          <t>13.2</t>
        </is>
      </c>
      <c r="H173" s="15" t="inlineStr">
        <is>
          <t>1.7. 29103-HTP-002/2. RTD Inspection/29103-ET-P1800-1-R-1.pdf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YES</v>
      </c>
      <c r="R173" s="6" t="str">
        <f>IF(OR($AM173&lt;&gt;"",$Z173&lt;&gt;"",$AC173&lt;&gt;""),"YES","NO")</f>
        <v>YES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inlineStr">
        <is>
          <t>Fluke 179 70180306</t>
        </is>
      </c>
      <c r="AG173" s="15" t="n"/>
      <c r="AH173" s="15" t="n"/>
      <c r="AI173" s="15" t="inlineStr">
        <is>
          <t>104 / 104 / 0.2</t>
        </is>
      </c>
      <c r="AJ173" s="15" t="n"/>
      <c r="AK173" s="15" t="n"/>
      <c r="AL173" s="15" t="inlineStr">
        <is>
          <t>Levy Ostrup</t>
        </is>
      </c>
      <c r="AM173" s="15" t="inlineStr">
        <is>
          <t>Sept 29 2026</t>
        </is>
      </c>
      <c r="AN173" s="15" t="n"/>
    </row>
    <row r="174">
      <c r="A174" s="15" t="inlineStr">
        <is>
          <t>RTD</t>
        </is>
      </c>
      <c r="B174" s="15" t="inlineStr">
        <is>
          <t>29103-ET-P1800-2-R-1</t>
        </is>
      </c>
      <c r="C174" s="15" t="inlineStr">
        <is>
          <t>29103-ET-P1800-2</t>
        </is>
      </c>
      <c r="D174" s="15" t="inlineStr">
        <is>
          <t>29103-HTP-002 HTC-16</t>
        </is>
      </c>
      <c r="E174" s="15" t="inlineStr">
        <is>
          <t>PRODUCED EMULSION</t>
        </is>
      </c>
      <c r="F174" s="15" t="inlineStr">
        <is>
          <t>29103-65R-ET-P1800-02-01</t>
        </is>
      </c>
      <c r="G174" s="15" t="inlineStr">
        <is>
          <t>13.2</t>
        </is>
      </c>
      <c r="H174" s="15" t="inlineStr">
        <is>
          <t>1.7. 29103-HTP-002/2. RTD Inspection/29103-ET-P1800-2-R-1.pdf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29103-ET-PE1101-1-R-1</t>
        </is>
      </c>
      <c r="C175" s="15" t="inlineStr">
        <is>
          <t>29103-ET-PE1101-1</t>
        </is>
      </c>
      <c r="D175" s="15" t="inlineStr">
        <is>
          <t>29103-HTP-002 (TB-5 / CB-25)</t>
        </is>
      </c>
      <c r="E175" s="15" t="inlineStr">
        <is>
          <t>PRODUCED EMULSION</t>
        </is>
      </c>
      <c r="F175" s="15" t="inlineStr">
        <is>
          <t>29103-ET-PE1101-1</t>
        </is>
      </c>
      <c r="G175" s="15" t="inlineStr">
        <is>
          <t>13.2</t>
        </is>
      </c>
      <c r="H175" s="15" t="inlineStr">
        <is>
          <t>1.7. 29103-HTP-002/2. RTD Inspection/29103-ET-PE1101-1-R-1.pdf</t>
        </is>
      </c>
      <c r="I175" s="6" t="str">
        <f>IF($H175&lt;&gt;"","YES","NO")</f>
        <v>YES</v>
      </c>
      <c r="J175" s="6" t="str">
        <f>IF(N($T175)&gt;0,"YES","NO")</f>
        <v>YES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YES</v>
      </c>
      <c r="R175" s="6" t="str">
        <f>IF(OR($AM175&lt;&gt;"",$Z175&lt;&gt;"",$AC175&lt;&gt;""),"YES","NO")</f>
        <v>YES</v>
      </c>
      <c r="S175" s="6" t="str">
        <f>IF(COUNTIF(I175:R175,"NO")=0,"YES","NO")</f>
        <v>NO</v>
      </c>
      <c r="T175" s="15" t="n">
        <v>9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inlineStr">
        <is>
          <t>Fluke 179 70180306</t>
        </is>
      </c>
      <c r="AG175" s="15" t="n"/>
      <c r="AH175" s="15" t="n"/>
      <c r="AI175" s="15" t="inlineStr">
        <is>
          <t>104 / 104 / 0.2</t>
        </is>
      </c>
      <c r="AJ175" s="15" t="n"/>
      <c r="AK175" s="15" t="n"/>
      <c r="AL175" s="15" t="inlineStr">
        <is>
          <t>Levy Ostrup</t>
        </is>
      </c>
      <c r="AM175" s="15" t="inlineStr">
        <is>
          <t>Sept 29 2026</t>
        </is>
      </c>
      <c r="AN175" s="15" t="n"/>
    </row>
    <row r="176">
      <c r="A176" s="15" t="inlineStr">
        <is>
          <t>RTD</t>
        </is>
      </c>
      <c r="B176" s="15" t="inlineStr">
        <is>
          <t>29103-ET-PE1101-2-R-1</t>
        </is>
      </c>
      <c r="C176" s="15" t="inlineStr">
        <is>
          <t>29103-ET-PE1101-2</t>
        </is>
      </c>
      <c r="D176" s="15" t="inlineStr">
        <is>
          <t>29103-HTP-002 (I/O 1-4 / TB-8)</t>
        </is>
      </c>
      <c r="E176" s="15" t="inlineStr">
        <is>
          <t>PRODUCED EMULSION</t>
        </is>
      </c>
      <c r="F176" s="15" t="inlineStr">
        <is>
          <t>29103-ET-PE1101-2</t>
        </is>
      </c>
      <c r="G176" s="15" t="inlineStr">
        <is>
          <t>13.2</t>
        </is>
      </c>
      <c r="H176" s="15" t="inlineStr">
        <is>
          <t>1.7. 29103-HTP-002/2. RTD Inspection/29103-ET-PE1101-2-R-1.pdf</t>
        </is>
      </c>
      <c r="I176" s="6" t="str">
        <f>IF($H176&lt;&gt;"","YES","NO")</f>
        <v>YES</v>
      </c>
      <c r="J176" s="6" t="str">
        <f>IF(N($T176)&gt;0,"YES","NO")</f>
        <v>YES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YES</v>
      </c>
      <c r="R176" s="6" t="str">
        <f>IF(OR($AM176&lt;&gt;"",$Z176&lt;&gt;"",$AC176&lt;&gt;""),"YES","NO")</f>
        <v>YES</v>
      </c>
      <c r="S176" s="6" t="str">
        <f>IF(COUNTIF(I176:R176,"NO")=0,"YES","NO")</f>
        <v>NO</v>
      </c>
      <c r="T176" s="15" t="n">
        <v>9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inlineStr">
        <is>
          <t>Fluke 179 70180306</t>
        </is>
      </c>
      <c r="AG176" s="15" t="inlineStr">
        <is>
          <t>100</t>
        </is>
      </c>
      <c r="AH176" s="15" t="n"/>
      <c r="AI176" s="15" t="inlineStr">
        <is>
          <t>104 / 104 / 0.2</t>
        </is>
      </c>
      <c r="AJ176" s="15" t="n"/>
      <c r="AK176" s="15" t="n"/>
      <c r="AL176" s="15" t="inlineStr">
        <is>
          <t>Levy Ostrup</t>
        </is>
      </c>
      <c r="AM176" s="15" t="inlineStr">
        <is>
          <t>Sept 30 2026</t>
        </is>
      </c>
      <c r="AN176" s="15" t="n"/>
    </row>
    <row r="177">
      <c r="A177" s="15" t="inlineStr">
        <is>
          <t>RTD</t>
        </is>
      </c>
      <c r="B177" s="15" t="inlineStr">
        <is>
          <t>29103-ET-PE1101-2-R-2</t>
        </is>
      </c>
      <c r="C177" s="15" t="inlineStr">
        <is>
          <t>29103-ET-PE1101-2</t>
        </is>
      </c>
      <c r="D177" s="15" t="inlineStr">
        <is>
          <t>29103-HTP-002 (I/O 1-4 / TB-8)</t>
        </is>
      </c>
      <c r="E177" s="15" t="inlineStr">
        <is>
          <t>PRODUCED EMULSION</t>
        </is>
      </c>
      <c r="F177" s="15" t="inlineStr">
        <is>
          <t>29103-ET-PE1101-2</t>
        </is>
      </c>
      <c r="G177" s="15" t="inlineStr">
        <is>
          <t>13.2</t>
        </is>
      </c>
      <c r="H177" s="15" t="inlineStr">
        <is>
          <t>1.7. 29103-HTP-002/2. RTD Inspection/29103-ET-PE1101-2-R-2.pdf</t>
        </is>
      </c>
      <c r="I177" s="6" t="str">
        <f>IF($H177&lt;&gt;"","YES","NO")</f>
        <v>YES</v>
      </c>
      <c r="J177" s="6" t="str">
        <f>IF(N($T177)&gt;0,"YES","NO")</f>
        <v>YES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YES</v>
      </c>
      <c r="R177" s="6" t="str">
        <f>IF(OR($AM177&lt;&gt;"",$Z177&lt;&gt;"",$AC177&lt;&gt;""),"YES","NO")</f>
        <v>YES</v>
      </c>
      <c r="S177" s="6" t="str">
        <f>IF(COUNTIF(I177:R177,"NO")=0,"YES","NO")</f>
        <v>NO</v>
      </c>
      <c r="T177" s="15" t="n">
        <v>9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inlineStr">
        <is>
          <t>Fluke 179 70180306</t>
        </is>
      </c>
      <c r="AG177" s="15" t="inlineStr">
        <is>
          <t>100</t>
        </is>
      </c>
      <c r="AH177" s="15" t="n"/>
      <c r="AI177" s="15" t="inlineStr">
        <is>
          <t>104 Ω / 104 Ω / 0.2 Ω</t>
        </is>
      </c>
      <c r="AJ177" s="15" t="n"/>
      <c r="AK177" s="15" t="n"/>
      <c r="AL177" s="15" t="inlineStr">
        <is>
          <t>Levy Ostrup</t>
        </is>
      </c>
      <c r="AM177" s="15" t="inlineStr">
        <is>
          <t>Sept 29 2026</t>
        </is>
      </c>
      <c r="AN177" s="15" t="n"/>
    </row>
    <row r="178">
      <c r="A178" s="15" t="inlineStr">
        <is>
          <t>RTD</t>
        </is>
      </c>
      <c r="B178" s="15" t="inlineStr">
        <is>
          <t>29103-ET-PE1102-1-R-1</t>
        </is>
      </c>
      <c r="C178" s="15" t="inlineStr">
        <is>
          <t>29103-ET-PE1102-1</t>
        </is>
      </c>
      <c r="D178" s="15" t="inlineStr">
        <is>
          <t>29103-HTP-002 (TB5 / CB-23)</t>
        </is>
      </c>
      <c r="E178" s="15" t="inlineStr">
        <is>
          <t>PRODUCED EMULSION</t>
        </is>
      </c>
      <c r="F178" s="15" t="inlineStr">
        <is>
          <t>29103-ET-PE1102-1</t>
        </is>
      </c>
      <c r="G178" s="15" t="inlineStr">
        <is>
          <t>13.2</t>
        </is>
      </c>
      <c r="H178" s="15" t="inlineStr">
        <is>
          <t>1.7. 29103-HTP-002/2. RTD Inspection/29103-ET-PE1102-1-R-1.pdf</t>
        </is>
      </c>
      <c r="I178" s="6" t="str">
        <f>IF($H178&lt;&gt;"","YES","NO")</f>
        <v>YES</v>
      </c>
      <c r="J178" s="6" t="str">
        <f>IF(N($T178)&gt;0,"YES","NO")</f>
        <v>YES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YES</v>
      </c>
      <c r="R178" s="6" t="str">
        <f>IF(OR($AM178&lt;&gt;"",$Z178&lt;&gt;"",$AC178&lt;&gt;""),"YES","NO")</f>
        <v>YES</v>
      </c>
      <c r="S178" s="6" t="str">
        <f>IF(COUNTIF(I178:R178,"NO")=0,"YES","NO")</f>
        <v>NO</v>
      </c>
      <c r="T178" s="15" t="n">
        <v>8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inlineStr">
        <is>
          <t>Fluke 179 70180306</t>
        </is>
      </c>
      <c r="AG178" s="15" t="inlineStr">
        <is>
          <t>100</t>
        </is>
      </c>
      <c r="AH178" s="15" t="n"/>
      <c r="AI178" s="15" t="inlineStr">
        <is>
          <t>102 Ω / 102 Ω / 102 Ω</t>
        </is>
      </c>
      <c r="AJ178" s="15" t="n"/>
      <c r="AK178" s="15" t="n"/>
      <c r="AL178" s="15" t="inlineStr">
        <is>
          <t>Levy Ostrup</t>
        </is>
      </c>
      <c r="AM178" s="15" t="inlineStr">
        <is>
          <t>Sept 30 2026</t>
        </is>
      </c>
      <c r="AN178" s="15" t="inlineStr">
        <is>
          <t>No stainless steel tags on the JB or the RTD, also not terminated and no core markers. | No core markers for the RTD.</t>
        </is>
      </c>
    </row>
    <row r="179">
      <c r="A179" s="15" t="inlineStr">
        <is>
          <t>RTD</t>
        </is>
      </c>
      <c r="B179" s="15" t="inlineStr">
        <is>
          <t>29103-ET-PE1102-1-R-2</t>
        </is>
      </c>
      <c r="C179" s="15" t="inlineStr">
        <is>
          <t>29103-ET-PE1102-1</t>
        </is>
      </c>
      <c r="D179" s="15" t="inlineStr">
        <is>
          <t>29103-HTP-002 (TB5 / HTC-23)</t>
        </is>
      </c>
      <c r="E179" s="15" t="inlineStr">
        <is>
          <t>PRODUCED EMULSION</t>
        </is>
      </c>
      <c r="F179" s="15" t="inlineStr">
        <is>
          <t>29103-ET-PE-1102-1</t>
        </is>
      </c>
      <c r="G179" s="15" t="inlineStr">
        <is>
          <t>13.2</t>
        </is>
      </c>
      <c r="H179" s="15" t="inlineStr">
        <is>
          <t>1.7. 29103-HTP-002/2. RTD Inspection/29103-ET-PE1102-1-R-2.pdf</t>
        </is>
      </c>
      <c r="I179" s="6" t="str">
        <f>IF($H179&lt;&gt;"","YES","NO")</f>
        <v>YES</v>
      </c>
      <c r="J179" s="6" t="str">
        <f>IF(N($T179)&gt;0,"YES","NO")</f>
        <v>YES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YES</v>
      </c>
      <c r="R179" s="6" t="str">
        <f>IF(OR($AM179&lt;&gt;"",$Z179&lt;&gt;"",$AC179&lt;&gt;""),"YES","NO")</f>
        <v>YES</v>
      </c>
      <c r="S179" s="6" t="str">
        <f>IF(COUNTIF(I179:R179,"NO")=0,"YES","NO")</f>
        <v>NO</v>
      </c>
      <c r="T179" s="15" t="n">
        <v>9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inlineStr">
        <is>
          <t>Fluke 179 70180306</t>
        </is>
      </c>
      <c r="AG179" s="15" t="inlineStr">
        <is>
          <t>100</t>
        </is>
      </c>
      <c r="AH179" s="15" t="n"/>
      <c r="AI179" s="15" t="inlineStr">
        <is>
          <t>104 Ω / 104 Ω / 0.2 Ω</t>
        </is>
      </c>
      <c r="AJ179" s="15" t="n"/>
      <c r="AK179" s="15" t="n"/>
      <c r="AL179" s="15" t="inlineStr">
        <is>
          <t>Levy Ostrup</t>
        </is>
      </c>
      <c r="AM179" s="15" t="inlineStr">
        <is>
          <t>Sept 30, 2026</t>
        </is>
      </c>
      <c r="AN179" s="15" t="inlineStr">
        <is>
          <t>No stainless steel tags on the JB or the RTD, also not terminated and no core markers. | No core markers for the RTD.</t>
        </is>
      </c>
    </row>
    <row r="180">
      <c r="A180" s="15" t="inlineStr">
        <is>
          <t>RTD</t>
        </is>
      </c>
      <c r="B180" s="15" t="inlineStr">
        <is>
          <t>29103-ET-PE1201-1-R-1</t>
        </is>
      </c>
      <c r="C180" s="15" t="inlineStr">
        <is>
          <t>29103-ET-PE1201-1</t>
        </is>
      </c>
      <c r="D180" s="15" t="inlineStr">
        <is>
          <t>29103-HTP-002</t>
        </is>
      </c>
      <c r="E180" s="15" t="inlineStr">
        <is>
          <t>PRODUCED EMULSION</t>
        </is>
      </c>
      <c r="F180" s="15" t="inlineStr">
        <is>
          <t>29103-ET-PE1201-1</t>
        </is>
      </c>
      <c r="G180" s="15" t="inlineStr">
        <is>
          <t>13.2</t>
        </is>
      </c>
      <c r="H180" s="15" t="inlineStr">
        <is>
          <t>1.7. 29103-HTP-002/2. RTD Inspection/29103-ET-PE1201-1-R-1.pdf</t>
        </is>
      </c>
      <c r="I180" s="6" t="str">
        <f>IF($H180&lt;&gt;"","YES","NO")</f>
        <v>YES</v>
      </c>
      <c r="J180" s="6" t="str">
        <f>IF(N($T180)&gt;0,"YES","NO")</f>
        <v>YES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YES</v>
      </c>
      <c r="R180" s="6" t="str">
        <f>IF(OR($AM180&lt;&gt;"",$Z180&lt;&gt;"",$AC180&lt;&gt;""),"YES","NO")</f>
        <v>YES</v>
      </c>
      <c r="S180" s="6" t="str">
        <f>IF(COUNTIF(I180:R180,"NO")=0,"YES","NO")</f>
        <v>NO</v>
      </c>
      <c r="T180" s="15" t="n">
        <v>9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inlineStr">
        <is>
          <t>Fluke 179 70180306</t>
        </is>
      </c>
      <c r="AG180" s="15" t="inlineStr">
        <is>
          <t>100</t>
        </is>
      </c>
      <c r="AH180" s="15" t="n"/>
      <c r="AI180" s="15" t="inlineStr">
        <is>
          <t>104 / 104 / 0.2</t>
        </is>
      </c>
      <c r="AJ180" s="15" t="n"/>
      <c r="AK180" s="15" t="n"/>
      <c r="AL180" s="15" t="inlineStr">
        <is>
          <t>Levy Ostrup</t>
        </is>
      </c>
      <c r="AM180" s="15" t="inlineStr">
        <is>
          <t>Sept 30, 2026</t>
        </is>
      </c>
      <c r="AN180" s="15" t="n"/>
    </row>
    <row r="181">
      <c r="A181" s="15" t="inlineStr">
        <is>
          <t>RTD</t>
        </is>
      </c>
      <c r="B181" s="15" t="inlineStr">
        <is>
          <t>29103-ET-PE1201-2-R-2</t>
        </is>
      </c>
      <c r="C181" s="15" t="inlineStr">
        <is>
          <t>29103-ET-PE1201-2</t>
        </is>
      </c>
      <c r="D181" s="15" t="inlineStr">
        <is>
          <t>29103-HTP-002 (TB8 / I/O 3-4)</t>
        </is>
      </c>
      <c r="E181" s="15" t="inlineStr">
        <is>
          <t>PRODUCED EMULSION</t>
        </is>
      </c>
      <c r="F181" s="15" t="inlineStr">
        <is>
          <t>29103-ET-PE1201-2</t>
        </is>
      </c>
      <c r="G181" s="15" t="inlineStr">
        <is>
          <t>13.2</t>
        </is>
      </c>
      <c r="H181" s="15" t="inlineStr">
        <is>
          <t>1.7. 29103-HTP-002/2. RTD Inspection/29103-ET-PE1201-2-R-2.pdf</t>
        </is>
      </c>
      <c r="I181" s="6" t="str">
        <f>IF($H181&lt;&gt;"","YES","NO")</f>
        <v>YES</v>
      </c>
      <c r="J181" s="6" t="str">
        <f>IF(N($T181)&gt;0,"YES","NO")</f>
        <v>YES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YES</v>
      </c>
      <c r="R181" s="6" t="str">
        <f>IF(OR($AM181&lt;&gt;"",$Z181&lt;&gt;"",$AC181&lt;&gt;""),"YES","NO")</f>
        <v>YES</v>
      </c>
      <c r="S181" s="6" t="str">
        <f>IF(COUNTIF(I181:R181,"NO")=0,"YES","NO")</f>
        <v>NO</v>
      </c>
      <c r="T181" s="15" t="n">
        <v>9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inlineStr">
        <is>
          <t>Fluke 179 70180306</t>
        </is>
      </c>
      <c r="AG181" s="15" t="inlineStr">
        <is>
          <t>100</t>
        </is>
      </c>
      <c r="AH181" s="15" t="n"/>
      <c r="AI181" s="15" t="inlineStr">
        <is>
          <t>104 / 104 / 0.2</t>
        </is>
      </c>
      <c r="AJ181" s="15" t="n"/>
      <c r="AK181" s="15" t="n"/>
      <c r="AL181" s="15" t="inlineStr">
        <is>
          <t>Levy Ostrup</t>
        </is>
      </c>
      <c r="AM181" s="15" t="inlineStr">
        <is>
          <t>Sept 30, 2026</t>
        </is>
      </c>
      <c r="AN181" s="15" t="n"/>
    </row>
    <row r="182">
      <c r="A182" s="15" t="inlineStr">
        <is>
          <t>RTD</t>
        </is>
      </c>
      <c r="B182" s="15" t="inlineStr">
        <is>
          <t>29103-ET-PE1202-1-R-1</t>
        </is>
      </c>
      <c r="C182" s="15" t="inlineStr">
        <is>
          <t>29103-ET-PE1202-1</t>
        </is>
      </c>
      <c r="D182" s="15" t="inlineStr">
        <is>
          <t>29103-HTP-002 (TB5 / HTC-18)</t>
        </is>
      </c>
      <c r="E182" s="15" t="inlineStr">
        <is>
          <t>PRODUCED EMULSION</t>
        </is>
      </c>
      <c r="F182" s="15" t="inlineStr">
        <is>
          <t>29103-ET-PE1202-1</t>
        </is>
      </c>
      <c r="G182" s="15" t="inlineStr">
        <is>
          <t>13.2</t>
        </is>
      </c>
      <c r="H182" s="15" t="inlineStr">
        <is>
          <t>1.7. 29103-HTP-002/2. RTD Inspection/29103-ET-PE1202-1-R-1.pdf</t>
        </is>
      </c>
      <c r="I182" s="6" t="str">
        <f>IF($H182&lt;&gt;"","YES","NO")</f>
        <v>YES</v>
      </c>
      <c r="J182" s="6" t="str">
        <f>IF(N($T182)&gt;0,"YES","NO")</f>
        <v>YES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YES</v>
      </c>
      <c r="R182" s="6" t="str">
        <f>IF(OR($AM182&lt;&gt;"",$Z182&lt;&gt;"",$AC182&lt;&gt;""),"YES","NO")</f>
        <v>YES</v>
      </c>
      <c r="S182" s="6" t="str">
        <f>IF(COUNTIF(I182:R182,"NO")=0,"YES","NO")</f>
        <v>NO</v>
      </c>
      <c r="T182" s="15" t="n">
        <v>9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inlineStr">
        <is>
          <t>Fluke 179 70180306</t>
        </is>
      </c>
      <c r="AG182" s="15" t="inlineStr">
        <is>
          <t>100</t>
        </is>
      </c>
      <c r="AH182" s="15" t="n"/>
      <c r="AI182" s="15" t="inlineStr">
        <is>
          <t>104 / 104 / 0.2</t>
        </is>
      </c>
      <c r="AJ182" s="15" t="n"/>
      <c r="AK182" s="15" t="n"/>
      <c r="AL182" s="15" t="inlineStr">
        <is>
          <t>Levy Ostrup</t>
        </is>
      </c>
      <c r="AM182" s="15" t="inlineStr">
        <is>
          <t>Sept 30, 2026</t>
        </is>
      </c>
      <c r="AN182" s="15" t="inlineStr">
        <is>
          <t>Not terminated, no core markers for JB or the RTD. | No stainless steel tags for the JB or RTD.</t>
        </is>
      </c>
    </row>
    <row r="183">
      <c r="A183" s="15" t="inlineStr">
        <is>
          <t>RTD</t>
        </is>
      </c>
      <c r="B183" s="15" t="inlineStr">
        <is>
          <t>29103-ET-PE1202-1-R-2</t>
        </is>
      </c>
      <c r="C183" s="15" t="inlineStr">
        <is>
          <t>29103-ET-PE1202-1</t>
        </is>
      </c>
      <c r="D183" s="15" t="inlineStr">
        <is>
          <t>29103-HTP-002 (TB8 / I/O 4-4)</t>
        </is>
      </c>
      <c r="E183" s="15" t="inlineStr">
        <is>
          <t>PRODUCED EMULSION</t>
        </is>
      </c>
      <c r="F183" s="15" t="inlineStr">
        <is>
          <t>29103-ET-PE1202-1</t>
        </is>
      </c>
      <c r="G183" s="15" t="inlineStr">
        <is>
          <t>13.2</t>
        </is>
      </c>
      <c r="H183" s="15" t="inlineStr">
        <is>
          <t>1.7. 29103-HTP-002/2. RTD Inspection/29103-ET-PE1202-1-R-2.pdf</t>
        </is>
      </c>
      <c r="I183" s="6" t="str">
        <f>IF($H183&lt;&gt;"","YES","NO")</f>
        <v>YES</v>
      </c>
      <c r="J183" s="6" t="str">
        <f>IF(N($T183)&gt;0,"YES","NO")</f>
        <v>YES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YES</v>
      </c>
      <c r="R183" s="6" t="str">
        <f>IF(OR($AM183&lt;&gt;"",$Z183&lt;&gt;"",$AC183&lt;&gt;""),"YES","NO")</f>
        <v>YES</v>
      </c>
      <c r="S183" s="6" t="str">
        <f>IF(COUNTIF(I183:R183,"NO")=0,"YES","NO")</f>
        <v>NO</v>
      </c>
      <c r="T183" s="15" t="n">
        <v>6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inlineStr">
        <is>
          <t>Fluke 179 70180306</t>
        </is>
      </c>
      <c r="AG183" s="15" t="inlineStr">
        <is>
          <t>100</t>
        </is>
      </c>
      <c r="AH183" s="15" t="n"/>
      <c r="AI183" s="15" t="inlineStr">
        <is>
          <t>104 / 104 / 0.2</t>
        </is>
      </c>
      <c r="AJ183" s="15" t="n"/>
      <c r="AK183" s="15" t="n"/>
      <c r="AL183" s="15" t="inlineStr">
        <is>
          <t>Levy Ostrup</t>
        </is>
      </c>
      <c r="AM183" s="15" t="inlineStr">
        <is>
          <t>Sept 30, 2026</t>
        </is>
      </c>
      <c r="AN183" s="15" t="inlineStr">
        <is>
          <t>Not terminated, no core markers for JB or the RTD. | No stainless steel tags for the JB or RTD.</t>
        </is>
      </c>
    </row>
    <row r="184">
      <c r="A184" s="15" t="inlineStr">
        <is>
          <t>RTD</t>
        </is>
      </c>
      <c r="B184" s="15" t="inlineStr">
        <is>
          <t>29103-ET-PE1301-1-R-1</t>
        </is>
      </c>
      <c r="C184" s="15" t="inlineStr">
        <is>
          <t>29103-ET-PE1301-1</t>
        </is>
      </c>
      <c r="D184" s="15" t="inlineStr">
        <is>
          <t>29103-HTP-002 HTC-10</t>
        </is>
      </c>
      <c r="E184" s="15" t="inlineStr">
        <is>
          <t>PRODUCED EMULSION</t>
        </is>
      </c>
      <c r="F184" s="15" t="inlineStr">
        <is>
          <t>29103-65R-ET-PE1301-01-01</t>
        </is>
      </c>
      <c r="G184" s="15" t="inlineStr">
        <is>
          <t>13.2</t>
        </is>
      </c>
      <c r="H184" s="15" t="inlineStr">
        <is>
          <t>1.7. 29103-HTP-002/2. RTD Inspection/29103-ET-PE1301-1-R-1.pdf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29103-ET-PE1301-2-R-2</t>
        </is>
      </c>
      <c r="C185" s="15" t="inlineStr">
        <is>
          <t>29103-ET-PE1301-2</t>
        </is>
      </c>
      <c r="D185" s="15" t="inlineStr">
        <is>
          <t>29103-HTP-002 I/O-2-1</t>
        </is>
      </c>
      <c r="E185" s="15" t="inlineStr">
        <is>
          <t>PRODUCED EMULSION</t>
        </is>
      </c>
      <c r="F185" s="15" t="inlineStr">
        <is>
          <t>29103-65R-ET-PE1301-02-01</t>
        </is>
      </c>
      <c r="G185" s="15" t="inlineStr">
        <is>
          <t>13.2</t>
        </is>
      </c>
      <c r="H185" s="15" t="inlineStr">
        <is>
          <t>1.7. 29103-HTP-002/2. RTD Inspection/29103-ET-PE1301-2-R-2.pdf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29103-ET-PE1302-1-R-1</t>
        </is>
      </c>
      <c r="C186" s="15" t="inlineStr">
        <is>
          <t>29103-ET-PE1302-1</t>
        </is>
      </c>
      <c r="D186" s="15" t="inlineStr">
        <is>
          <t>29103-HTP-002 I/O-2-2 / CB-06</t>
        </is>
      </c>
      <c r="E186" s="15" t="inlineStr">
        <is>
          <t>PRODUCED EMULSION</t>
        </is>
      </c>
      <c r="F186" s="15" t="inlineStr">
        <is>
          <t>29103-4"-PE-1302-DAPCO-64H-ET Rev 1A2   Trace: 29103-ET-PE1302-1-1</t>
        </is>
      </c>
      <c r="G186" s="15" t="inlineStr">
        <is>
          <t>13.2</t>
        </is>
      </c>
      <c r="H186" s="15" t="inlineStr">
        <is>
          <t>10-01_GIM_GONCHO/EHT Cable ITRS/2. RTD Inspection/29103-ET-PE1302-1-R-1.pdf</t>
        </is>
      </c>
      <c r="I186" s="6" t="str">
        <f>IF($H186&lt;&gt;"","YES","NO")</f>
        <v>YES</v>
      </c>
      <c r="J186" s="6" t="str">
        <f>IF(N($T186)&gt;0,"YES","NO")</f>
        <v>YES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YES</v>
      </c>
      <c r="S186" s="6" t="str">
        <f>IF(COUNTIF(I186:R186,"NO")=0,"YES","NO")</f>
        <v>NO</v>
      </c>
      <c r="T186" s="15" t="n">
        <v>3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inlineStr">
        <is>
          <t>2026/08/12</t>
        </is>
      </c>
      <c r="AN186" s="15" t="inlineStr">
        <is>
          <t>No stainless steel tags on JB or RTD, and wrong core markers.</t>
        </is>
      </c>
    </row>
    <row r="187">
      <c r="A187" s="15" t="inlineStr">
        <is>
          <t>RTD</t>
        </is>
      </c>
      <c r="B187" s="15" t="inlineStr">
        <is>
          <t>29103-ET-PE1302-1-R-2</t>
        </is>
      </c>
      <c r="C187" s="15" t="inlineStr">
        <is>
          <t>29103-ET-PE1302-1</t>
        </is>
      </c>
      <c r="D187" s="15" t="inlineStr">
        <is>
          <t>29103-HTP-002 I/O-2-2 / CB-06</t>
        </is>
      </c>
      <c r="E187" s="15" t="inlineStr">
        <is>
          <t>PRODUCED EMULSION</t>
        </is>
      </c>
      <c r="F187" s="15" t="inlineStr">
        <is>
          <t>29103-4"-PE-1302-DAPCO-64H-ET Rev 1A2   Trace: 29103-ET-PE1302-1-1</t>
        </is>
      </c>
      <c r="G187" s="15" t="inlineStr">
        <is>
          <t>13.2</t>
        </is>
      </c>
      <c r="H187" s="15" t="inlineStr">
        <is>
          <t>10-01_GIM_GONCHO/EHT Cable ITRS/2. RTD Inspection/29103-ET-PE1302-1-R-1.pdf</t>
        </is>
      </c>
      <c r="I187" s="6" t="str">
        <f>IF($H187&lt;&gt;"","YES","NO")</f>
        <v>YES</v>
      </c>
      <c r="J187" s="6" t="str">
        <f>IF(N($T187)&gt;0,"YES","NO")</f>
        <v>YES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YES</v>
      </c>
      <c r="S187" s="6" t="str">
        <f>IF(COUNTIF(I187:R187,"NO")=0,"YES","NO")</f>
        <v>NO</v>
      </c>
      <c r="T187" s="15" t="n">
        <v>3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inlineStr">
        <is>
          <t>2026/08/12</t>
        </is>
      </c>
      <c r="AN187" s="15" t="inlineStr">
        <is>
          <t>No stainless steel tags on JB or RTD, and wrong core markers.</t>
        </is>
      </c>
    </row>
    <row r="188">
      <c r="A188" s="15" t="inlineStr">
        <is>
          <t>RTD</t>
        </is>
      </c>
      <c r="B188" s="15" t="inlineStr">
        <is>
          <t>29103-ET-PE1401-1-R-1</t>
        </is>
      </c>
      <c r="C188" s="15" t="inlineStr">
        <is>
          <t>29103-ET-PE1401-1</t>
        </is>
      </c>
      <c r="D188" s="15" t="inlineStr">
        <is>
          <t>29103-HTP-002 HTC-04</t>
        </is>
      </c>
      <c r="E188" s="15" t="inlineStr">
        <is>
          <t>PRODUCED EMULSION</t>
        </is>
      </c>
      <c r="F188" s="15" t="inlineStr">
        <is>
          <t>29103-65R-ET-PE1401-01-01</t>
        </is>
      </c>
      <c r="G188" s="15" t="inlineStr">
        <is>
          <t>13.2</t>
        </is>
      </c>
      <c r="H188" s="15" t="inlineStr">
        <is>
          <t>1.7. 29103-HTP-002/2. RTD Inspection/29103-ET-PE1401-1-R-1.pdf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29103-ET-PE1802-1-R-1</t>
        </is>
      </c>
      <c r="C189" s="15" t="inlineStr">
        <is>
          <t>29103-ET-PE1802-1</t>
        </is>
      </c>
      <c r="D189" s="15" t="inlineStr">
        <is>
          <t>29103-HTP-002 (TB-05 / CB-17)</t>
        </is>
      </c>
      <c r="E189" s="15" t="inlineStr">
        <is>
          <t>PRODUCED EMULSION</t>
        </is>
      </c>
      <c r="F189" s="15" t="inlineStr">
        <is>
          <t>29103-ET-PE1802-1</t>
        </is>
      </c>
      <c r="G189" s="15" t="inlineStr">
        <is>
          <t>13.2</t>
        </is>
      </c>
      <c r="H189" s="15" t="inlineStr">
        <is>
          <t>1.7. 29103-HTP-002/2. RTD Inspection/29103-ET-PE1802-1-R-1.pdf</t>
        </is>
      </c>
      <c r="I189" s="6" t="str">
        <f>IF($H189&lt;&gt;"","YES","NO")</f>
        <v>YES</v>
      </c>
      <c r="J189" s="6" t="str">
        <f>IF(N($T189)&gt;0,"YES","NO")</f>
        <v>YES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YES</v>
      </c>
      <c r="R189" s="6" t="str">
        <f>IF(OR($AM189&lt;&gt;"",$Z189&lt;&gt;"",$AC189&lt;&gt;""),"YES","NO")</f>
        <v>YES</v>
      </c>
      <c r="S189" s="6" t="str">
        <f>IF(COUNTIF(I189:R189,"NO")=0,"YES","NO")</f>
        <v>NO</v>
      </c>
      <c r="T189" s="15" t="n">
        <v>9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inlineStr">
        <is>
          <t>Fluke 179 70180306</t>
        </is>
      </c>
      <c r="AG189" s="15" t="inlineStr">
        <is>
          <t>100</t>
        </is>
      </c>
      <c r="AH189" s="15" t="n"/>
      <c r="AI189" s="15" t="inlineStr">
        <is>
          <t>104 / 104 / 0.2</t>
        </is>
      </c>
      <c r="AJ189" s="15" t="n"/>
      <c r="AK189" s="15" t="n"/>
      <c r="AL189" s="15" t="inlineStr">
        <is>
          <t>Levy Ostrup</t>
        </is>
      </c>
      <c r="AM189" s="15" t="inlineStr">
        <is>
          <t>Sept 30, 2026</t>
        </is>
      </c>
      <c r="AN189" s="15" t="n"/>
    </row>
    <row r="190">
      <c r="A190" s="15" t="inlineStr">
        <is>
          <t>RTD</t>
        </is>
      </c>
      <c r="B190" s="15" t="inlineStr">
        <is>
          <t>29103-ET-PE1803-1-R-1</t>
        </is>
      </c>
      <c r="C190" s="15" t="inlineStr">
        <is>
          <t>29103-ET-PE1803-1</t>
        </is>
      </c>
      <c r="D190" s="15" t="inlineStr">
        <is>
          <t>29103-HTP-002 (TB5 / HTC-21)</t>
        </is>
      </c>
      <c r="E190" s="15" t="inlineStr">
        <is>
          <t>PRODUCED EMULSION</t>
        </is>
      </c>
      <c r="F190" s="15" t="inlineStr">
        <is>
          <t>29103-ET-PE1803-1</t>
        </is>
      </c>
      <c r="G190" s="15" t="inlineStr">
        <is>
          <t>13.2</t>
        </is>
      </c>
      <c r="H190" s="15" t="inlineStr">
        <is>
          <t>1.7. 29103-HTP-002/2. RTD Inspection/29103-ET-PE1803-1-R-1.pdf</t>
        </is>
      </c>
      <c r="I190" s="6" t="str">
        <f>IF($H190&lt;&gt;"","YES","NO")</f>
        <v>YES</v>
      </c>
      <c r="J190" s="6" t="str">
        <f>IF(N($T190)&gt;0,"YES","NO")</f>
        <v>YES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YES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5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inlineStr">
        <is>
          <t>Fluke 179 70180306</t>
        </is>
      </c>
      <c r="AG190" s="15" t="n"/>
      <c r="AH190" s="15" t="n"/>
      <c r="AI190" s="15" t="inlineStr">
        <is>
          <t>104 / 104 / 0.2</t>
        </is>
      </c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29103-ET-PE1803-1-R-2</t>
        </is>
      </c>
      <c r="C191" s="15" t="inlineStr">
        <is>
          <t>29103-ET-PE1803-1</t>
        </is>
      </c>
      <c r="D191" s="15" t="inlineStr">
        <is>
          <t>29103-HTP-002 (TB5 / HTC 21)</t>
        </is>
      </c>
      <c r="E191" s="15" t="inlineStr">
        <is>
          <t>PRODUCED EMULSION</t>
        </is>
      </c>
      <c r="F191" s="15" t="inlineStr">
        <is>
          <t>29103-ET-PE1803-1</t>
        </is>
      </c>
      <c r="G191" s="15" t="inlineStr">
        <is>
          <t>13.2</t>
        </is>
      </c>
      <c r="H191" s="15" t="inlineStr">
        <is>
          <t>1.7. 29103-HTP-002/2. RTD Inspection/29103-ET-PE1803-1-R-2.pdf</t>
        </is>
      </c>
      <c r="I191" s="6" t="str">
        <f>IF($H191&lt;&gt;"","YES","NO")</f>
        <v>YES</v>
      </c>
      <c r="J191" s="6" t="str">
        <f>IF(N($T191)&gt;0,"YES","NO")</f>
        <v>YES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YES</v>
      </c>
      <c r="R191" s="6" t="str">
        <f>IF(OR($AM191&lt;&gt;"",$Z191&lt;&gt;"",$AC191&lt;&gt;""),"YES","NO")</f>
        <v>YES</v>
      </c>
      <c r="S191" s="6" t="str">
        <f>IF(COUNTIF(I191:R191,"NO")=0,"YES","NO")</f>
        <v>NO</v>
      </c>
      <c r="T191" s="15" t="n">
        <v>9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inlineStr">
        <is>
          <t>Fluke 179 70180306</t>
        </is>
      </c>
      <c r="AG191" s="15" t="inlineStr">
        <is>
          <t>100</t>
        </is>
      </c>
      <c r="AH191" s="15" t="n"/>
      <c r="AI191" s="15" t="inlineStr">
        <is>
          <t>104 Ω / 104 Ω / 0.2 Ω</t>
        </is>
      </c>
      <c r="AJ191" s="15" t="n"/>
      <c r="AK191" s="15" t="n"/>
      <c r="AL191" s="15" t="inlineStr">
        <is>
          <t>Levy Ostrup</t>
        </is>
      </c>
      <c r="AM191" s="15" t="inlineStr">
        <is>
          <t>Sept 30 2026</t>
        </is>
      </c>
      <c r="AN191" s="15" t="n"/>
    </row>
    <row r="192">
      <c r="A192" s="15" t="inlineStr">
        <is>
          <t>RTD</t>
        </is>
      </c>
      <c r="B192" s="15" t="inlineStr">
        <is>
          <t>29103-ET-PG1101-1-R-1</t>
        </is>
      </c>
      <c r="C192" s="15" t="inlineStr">
        <is>
          <t>29103-ET-PG1101-1</t>
        </is>
      </c>
      <c r="D192" s="15" t="inlineStr">
        <is>
          <t>29103-HTP-002 (TB-5 / CB-15)</t>
        </is>
      </c>
      <c r="E192" s="15" t="inlineStr">
        <is>
          <t>PRODUCED GAS</t>
        </is>
      </c>
      <c r="F192" s="15" t="inlineStr">
        <is>
          <t>29103-ET-PG1101-1</t>
        </is>
      </c>
      <c r="G192" s="15" t="inlineStr">
        <is>
          <t>13.2</t>
        </is>
      </c>
      <c r="H192" s="15" t="inlineStr">
        <is>
          <t>1.7. 29103-HTP-002/2. RTD Inspection/29103-ET-PG1101-1-R-1.pdf</t>
        </is>
      </c>
      <c r="I192" s="6" t="str">
        <f>IF($H192&lt;&gt;"","YES","NO")</f>
        <v>YES</v>
      </c>
      <c r="J192" s="6" t="str">
        <f>IF(N($T192)&gt;0,"YES","NO")</f>
        <v>YES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YES</v>
      </c>
      <c r="S192" s="6" t="str">
        <f>IF(COUNTIF(I192:R192,"NO")=0,"YES","NO")</f>
        <v>NO</v>
      </c>
      <c r="T192" s="15" t="n">
        <v>9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inlineStr">
        <is>
          <t>Fluke 179 70180306</t>
        </is>
      </c>
      <c r="AG192" s="15" t="inlineStr">
        <is>
          <t>100</t>
        </is>
      </c>
      <c r="AH192" s="15" t="n"/>
      <c r="AI192" s="15" t="n"/>
      <c r="AJ192" s="15" t="n"/>
      <c r="AK192" s="15" t="n"/>
      <c r="AL192" s="15" t="inlineStr">
        <is>
          <t>Levy Ostrup</t>
        </is>
      </c>
      <c r="AM192" s="15" t="inlineStr">
        <is>
          <t>Sept 29 2026</t>
        </is>
      </c>
      <c r="AN192" s="15" t="n"/>
    </row>
    <row r="193">
      <c r="A193" s="15" t="inlineStr">
        <is>
          <t>RTD</t>
        </is>
      </c>
      <c r="B193" s="15" t="inlineStr">
        <is>
          <t>29103-ET-PG1101-1-R-2</t>
        </is>
      </c>
      <c r="C193" s="15" t="inlineStr">
        <is>
          <t>29103-ET-PG1101-1</t>
        </is>
      </c>
      <c r="D193" s="15" t="inlineStr">
        <is>
          <t>29103-HTP-002 (TB-5 / CB15)</t>
        </is>
      </c>
      <c r="E193" s="15" t="inlineStr">
        <is>
          <t>PRODUCED GAS</t>
        </is>
      </c>
      <c r="F193" s="15" t="inlineStr">
        <is>
          <t>29103-ET-PG1101-1</t>
        </is>
      </c>
      <c r="G193" s="15" t="inlineStr">
        <is>
          <t>13.2</t>
        </is>
      </c>
      <c r="H193" s="15" t="inlineStr">
        <is>
          <t>1.7. 29103-HTP-002/2. RTD Inspection/29103-ET-PG1101-1-R-2.pdf</t>
        </is>
      </c>
      <c r="I193" s="6" t="str">
        <f>IF($H193&lt;&gt;"","YES","NO")</f>
        <v>YES</v>
      </c>
      <c r="J193" s="6" t="str">
        <f>IF(N($T193)&gt;0,"YES","NO")</f>
        <v>YES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YES</v>
      </c>
      <c r="R193" s="6" t="str">
        <f>IF(OR($AM193&lt;&gt;"",$Z193&lt;&gt;"",$AC193&lt;&gt;""),"YES","NO")</f>
        <v>YES</v>
      </c>
      <c r="S193" s="6" t="str">
        <f>IF(COUNTIF(I193:R193,"NO")=0,"YES","NO")</f>
        <v>NO</v>
      </c>
      <c r="T193" s="15" t="n">
        <v>9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inlineStr">
        <is>
          <t>Fluke 179 70180306</t>
        </is>
      </c>
      <c r="AG193" s="15" t="inlineStr">
        <is>
          <t>100</t>
        </is>
      </c>
      <c r="AH193" s="15" t="n"/>
      <c r="AI193" s="15" t="inlineStr">
        <is>
          <t>104 / 104 / 0.2</t>
        </is>
      </c>
      <c r="AJ193" s="15" t="n"/>
      <c r="AK193" s="15" t="n"/>
      <c r="AL193" s="15" t="inlineStr">
        <is>
          <t>Levy Ostrup</t>
        </is>
      </c>
      <c r="AM193" s="15" t="inlineStr">
        <is>
          <t>Sept 29 2026</t>
        </is>
      </c>
      <c r="AN193" s="15" t="n"/>
    </row>
    <row r="194">
      <c r="A194" s="15" t="inlineStr">
        <is>
          <t>RTD</t>
        </is>
      </c>
      <c r="B194" s="15" t="inlineStr">
        <is>
          <t>29103-ET-PG1101-2-R-1</t>
        </is>
      </c>
      <c r="C194" s="15" t="inlineStr">
        <is>
          <t>29103-ET-PG1101-2</t>
        </is>
      </c>
      <c r="D194" s="15" t="inlineStr">
        <is>
          <t>29103-HTP-002 (TB-5 / CB-14)</t>
        </is>
      </c>
      <c r="E194" s="15" t="inlineStr">
        <is>
          <t>PRODUCED GAS</t>
        </is>
      </c>
      <c r="F194" s="15" t="inlineStr">
        <is>
          <t>29103-ET-PG1101-2</t>
        </is>
      </c>
      <c r="G194" s="15" t="inlineStr">
        <is>
          <t>13.2</t>
        </is>
      </c>
      <c r="H194" s="15" t="inlineStr">
        <is>
          <t>1.7. 29103-HTP-002/2. RTD Inspection/29103-ET-PG1101-2-R-1.pdf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YES</v>
      </c>
      <c r="R194" s="6" t="str">
        <f>IF(OR($AM194&lt;&gt;"",$Z194&lt;&gt;"",$AC194&lt;&gt;""),"YES","NO")</f>
        <v>YES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inlineStr">
        <is>
          <t>Fluke 179 70180306</t>
        </is>
      </c>
      <c r="AG194" s="15" t="n"/>
      <c r="AH194" s="15" t="n"/>
      <c r="AI194" s="15" t="inlineStr">
        <is>
          <t>104 / 104 / 0.2</t>
        </is>
      </c>
      <c r="AJ194" s="15" t="n"/>
      <c r="AK194" s="15" t="n"/>
      <c r="AL194" s="15" t="inlineStr">
        <is>
          <t>Levy Ostrup</t>
        </is>
      </c>
      <c r="AM194" s="15" t="inlineStr">
        <is>
          <t>Sept 29 2026</t>
        </is>
      </c>
      <c r="AN194" s="15" t="n"/>
    </row>
    <row r="195">
      <c r="A195" s="15" t="inlineStr">
        <is>
          <t>RTD</t>
        </is>
      </c>
      <c r="B195" s="15" t="inlineStr">
        <is>
          <t>29103-ET-PG1201-1-R-1</t>
        </is>
      </c>
      <c r="C195" s="15" t="inlineStr">
        <is>
          <t>29103-ET-PG1201-1</t>
        </is>
      </c>
      <c r="D195" s="15" t="inlineStr">
        <is>
          <t>29103-HTP-002 HTC-12</t>
        </is>
      </c>
      <c r="E195" s="15" t="inlineStr">
        <is>
          <t>PRODUCED GAS</t>
        </is>
      </c>
      <c r="F195" s="15" t="inlineStr">
        <is>
          <t>29103-65R-ET-PG1201-01-01</t>
        </is>
      </c>
      <c r="G195" s="15" t="inlineStr">
        <is>
          <t>13.2</t>
        </is>
      </c>
      <c r="H195" s="15" t="inlineStr">
        <is>
          <t>1.7. 29103-HTP-002/2. RTD Inspection/29103-ET-PG1201-1-R-1.pdf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29103-ET-PG1201-1-R-2</t>
        </is>
      </c>
      <c r="C196" s="15" t="inlineStr">
        <is>
          <t>29103-ET-PG1201-1</t>
        </is>
      </c>
      <c r="D196" s="15" t="inlineStr">
        <is>
          <t>29103-HTP-002 HTC-02</t>
        </is>
      </c>
      <c r="E196" s="15" t="inlineStr">
        <is>
          <t>PRODUCED GAS</t>
        </is>
      </c>
      <c r="F196" s="15" t="inlineStr">
        <is>
          <t>29103-65R-ET-PG1201-01-01</t>
        </is>
      </c>
      <c r="G196" s="15" t="inlineStr">
        <is>
          <t>13.2</t>
        </is>
      </c>
      <c r="H196" s="15" t="inlineStr">
        <is>
          <t>1.7. 29103-HTP-002/2. RTD Inspection/29103-ET-PG1201-1-R-2.pdf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29103-ET-PG1201-2-R-1</t>
        </is>
      </c>
      <c r="C197" s="15" t="inlineStr">
        <is>
          <t>29103-ET-PG1201-2</t>
        </is>
      </c>
      <c r="D197" s="15" t="inlineStr">
        <is>
          <t>29103-HTP-002</t>
        </is>
      </c>
      <c r="E197" s="15" t="inlineStr">
        <is>
          <t>PRODUCED GAS</t>
        </is>
      </c>
      <c r="F197" s="15" t="inlineStr">
        <is>
          <t>29103-ET-PG1201-2</t>
        </is>
      </c>
      <c r="G197" s="15" t="inlineStr">
        <is>
          <t>13.2</t>
        </is>
      </c>
      <c r="H197" s="15" t="inlineStr">
        <is>
          <t>1.7. 29103-HTP-002/2. RTD Inspection/29103-ET-PG1201-2-R-1.pdf</t>
        </is>
      </c>
      <c r="I197" s="6" t="str">
        <f>IF($H197&lt;&gt;"","YES","NO")</f>
        <v>YES</v>
      </c>
      <c r="J197" s="6" t="str">
        <f>IF(N($T197)&gt;0,"YES","NO")</f>
        <v>YES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YES</v>
      </c>
      <c r="R197" s="6" t="str">
        <f>IF(OR($AM197&lt;&gt;"",$Z197&lt;&gt;"",$AC197&lt;&gt;""),"YES","NO")</f>
        <v>YES</v>
      </c>
      <c r="S197" s="6" t="str">
        <f>IF(COUNTIF(I197:R197,"NO")=0,"YES","NO")</f>
        <v>NO</v>
      </c>
      <c r="T197" s="15" t="n">
        <v>8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inlineStr">
        <is>
          <t>Fluke 179 70180306</t>
        </is>
      </c>
      <c r="AG197" s="15" t="inlineStr">
        <is>
          <t>100</t>
        </is>
      </c>
      <c r="AH197" s="15" t="n"/>
      <c r="AI197" s="15" t="inlineStr">
        <is>
          <t>104 / 104 / 0.2</t>
        </is>
      </c>
      <c r="AJ197" s="15" t="n"/>
      <c r="AK197" s="15" t="n"/>
      <c r="AL197" s="15" t="inlineStr">
        <is>
          <t>Levy Ostrup</t>
        </is>
      </c>
      <c r="AM197" s="15" t="inlineStr">
        <is>
          <t>Sept 30, 2026</t>
        </is>
      </c>
      <c r="AN197" s="15" t="n"/>
    </row>
    <row r="198">
      <c r="A198" s="15" t="inlineStr">
        <is>
          <t>RTD</t>
        </is>
      </c>
      <c r="B198" s="15" t="inlineStr">
        <is>
          <t>29103-ET-PG1301-1-R-1</t>
        </is>
      </c>
      <c r="C198" s="15" t="inlineStr">
        <is>
          <t>29103-ET-PG1301-1</t>
        </is>
      </c>
      <c r="D198" s="15" t="inlineStr">
        <is>
          <t>29103-HTP-002 HTC-11</t>
        </is>
      </c>
      <c r="E198" s="15" t="inlineStr">
        <is>
          <t>PRODUCED GAS</t>
        </is>
      </c>
      <c r="F198" s="15" t="inlineStr">
        <is>
          <t>29103-65R-ET-PG1301-01-01</t>
        </is>
      </c>
      <c r="G198" s="15" t="inlineStr">
        <is>
          <t>13.2</t>
        </is>
      </c>
      <c r="H198" s="15" t="inlineStr">
        <is>
          <t>1.7. 29103-HTP-002/2. RTD Inspection/29103-ET-PG1301-1-R-1.pdf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29103-ET-PG1301-1-R-2</t>
        </is>
      </c>
      <c r="C199" s="15" t="inlineStr">
        <is>
          <t>29103-ET-PG1301-1</t>
        </is>
      </c>
      <c r="D199" s="15" t="inlineStr">
        <is>
          <t>29103-HTP-002 I/O-3-1</t>
        </is>
      </c>
      <c r="E199" s="15" t="inlineStr">
        <is>
          <t>PRODUCED GAS</t>
        </is>
      </c>
      <c r="F199" s="15" t="inlineStr">
        <is>
          <t>29103-65R-ET-PG1301-01-01</t>
        </is>
      </c>
      <c r="G199" s="15" t="inlineStr">
        <is>
          <t>13.2</t>
        </is>
      </c>
      <c r="H199" s="15" t="inlineStr">
        <is>
          <t>1.7. 29103-HTP-002/2. RTD Inspection/29103-ET-PG1301-1-R-2.pdf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29103-ET-PG1301-2-R-1</t>
        </is>
      </c>
      <c r="C200" s="15" t="inlineStr">
        <is>
          <t>29103-ET-PG1301-2</t>
        </is>
      </c>
      <c r="D200" s="15" t="inlineStr">
        <is>
          <t>29103-HTP-002 HTC-13</t>
        </is>
      </c>
      <c r="E200" s="15" t="inlineStr">
        <is>
          <t>PRODUCED GAS</t>
        </is>
      </c>
      <c r="F200" s="15" t="inlineStr">
        <is>
          <t>29103-65R-ET-PG1301-02-01</t>
        </is>
      </c>
      <c r="G200" s="15" t="inlineStr">
        <is>
          <t>13.2</t>
        </is>
      </c>
      <c r="H200" s="15" t="inlineStr">
        <is>
          <t>1.7. 29103-HTP-002/2. RTD Inspection/29103-ET-PG1301-2-R-1.pdf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 Cable</t>
        </is>
      </c>
      <c r="B201" s="15" t="inlineStr">
        <is>
          <t>29103-ET-P1101-1-R-1</t>
        </is>
      </c>
      <c r="C201" s="15" t="inlineStr">
        <is>
          <t>29103-ET-P1101-1</t>
        </is>
      </c>
      <c r="D201" s="15" t="inlineStr"/>
      <c r="E201" s="15" t="inlineStr">
        <is>
          <t>29103-HTP-002</t>
        </is>
      </c>
      <c r="F201" s="15" t="inlineStr"/>
      <c r="G201" s="15" t="inlineStr">
        <is>
          <t>113</t>
        </is>
      </c>
      <c r="H201" s="15" t="inlineStr">
        <is>
          <t>1.7. 29103-HTP-002/4. RTD Cables/29103-ET-P1101-1-R-1.pdf</t>
        </is>
      </c>
      <c r="I201" s="6" t="str">
        <f>IF($H201&lt;&gt;"","YES","NO")</f>
        <v>YES</v>
      </c>
      <c r="J201" s="6" t="str">
        <f>IF(N($T201)&gt;0,"YES","NO")</f>
        <v>YES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YES</v>
      </c>
      <c r="P201" s="6" t="str">
        <f>IF(OR($A201="RTD"),IF(AND($AH201&lt;&gt;""),"YES","NO"),"N/A")</f>
        <v>N/A</v>
      </c>
      <c r="Q201" s="6" t="str">
        <f>IF(OR($A201="RTD"),IF(AND($AI201&lt;&gt;""),"YES","NO"),"N/A")</f>
        <v>N/A</v>
      </c>
      <c r="R201" s="6" t="str">
        <f>IF(OR($AM201&lt;&gt;"",$Z201&lt;&gt;"",$AC201&lt;&gt;""),"YES","NO")</f>
        <v>YES</v>
      </c>
      <c r="S201" s="6" t="str">
        <f>IF(COUNTIF(I201:R201,"NO")=0,"YES","NO")</f>
        <v>YES</v>
      </c>
      <c r="T201" s="15" t="n">
        <v>9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inlineStr">
        <is>
          <t>N/A / N/A / N/A</t>
        </is>
      </c>
      <c r="AE201" s="15" t="inlineStr">
        <is>
          <t>1.2 / OL / OL</t>
        </is>
      </c>
      <c r="AF201" s="15" t="inlineStr">
        <is>
          <t>Fluke 1587 FC 72300003</t>
        </is>
      </c>
      <c r="AG201" s="15" t="n"/>
      <c r="AH201" s="15" t="n"/>
      <c r="AI201" s="15" t="n"/>
      <c r="AJ201" s="15" t="inlineStr">
        <is>
          <t>ACIC</t>
        </is>
      </c>
      <c r="AK201" s="15" t="inlineStr">
        <is>
          <t>16 AWG</t>
        </is>
      </c>
      <c r="AL201" s="15" t="inlineStr">
        <is>
          <t>Levy Ostrup</t>
        </is>
      </c>
      <c r="AM201" s="15" t="inlineStr">
        <is>
          <t>Sept 30 2026</t>
        </is>
      </c>
      <c r="AN201" s="15" t="inlineStr">
        <is>
          <t>- ETP11011R1 swapped termination points with ETP11041R1</t>
        </is>
      </c>
    </row>
    <row r="202">
      <c r="A202" s="15" t="inlineStr">
        <is>
          <t>RTD Cable</t>
        </is>
      </c>
      <c r="B202" s="15" t="inlineStr">
        <is>
          <t>29103-ET-P1104-1-R-1</t>
        </is>
      </c>
      <c r="C202" s="15" t="inlineStr">
        <is>
          <t>29103-ET-P1104-1</t>
        </is>
      </c>
      <c r="D202" s="15" t="inlineStr"/>
      <c r="E202" s="15" t="inlineStr">
        <is>
          <t>29103-HTP-002</t>
        </is>
      </c>
      <c r="F202" s="15" t="inlineStr"/>
      <c r="G202" s="15" t="inlineStr">
        <is>
          <t>113</t>
        </is>
      </c>
      <c r="H202" s="15" t="inlineStr">
        <is>
          <t>1.7. 29103-HTP-002/4. RTD Cables/29103-ET-P1104-1-R-1.pdf</t>
        </is>
      </c>
      <c r="I202" s="6" t="str">
        <f>IF($H202&lt;&gt;"","YES","NO")</f>
        <v>YES</v>
      </c>
      <c r="J202" s="6" t="str">
        <f>IF(N($T202)&gt;0,"YES","NO")</f>
        <v>YES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YES</v>
      </c>
      <c r="P202" s="6" t="str">
        <f>IF(OR($A202="RTD"),IF(AND($AH202&lt;&gt;""),"YES","NO"),"N/A")</f>
        <v>N/A</v>
      </c>
      <c r="Q202" s="6" t="str">
        <f>IF(OR($A202="RTD"),IF(AND($AI202&lt;&gt;""),"YES","NO"),"N/A")</f>
        <v>N/A</v>
      </c>
      <c r="R202" s="6" t="str">
        <f>IF(OR($AM202&lt;&gt;"",$Z202&lt;&gt;"",$AC202&lt;&gt;""),"YES","NO")</f>
        <v>YES</v>
      </c>
      <c r="S202" s="6" t="str">
        <f>IF(COUNTIF(I202:R202,"NO")=0,"YES","NO")</f>
        <v>YES</v>
      </c>
      <c r="T202" s="15" t="n">
        <v>9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inlineStr">
        <is>
          <t>N/A / N/A / N/A</t>
        </is>
      </c>
      <c r="AE202" s="15" t="inlineStr">
        <is>
          <t>1.2 / OL / OL</t>
        </is>
      </c>
      <c r="AF202" s="15" t="inlineStr">
        <is>
          <t>Fluke 1587 FC 72300003</t>
        </is>
      </c>
      <c r="AG202" s="15" t="n"/>
      <c r="AH202" s="15" t="n"/>
      <c r="AI202" s="15" t="n"/>
      <c r="AJ202" s="15" t="inlineStr">
        <is>
          <t>ACIC</t>
        </is>
      </c>
      <c r="AK202" s="15" t="inlineStr">
        <is>
          <t>16 AWG</t>
        </is>
      </c>
      <c r="AL202" s="15" t="inlineStr">
        <is>
          <t>Levy Ostrup</t>
        </is>
      </c>
      <c r="AM202" s="15" t="inlineStr">
        <is>
          <t>Sept 30, 2026</t>
        </is>
      </c>
      <c r="AN202" s="15" t="inlineStr">
        <is>
          <t>- ETP11041R1 swapped terminations with ETP11011R1 inside panel</t>
        </is>
      </c>
    </row>
    <row r="203">
      <c r="A203" s="15" t="inlineStr">
        <is>
          <t>RTD Cable</t>
        </is>
      </c>
      <c r="B203" s="15" t="inlineStr">
        <is>
          <t>29103-ET-P1104-1-R-2</t>
        </is>
      </c>
      <c r="C203" s="15" t="inlineStr">
        <is>
          <t>29103-ET-P1104-1</t>
        </is>
      </c>
      <c r="D203" s="15" t="inlineStr"/>
      <c r="E203" s="15" t="inlineStr">
        <is>
          <t>29103-HTP-002</t>
        </is>
      </c>
      <c r="F203" s="15" t="inlineStr"/>
      <c r="G203" s="15" t="inlineStr">
        <is>
          <t>113</t>
        </is>
      </c>
      <c r="H203" s="15" t="inlineStr">
        <is>
          <t>1.7. 29103-HTP-002/4. RTD Cables/29103-ET-P1104-1-R-2.pdf</t>
        </is>
      </c>
      <c r="I203" s="6" t="str">
        <f>IF($H203&lt;&gt;"","YES","NO")</f>
        <v>YES</v>
      </c>
      <c r="J203" s="6" t="str">
        <f>IF(N($T203)&gt;0,"YES","NO")</f>
        <v>YES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YES</v>
      </c>
      <c r="P203" s="6" t="str">
        <f>IF(OR($A203="RTD"),IF(AND($AH203&lt;&gt;""),"YES","NO"),"N/A")</f>
        <v>N/A</v>
      </c>
      <c r="Q203" s="6" t="str">
        <f>IF(OR($A203="RTD"),IF(AND($AI203&lt;&gt;""),"YES","NO"),"N/A")</f>
        <v>N/A</v>
      </c>
      <c r="R203" s="6" t="str">
        <f>IF(OR($AM203&lt;&gt;"",$Z203&lt;&gt;"",$AC203&lt;&gt;""),"YES","NO")</f>
        <v>YES</v>
      </c>
      <c r="S203" s="6" t="str">
        <f>IF(COUNTIF(I203:R203,"NO")=0,"YES","NO")</f>
        <v>YES</v>
      </c>
      <c r="T203" s="15" t="n">
        <v>9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inlineStr">
        <is>
          <t>N/A / N/A / N/A</t>
        </is>
      </c>
      <c r="AE203" s="15" t="inlineStr">
        <is>
          <t>1.2 / OL / OL</t>
        </is>
      </c>
      <c r="AF203" s="15" t="inlineStr">
        <is>
          <t>Fluke 1587 FC 72300003</t>
        </is>
      </c>
      <c r="AG203" s="15" t="n"/>
      <c r="AH203" s="15" t="n"/>
      <c r="AI203" s="15" t="n"/>
      <c r="AJ203" s="15" t="inlineStr">
        <is>
          <t>ACIC</t>
        </is>
      </c>
      <c r="AK203" s="15" t="inlineStr">
        <is>
          <t>16 AWG</t>
        </is>
      </c>
      <c r="AL203" s="15" t="inlineStr">
        <is>
          <t>Levy Ostrup</t>
        </is>
      </c>
      <c r="AM203" s="15" t="inlineStr">
        <is>
          <t>Sept 30 2026</t>
        </is>
      </c>
      <c r="AN203" s="15" t="inlineStr">
        <is>
          <t>Needs cable tags</t>
        </is>
      </c>
    </row>
    <row r="204">
      <c r="A204" s="15" t="inlineStr">
        <is>
          <t>RTD Cable</t>
        </is>
      </c>
      <c r="B204" s="15" t="inlineStr">
        <is>
          <t>29103-ET-P1104-2-R-1</t>
        </is>
      </c>
      <c r="C204" s="15" t="inlineStr">
        <is>
          <t>29103-ET-P1104-2</t>
        </is>
      </c>
      <c r="D204" s="15" t="inlineStr"/>
      <c r="E204" s="15" t="inlineStr">
        <is>
          <t>29103-HTP-002</t>
        </is>
      </c>
      <c r="F204" s="15" t="inlineStr"/>
      <c r="G204" s="15" t="inlineStr">
        <is>
          <t>113</t>
        </is>
      </c>
      <c r="H204" s="15" t="inlineStr">
        <is>
          <t>1.7. 29103-HTP-002/4. RTD Cables/29103-ET-P1104-2-R-1.pdf</t>
        </is>
      </c>
      <c r="I204" s="6" t="str">
        <f>IF($H204&lt;&gt;"","YES","NO")</f>
        <v>YES</v>
      </c>
      <c r="J204" s="6" t="str">
        <f>IF(N($T204)&gt;0,"YES","NO")</f>
        <v>YES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YES</v>
      </c>
      <c r="P204" s="6" t="str">
        <f>IF(OR($A204="RTD"),IF(AND($AH204&lt;&gt;""),"YES","NO"),"N/A")</f>
        <v>N/A</v>
      </c>
      <c r="Q204" s="6" t="str">
        <f>IF(OR($A204="RTD"),IF(AND($AI204&lt;&gt;""),"YES","NO"),"N/A")</f>
        <v>N/A</v>
      </c>
      <c r="R204" s="6" t="str">
        <f>IF(OR($AM204&lt;&gt;"",$Z204&lt;&gt;"",$AC204&lt;&gt;""),"YES","NO")</f>
        <v>YES</v>
      </c>
      <c r="S204" s="6" t="str">
        <f>IF(COUNTIF(I204:R204,"NO")=0,"YES","NO")</f>
        <v>YES</v>
      </c>
      <c r="T204" s="15" t="n">
        <v>9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inlineStr">
        <is>
          <t>N/A / N/A / N/A</t>
        </is>
      </c>
      <c r="AE204" s="15" t="inlineStr">
        <is>
          <t>1.0 / OL / OL</t>
        </is>
      </c>
      <c r="AF204" s="15" t="inlineStr">
        <is>
          <t>Fluke 1587 FC 72300003</t>
        </is>
      </c>
      <c r="AG204" s="15" t="n"/>
      <c r="AH204" s="15" t="n"/>
      <c r="AI204" s="15" t="n"/>
      <c r="AJ204" s="15" t="inlineStr">
        <is>
          <t>ACIC</t>
        </is>
      </c>
      <c r="AK204" s="15" t="inlineStr">
        <is>
          <t>16 AWG</t>
        </is>
      </c>
      <c r="AL204" s="15" t="inlineStr">
        <is>
          <t>Levy Ostrup</t>
        </is>
      </c>
      <c r="AM204" s="15" t="inlineStr">
        <is>
          <t>Sept 30 2026</t>
        </is>
      </c>
      <c r="AN204" s="15" t="n"/>
    </row>
    <row r="205">
      <c r="A205" s="15" t="inlineStr">
        <is>
          <t>RTD Cable</t>
        </is>
      </c>
      <c r="B205" s="15" t="inlineStr">
        <is>
          <t>29103-ET-P1104-2-R-2</t>
        </is>
      </c>
      <c r="C205" s="15" t="inlineStr">
        <is>
          <t>29103-ET-P1104-2</t>
        </is>
      </c>
      <c r="D205" s="15" t="inlineStr"/>
      <c r="E205" s="15" t="inlineStr">
        <is>
          <t>29103-HTP-002</t>
        </is>
      </c>
      <c r="F205" s="15" t="inlineStr"/>
      <c r="G205" s="15" t="inlineStr">
        <is>
          <t>113</t>
        </is>
      </c>
      <c r="H205" s="15" t="inlineStr">
        <is>
          <t>1.7. 29103-HTP-002/4. RTD Cables/29103-ET-P1104-2-R-2.pdf</t>
        </is>
      </c>
      <c r="I205" s="6" t="str">
        <f>IF($H205&lt;&gt;"","YES","NO")</f>
        <v>YES</v>
      </c>
      <c r="J205" s="6" t="str">
        <f>IF(N($T205)&gt;0,"YES","NO")</f>
        <v>YES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YES</v>
      </c>
      <c r="P205" s="6" t="str">
        <f>IF(OR($A205="RTD"),IF(AND($AH205&lt;&gt;""),"YES","NO"),"N/A")</f>
        <v>N/A</v>
      </c>
      <c r="Q205" s="6" t="str">
        <f>IF(OR($A205="RTD"),IF(AND($AI205&lt;&gt;""),"YES","NO"),"N/A")</f>
        <v>N/A</v>
      </c>
      <c r="R205" s="6" t="str">
        <f>IF(OR($AM205&lt;&gt;"",$Z205&lt;&gt;"",$AC205&lt;&gt;""),"YES","NO")</f>
        <v>YES</v>
      </c>
      <c r="S205" s="6" t="str">
        <f>IF(COUNTIF(I205:R205,"NO")=0,"YES","NO")</f>
        <v>YES</v>
      </c>
      <c r="T205" s="15" t="n">
        <v>9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inlineStr">
        <is>
          <t>N/A / N/A / N/A</t>
        </is>
      </c>
      <c r="AE205" s="15" t="inlineStr">
        <is>
          <t>1.1 / OL / OL</t>
        </is>
      </c>
      <c r="AF205" s="15" t="inlineStr">
        <is>
          <t>Fluke 1587 FC 72300003</t>
        </is>
      </c>
      <c r="AG205" s="15" t="n"/>
      <c r="AH205" s="15" t="n"/>
      <c r="AI205" s="15" t="n"/>
      <c r="AJ205" s="15" t="inlineStr">
        <is>
          <t>ACIC</t>
        </is>
      </c>
      <c r="AK205" s="15" t="inlineStr">
        <is>
          <t>16 AWG</t>
        </is>
      </c>
      <c r="AL205" s="15" t="inlineStr">
        <is>
          <t>Levy Ostrup</t>
        </is>
      </c>
      <c r="AM205" s="15" t="inlineStr">
        <is>
          <t>Sept 30, 2026</t>
        </is>
      </c>
      <c r="AN205" s="15" t="inlineStr">
        <is>
          <t>Needs cable tags</t>
        </is>
      </c>
    </row>
    <row r="206">
      <c r="A206" s="15" t="inlineStr">
        <is>
          <t>RTD Cable</t>
        </is>
      </c>
      <c r="B206" s="15" t="inlineStr">
        <is>
          <t>29103-ET-P1201-1-R-1</t>
        </is>
      </c>
      <c r="C206" s="15" t="inlineStr">
        <is>
          <t>29103-ET-P1201-1</t>
        </is>
      </c>
      <c r="D206" s="15" t="inlineStr"/>
      <c r="E206" s="15" t="inlineStr">
        <is>
          <t>29103-HTP-002</t>
        </is>
      </c>
      <c r="F206" s="15" t="inlineStr"/>
      <c r="G206" s="15" t="inlineStr">
        <is>
          <t>113</t>
        </is>
      </c>
      <c r="H206" s="15" t="inlineStr">
        <is>
          <t>1.7. 29103-HTP-002/4. RTD Cables/29103-ET-P1201-1-R-1.pdf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NO</v>
      </c>
      <c r="P206" s="6" t="str">
        <f>IF(OR($A206="RTD"),IF(AND($AH206&lt;&gt;""),"YES","NO"),"N/A")</f>
        <v>N/A</v>
      </c>
      <c r="Q206" s="6" t="str">
        <f>IF(OR($A206="RTD"),IF(AND($AI206&lt;&gt;""),"YES","NO"),"N/A")</f>
        <v>N/A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inlineStr">
        <is>
          <t>ACIC</t>
        </is>
      </c>
      <c r="AK206" s="15" t="inlineStr">
        <is>
          <t>16AWG</t>
        </is>
      </c>
      <c r="AL206" s="15" t="inlineStr">
        <is>
          <t>Levy Ostrup</t>
        </is>
      </c>
      <c r="AM206" s="15" t="n"/>
      <c r="AN206" s="15" t="n"/>
    </row>
    <row r="207">
      <c r="A207" s="15" t="inlineStr">
        <is>
          <t>RTD Cable</t>
        </is>
      </c>
      <c r="B207" s="15" t="inlineStr">
        <is>
          <t>29103-ET-P1204-1-R-1</t>
        </is>
      </c>
      <c r="C207" s="15" t="inlineStr">
        <is>
          <t>29103-ET-P1204-1</t>
        </is>
      </c>
      <c r="D207" s="15" t="inlineStr"/>
      <c r="E207" s="15" t="inlineStr">
        <is>
          <t>29103-HTP-002</t>
        </is>
      </c>
      <c r="F207" s="15" t="inlineStr"/>
      <c r="G207" s="15" t="inlineStr">
        <is>
          <t>113</t>
        </is>
      </c>
      <c r="H207" s="15" t="inlineStr">
        <is>
          <t>1.7. 29103-HTP-002/4. RTD Cables/29103-ET-P1204-1-R-1.pdf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NO</v>
      </c>
      <c r="P207" s="6" t="str">
        <f>IF(OR($A207="RTD"),IF(AND($AH207&lt;&gt;""),"YES","NO"),"N/A")</f>
        <v>N/A</v>
      </c>
      <c r="Q207" s="6" t="str">
        <f>IF(OR($A207="RTD"),IF(AND($AI207&lt;&gt;""),"YES","NO"),"N/A")</f>
        <v>N/A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inlineStr">
        <is>
          <t>ACIC</t>
        </is>
      </c>
      <c r="AK207" s="15" t="inlineStr">
        <is>
          <t>16AWG</t>
        </is>
      </c>
      <c r="AL207" s="15" t="inlineStr">
        <is>
          <t>Levy Ostrup</t>
        </is>
      </c>
      <c r="AM207" s="15" t="n"/>
      <c r="AN207" s="15" t="n"/>
    </row>
    <row r="208">
      <c r="A208" s="15" t="inlineStr">
        <is>
          <t>RTD Cable</t>
        </is>
      </c>
      <c r="B208" s="15" t="inlineStr">
        <is>
          <t>29103-ET-P1204-1-R-2</t>
        </is>
      </c>
      <c r="C208" s="15" t="inlineStr">
        <is>
          <t>29103-ET-P1204-1</t>
        </is>
      </c>
      <c r="D208" s="15" t="inlineStr"/>
      <c r="E208" s="15" t="inlineStr">
        <is>
          <t>29103-HTP-002</t>
        </is>
      </c>
      <c r="F208" s="15" t="inlineStr"/>
      <c r="G208" s="15" t="inlineStr">
        <is>
          <t>113</t>
        </is>
      </c>
      <c r="H208" s="15" t="inlineStr">
        <is>
          <t>1.7. 29103-HTP-002/4. RTD Cables/29103-ET-P1204-1-R-2.pdf</t>
        </is>
      </c>
      <c r="I208" s="6" t="str">
        <f>IF($H208&lt;&gt;"","YES","NO")</f>
        <v>YES</v>
      </c>
      <c r="J208" s="6" t="str">
        <f>IF(N($T208)&gt;0,"YES","NO")</f>
        <v>YES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YES</v>
      </c>
      <c r="P208" s="6" t="str">
        <f>IF(OR($A208="RTD"),IF(AND($AH208&lt;&gt;""),"YES","NO"),"N/A")</f>
        <v>N/A</v>
      </c>
      <c r="Q208" s="6" t="str">
        <f>IF(OR($A208="RTD"),IF(AND($AI208&lt;&gt;""),"YES","NO"),"N/A")</f>
        <v>N/A</v>
      </c>
      <c r="R208" s="6" t="str">
        <f>IF(OR($AM208&lt;&gt;"",$Z208&lt;&gt;"",$AC208&lt;&gt;""),"YES","NO")</f>
        <v>YES</v>
      </c>
      <c r="S208" s="6" t="str">
        <f>IF(COUNTIF(I208:R208,"NO")=0,"YES","NO")</f>
        <v>YES</v>
      </c>
      <c r="T208" s="15" t="n">
        <v>9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inlineStr">
        <is>
          <t>0.9 / OL / OL</t>
        </is>
      </c>
      <c r="AF208" s="15" t="inlineStr">
        <is>
          <t>Fluke 1587 FC 72300003</t>
        </is>
      </c>
      <c r="AG208" s="15" t="n"/>
      <c r="AH208" s="15" t="n"/>
      <c r="AI208" s="15" t="n"/>
      <c r="AJ208" s="15" t="inlineStr">
        <is>
          <t>ACIC</t>
        </is>
      </c>
      <c r="AK208" s="15" t="inlineStr">
        <is>
          <t>16 AWG</t>
        </is>
      </c>
      <c r="AL208" s="15" t="inlineStr">
        <is>
          <t>Levy Ostrup</t>
        </is>
      </c>
      <c r="AM208" s="15" t="inlineStr">
        <is>
          <t>Sept 30, 2026</t>
        </is>
      </c>
      <c r="AN208" s="15" t="inlineStr">
        <is>
          <t>Needs cable tags</t>
        </is>
      </c>
    </row>
    <row r="209">
      <c r="A209" s="15" t="inlineStr">
        <is>
          <t>RTD Cable</t>
        </is>
      </c>
      <c r="B209" s="15" t="inlineStr">
        <is>
          <t>29103-ET-P1204-2-R-1</t>
        </is>
      </c>
      <c r="C209" s="15" t="inlineStr">
        <is>
          <t>29103-ET-P1204-2</t>
        </is>
      </c>
      <c r="D209" s="15" t="inlineStr"/>
      <c r="E209" s="15" t="inlineStr">
        <is>
          <t>29103-HTP-002</t>
        </is>
      </c>
      <c r="F209" s="15" t="inlineStr"/>
      <c r="G209" s="15" t="inlineStr">
        <is>
          <t>113</t>
        </is>
      </c>
      <c r="H209" s="15" t="inlineStr">
        <is>
          <t>1.7. 29103-HTP-002/4. RTD Cables/29103-ET-P1204-2-R-1.pdf</t>
        </is>
      </c>
      <c r="I209" s="6" t="str">
        <f>IF($H209&lt;&gt;"","YES","NO")</f>
        <v>YES</v>
      </c>
      <c r="J209" s="6" t="str">
        <f>IF(N($T209)&gt;0,"YES","NO")</f>
        <v>YES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YES</v>
      </c>
      <c r="P209" s="6" t="str">
        <f>IF(OR($A209="RTD"),IF(AND($AH209&lt;&gt;""),"YES","NO"),"N/A")</f>
        <v>N/A</v>
      </c>
      <c r="Q209" s="6" t="str">
        <f>IF(OR($A209="RTD"),IF(AND($AI209&lt;&gt;""),"YES","NO"),"N/A")</f>
        <v>N/A</v>
      </c>
      <c r="R209" s="6" t="str">
        <f>IF(OR($AM209&lt;&gt;"",$Z209&lt;&gt;"",$AC209&lt;&gt;""),"YES","NO")</f>
        <v>YES</v>
      </c>
      <c r="S209" s="6" t="str">
        <f>IF(COUNTIF(I209:R209,"NO")=0,"YES","NO")</f>
        <v>YES</v>
      </c>
      <c r="T209" s="15" t="n">
        <v>9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inlineStr">
        <is>
          <t>0.9 / OL / OL</t>
        </is>
      </c>
      <c r="AF209" s="15" t="inlineStr">
        <is>
          <t>Fluke 1587 FC 72300003</t>
        </is>
      </c>
      <c r="AG209" s="15" t="n"/>
      <c r="AH209" s="15" t="n"/>
      <c r="AI209" s="15" t="n"/>
      <c r="AJ209" s="15" t="inlineStr">
        <is>
          <t>ACIC</t>
        </is>
      </c>
      <c r="AK209" s="15" t="inlineStr">
        <is>
          <t>16 AWG</t>
        </is>
      </c>
      <c r="AL209" s="15" t="inlineStr">
        <is>
          <t>Levy Ostrup</t>
        </is>
      </c>
      <c r="AM209" s="15" t="inlineStr">
        <is>
          <t>Sept 30, 2026</t>
        </is>
      </c>
      <c r="AN209" s="15" t="inlineStr">
        <is>
          <t>Needs cable tags</t>
        </is>
      </c>
    </row>
    <row r="210">
      <c r="A210" s="15" t="inlineStr">
        <is>
          <t>RTD Cable</t>
        </is>
      </c>
      <c r="B210" s="15" t="inlineStr">
        <is>
          <t>29103-ET-P1204-2-R-2</t>
        </is>
      </c>
      <c r="C210" s="15" t="inlineStr">
        <is>
          <t>29103-ET-P1204-2</t>
        </is>
      </c>
      <c r="D210" s="15" t="inlineStr"/>
      <c r="E210" s="15" t="inlineStr">
        <is>
          <t>29103-HTP-002</t>
        </is>
      </c>
      <c r="F210" s="15" t="inlineStr"/>
      <c r="G210" s="15" t="inlineStr">
        <is>
          <t>113</t>
        </is>
      </c>
      <c r="H210" s="15" t="inlineStr">
        <is>
          <t>1.7. 29103-HTP-002/4. RTD Cables/29103-ET-P1204-2-R-2.pdf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NO</v>
      </c>
      <c r="P210" s="6" t="str">
        <f>IF(OR($A210="RTD"),IF(AND($AH210&lt;&gt;""),"YES","NO"),"N/A")</f>
        <v>N/A</v>
      </c>
      <c r="Q210" s="6" t="str">
        <f>IF(OR($A210="RTD"),IF(AND($AI210&lt;&gt;""),"YES","NO"),"N/A")</f>
        <v>N/A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inlineStr">
        <is>
          <t>ACIC</t>
        </is>
      </c>
      <c r="AK210" s="15" t="inlineStr">
        <is>
          <t>16AWG</t>
        </is>
      </c>
      <c r="AL210" s="15" t="inlineStr">
        <is>
          <t>Levy Ostrup</t>
        </is>
      </c>
      <c r="AM210" s="15" t="n"/>
      <c r="AN210" s="15" t="n"/>
    </row>
    <row r="211">
      <c r="A211" s="15" t="inlineStr">
        <is>
          <t>RTD Cable</t>
        </is>
      </c>
      <c r="B211" s="15" t="inlineStr">
        <is>
          <t>29103-ET-P1301-1-R-1</t>
        </is>
      </c>
      <c r="C211" s="15" t="inlineStr">
        <is>
          <t>29103-ET-P1301-1</t>
        </is>
      </c>
      <c r="D211" s="15" t="inlineStr"/>
      <c r="E211" s="15" t="inlineStr">
        <is>
          <t>29103-HTP-002</t>
        </is>
      </c>
      <c r="F211" s="15" t="inlineStr"/>
      <c r="G211" s="15" t="inlineStr">
        <is>
          <t>113</t>
        </is>
      </c>
      <c r="H211" s="15" t="inlineStr">
        <is>
          <t>1.7. 29103-HTP-002/4. RTD Cables/29103-ET-P1301-1-R-1.pdf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NO</v>
      </c>
      <c r="P211" s="6" t="str">
        <f>IF(OR($A211="RTD"),IF(AND($AH211&lt;&gt;""),"YES","NO"),"N/A")</f>
        <v>N/A</v>
      </c>
      <c r="Q211" s="6" t="str">
        <f>IF(OR($A211="RTD"),IF(AND($AI211&lt;&gt;""),"YES","NO"),"N/A")</f>
        <v>N/A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inlineStr">
        <is>
          <t>ACIC</t>
        </is>
      </c>
      <c r="AK211" s="15" t="inlineStr">
        <is>
          <t>16AWG</t>
        </is>
      </c>
      <c r="AL211" s="15" t="inlineStr">
        <is>
          <t>Levy Ostrup</t>
        </is>
      </c>
      <c r="AM211" s="15" t="n"/>
      <c r="AN211" s="15" t="n"/>
    </row>
    <row r="212">
      <c r="A212" s="15" t="inlineStr">
        <is>
          <t>RTD Cable</t>
        </is>
      </c>
      <c r="B212" s="15" t="inlineStr">
        <is>
          <t>29103-ET-P1304-1-R-1</t>
        </is>
      </c>
      <c r="C212" s="15" t="inlineStr">
        <is>
          <t>29103-ET-P1304-1</t>
        </is>
      </c>
      <c r="D212" s="15" t="inlineStr"/>
      <c r="E212" s="15" t="inlineStr">
        <is>
          <t>29103-HTP-002</t>
        </is>
      </c>
      <c r="F212" s="15" t="inlineStr"/>
      <c r="G212" s="15" t="inlineStr">
        <is>
          <t>113</t>
        </is>
      </c>
      <c r="H212" s="15" t="inlineStr">
        <is>
          <t>1.7. 29103-HTP-002/4. RTD Cables/29103-ET-P1304-1-R-1.pdf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NO</v>
      </c>
      <c r="P212" s="6" t="str">
        <f>IF(OR($A212="RTD"),IF(AND($AH212&lt;&gt;""),"YES","NO"),"N/A")</f>
        <v>N/A</v>
      </c>
      <c r="Q212" s="6" t="str">
        <f>IF(OR($A212="RTD"),IF(AND($AI212&lt;&gt;""),"YES","NO"),"N/A")</f>
        <v>N/A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inlineStr">
        <is>
          <t>ACIC</t>
        </is>
      </c>
      <c r="AK212" s="15" t="inlineStr">
        <is>
          <t>16AWG</t>
        </is>
      </c>
      <c r="AL212" s="15" t="inlineStr">
        <is>
          <t>Levy Ostrup</t>
        </is>
      </c>
      <c r="AM212" s="15" t="n"/>
      <c r="AN212" s="15" t="n"/>
    </row>
    <row r="213">
      <c r="A213" s="15" t="inlineStr">
        <is>
          <t>RTD Cable</t>
        </is>
      </c>
      <c r="B213" s="15" t="inlineStr">
        <is>
          <t>29103-ET-P1304-1-R-2</t>
        </is>
      </c>
      <c r="C213" s="15" t="inlineStr">
        <is>
          <t>29103-ET-P1304-1</t>
        </is>
      </c>
      <c r="D213" s="15" t="inlineStr"/>
      <c r="E213" s="15" t="inlineStr">
        <is>
          <t>29103-HTP-002</t>
        </is>
      </c>
      <c r="F213" s="15" t="inlineStr"/>
      <c r="G213" s="15" t="inlineStr">
        <is>
          <t>113</t>
        </is>
      </c>
      <c r="H213" s="15" t="inlineStr">
        <is>
          <t>1.7. 29103-HTP-002/4. RTD Cables/29103-ET-P1304-1-R-2.pdf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NO</v>
      </c>
      <c r="P213" s="6" t="str">
        <f>IF(OR($A213="RTD"),IF(AND($AH213&lt;&gt;""),"YES","NO"),"N/A")</f>
        <v>N/A</v>
      </c>
      <c r="Q213" s="6" t="str">
        <f>IF(OR($A213="RTD"),IF(AND($AI213&lt;&gt;""),"YES","NO"),"N/A")</f>
        <v>N/A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inlineStr">
        <is>
          <t>ACIC</t>
        </is>
      </c>
      <c r="AK213" s="15" t="inlineStr">
        <is>
          <t>16AWG</t>
        </is>
      </c>
      <c r="AL213" s="15" t="inlineStr">
        <is>
          <t>Levy Ostrup</t>
        </is>
      </c>
      <c r="AM213" s="15" t="n"/>
      <c r="AN213" s="15" t="n"/>
    </row>
    <row r="214">
      <c r="A214" s="15" t="inlineStr">
        <is>
          <t>RTD Cable</t>
        </is>
      </c>
      <c r="B214" s="15" t="inlineStr">
        <is>
          <t>29103-ET-P1304-2-R-1</t>
        </is>
      </c>
      <c r="C214" s="15" t="inlineStr">
        <is>
          <t>29103-ET-P1304-2</t>
        </is>
      </c>
      <c r="D214" s="15" t="inlineStr"/>
      <c r="E214" s="15" t="inlineStr">
        <is>
          <t>29103-HTP-002</t>
        </is>
      </c>
      <c r="F214" s="15" t="inlineStr"/>
      <c r="G214" s="15" t="inlineStr">
        <is>
          <t>113</t>
        </is>
      </c>
      <c r="H214" s="15" t="inlineStr">
        <is>
          <t>1.7. 29103-HTP-002/4. RTD Cables/29103-ET-P1304-2-R-1.pdf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NO</v>
      </c>
      <c r="P214" s="6" t="str">
        <f>IF(OR($A214="RTD"),IF(AND($AH214&lt;&gt;""),"YES","NO"),"N/A")</f>
        <v>N/A</v>
      </c>
      <c r="Q214" s="6" t="str">
        <f>IF(OR($A214="RTD"),IF(AND($AI214&lt;&gt;""),"YES","NO"),"N/A")</f>
        <v>N/A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inlineStr">
        <is>
          <t>ACIC</t>
        </is>
      </c>
      <c r="AK214" s="15" t="inlineStr">
        <is>
          <t>16AWG</t>
        </is>
      </c>
      <c r="AL214" s="15" t="inlineStr">
        <is>
          <t>Levy Ostrup</t>
        </is>
      </c>
      <c r="AM214" s="15" t="n"/>
      <c r="AN214" s="15" t="n"/>
    </row>
    <row r="215">
      <c r="A215" s="15" t="inlineStr">
        <is>
          <t>RTD Cable</t>
        </is>
      </c>
      <c r="B215" s="15" t="inlineStr">
        <is>
          <t>29103-ET-P1304-2-R-2</t>
        </is>
      </c>
      <c r="C215" s="15" t="inlineStr">
        <is>
          <t>29103-ET-P1304-2</t>
        </is>
      </c>
      <c r="D215" s="15" t="inlineStr"/>
      <c r="E215" s="15" t="inlineStr">
        <is>
          <t>29103-HTP-002</t>
        </is>
      </c>
      <c r="F215" s="15" t="inlineStr"/>
      <c r="G215" s="15" t="inlineStr">
        <is>
          <t>113</t>
        </is>
      </c>
      <c r="H215" s="15" t="inlineStr">
        <is>
          <t>1.7. 29103-HTP-002/4. RTD Cables/29103-ET-P1304-2-R-2.pdf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NO</v>
      </c>
      <c r="P215" s="6" t="str">
        <f>IF(OR($A215="RTD"),IF(AND($AH215&lt;&gt;""),"YES","NO"),"N/A")</f>
        <v>N/A</v>
      </c>
      <c r="Q215" s="6" t="str">
        <f>IF(OR($A215="RTD"),IF(AND($AI215&lt;&gt;""),"YES","NO"),"N/A")</f>
        <v>N/A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inlineStr">
        <is>
          <t>ACIC</t>
        </is>
      </c>
      <c r="AK215" s="15" t="inlineStr">
        <is>
          <t>16AWG</t>
        </is>
      </c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29103-ET-P1401-1-R-1</t>
        </is>
      </c>
      <c r="C216" s="15" t="inlineStr">
        <is>
          <t>29103-ET-P1401-1</t>
        </is>
      </c>
      <c r="D216" s="15" t="inlineStr"/>
      <c r="E216" s="15" t="inlineStr">
        <is>
          <t>29103-HTP-002</t>
        </is>
      </c>
      <c r="F216" s="15" t="inlineStr"/>
      <c r="G216" s="15" t="inlineStr">
        <is>
          <t>113</t>
        </is>
      </c>
      <c r="H216" s="15" t="inlineStr">
        <is>
          <t>1.7. 29103-HTP-002/4. RTD Cables/29103-ET-P1401-1-R-1.pdf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29103-ET-P1800-1-R-1</t>
        </is>
      </c>
      <c r="C217" s="15" t="inlineStr">
        <is>
          <t>29103-ET-P1800-1</t>
        </is>
      </c>
      <c r="D217" s="15" t="inlineStr"/>
      <c r="E217" s="15" t="inlineStr">
        <is>
          <t>29103-HTP-002</t>
        </is>
      </c>
      <c r="F217" s="15" t="inlineStr"/>
      <c r="G217" s="15" t="inlineStr">
        <is>
          <t>113</t>
        </is>
      </c>
      <c r="H217" s="15" t="inlineStr">
        <is>
          <t>1.7. 29103-HTP-002/4. RTD Cables/29103-ET-P1800-1-R-1.pdf</t>
        </is>
      </c>
      <c r="I217" s="6" t="str">
        <f>IF($H217&lt;&gt;"","YES","NO")</f>
        <v>YES</v>
      </c>
      <c r="J217" s="6" t="str">
        <f>IF(N($T217)&gt;0,"YES","NO")</f>
        <v>YES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YES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YES</v>
      </c>
      <c r="S217" s="6" t="str">
        <f>IF(COUNTIF(I217:R217,"NO")=0,"YES","NO")</f>
        <v>YES</v>
      </c>
      <c r="T217" s="15" t="n">
        <v>9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inlineStr">
        <is>
          <t>N/A / N/A / N/A</t>
        </is>
      </c>
      <c r="AE217" s="15" t="inlineStr">
        <is>
          <t>1.1 / OL / OL</t>
        </is>
      </c>
      <c r="AF217" s="15" t="inlineStr">
        <is>
          <t>Fluke 1587 FC 72300003</t>
        </is>
      </c>
      <c r="AG217" s="15" t="n"/>
      <c r="AH217" s="15" t="n"/>
      <c r="AI217" s="15" t="n"/>
      <c r="AJ217" s="15" t="inlineStr">
        <is>
          <t>ACIC</t>
        </is>
      </c>
      <c r="AK217" s="15" t="inlineStr">
        <is>
          <t>16 AWG</t>
        </is>
      </c>
      <c r="AL217" s="15" t="inlineStr">
        <is>
          <t>Levy Ostrup</t>
        </is>
      </c>
      <c r="AM217" s="15" t="inlineStr">
        <is>
          <t>Sept 30, 2026</t>
        </is>
      </c>
      <c r="AN217" s="15" t="n"/>
    </row>
    <row r="218">
      <c r="A218" s="15" t="inlineStr">
        <is>
          <t>RTD Cable</t>
        </is>
      </c>
      <c r="B218" s="15" t="inlineStr">
        <is>
          <t>29103-ET-P1800-2-R-1</t>
        </is>
      </c>
      <c r="C218" s="15" t="inlineStr">
        <is>
          <t>29103-ET-P1800-2</t>
        </is>
      </c>
      <c r="D218" s="15" t="inlineStr"/>
      <c r="E218" s="15" t="inlineStr">
        <is>
          <t>29103-HTP-002</t>
        </is>
      </c>
      <c r="F218" s="15" t="inlineStr"/>
      <c r="G218" s="15" t="inlineStr">
        <is>
          <t>113</t>
        </is>
      </c>
      <c r="H218" s="15" t="inlineStr">
        <is>
          <t>1.7. 29103-HTP-002/4. RTD Cables/29103-ET-P1800-2-R-1.pdf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29103-ET-PE1101-1-R-1</t>
        </is>
      </c>
      <c r="C219" s="15" t="inlineStr">
        <is>
          <t>29103-ET-PE1101-1</t>
        </is>
      </c>
      <c r="D219" s="15" t="inlineStr"/>
      <c r="E219" s="15" t="inlineStr">
        <is>
          <t>29103-HTP-002</t>
        </is>
      </c>
      <c r="F219" s="15" t="inlineStr"/>
      <c r="G219" s="15" t="inlineStr">
        <is>
          <t>113</t>
        </is>
      </c>
      <c r="H219" s="15" t="inlineStr">
        <is>
          <t>1.7. 29103-HTP-002/4. RTD Cables/29103-ET-PE1101-1-R-1.pdf</t>
        </is>
      </c>
      <c r="I219" s="6" t="str">
        <f>IF($H219&lt;&gt;"","YES","NO")</f>
        <v>YES</v>
      </c>
      <c r="J219" s="6" t="str">
        <f>IF(N($T219)&gt;0,"YES","NO")</f>
        <v>YES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YES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YES</v>
      </c>
      <c r="S219" s="6" t="str">
        <f>IF(COUNTIF(I219:R219,"NO")=0,"YES","NO")</f>
        <v>YES</v>
      </c>
      <c r="T219" s="15" t="n">
        <v>9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inlineStr">
        <is>
          <t>N/A / N/A / N/A</t>
        </is>
      </c>
      <c r="AE219" s="15" t="inlineStr">
        <is>
          <t>1.1 / OL / OL</t>
        </is>
      </c>
      <c r="AF219" s="15" t="inlineStr">
        <is>
          <t>Fluke 1587 FC 72300003</t>
        </is>
      </c>
      <c r="AG219" s="15" t="n"/>
      <c r="AH219" s="15" t="n"/>
      <c r="AI219" s="15" t="n"/>
      <c r="AJ219" s="15" t="inlineStr">
        <is>
          <t>ACIC</t>
        </is>
      </c>
      <c r="AK219" s="15" t="inlineStr">
        <is>
          <t>16 AWG</t>
        </is>
      </c>
      <c r="AL219" s="15" t="inlineStr">
        <is>
          <t>Levy Ostrup</t>
        </is>
      </c>
      <c r="AM219" s="15" t="inlineStr">
        <is>
          <t>Sept 30, 2026</t>
        </is>
      </c>
      <c r="AN219" s="15" t="inlineStr">
        <is>
          <t>Needs cable tags</t>
        </is>
      </c>
    </row>
    <row r="220">
      <c r="A220" s="15" t="inlineStr">
        <is>
          <t>RTD Cable</t>
        </is>
      </c>
      <c r="B220" s="15" t="inlineStr">
        <is>
          <t>29103-ET-PE1101-2-R-1</t>
        </is>
      </c>
      <c r="C220" s="15" t="inlineStr">
        <is>
          <t>29103-ET-PE1101-2</t>
        </is>
      </c>
      <c r="D220" s="15" t="inlineStr"/>
      <c r="E220" s="15" t="inlineStr">
        <is>
          <t>29103-HTP-002</t>
        </is>
      </c>
      <c r="F220" s="15" t="inlineStr"/>
      <c r="G220" s="15" t="inlineStr">
        <is>
          <t>113</t>
        </is>
      </c>
      <c r="H220" s="15" t="inlineStr">
        <is>
          <t>1.7. 29103-HTP-002/4. RTD Cables/29103-ET-PE1101-2-R-1.pdf</t>
        </is>
      </c>
      <c r="I220" s="6" t="str">
        <f>IF($H220&lt;&gt;"","YES","NO")</f>
        <v>YES</v>
      </c>
      <c r="J220" s="6" t="str">
        <f>IF(N($T220)&gt;0,"YES","NO")</f>
        <v>YES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YES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YES</v>
      </c>
      <c r="S220" s="6" t="str">
        <f>IF(COUNTIF(I220:R220,"NO")=0,"YES","NO")</f>
        <v>YES</v>
      </c>
      <c r="T220" s="15" t="n">
        <v>10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inlineStr">
        <is>
          <t>N/A / N/A / N/A</t>
        </is>
      </c>
      <c r="AE220" s="15" t="inlineStr">
        <is>
          <t>1.0 / OL / OL</t>
        </is>
      </c>
      <c r="AF220" s="15" t="inlineStr">
        <is>
          <t>Fluke 1587 FC 72300003</t>
        </is>
      </c>
      <c r="AG220" s="15" t="n"/>
      <c r="AH220" s="15" t="n"/>
      <c r="AI220" s="15" t="n"/>
      <c r="AJ220" s="15" t="inlineStr">
        <is>
          <t>ACIC</t>
        </is>
      </c>
      <c r="AK220" s="15" t="inlineStr">
        <is>
          <t>16 AWG</t>
        </is>
      </c>
      <c r="AL220" s="15" t="inlineStr">
        <is>
          <t>Levy Ostrup</t>
        </is>
      </c>
      <c r="AM220" s="15" t="inlineStr">
        <is>
          <t>Sept 30, 2026</t>
        </is>
      </c>
      <c r="AN220" s="15" t="n"/>
    </row>
    <row r="221">
      <c r="A221" s="15" t="inlineStr">
        <is>
          <t>RTD Cable</t>
        </is>
      </c>
      <c r="B221" s="15" t="inlineStr">
        <is>
          <t>29103-ET-PE1101-2-R-2</t>
        </is>
      </c>
      <c r="C221" s="15" t="inlineStr">
        <is>
          <t>29103-ET-PE1101-2</t>
        </is>
      </c>
      <c r="D221" s="15" t="inlineStr"/>
      <c r="E221" s="15" t="inlineStr">
        <is>
          <t>29103-HTP-002</t>
        </is>
      </c>
      <c r="F221" s="15" t="inlineStr"/>
      <c r="G221" s="15" t="inlineStr">
        <is>
          <t>113</t>
        </is>
      </c>
      <c r="H221" s="15" t="inlineStr">
        <is>
          <t>1.7. 29103-HTP-002/4. RTD Cables/29103-ET-PE1101-2-R-2.pdf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YES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 AWG</t>
        </is>
      </c>
      <c r="AL221" s="15" t="inlineStr">
        <is>
          <t>Levy Ostrup</t>
        </is>
      </c>
      <c r="AM221" s="15" t="inlineStr">
        <is>
          <t>Sept 29 2026</t>
        </is>
      </c>
      <c r="AN221" s="15" t="inlineStr">
        <is>
          <t>- No cable pulled</t>
        </is>
      </c>
    </row>
    <row r="222">
      <c r="A222" s="15" t="inlineStr">
        <is>
          <t>RTD Cable</t>
        </is>
      </c>
      <c r="B222" s="15" t="inlineStr">
        <is>
          <t>29103-ET-PE1102-1-R-1</t>
        </is>
      </c>
      <c r="C222" s="15" t="inlineStr">
        <is>
          <t>29103-ET-PE1102-1</t>
        </is>
      </c>
      <c r="D222" s="15" t="inlineStr"/>
      <c r="E222" s="15" t="inlineStr">
        <is>
          <t>29103-HTP-002</t>
        </is>
      </c>
      <c r="F222" s="15" t="inlineStr"/>
      <c r="G222" s="15" t="inlineStr">
        <is>
          <t>113</t>
        </is>
      </c>
      <c r="H222" s="15" t="inlineStr">
        <is>
          <t>1.7. 29103-HTP-002/4. RTD Cables/29103-ET-PE1102-1-R-1.pdf</t>
        </is>
      </c>
      <c r="I222" s="6" t="str">
        <f>IF($H222&lt;&gt;"","YES","NO")</f>
        <v>YES</v>
      </c>
      <c r="J222" s="6" t="str">
        <f>IF(N($T222)&gt;0,"YES","NO")</f>
        <v>YES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YES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YES</v>
      </c>
      <c r="S222" s="6" t="str">
        <f>IF(COUNTIF(I222:R222,"NO")=0,"YES","NO")</f>
        <v>YES</v>
      </c>
      <c r="T222" s="15" t="n">
        <v>9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inlineStr">
        <is>
          <t>N/A / N/A / N/A</t>
        </is>
      </c>
      <c r="AE222" s="15" t="inlineStr">
        <is>
          <t>1.1 / OL / OL</t>
        </is>
      </c>
      <c r="AF222" s="15" t="inlineStr">
        <is>
          <t>Fluke 1587 FC 72300003</t>
        </is>
      </c>
      <c r="AG222" s="15" t="n"/>
      <c r="AH222" s="15" t="n"/>
      <c r="AI222" s="15" t="n"/>
      <c r="AJ222" s="15" t="inlineStr">
        <is>
          <t>ACIC</t>
        </is>
      </c>
      <c r="AK222" s="15" t="inlineStr">
        <is>
          <t>16 AWG</t>
        </is>
      </c>
      <c r="AL222" s="15" t="inlineStr">
        <is>
          <t>Levy Ostrup</t>
        </is>
      </c>
      <c r="AM222" s="15" t="inlineStr">
        <is>
          <t>Sept 29 2026</t>
        </is>
      </c>
      <c r="AN222" s="15" t="inlineStr">
        <is>
          <t>- No cable tag</t>
        </is>
      </c>
    </row>
    <row r="223">
      <c r="A223" s="15" t="inlineStr">
        <is>
          <t>RTD Cable</t>
        </is>
      </c>
      <c r="B223" s="15" t="inlineStr">
        <is>
          <t>29103-ET-PE1102-1-R-2</t>
        </is>
      </c>
      <c r="C223" s="15" t="inlineStr">
        <is>
          <t>29103-ET-PE1102-1</t>
        </is>
      </c>
      <c r="D223" s="15" t="inlineStr"/>
      <c r="E223" s="15" t="inlineStr">
        <is>
          <t>29103-HTP-002</t>
        </is>
      </c>
      <c r="F223" s="15" t="inlineStr"/>
      <c r="G223" s="15" t="inlineStr">
        <is>
          <t>113</t>
        </is>
      </c>
      <c r="H223" s="15" t="inlineStr">
        <is>
          <t>1.7. 29103-HTP-002/4. RTD Cables/29103-ET-PE1102-1-R-2.pdf</t>
        </is>
      </c>
      <c r="I223" s="6" t="str">
        <f>IF($H223&lt;&gt;"","YES","NO")</f>
        <v>YES</v>
      </c>
      <c r="J223" s="6" t="str">
        <f>IF(N($T223)&gt;0,"YES","NO")</f>
        <v>YES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YES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YES</v>
      </c>
      <c r="S223" s="6" t="str">
        <f>IF(COUNTIF(I223:R223,"NO")=0,"YES","NO")</f>
        <v>YES</v>
      </c>
      <c r="T223" s="15" t="n">
        <v>9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inlineStr">
        <is>
          <t>N/A / N/A / N/A</t>
        </is>
      </c>
      <c r="AE223" s="15" t="inlineStr">
        <is>
          <t>1.1 / 1.1 / 1.2 / OL / OL</t>
        </is>
      </c>
      <c r="AF223" s="15" t="inlineStr">
        <is>
          <t>Fluke 1587 FC 72300003</t>
        </is>
      </c>
      <c r="AG223" s="15" t="n"/>
      <c r="AH223" s="15" t="n"/>
      <c r="AI223" s="15" t="n"/>
      <c r="AJ223" s="15" t="inlineStr">
        <is>
          <t>ACIC</t>
        </is>
      </c>
      <c r="AK223" s="15" t="inlineStr">
        <is>
          <t>16 AWG</t>
        </is>
      </c>
      <c r="AL223" s="15" t="inlineStr">
        <is>
          <t>Levy Ostrup</t>
        </is>
      </c>
      <c r="AM223" s="15" t="inlineStr">
        <is>
          <t>Sept 29 2026</t>
        </is>
      </c>
      <c r="AN223" s="15" t="inlineStr">
        <is>
          <t>- No cable tag</t>
        </is>
      </c>
    </row>
    <row r="224">
      <c r="A224" s="15" t="inlineStr">
        <is>
          <t>RTD Cable</t>
        </is>
      </c>
      <c r="B224" s="15" t="inlineStr">
        <is>
          <t>29103-ET-PE1201-1-R-1</t>
        </is>
      </c>
      <c r="C224" s="15" t="inlineStr">
        <is>
          <t>29103-ET-PE1201-1</t>
        </is>
      </c>
      <c r="D224" s="15" t="inlineStr"/>
      <c r="E224" s="15" t="inlineStr">
        <is>
          <t>29103-HTP-002</t>
        </is>
      </c>
      <c r="F224" s="15" t="inlineStr"/>
      <c r="G224" s="15" t="inlineStr">
        <is>
          <t>113</t>
        </is>
      </c>
      <c r="H224" s="15" t="inlineStr">
        <is>
          <t>1.7. 29103-HTP-002/4. RTD Cables/29103-ET-PE1201-1-R-1.pdf</t>
        </is>
      </c>
      <c r="I224" s="6" t="str">
        <f>IF($H224&lt;&gt;"","YES","NO")</f>
        <v>YES</v>
      </c>
      <c r="J224" s="6" t="str">
        <f>IF(N($T224)&gt;0,"YES","NO")</f>
        <v>YES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YES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YES</v>
      </c>
      <c r="S224" s="6" t="str">
        <f>IF(COUNTIF(I224:R224,"NO")=0,"YES","NO")</f>
        <v>YES</v>
      </c>
      <c r="T224" s="15" t="n">
        <v>9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inlineStr">
        <is>
          <t>0.8 / OL / OL</t>
        </is>
      </c>
      <c r="AF224" s="15" t="inlineStr">
        <is>
          <t>Fluke 1587 FC 72300003</t>
        </is>
      </c>
      <c r="AG224" s="15" t="n"/>
      <c r="AH224" s="15" t="n"/>
      <c r="AI224" s="15" t="n"/>
      <c r="AJ224" s="15" t="inlineStr">
        <is>
          <t>ACIC</t>
        </is>
      </c>
      <c r="AK224" s="15" t="inlineStr">
        <is>
          <t>16 AWG</t>
        </is>
      </c>
      <c r="AL224" s="15" t="inlineStr">
        <is>
          <t>Levy Ostrup</t>
        </is>
      </c>
      <c r="AM224" s="15" t="inlineStr">
        <is>
          <t>Sept 30, 2026</t>
        </is>
      </c>
      <c r="AN224" s="15" t="inlineStr">
        <is>
          <t>Missing cable tags</t>
        </is>
      </c>
    </row>
    <row r="225">
      <c r="A225" s="15" t="inlineStr">
        <is>
          <t>RTD Cable</t>
        </is>
      </c>
      <c r="B225" s="15" t="inlineStr">
        <is>
          <t>29103-ET-PE1201-2-R-2</t>
        </is>
      </c>
      <c r="C225" s="15" t="inlineStr">
        <is>
          <t>29103-ET-PE1201-2</t>
        </is>
      </c>
      <c r="D225" s="15" t="inlineStr"/>
      <c r="E225" s="15" t="inlineStr">
        <is>
          <t>29103-HTP-002</t>
        </is>
      </c>
      <c r="F225" s="15" t="inlineStr"/>
      <c r="G225" s="15" t="inlineStr">
        <is>
          <t>113</t>
        </is>
      </c>
      <c r="H225" s="15" t="inlineStr">
        <is>
          <t>1.7. 29103-HTP-002/4. RTD Cables/29103-ET-PE1201-2-R-2.pdf</t>
        </is>
      </c>
      <c r="I225" s="6" t="str">
        <f>IF($H225&lt;&gt;"","YES","NO")</f>
        <v>YES</v>
      </c>
      <c r="J225" s="6" t="str">
        <f>IF(N($T225)&gt;0,"YES","NO")</f>
        <v>YES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YES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YES</v>
      </c>
      <c r="S225" s="6" t="str">
        <f>IF(COUNTIF(I225:R225,"NO")=0,"YES","NO")</f>
        <v>YES</v>
      </c>
      <c r="T225" s="15" t="n">
        <v>9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inlineStr">
        <is>
          <t>1.2 / OL / OL</t>
        </is>
      </c>
      <c r="AF225" s="15" t="inlineStr">
        <is>
          <t>Fluke 1587 FC 72300003</t>
        </is>
      </c>
      <c r="AG225" s="15" t="n"/>
      <c r="AH225" s="15" t="n"/>
      <c r="AI225" s="15" t="n"/>
      <c r="AJ225" s="15" t="inlineStr">
        <is>
          <t>ACIC</t>
        </is>
      </c>
      <c r="AK225" s="15" t="inlineStr">
        <is>
          <t>16 AWG</t>
        </is>
      </c>
      <c r="AL225" s="15" t="inlineStr">
        <is>
          <t>Levy Ostrup</t>
        </is>
      </c>
      <c r="AM225" s="15" t="inlineStr">
        <is>
          <t>Sept 30, 2026</t>
        </is>
      </c>
      <c r="AN225" s="15" t="n"/>
    </row>
    <row r="226">
      <c r="A226" s="15" t="inlineStr">
        <is>
          <t>RTD Cable</t>
        </is>
      </c>
      <c r="B226" s="15" t="inlineStr">
        <is>
          <t>29103-ET-PE1202-1-R-1</t>
        </is>
      </c>
      <c r="C226" s="15" t="inlineStr">
        <is>
          <t>29103-ET-PE1202-1</t>
        </is>
      </c>
      <c r="D226" s="15" t="inlineStr"/>
      <c r="E226" s="15" t="inlineStr">
        <is>
          <t>29103-HTP-002</t>
        </is>
      </c>
      <c r="F226" s="15" t="inlineStr"/>
      <c r="G226" s="15" t="inlineStr">
        <is>
          <t>113</t>
        </is>
      </c>
      <c r="H226" s="15" t="inlineStr">
        <is>
          <t>1.7. 29103-HTP-002/4. RTD Cables/29103-ET-PE1202-1-R-1.pdf</t>
        </is>
      </c>
      <c r="I226" s="6" t="str">
        <f>IF($H226&lt;&gt;"","YES","NO")</f>
        <v>YES</v>
      </c>
      <c r="J226" s="6" t="str">
        <f>IF(N($T226)&gt;0,"YES","NO")</f>
        <v>YES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YES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YES</v>
      </c>
      <c r="S226" s="6" t="str">
        <f>IF(COUNTIF(I226:R226,"NO")=0,"YES","NO")</f>
        <v>YES</v>
      </c>
      <c r="T226" s="15" t="n">
        <v>10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inlineStr">
        <is>
          <t>0.7 / OL / OL</t>
        </is>
      </c>
      <c r="AF226" s="15" t="inlineStr">
        <is>
          <t>Fluke 1587 FC 72300003</t>
        </is>
      </c>
      <c r="AG226" s="15" t="n"/>
      <c r="AH226" s="15" t="n"/>
      <c r="AI226" s="15" t="n"/>
      <c r="AJ226" s="15" t="inlineStr">
        <is>
          <t>ACIC</t>
        </is>
      </c>
      <c r="AK226" s="15" t="inlineStr">
        <is>
          <t>16 AWG</t>
        </is>
      </c>
      <c r="AL226" s="15" t="inlineStr">
        <is>
          <t>Levy Ostrup</t>
        </is>
      </c>
      <c r="AM226" s="15" t="inlineStr">
        <is>
          <t>Sept 30 2026</t>
        </is>
      </c>
      <c r="AN226" s="15" t="n"/>
    </row>
    <row r="227">
      <c r="A227" s="15" t="inlineStr">
        <is>
          <t>RTD Cable</t>
        </is>
      </c>
      <c r="B227" s="15" t="inlineStr">
        <is>
          <t>29103-ET-PE1202-1-R-2</t>
        </is>
      </c>
      <c r="C227" s="15" t="inlineStr">
        <is>
          <t>29103-ET-PE1202-1</t>
        </is>
      </c>
      <c r="D227" s="15" t="inlineStr"/>
      <c r="E227" s="15" t="inlineStr">
        <is>
          <t>29103-HTP-002</t>
        </is>
      </c>
      <c r="F227" s="15" t="inlineStr"/>
      <c r="G227" s="15" t="inlineStr">
        <is>
          <t>113</t>
        </is>
      </c>
      <c r="H227" s="15" t="inlineStr">
        <is>
          <t>1.7. 29103-HTP-002/4. RTD Cables/29103-ET-PE1202-1-R-2.pdf</t>
        </is>
      </c>
      <c r="I227" s="6" t="str">
        <f>IF($H227&lt;&gt;"","YES","NO")</f>
        <v>YES</v>
      </c>
      <c r="J227" s="6" t="str">
        <f>IF(N($T227)&gt;0,"YES","NO")</f>
        <v>YES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YES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YES</v>
      </c>
      <c r="S227" s="6" t="str">
        <f>IF(COUNTIF(I227:R227,"NO")=0,"YES","NO")</f>
        <v>YES</v>
      </c>
      <c r="T227" s="15" t="n">
        <v>6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inlineStr">
        <is>
          <t>0.7 / OL / OL</t>
        </is>
      </c>
      <c r="AF227" s="15" t="inlineStr">
        <is>
          <t>Fluke 1587 FC 72300003</t>
        </is>
      </c>
      <c r="AG227" s="15" t="n"/>
      <c r="AH227" s="15" t="n"/>
      <c r="AI227" s="15" t="n"/>
      <c r="AJ227" s="15" t="inlineStr">
        <is>
          <t>ACIC</t>
        </is>
      </c>
      <c r="AK227" s="15" t="inlineStr">
        <is>
          <t>16 AWG</t>
        </is>
      </c>
      <c r="AL227" s="15" t="inlineStr">
        <is>
          <t>Levy Ostrup</t>
        </is>
      </c>
      <c r="AM227" s="15" t="inlineStr">
        <is>
          <t>Sept 30, 2026</t>
        </is>
      </c>
      <c r="AN227" s="15" t="inlineStr">
        <is>
          <t>Not terminated, needs core markers, cable tags</t>
        </is>
      </c>
    </row>
    <row r="228">
      <c r="A228" s="15" t="inlineStr">
        <is>
          <t>RTD Cable</t>
        </is>
      </c>
      <c r="B228" s="15" t="inlineStr">
        <is>
          <t>29103-ET-PE1301-1-R-1</t>
        </is>
      </c>
      <c r="C228" s="15" t="inlineStr">
        <is>
          <t>29103-ET-PE1301-1</t>
        </is>
      </c>
      <c r="D228" s="15" t="inlineStr"/>
      <c r="E228" s="15" t="inlineStr">
        <is>
          <t>29103-HTP-002</t>
        </is>
      </c>
      <c r="F228" s="15" t="inlineStr"/>
      <c r="G228" s="15" t="inlineStr">
        <is>
          <t>113</t>
        </is>
      </c>
      <c r="H228" s="15" t="inlineStr">
        <is>
          <t>1.7. 29103-HTP-002/4. RTD Cables/29103-ET-PE1301-1-R-1.pdf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29103-ET-PE1301-2-R-2</t>
        </is>
      </c>
      <c r="C229" s="15" t="inlineStr">
        <is>
          <t>29103-ET-PE1301-2</t>
        </is>
      </c>
      <c r="D229" s="15" t="inlineStr"/>
      <c r="E229" s="15" t="inlineStr">
        <is>
          <t>29103-HTP-002</t>
        </is>
      </c>
      <c r="F229" s="15" t="inlineStr"/>
      <c r="G229" s="15" t="inlineStr">
        <is>
          <t>113</t>
        </is>
      </c>
      <c r="H229" s="15" t="inlineStr">
        <is>
          <t>1.7. 29103-HTP-002/4. RTD Cables/29103-ET-PE1301-2-R-2.pdf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29103-ET-PE1302-1-R-1</t>
        </is>
      </c>
      <c r="C230" s="15" t="inlineStr">
        <is>
          <t>29103-ET-PE1302-1</t>
        </is>
      </c>
      <c r="D230" s="15" t="inlineStr"/>
      <c r="E230" s="15" t="inlineStr">
        <is>
          <t>29103-HTP-002</t>
        </is>
      </c>
      <c r="F230" s="15" t="inlineStr"/>
      <c r="G230" s="15" t="inlineStr">
        <is>
          <t>113</t>
        </is>
      </c>
      <c r="H230" s="15" t="inlineStr">
        <is>
          <t>1.7. 29103-HTP-002/4. RTD Cables/29103-ET-PE1302-1-R-1.pdf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29103-ET-PE1302-1-R-2</t>
        </is>
      </c>
      <c r="C231" s="15" t="inlineStr">
        <is>
          <t>29103-ET-PE1302-1</t>
        </is>
      </c>
      <c r="D231" s="15" t="inlineStr"/>
      <c r="E231" s="15" t="inlineStr">
        <is>
          <t>29103-HTP-002</t>
        </is>
      </c>
      <c r="F231" s="15" t="inlineStr"/>
      <c r="G231" s="15" t="inlineStr">
        <is>
          <t>113</t>
        </is>
      </c>
      <c r="H231" s="15" t="inlineStr">
        <is>
          <t>1.7. 29103-HTP-002/4. RTD Cables/29103-ET-PE1302-1-R-2.pdf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29103-ET-PE1401-1-R-1</t>
        </is>
      </c>
      <c r="C232" s="15" t="inlineStr">
        <is>
          <t>29103-ET-PE1401-1</t>
        </is>
      </c>
      <c r="D232" s="15" t="inlineStr"/>
      <c r="E232" s="15" t="inlineStr">
        <is>
          <t>29103-HTP-002</t>
        </is>
      </c>
      <c r="F232" s="15" t="inlineStr"/>
      <c r="G232" s="15" t="inlineStr">
        <is>
          <t>113</t>
        </is>
      </c>
      <c r="H232" s="15" t="inlineStr">
        <is>
          <t>1.7. 29103-HTP-002/4. RTD Cables/29103-ET-PE1401-1-R-1.pdf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29103-ET-PE1802-1-R-1</t>
        </is>
      </c>
      <c r="C233" s="15" t="inlineStr">
        <is>
          <t>29103-ET-PE1802-1</t>
        </is>
      </c>
      <c r="D233" s="15" t="inlineStr"/>
      <c r="E233" s="15" t="inlineStr">
        <is>
          <t>29103-HTP-002</t>
        </is>
      </c>
      <c r="F233" s="15" t="inlineStr"/>
      <c r="G233" s="15" t="inlineStr">
        <is>
          <t>113</t>
        </is>
      </c>
      <c r="H233" s="15" t="inlineStr">
        <is>
          <t>1.7. 29103-HTP-002/4. RTD Cables/29103-ET-PE1802-1-R-1.pdf</t>
        </is>
      </c>
      <c r="I233" s="6" t="str">
        <f>IF($H233&lt;&gt;"","YES","NO")</f>
        <v>YES</v>
      </c>
      <c r="J233" s="6" t="str">
        <f>IF(N($T233)&gt;0,"YES","NO")</f>
        <v>YES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YES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YES</v>
      </c>
      <c r="S233" s="6" t="str">
        <f>IF(COUNTIF(I233:R233,"NO")=0,"YES","NO")</f>
        <v>YES</v>
      </c>
      <c r="T233" s="15" t="n">
        <v>8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inlineStr">
        <is>
          <t>N/A / N/A / N/A</t>
        </is>
      </c>
      <c r="AE233" s="15" t="inlineStr">
        <is>
          <t>1.2 / 1.1 / 1.2 / OL / OL</t>
        </is>
      </c>
      <c r="AF233" s="15" t="inlineStr">
        <is>
          <t>Fluke 1587 FC 72300003</t>
        </is>
      </c>
      <c r="AG233" s="15" t="n"/>
      <c r="AH233" s="15" t="n"/>
      <c r="AI233" s="15" t="n"/>
      <c r="AJ233" s="15" t="inlineStr">
        <is>
          <t>ACIC</t>
        </is>
      </c>
      <c r="AK233" s="15" t="inlineStr">
        <is>
          <t>16 AWG</t>
        </is>
      </c>
      <c r="AL233" s="15" t="inlineStr">
        <is>
          <t>Levy Ostrup</t>
        </is>
      </c>
      <c r="AM233" s="15" t="inlineStr">
        <is>
          <t>Sept 29 2026</t>
        </is>
      </c>
      <c r="AN233" s="15" t="inlineStr">
        <is>
          <t>- Missing core markers; missing boot</t>
        </is>
      </c>
    </row>
    <row r="234">
      <c r="A234" s="15" t="inlineStr">
        <is>
          <t>RTD Cable</t>
        </is>
      </c>
      <c r="B234" s="15" t="inlineStr">
        <is>
          <t>29103-ET-PE1803-1-R-1</t>
        </is>
      </c>
      <c r="C234" s="15" t="inlineStr">
        <is>
          <t>29103-ET-PE1803-1</t>
        </is>
      </c>
      <c r="D234" s="15" t="inlineStr"/>
      <c r="E234" s="15" t="inlineStr">
        <is>
          <t>29103-HTP-002</t>
        </is>
      </c>
      <c r="F234" s="15" t="inlineStr"/>
      <c r="G234" s="15" t="inlineStr">
        <is>
          <t>113</t>
        </is>
      </c>
      <c r="H234" s="15" t="inlineStr">
        <is>
          <t>1.7. 29103-HTP-002/4. RTD Cables/29103-ET-PE1803-1-R-1.pdf</t>
        </is>
      </c>
      <c r="I234" s="6" t="str">
        <f>IF($H234&lt;&gt;"","YES","NO")</f>
        <v>YES</v>
      </c>
      <c r="J234" s="6" t="str">
        <f>IF(N($T234)&gt;0,"YES","NO")</f>
        <v>YES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YES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YES</v>
      </c>
      <c r="S234" s="6" t="str">
        <f>IF(COUNTIF(I234:R234,"NO")=0,"YES","NO")</f>
        <v>YES</v>
      </c>
      <c r="T234" s="15" t="n">
        <v>6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inlineStr">
        <is>
          <t>0.7 / OL / OL</t>
        </is>
      </c>
      <c r="AF234" s="15" t="inlineStr">
        <is>
          <t>Fluke 1587 FC 72300003</t>
        </is>
      </c>
      <c r="AG234" s="15" t="n"/>
      <c r="AH234" s="15" t="n"/>
      <c r="AI234" s="15" t="n"/>
      <c r="AJ234" s="15" t="inlineStr">
        <is>
          <t>ACIC</t>
        </is>
      </c>
      <c r="AK234" s="15" t="inlineStr">
        <is>
          <t>16 AWG</t>
        </is>
      </c>
      <c r="AL234" s="15" t="inlineStr">
        <is>
          <t>Levy Ostrup</t>
        </is>
      </c>
      <c r="AM234" s="15" t="inlineStr">
        <is>
          <t>Sept 30, 2026</t>
        </is>
      </c>
      <c r="AN234" s="15" t="inlineStr">
        <is>
          <t>Not terminated, missing cable tag / core markers</t>
        </is>
      </c>
    </row>
    <row r="235">
      <c r="A235" s="15" t="inlineStr">
        <is>
          <t>RTD Cable</t>
        </is>
      </c>
      <c r="B235" s="15" t="inlineStr">
        <is>
          <t>29103-ET-PE1803-1-R-2</t>
        </is>
      </c>
      <c r="C235" s="15" t="inlineStr">
        <is>
          <t>29103-ET-PE1803-1</t>
        </is>
      </c>
      <c r="D235" s="15" t="inlineStr"/>
      <c r="E235" s="15" t="inlineStr">
        <is>
          <t>29103-HTP-002</t>
        </is>
      </c>
      <c r="F235" s="15" t="inlineStr"/>
      <c r="G235" s="15" t="inlineStr">
        <is>
          <t>113</t>
        </is>
      </c>
      <c r="H235" s="15" t="inlineStr">
        <is>
          <t>1.7. 29103-HTP-002/4. RTD Cables/29103-ET-PE1803-1-R-2.pdf</t>
        </is>
      </c>
      <c r="I235" s="6" t="str">
        <f>IF($H235&lt;&gt;"","YES","NO")</f>
        <v>YES</v>
      </c>
      <c r="J235" s="6" t="str">
        <f>IF(N($T235)&gt;0,"YES","NO")</f>
        <v>YES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YES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YES</v>
      </c>
      <c r="S235" s="6" t="str">
        <f>IF(COUNTIF(I235:R235,"NO")=0,"YES","NO")</f>
        <v>YES</v>
      </c>
      <c r="T235" s="15" t="n">
        <v>9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inlineStr">
        <is>
          <t>N/A / N/A / N/A</t>
        </is>
      </c>
      <c r="AE235" s="15" t="inlineStr">
        <is>
          <t>1.1 / OL / OL</t>
        </is>
      </c>
      <c r="AF235" s="15" t="inlineStr">
        <is>
          <t>Fluke 1587 FC 72300003</t>
        </is>
      </c>
      <c r="AG235" s="15" t="n"/>
      <c r="AH235" s="15" t="n"/>
      <c r="AI235" s="15" t="n"/>
      <c r="AJ235" s="15" t="inlineStr">
        <is>
          <t>ACIC</t>
        </is>
      </c>
      <c r="AK235" s="15" t="inlineStr">
        <is>
          <t>16 AWG</t>
        </is>
      </c>
      <c r="AL235" s="15" t="inlineStr">
        <is>
          <t>Levy Ostrup</t>
        </is>
      </c>
      <c r="AM235" s="15" t="inlineStr">
        <is>
          <t>Sept 29 2026</t>
        </is>
      </c>
      <c r="AN235" s="15" t="inlineStr">
        <is>
          <t>- No cable tag</t>
        </is>
      </c>
    </row>
    <row r="236">
      <c r="A236" s="15" t="inlineStr">
        <is>
          <t>RTD Cable</t>
        </is>
      </c>
      <c r="B236" s="15" t="inlineStr">
        <is>
          <t>29103-ET-PG1101-1-R-1</t>
        </is>
      </c>
      <c r="C236" s="15" t="inlineStr">
        <is>
          <t>29103-ET-PG1101-1</t>
        </is>
      </c>
      <c r="D236" s="15" t="inlineStr"/>
      <c r="E236" s="15" t="inlineStr">
        <is>
          <t>29103-HTP-002</t>
        </is>
      </c>
      <c r="F236" s="15" t="inlineStr"/>
      <c r="G236" s="15" t="inlineStr">
        <is>
          <t>113</t>
        </is>
      </c>
      <c r="H236" s="15" t="inlineStr">
        <is>
          <t>1.7. 29103-HTP-002/4. RTD Cables/29103-ET-PG1101-1-R-1.pdf</t>
        </is>
      </c>
      <c r="I236" s="6" t="str">
        <f>IF($H236&lt;&gt;"","YES","NO")</f>
        <v>YES</v>
      </c>
      <c r="J236" s="6" t="str">
        <f>IF(N($T236)&gt;0,"YES","NO")</f>
        <v>YES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YES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YES</v>
      </c>
      <c r="S236" s="6" t="str">
        <f>IF(COUNTIF(I236:R236,"NO")=0,"YES","NO")</f>
        <v>YES</v>
      </c>
      <c r="T236" s="15" t="n">
        <v>9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inlineStr">
        <is>
          <t>N/A / N/A / N/A</t>
        </is>
      </c>
      <c r="AE236" s="15" t="inlineStr">
        <is>
          <t>1.0 / OL / OL</t>
        </is>
      </c>
      <c r="AF236" s="15" t="inlineStr">
        <is>
          <t>Fluke 1587 FC 72300003</t>
        </is>
      </c>
      <c r="AG236" s="15" t="n"/>
      <c r="AH236" s="15" t="n"/>
      <c r="AI236" s="15" t="n"/>
      <c r="AJ236" s="15" t="inlineStr">
        <is>
          <t>ACIC</t>
        </is>
      </c>
      <c r="AK236" s="15" t="inlineStr">
        <is>
          <t>16 AWG</t>
        </is>
      </c>
      <c r="AL236" s="15" t="inlineStr">
        <is>
          <t>Levy Ostrup</t>
        </is>
      </c>
      <c r="AM236" s="15" t="inlineStr">
        <is>
          <t>Sept 29 2026</t>
        </is>
      </c>
      <c r="AN236" s="15" t="inlineStr">
        <is>
          <t>- No terms, boot, shrink or core markers</t>
        </is>
      </c>
    </row>
    <row r="237">
      <c r="A237" s="15" t="inlineStr">
        <is>
          <t>RTD Cable</t>
        </is>
      </c>
      <c r="B237" s="15" t="inlineStr">
        <is>
          <t>29103-ET-PG1101-1-R-2</t>
        </is>
      </c>
      <c r="C237" s="15" t="inlineStr">
        <is>
          <t>29103-ET-PG1101-1</t>
        </is>
      </c>
      <c r="D237" s="15" t="inlineStr"/>
      <c r="E237" s="15" t="inlineStr">
        <is>
          <t>29103-HTP-002</t>
        </is>
      </c>
      <c r="F237" s="15" t="inlineStr"/>
      <c r="G237" s="15" t="inlineStr">
        <is>
          <t>113</t>
        </is>
      </c>
      <c r="H237" s="15" t="inlineStr">
        <is>
          <t>1.7. 29103-HTP-002/4. RTD Cables/29103-ET-PG1101-1-R-2.pdf</t>
        </is>
      </c>
      <c r="I237" s="6" t="str">
        <f>IF($H237&lt;&gt;"","YES","NO")</f>
        <v>YES</v>
      </c>
      <c r="J237" s="6" t="str">
        <f>IF(N($T237)&gt;0,"YES","NO")</f>
        <v>YES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YES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YES</v>
      </c>
      <c r="S237" s="6" t="str">
        <f>IF(COUNTIF(I237:R237,"NO")=0,"YES","NO")</f>
        <v>YES</v>
      </c>
      <c r="T237" s="15" t="n">
        <v>9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inlineStr">
        <is>
          <t>N/A / N/A / N/A</t>
        </is>
      </c>
      <c r="AE237" s="15" t="inlineStr">
        <is>
          <t>1.3 / OL / OL</t>
        </is>
      </c>
      <c r="AF237" s="15" t="inlineStr">
        <is>
          <t>Fluke 1587 FC 72300003</t>
        </is>
      </c>
      <c r="AG237" s="15" t="n"/>
      <c r="AH237" s="15" t="n"/>
      <c r="AI237" s="15" t="n"/>
      <c r="AJ237" s="15" t="inlineStr">
        <is>
          <t>ACIC</t>
        </is>
      </c>
      <c r="AK237" s="15" t="inlineStr">
        <is>
          <t>16 AWG</t>
        </is>
      </c>
      <c r="AL237" s="15" t="inlineStr">
        <is>
          <t>Levy Ostrup</t>
        </is>
      </c>
      <c r="AM237" s="15" t="inlineStr">
        <is>
          <t>Sept 29 2026</t>
        </is>
      </c>
      <c r="AN237" s="15" t="inlineStr">
        <is>
          <t>- No cable tag</t>
        </is>
      </c>
    </row>
    <row r="238">
      <c r="A238" s="15" t="inlineStr">
        <is>
          <t>RTD Cable</t>
        </is>
      </c>
      <c r="B238" s="15" t="inlineStr">
        <is>
          <t>29103-ET-PG1101-2-R-1</t>
        </is>
      </c>
      <c r="C238" s="15" t="inlineStr">
        <is>
          <t>29103-ET-PG1101-2</t>
        </is>
      </c>
      <c r="D238" s="15" t="inlineStr"/>
      <c r="E238" s="15" t="inlineStr">
        <is>
          <t>29103-HTP-002</t>
        </is>
      </c>
      <c r="F238" s="15" t="inlineStr"/>
      <c r="G238" s="15" t="inlineStr">
        <is>
          <t>113</t>
        </is>
      </c>
      <c r="H238" s="15" t="inlineStr">
        <is>
          <t>1.7. 29103-HTP-002/4. RTD Cables/29103-ET-PG1101-2-R-1.pdf</t>
        </is>
      </c>
      <c r="I238" s="6" t="str">
        <f>IF($H238&lt;&gt;"","YES","NO")</f>
        <v>YES</v>
      </c>
      <c r="J238" s="6" t="str">
        <f>IF(N($T238)&gt;0,"YES","NO")</f>
        <v>YES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YES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YES</v>
      </c>
      <c r="S238" s="6" t="str">
        <f>IF(COUNTIF(I238:R238,"NO")=0,"YES","NO")</f>
        <v>YES</v>
      </c>
      <c r="T238" s="15" t="n">
        <v>9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inlineStr">
        <is>
          <t>N/A / N/A / N/A</t>
        </is>
      </c>
      <c r="AE238" s="15" t="inlineStr">
        <is>
          <t>1.2 / OL / OL</t>
        </is>
      </c>
      <c r="AF238" s="15" t="inlineStr">
        <is>
          <t>Fluke 1587 FC 72300003</t>
        </is>
      </c>
      <c r="AG238" s="15" t="n"/>
      <c r="AH238" s="15" t="n"/>
      <c r="AI238" s="15" t="n"/>
      <c r="AJ238" s="15" t="inlineStr">
        <is>
          <t>ACIC</t>
        </is>
      </c>
      <c r="AK238" s="15" t="inlineStr">
        <is>
          <t>16 AWG</t>
        </is>
      </c>
      <c r="AL238" s="15" t="inlineStr">
        <is>
          <t>Levy Ostrup</t>
        </is>
      </c>
      <c r="AM238" s="15" t="inlineStr">
        <is>
          <t>Sept 30, 2026</t>
        </is>
      </c>
      <c r="AN238" s="15" t="inlineStr">
        <is>
          <t>No cable tag</t>
        </is>
      </c>
    </row>
    <row r="239">
      <c r="A239" s="15" t="inlineStr">
        <is>
          <t>RTD Cable</t>
        </is>
      </c>
      <c r="B239" s="15" t="inlineStr">
        <is>
          <t>29103-ET-PG1201-1-R-1</t>
        </is>
      </c>
      <c r="C239" s="15" t="inlineStr">
        <is>
          <t>29103-ET-PG1201-1</t>
        </is>
      </c>
      <c r="D239" s="15" t="inlineStr"/>
      <c r="E239" s="15" t="inlineStr">
        <is>
          <t>29103-HTP-002</t>
        </is>
      </c>
      <c r="F239" s="15" t="inlineStr"/>
      <c r="G239" s="15" t="inlineStr">
        <is>
          <t>113</t>
        </is>
      </c>
      <c r="H239" s="15" t="inlineStr">
        <is>
          <t>1.7. 29103-HTP-002/4. RTD Cables/29103-ET-PG1201-1-R-1.pdf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29103-ET-PG1201-1-R-2</t>
        </is>
      </c>
      <c r="C240" s="15" t="inlineStr">
        <is>
          <t>29103-ET-PG1201-1</t>
        </is>
      </c>
      <c r="D240" s="15" t="inlineStr"/>
      <c r="E240" s="15" t="inlineStr">
        <is>
          <t>29103-HTP-002</t>
        </is>
      </c>
      <c r="F240" s="15" t="inlineStr"/>
      <c r="G240" s="15" t="inlineStr">
        <is>
          <t>113</t>
        </is>
      </c>
      <c r="H240" s="15" t="inlineStr">
        <is>
          <t>1.7. 29103-HTP-002/4. RTD Cables/29103-ET-PG1201-1-R-2.pdf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29103-ET-PG1201-2-R-1</t>
        </is>
      </c>
      <c r="C241" s="15" t="inlineStr">
        <is>
          <t>29103-ET-PG1201-2</t>
        </is>
      </c>
      <c r="D241" s="15" t="inlineStr"/>
      <c r="E241" s="15" t="inlineStr">
        <is>
          <t>29103-HTP-002</t>
        </is>
      </c>
      <c r="F241" s="15" t="inlineStr"/>
      <c r="G241" s="15" t="inlineStr">
        <is>
          <t>113</t>
        </is>
      </c>
      <c r="H241" s="15" t="inlineStr">
        <is>
          <t>1.7. 29103-HTP-002/4. RTD Cables/29103-ET-PG1201-2-R-1.pdf</t>
        </is>
      </c>
      <c r="I241" s="6" t="str">
        <f>IF($H241&lt;&gt;"","YES","NO")</f>
        <v>YES</v>
      </c>
      <c r="J241" s="6" t="str">
        <f>IF(N($T241)&gt;0,"YES","NO")</f>
        <v>YES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YES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YES</v>
      </c>
      <c r="S241" s="6" t="str">
        <f>IF(COUNTIF(I241:R241,"NO")=0,"YES","NO")</f>
        <v>YES</v>
      </c>
      <c r="T241" s="15" t="n">
        <v>9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inlineStr">
        <is>
          <t>0.8 / OL / OL</t>
        </is>
      </c>
      <c r="AF241" s="15" t="inlineStr">
        <is>
          <t>Fluke 1587 FC 72300003</t>
        </is>
      </c>
      <c r="AG241" s="15" t="n"/>
      <c r="AH241" s="15" t="n"/>
      <c r="AI241" s="15" t="n"/>
      <c r="AJ241" s="15" t="inlineStr">
        <is>
          <t>ACIC</t>
        </is>
      </c>
      <c r="AK241" s="15" t="inlineStr">
        <is>
          <t>16 AWG</t>
        </is>
      </c>
      <c r="AL241" s="15" t="inlineStr">
        <is>
          <t>Levy Ostrup</t>
        </is>
      </c>
      <c r="AM241" s="15" t="inlineStr">
        <is>
          <t>Sept 30, 2026</t>
        </is>
      </c>
      <c r="AN241" s="15" t="inlineStr">
        <is>
          <t>Missing cable tags</t>
        </is>
      </c>
    </row>
    <row r="242">
      <c r="A242" s="15" t="inlineStr">
        <is>
          <t>RTD Cable</t>
        </is>
      </c>
      <c r="B242" s="15" t="inlineStr">
        <is>
          <t>29103-ET-PG1301-1-R-1</t>
        </is>
      </c>
      <c r="C242" s="15" t="inlineStr">
        <is>
          <t>29103-ET-PG1301-1</t>
        </is>
      </c>
      <c r="D242" s="15" t="inlineStr"/>
      <c r="E242" s="15" t="inlineStr">
        <is>
          <t>29103-HTP-002</t>
        </is>
      </c>
      <c r="F242" s="15" t="inlineStr"/>
      <c r="G242" s="15" t="inlineStr">
        <is>
          <t>113</t>
        </is>
      </c>
      <c r="H242" s="15" t="inlineStr">
        <is>
          <t>1.7. 29103-HTP-002/4. RTD Cables/29103-ET-PG1301-1-R-1.pdf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29103-ET-PG1301-1-R-2</t>
        </is>
      </c>
      <c r="C243" s="15" t="inlineStr">
        <is>
          <t>29103-ET-PG1301-1</t>
        </is>
      </c>
      <c r="D243" s="15" t="inlineStr"/>
      <c r="E243" s="15" t="inlineStr">
        <is>
          <t>29103-HTP-002</t>
        </is>
      </c>
      <c r="F243" s="15" t="inlineStr"/>
      <c r="G243" s="15" t="inlineStr">
        <is>
          <t>113</t>
        </is>
      </c>
      <c r="H243" s="15" t="inlineStr">
        <is>
          <t>1.7. 29103-HTP-002/4. RTD Cables/29103-ET-PG1301-1-R-2.pdf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29103-ET-PG1301-2-R-1</t>
        </is>
      </c>
      <c r="C244" s="15" t="inlineStr">
        <is>
          <t>29103-ET-PG1301-2</t>
        </is>
      </c>
      <c r="D244" s="15" t="inlineStr"/>
      <c r="E244" s="15" t="inlineStr">
        <is>
          <t>29103-HTP-002</t>
        </is>
      </c>
      <c r="F244" s="15" t="inlineStr"/>
      <c r="G244" s="15" t="inlineStr">
        <is>
          <t>113</t>
        </is>
      </c>
      <c r="H244" s="15" t="inlineStr">
        <is>
          <t>1.7. 29103-HTP-002/4. RTD Cables/29103-ET-PG1301-2-R-1.pdf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29103-RJB-002</t>
        </is>
      </c>
      <c r="C245" s="15" t="inlineStr"/>
      <c r="D245" s="15" t="inlineStr"/>
      <c r="E245" s="15" t="inlineStr">
        <is>
          <t>29103-HTP-002</t>
        </is>
      </c>
      <c r="F245" s="15" t="inlineStr"/>
      <c r="G245" s="15" t="inlineStr">
        <is>
          <t>113</t>
        </is>
      </c>
      <c r="H245" s="15" t="inlineStr">
        <is>
          <t>1.7. 29103-HTP-002/4. RTD Cables/29103-RJB-002.pdf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29103-RJB-003</t>
        </is>
      </c>
      <c r="C246" s="15" t="inlineStr"/>
      <c r="D246" s="15" t="inlineStr"/>
      <c r="E246" s="15" t="inlineStr">
        <is>
          <t>29103-HTP-002</t>
        </is>
      </c>
      <c r="F246" s="15" t="inlineStr"/>
      <c r="G246" s="15" t="inlineStr">
        <is>
          <t>113</t>
        </is>
      </c>
      <c r="H246" s="15" t="inlineStr">
        <is>
          <t>1.7. 29103-HTP-002/4. RTD Cables/29103-RJB-003.pdf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</sheetData>
  <autoFilter ref="A4:AN246"/>
  <mergeCells count="3">
    <mergeCell ref="A3:H3"/>
    <mergeCell ref="I3:S3"/>
    <mergeCell ref="T3:AN3"/>
  </mergeCells>
  <conditionalFormatting sqref="I5:S246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29151-HTP-001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29151-ET-DR4100-1-1</t>
        </is>
      </c>
      <c r="C5" s="15" t="inlineStr">
        <is>
          <t>29151-ET-DR4100-1</t>
        </is>
      </c>
      <c r="D5" s="15" t="inlineStr"/>
      <c r="E5" s="15" t="inlineStr">
        <is>
          <t>29151-DR-4100</t>
        </is>
      </c>
      <c r="F5" s="15" t="inlineStr">
        <is>
          <t>29151-65R-ET-DR4100-01-01</t>
        </is>
      </c>
      <c r="G5" s="15" t="inlineStr">
        <is>
          <t>13.1</t>
        </is>
      </c>
      <c r="H5" s="15" t="inlineStr">
        <is>
          <t>1.8. 29151-HTP-001/1. EHT Insulation/29151-ET-DR4100-1-1.pdf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20XTVR1-CT</t>
        </is>
      </c>
      <c r="AK5" s="15" t="inlineStr">
        <is>
          <t>7.3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29151-ET-FG4102-1-1</t>
        </is>
      </c>
      <c r="C6" s="15" t="inlineStr">
        <is>
          <t>29151-ET-FG4102-1</t>
        </is>
      </c>
      <c r="D6" s="15" t="inlineStr"/>
      <c r="E6" s="15" t="inlineStr">
        <is>
          <t>29151-FG-4102, 29151-FG-4101, 29151-FG-4100</t>
        </is>
      </c>
      <c r="F6" s="15" t="inlineStr">
        <is>
          <t>29151-65R-ET-FG4102-01-01</t>
        </is>
      </c>
      <c r="G6" s="15" t="inlineStr">
        <is>
          <t>13.1</t>
        </is>
      </c>
      <c r="H6" s="15" t="inlineStr">
        <is>
          <t>1.8. 29151-HTP-001/1. EHT Insulation/29151-ET-FG4102-1-1.pdf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8HTV1-CT</t>
        </is>
      </c>
      <c r="AK6" s="15" t="inlineStr">
        <is>
          <t>11.4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29151-ET-FG4102-1-2</t>
        </is>
      </c>
      <c r="C7" s="15" t="inlineStr">
        <is>
          <t>29151-ET-FG4102-1</t>
        </is>
      </c>
      <c r="D7" s="15" t="inlineStr"/>
      <c r="E7" s="15" t="inlineStr">
        <is>
          <t>29151-FG-4103, 29151-FG-4102</t>
        </is>
      </c>
      <c r="F7" s="15" t="inlineStr">
        <is>
          <t>29151-65R-ET-FG4102-01-01</t>
        </is>
      </c>
      <c r="G7" s="15" t="inlineStr">
        <is>
          <t>13.1</t>
        </is>
      </c>
      <c r="H7" s="15" t="inlineStr">
        <is>
          <t>1.8. 29151-HTP-001/1. EHT Insulation/29151-ET-FG4102-1-2.pdf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8HTV1-CT</t>
        </is>
      </c>
      <c r="AK7" s="15" t="inlineStr">
        <is>
          <t>8.7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29151-ET-HC4102-1-1</t>
        </is>
      </c>
      <c r="C8" s="15" t="inlineStr">
        <is>
          <t>29151-ET-HC4102-1</t>
        </is>
      </c>
      <c r="D8" s="15" t="inlineStr"/>
      <c r="E8" s="15" t="inlineStr">
        <is>
          <t>29151-HC-4102</t>
        </is>
      </c>
      <c r="F8" s="15" t="inlineStr">
        <is>
          <t>29151-65R-ET-HC4102-01-01</t>
        </is>
      </c>
      <c r="G8" s="15" t="inlineStr">
        <is>
          <t>13.1</t>
        </is>
      </c>
      <c r="H8" s="15" t="inlineStr">
        <is>
          <t>1.8. 29151-HTP-001/1. EHT Insulation/29151-ET-HC4102-1-1.pdf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5HTV1-CT</t>
        </is>
      </c>
      <c r="AK8" s="15" t="inlineStr">
        <is>
          <t>39.9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29151-ET-MT0001-1-1</t>
        </is>
      </c>
      <c r="C9" s="15" t="inlineStr">
        <is>
          <t>29151-ET-MT0001-1</t>
        </is>
      </c>
      <c r="D9" s="15" t="inlineStr"/>
      <c r="E9" s="15" t="inlineStr">
        <is>
          <t>29151-MT-0001</t>
        </is>
      </c>
      <c r="F9" s="15" t="inlineStr">
        <is>
          <t>29151-65R-ET-MT0001-01-01</t>
        </is>
      </c>
      <c r="G9" s="15" t="inlineStr">
        <is>
          <t>13.1</t>
        </is>
      </c>
      <c r="H9" s="15" t="inlineStr">
        <is>
          <t>1.8. 29151-HTP-001/1. EHT Insulation/29151-ET-MT0001-1-1.pdf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5XTVR1-CT</t>
        </is>
      </c>
      <c r="AK9" s="15" t="inlineStr">
        <is>
          <t>2.6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29151-ET-MT0002-1-1</t>
        </is>
      </c>
      <c r="C10" s="15" t="inlineStr">
        <is>
          <t>29151-ET-MT0002-1</t>
        </is>
      </c>
      <c r="D10" s="15" t="inlineStr"/>
      <c r="E10" s="15" t="inlineStr">
        <is>
          <t>29151-MT-0002</t>
        </is>
      </c>
      <c r="F10" s="15" t="inlineStr">
        <is>
          <t>29151-65R-ET-MT0002-01-01</t>
        </is>
      </c>
      <c r="G10" s="15" t="inlineStr">
        <is>
          <t>13.1</t>
        </is>
      </c>
      <c r="H10" s="15" t="inlineStr">
        <is>
          <t>1.8. 29151-HTP-001/1. EHT Insulation/29151-ET-MT0002-1-1.pdf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12HTV1-CT</t>
        </is>
      </c>
      <c r="AK10" s="15" t="inlineStr">
        <is>
          <t>3.6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29151-ET-MT0002-1-2</t>
        </is>
      </c>
      <c r="C11" s="15" t="inlineStr">
        <is>
          <t>29151-ET-MT0002-1</t>
        </is>
      </c>
      <c r="D11" s="15" t="inlineStr"/>
      <c r="E11" s="15" t="inlineStr">
        <is>
          <t>29151-MT-0002</t>
        </is>
      </c>
      <c r="F11" s="15" t="inlineStr">
        <is>
          <t>29151-65R-ET-MT0002-01-01</t>
        </is>
      </c>
      <c r="G11" s="15" t="inlineStr">
        <is>
          <t>13.1</t>
        </is>
      </c>
      <c r="H11" s="15" t="inlineStr">
        <is>
          <t>1.8. 29151-HTP-001/1. EHT Insulation/29151-ET-MT0002-1-2.pdf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12HTV1-CT</t>
        </is>
      </c>
      <c r="AK11" s="15" t="inlineStr">
        <is>
          <t>10.4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29151-ET-PG4100-1-1</t>
        </is>
      </c>
      <c r="C12" s="15" t="inlineStr">
        <is>
          <t>29151-ET-PG4100-1</t>
        </is>
      </c>
      <c r="D12" s="15" t="inlineStr"/>
      <c r="E12" s="15" t="inlineStr">
        <is>
          <t>29151-PG-4101, 29151-PG-4100</t>
        </is>
      </c>
      <c r="F12" s="15" t="inlineStr">
        <is>
          <t>29151-65R-ET-PG4100-01-01</t>
        </is>
      </c>
      <c r="G12" s="15" t="inlineStr">
        <is>
          <t>13.1</t>
        </is>
      </c>
      <c r="H12" s="15" t="inlineStr">
        <is>
          <t>1.8. 29151-HTP-001/1. EHT Insulation/29151-ET-PG4100-1-1.pdf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5HTV1-CT</t>
        </is>
      </c>
      <c r="AK12" s="15" t="inlineStr">
        <is>
          <t>33.9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29151-ET-SC4102-1-1</t>
        </is>
      </c>
      <c r="C13" s="15" t="inlineStr">
        <is>
          <t>29151-ET-SC4102-1</t>
        </is>
      </c>
      <c r="D13" s="15" t="inlineStr"/>
      <c r="E13" s="15" t="inlineStr">
        <is>
          <t>29151-SC-4103, 29151-SC-4102, 29151-DR-4104</t>
        </is>
      </c>
      <c r="F13" s="15" t="inlineStr">
        <is>
          <t>29151-65R-ET-SC4102-01-01</t>
        </is>
      </c>
      <c r="G13" s="15" t="inlineStr">
        <is>
          <t>13.1</t>
        </is>
      </c>
      <c r="H13" s="15" t="inlineStr">
        <is>
          <t>1.8. 29151-HTP-001/1. EHT Insulation/29151-ET-SC4102-1-1.pdf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D/32SQ3100/49.6M/868/120/1.2M/LS23A/X/N12</t>
        </is>
      </c>
      <c r="AK13" s="15" t="inlineStr">
        <is>
          <t>49.6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29151-ET-SC4102-1-2</t>
        </is>
      </c>
      <c r="C14" s="15" t="inlineStr">
        <is>
          <t>29151-ET-SC4102-1</t>
        </is>
      </c>
      <c r="D14" s="15" t="inlineStr"/>
      <c r="E14" s="15" t="inlineStr">
        <is>
          <t>29203-ST-5005, 29151-ST-4101, 29151-ST-4100, 29151- SC-4102</t>
        </is>
      </c>
      <c r="F14" s="15" t="inlineStr">
        <is>
          <t>29151-65R-ET-SC4102-01-01</t>
        </is>
      </c>
      <c r="G14" s="15" t="inlineStr">
        <is>
          <t>13.1</t>
        </is>
      </c>
      <c r="H14" s="15" t="inlineStr">
        <is>
          <t>1.8. 29151-HTP-001/1. EHT Insulation/29151-ET-SC4102-1-2.pdf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D/32SP4583/49.4M/1418/120/1.2M/LS23A/X/N12</t>
        </is>
      </c>
      <c r="AK14" s="15" t="inlineStr">
        <is>
          <t>49.4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29203-ET-DR5000-1-1</t>
        </is>
      </c>
      <c r="C15" s="15" t="inlineStr">
        <is>
          <t>29203-ET-DR5000-1</t>
        </is>
      </c>
      <c r="D15" s="15" t="inlineStr"/>
      <c r="E15" s="15" t="inlineStr">
        <is>
          <t>29203-DR-5000</t>
        </is>
      </c>
      <c r="F15" s="15" t="inlineStr">
        <is>
          <t>29203-65R-ET-DR5000-01-01</t>
        </is>
      </c>
      <c r="G15" s="15" t="inlineStr">
        <is>
          <t>13.1</t>
        </is>
      </c>
      <c r="H15" s="15" t="inlineStr">
        <is>
          <t>1.8. 29151-HTP-001/1. EHT Insulation/29203-ET-DR5000-1-1.pdf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YES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inlineStr">
        <is>
          <t>&gt;2.2 GΩ</t>
        </is>
      </c>
      <c r="V15" s="15" t="inlineStr">
        <is>
          <t>10.2 Ω</t>
        </is>
      </c>
      <c r="W15" s="15" t="inlineStr">
        <is>
          <t>2026-05-17</t>
        </is>
      </c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D/32SQ3100/29.4M/1382/120/1.2M/LS23A/X/N12</t>
        </is>
      </c>
      <c r="AK15" s="15" t="inlineStr">
        <is>
          <t>29.4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29203-ET-HC5008-1-1</t>
        </is>
      </c>
      <c r="C16" s="15" t="inlineStr">
        <is>
          <t>29203-ET-HC5008-1</t>
        </is>
      </c>
      <c r="D16" s="15" t="inlineStr"/>
      <c r="E16" s="15" t="inlineStr">
        <is>
          <t>29203-HC-5008, 29203-HC-5006, 29203-HC-5005</t>
        </is>
      </c>
      <c r="F16" s="15" t="inlineStr">
        <is>
          <t>29203-65R-ET-HC5008-01-01</t>
        </is>
      </c>
      <c r="G16" s="15" t="inlineStr">
        <is>
          <t>13.1</t>
        </is>
      </c>
      <c r="H16" s="15" t="inlineStr">
        <is>
          <t>1.8. 29151-HTP-001/1. EHT Insulation/29203-ET-HC5008-1-1.pdf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10HTV1-CT</t>
        </is>
      </c>
      <c r="AK16" s="15" t="inlineStr">
        <is>
          <t>45.7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29203-ET-HC5008-1-2</t>
        </is>
      </c>
      <c r="C17" s="15" t="inlineStr">
        <is>
          <t>29203-ET-HC5008-1</t>
        </is>
      </c>
      <c r="D17" s="15" t="inlineStr"/>
      <c r="E17" s="15" t="inlineStr">
        <is>
          <t>29203-HC-5008, 29203-HC-5007</t>
        </is>
      </c>
      <c r="F17" s="15" t="inlineStr">
        <is>
          <t>29203-65R-ET-HC5008-01-01</t>
        </is>
      </c>
      <c r="G17" s="15" t="inlineStr">
        <is>
          <t>13.1</t>
        </is>
      </c>
      <c r="H17" s="15" t="inlineStr">
        <is>
          <t>1.8. 29151-HTP-001/1. EHT Insulation/29203-ET-HC5008-1-2.pdf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10HTV1-CT</t>
        </is>
      </c>
      <c r="AK17" s="15" t="inlineStr">
        <is>
          <t>11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29203-ET-HC5008-1-3</t>
        </is>
      </c>
      <c r="C18" s="15" t="inlineStr">
        <is>
          <t>29203-ET-HC5008-1</t>
        </is>
      </c>
      <c r="D18" s="15" t="inlineStr"/>
      <c r="E18" s="15" t="inlineStr">
        <is>
          <t>29203-HC-5008</t>
        </is>
      </c>
      <c r="F18" s="15" t="inlineStr">
        <is>
          <t>29203-65R-ET-HC5008-01-01</t>
        </is>
      </c>
      <c r="G18" s="15" t="inlineStr">
        <is>
          <t>13.1</t>
        </is>
      </c>
      <c r="H18" s="15" t="inlineStr">
        <is>
          <t>1.8. 29151-HTP-001/1. EHT Insulation/29203-ET-HC5008-1-3.pdf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10HTV1-CT</t>
        </is>
      </c>
      <c r="AK18" s="15" t="inlineStr">
        <is>
          <t>9.6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29203-ET-LIT0210-1-1</t>
        </is>
      </c>
      <c r="C19" s="15" t="inlineStr">
        <is>
          <t>29203-ET-LIT0210-1</t>
        </is>
      </c>
      <c r="D19" s="15" t="inlineStr"/>
      <c r="E19" s="15" t="inlineStr">
        <is>
          <t>29203-LIT-0210</t>
        </is>
      </c>
      <c r="F19" s="15" t="inlineStr">
        <is>
          <t>29203-65R-ET-LIT0210-01-01</t>
        </is>
      </c>
      <c r="G19" s="15" t="inlineStr">
        <is>
          <t>13.1</t>
        </is>
      </c>
      <c r="H19" s="15" t="inlineStr">
        <is>
          <t>1.8. 29151-HTP-001/1. EHT Insulation/29203-ET-LIT0210-1-1.pdf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8HTV1-CT</t>
        </is>
      </c>
      <c r="AK19" s="15" t="inlineStr">
        <is>
          <t>15.5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29203-ET-LIT0211-1-1</t>
        </is>
      </c>
      <c r="C20" s="15" t="inlineStr">
        <is>
          <t>29203-ET-LIT0211-1</t>
        </is>
      </c>
      <c r="D20" s="15" t="inlineStr"/>
      <c r="E20" s="15" t="inlineStr">
        <is>
          <t>29203-LIT-0211</t>
        </is>
      </c>
      <c r="F20" s="15" t="inlineStr">
        <is>
          <t>29203-65R-ET-LIT0211-01-01</t>
        </is>
      </c>
      <c r="G20" s="15" t="inlineStr">
        <is>
          <t>13.1</t>
        </is>
      </c>
      <c r="H20" s="15" t="inlineStr">
        <is>
          <t>1.8. 29151-HTP-001/1. EHT Insulation/29203-ET-LIT0211-1-1.pdf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8HTV1-CT</t>
        </is>
      </c>
      <c r="AK20" s="15" t="inlineStr">
        <is>
          <t>25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29203-ET-PE5002-2-1</t>
        </is>
      </c>
      <c r="C21" s="15" t="inlineStr">
        <is>
          <t>29203-ET-PE5002-2</t>
        </is>
      </c>
      <c r="D21" s="15" t="inlineStr"/>
      <c r="E21" s="15" t="inlineStr">
        <is>
          <t>29203-PE-5002</t>
        </is>
      </c>
      <c r="F21" s="15" t="inlineStr">
        <is>
          <t>29203-65R-ET-PE5002-02-01</t>
        </is>
      </c>
      <c r="G21" s="15" t="inlineStr">
        <is>
          <t>13.1</t>
        </is>
      </c>
      <c r="H21" s="15" t="inlineStr">
        <is>
          <t>1.8. 29151-HTP-001/1. EHT Insulation/29203-ET-PE5002-2-1.pdf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15HTV1-CT</t>
        </is>
      </c>
      <c r="AK21" s="15" t="inlineStr">
        <is>
          <t>37.3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29203-ET-ST5001-1-1</t>
        </is>
      </c>
      <c r="C22" s="15" t="inlineStr">
        <is>
          <t>29203-ET-ST5001-1</t>
        </is>
      </c>
      <c r="D22" s="15" t="inlineStr"/>
      <c r="E22" s="15" t="inlineStr">
        <is>
          <t>29203-ST-5001</t>
        </is>
      </c>
      <c r="F22" s="15" t="inlineStr">
        <is>
          <t>29203-65R-ET-ST5001-01-01</t>
        </is>
      </c>
      <c r="G22" s="15" t="inlineStr">
        <is>
          <t>13.1</t>
        </is>
      </c>
      <c r="H22" s="15" t="inlineStr">
        <is>
          <t>1.8. 29151-HTP-001/1. EHT Insulation/29203-ET-ST5001-1-1.pdf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D/32SQ3472/20.6M/443/120/2.1M/LS23A/X/N12</t>
        </is>
      </c>
      <c r="AK22" s="15" t="inlineStr">
        <is>
          <t>20.6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Power Cable</t>
        </is>
      </c>
      <c r="B23" s="15" t="inlineStr">
        <is>
          <t>29151-ET-DR4100-1-PWK-1</t>
        </is>
      </c>
      <c r="C23" s="15" t="inlineStr">
        <is>
          <t>29151-ET-DR4100-1</t>
        </is>
      </c>
      <c r="D23" s="15" t="inlineStr"/>
      <c r="E23" s="15" t="inlineStr">
        <is>
          <t>29151-HTP-001</t>
        </is>
      </c>
      <c r="F23" s="15" t="inlineStr"/>
      <c r="G23" s="15" t="inlineStr">
        <is>
          <t>113</t>
        </is>
      </c>
      <c r="H23" s="15" t="inlineStr">
        <is>
          <t>1.8. 29151-HTP-001/3. Power Cables/29151-ET-DR4100-1-PWK-1.pdf</t>
        </is>
      </c>
      <c r="I23" s="6" t="str">
        <f>IF($H23&lt;&gt;"","YES","NO")</f>
        <v>YES</v>
      </c>
      <c r="J23" s="6" t="str">
        <f>IF(N($T23)&gt;0,"YES","NO")</f>
        <v>YES</v>
      </c>
      <c r="K23" s="6" t="str">
        <f>IF(OR($A23="EHT Trace"),IF(AND($U23&lt;&gt;"",$V23&lt;&gt;""),"YES","NO"),"N/A")</f>
        <v>N/A</v>
      </c>
      <c r="L23" s="6" t="str">
        <f>IF(OR($A23="EHT Trace"),IF(AND($X23&lt;&gt;"",$Y23&lt;&gt;""),"YES","NO"),"N/A")</f>
        <v>N/A</v>
      </c>
      <c r="M23" s="6" t="str">
        <f>IF(OR($A23="EHT Trace"),IF(AND($AA23&lt;&gt;"",$AB23&lt;&gt;""),"YES","NO"),"N/A")</f>
        <v>N/A</v>
      </c>
      <c r="N23" s="6" t="str">
        <f>IF(OR($A23="Power Cable"),IF(AND($AD23&lt;&gt;""),"YES","NO"),"N/A")</f>
        <v>YES</v>
      </c>
      <c r="O23" s="6" t="str">
        <f>IF(OR($A23="Power Cable",$A23="RTD Cable",$A23="Fieldbus Cable"),IF(AND($AE23&lt;&gt;""),"YES","NO"),"N/A")</f>
        <v>YES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YES</v>
      </c>
      <c r="S23" s="6" t="str">
        <f>IF(COUNTIF(I23:R23,"NO")=0,"YES","NO")</f>
        <v>YES</v>
      </c>
      <c r="T23" s="15" t="n">
        <v>8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inlineStr">
        <is>
          <t>550 MΩ / 550 MΩ / 550 MΩ</t>
        </is>
      </c>
      <c r="AE23" s="15" t="inlineStr">
        <is>
          <t>0.3 Ω / OL / OL</t>
        </is>
      </c>
      <c r="AF23" s="15" t="inlineStr">
        <is>
          <t>Fluke 1587 FC 72300003</t>
        </is>
      </c>
      <c r="AG23" s="15" t="n"/>
      <c r="AH23" s="15" t="n"/>
      <c r="AI23" s="15" t="n"/>
      <c r="AJ23" s="15" t="inlineStr">
        <is>
          <t>Teck</t>
        </is>
      </c>
      <c r="AK23" s="15" t="inlineStr">
        <is>
          <t>10 AWG</t>
        </is>
      </c>
      <c r="AL23" s="15" t="inlineStr">
        <is>
          <t>Levy Ostrup</t>
        </is>
      </c>
      <c r="AM23" s="15" t="inlineStr">
        <is>
          <t>Sept 26</t>
        </is>
      </c>
      <c r="AN23" s="15" t="inlineStr">
        <is>
          <t>Cable needs support - fixed Sept 25 | Heat trace should be 43W p/m, has 66W p/m installed</t>
        </is>
      </c>
    </row>
    <row r="24">
      <c r="A24" s="15" t="inlineStr">
        <is>
          <t>Power Cable</t>
        </is>
      </c>
      <c r="B24" s="15" t="inlineStr">
        <is>
          <t>29151-ET-FG4102-1-PWK-1</t>
        </is>
      </c>
      <c r="C24" s="15" t="inlineStr">
        <is>
          <t>29151-ET-FG4102-1</t>
        </is>
      </c>
      <c r="D24" s="15" t="inlineStr"/>
      <c r="E24" s="15" t="inlineStr">
        <is>
          <t>29151-HTP-001</t>
        </is>
      </c>
      <c r="F24" s="15" t="inlineStr"/>
      <c r="G24" s="15" t="inlineStr">
        <is>
          <t>113</t>
        </is>
      </c>
      <c r="H24" s="15" t="inlineStr">
        <is>
          <t>1.8. 29151-HTP-001/3. Power Cables/29151-ET-FG4102-1-PWK-1.pdf</t>
        </is>
      </c>
      <c r="I24" s="6" t="str">
        <f>IF($H24&lt;&gt;"","YES","NO")</f>
        <v>YES</v>
      </c>
      <c r="J24" s="6" t="str">
        <f>IF(N($T24)&gt;0,"YES","NO")</f>
        <v>YES</v>
      </c>
      <c r="K24" s="6" t="str">
        <f>IF(OR($A24="EHT Trace"),IF(AND($U24&lt;&gt;"",$V24&lt;&gt;""),"YES","NO"),"N/A")</f>
        <v>N/A</v>
      </c>
      <c r="L24" s="6" t="str">
        <f>IF(OR($A24="EHT Trace"),IF(AND($X24&lt;&gt;"",$Y24&lt;&gt;""),"YES","NO"),"N/A")</f>
        <v>N/A</v>
      </c>
      <c r="M24" s="6" t="str">
        <f>IF(OR($A24="EHT Trace"),IF(AND($AA24&lt;&gt;"",$AB24&lt;&gt;""),"YES","NO"),"N/A")</f>
        <v>N/A</v>
      </c>
      <c r="N24" s="6" t="str">
        <f>IF(OR($A24="Power Cable"),IF(AND($AD24&lt;&gt;""),"YES","NO"),"N/A")</f>
        <v>YES</v>
      </c>
      <c r="O24" s="6" t="str">
        <f>IF(OR($A24="Power Cable",$A24="RTD Cable",$A24="Fieldbus Cable"),IF(AND($AE24&lt;&gt;""),"YES","NO"),"N/A")</f>
        <v>YES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YES</v>
      </c>
      <c r="S24" s="6" t="str">
        <f>IF(COUNTIF(I24:R24,"NO")=0,"YES","NO")</f>
        <v>YES</v>
      </c>
      <c r="T24" s="15" t="n">
        <v>9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inlineStr">
        <is>
          <t>550 MΩ / 550 MΩ / 550 MΩ</t>
        </is>
      </c>
      <c r="AE24" s="15" t="inlineStr">
        <is>
          <t>0.3 Ω / OL / OL</t>
        </is>
      </c>
      <c r="AF24" s="15" t="inlineStr">
        <is>
          <t>Fluke 1587 FC 72300003</t>
        </is>
      </c>
      <c r="AG24" s="15" t="n"/>
      <c r="AH24" s="15" t="n"/>
      <c r="AI24" s="15" t="n"/>
      <c r="AJ24" s="15" t="inlineStr">
        <is>
          <t>Teck</t>
        </is>
      </c>
      <c r="AK24" s="15" t="inlineStr">
        <is>
          <t>10 AWG</t>
        </is>
      </c>
      <c r="AL24" s="15" t="inlineStr">
        <is>
          <t>Levy Ostrup</t>
        </is>
      </c>
      <c r="AM24" s="15" t="inlineStr">
        <is>
          <t>Sept 25</t>
        </is>
      </c>
      <c r="AN24" s="15" t="inlineStr">
        <is>
          <t>Check ISO - checked termination Sept 26 2026 | Needs grommet on tray</t>
        </is>
      </c>
    </row>
    <row r="25">
      <c r="A25" s="15" t="inlineStr">
        <is>
          <t>Power Cable</t>
        </is>
      </c>
      <c r="B25" s="15" t="inlineStr">
        <is>
          <t>29151-ET-HC4102-1-PWK-1</t>
        </is>
      </c>
      <c r="C25" s="15" t="inlineStr">
        <is>
          <t>29151-ET-HC4102-1</t>
        </is>
      </c>
      <c r="D25" s="15" t="inlineStr"/>
      <c r="E25" s="15" t="inlineStr">
        <is>
          <t>29151-HTP-001</t>
        </is>
      </c>
      <c r="F25" s="15" t="inlineStr"/>
      <c r="G25" s="15" t="inlineStr">
        <is>
          <t>113</t>
        </is>
      </c>
      <c r="H25" s="15" t="inlineStr">
        <is>
          <t>1.8. 29151-HTP-001/3. Power Cables/29151-ET-HC4102-1-PWK-1.pdf</t>
        </is>
      </c>
      <c r="I25" s="6" t="str">
        <f>IF($H25&lt;&gt;"","YES","NO")</f>
        <v>YES</v>
      </c>
      <c r="J25" s="6" t="str">
        <f>IF(N($T25)&gt;0,"YES","NO")</f>
        <v>YES</v>
      </c>
      <c r="K25" s="6" t="str">
        <f>IF(OR($A25="EHT Trace"),IF(AND($U25&lt;&gt;"",$V25&lt;&gt;""),"YES","NO"),"N/A")</f>
        <v>N/A</v>
      </c>
      <c r="L25" s="6" t="str">
        <f>IF(OR($A25="EHT Trace"),IF(AND($X25&lt;&gt;"",$Y25&lt;&gt;""),"YES","NO"),"N/A")</f>
        <v>N/A</v>
      </c>
      <c r="M25" s="6" t="str">
        <f>IF(OR($A25="EHT Trace"),IF(AND($AA25&lt;&gt;"",$AB25&lt;&gt;""),"YES","NO"),"N/A")</f>
        <v>N/A</v>
      </c>
      <c r="N25" s="6" t="str">
        <f>IF(OR($A25="Power Cable"),IF(AND($AD25&lt;&gt;""),"YES","NO"),"N/A")</f>
        <v>YES</v>
      </c>
      <c r="O25" s="6" t="str">
        <f>IF(OR($A25="Power Cable",$A25="RTD Cable",$A25="Fieldbus Cable"),IF(AND($AE25&lt;&gt;""),"YES","NO"),"N/A")</f>
        <v>YES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YES</v>
      </c>
      <c r="S25" s="6" t="str">
        <f>IF(COUNTIF(I25:R25,"NO")=0,"YES","NO")</f>
        <v>YES</v>
      </c>
      <c r="T25" s="15" t="n">
        <v>8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inlineStr">
        <is>
          <t>550 MΩ / 550 MΩ / 550 MΩ</t>
        </is>
      </c>
      <c r="AE25" s="15" t="inlineStr">
        <is>
          <t>0.3 Ω / OL / OL</t>
        </is>
      </c>
      <c r="AF25" s="15" t="inlineStr">
        <is>
          <t>Fluke 1587 FC 72300003</t>
        </is>
      </c>
      <c r="AG25" s="15" t="n"/>
      <c r="AH25" s="15" t="n"/>
      <c r="AI25" s="15" t="n"/>
      <c r="AJ25" s="15" t="inlineStr">
        <is>
          <t>Teck</t>
        </is>
      </c>
      <c r="AK25" s="15" t="inlineStr">
        <is>
          <t>10 AWG</t>
        </is>
      </c>
      <c r="AL25" s="15" t="inlineStr">
        <is>
          <t>Levy Ostrup</t>
        </is>
      </c>
      <c r="AM25" s="15" t="inlineStr">
        <is>
          <t>Sept 26</t>
        </is>
      </c>
      <c r="AN25" s="15" t="inlineStr">
        <is>
          <t>No GRL</t>
        </is>
      </c>
    </row>
    <row r="26">
      <c r="A26" s="15" t="inlineStr">
        <is>
          <t>Power Cable</t>
        </is>
      </c>
      <c r="B26" s="15" t="inlineStr">
        <is>
          <t>29151-ET-MT0002-1-PWK-1</t>
        </is>
      </c>
      <c r="C26" s="15" t="inlineStr">
        <is>
          <t>29151-ET-MT0002-1</t>
        </is>
      </c>
      <c r="D26" s="15" t="inlineStr"/>
      <c r="E26" s="15" t="inlineStr">
        <is>
          <t>29151-HTP-001</t>
        </is>
      </c>
      <c r="F26" s="15" t="inlineStr"/>
      <c r="G26" s="15" t="inlineStr">
        <is>
          <t>113</t>
        </is>
      </c>
      <c r="H26" s="15" t="inlineStr">
        <is>
          <t>1.8. 29151-HTP-001/3. Power Cables/29151-ET-MT0002-1-PWK-1.pdf</t>
        </is>
      </c>
      <c r="I26" s="6" t="str">
        <f>IF($H26&lt;&gt;"","YES","NO")</f>
        <v>YES</v>
      </c>
      <c r="J26" s="6" t="str">
        <f>IF(N($T26)&gt;0,"YES","NO")</f>
        <v>YES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YES</v>
      </c>
      <c r="O26" s="6" t="str">
        <f>IF(OR($A26="Power Cable",$A26="RTD Cable",$A26="Fieldbus Cable"),IF(AND($AE26&lt;&gt;""),"YES","NO"),"N/A")</f>
        <v>YES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YES</v>
      </c>
      <c r="S26" s="6" t="str">
        <f>IF(COUNTIF(I26:R26,"NO")=0,"YES","NO")</f>
        <v>YES</v>
      </c>
      <c r="T26" s="15" t="n">
        <v>9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inlineStr">
        <is>
          <t>550 MΩ / 550 MΩ / 550 MΩ</t>
        </is>
      </c>
      <c r="AE26" s="15" t="inlineStr">
        <is>
          <t>0.3 Ω / OL / OL</t>
        </is>
      </c>
      <c r="AF26" s="15" t="inlineStr">
        <is>
          <t>Fluke 1587 FC 72300003</t>
        </is>
      </c>
      <c r="AG26" s="15" t="n"/>
      <c r="AH26" s="15" t="n"/>
      <c r="AI26" s="15" t="n"/>
      <c r="AJ26" s="15" t="inlineStr">
        <is>
          <t>Teck</t>
        </is>
      </c>
      <c r="AK26" s="15" t="inlineStr">
        <is>
          <t>10 AWG</t>
        </is>
      </c>
      <c r="AL26" s="15" t="inlineStr">
        <is>
          <t>Levy Ostrup</t>
        </is>
      </c>
      <c r="AM26" s="15" t="inlineStr">
        <is>
          <t>Sept 25, 2026</t>
        </is>
      </c>
      <c r="AN26" s="15" t="inlineStr">
        <is>
          <t>Power kit underneath vessel needs tray support | No GRL on PWK3</t>
        </is>
      </c>
    </row>
    <row r="27">
      <c r="A27" s="15" t="inlineStr">
        <is>
          <t>Power Cable</t>
        </is>
      </c>
      <c r="B27" s="15" t="inlineStr">
        <is>
          <t>29151-ET-PG4100-1-PWK-1</t>
        </is>
      </c>
      <c r="C27" s="15" t="inlineStr">
        <is>
          <t>29151-ET-PG4100-1</t>
        </is>
      </c>
      <c r="D27" s="15" t="inlineStr"/>
      <c r="E27" s="15" t="inlineStr">
        <is>
          <t>29151-HTP-001</t>
        </is>
      </c>
      <c r="F27" s="15" t="inlineStr"/>
      <c r="G27" s="15" t="inlineStr">
        <is>
          <t>113</t>
        </is>
      </c>
      <c r="H27" s="15" t="inlineStr">
        <is>
          <t>1.8. 29151-HTP-001/3. Power Cables/29151-ET-PG4100-1-PWK-1.pdf</t>
        </is>
      </c>
      <c r="I27" s="6" t="str">
        <f>IF($H27&lt;&gt;"","YES","NO")</f>
        <v>YES</v>
      </c>
      <c r="J27" s="6" t="str">
        <f>IF(N($T27)&gt;0,"YES","NO")</f>
        <v>YES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YES</v>
      </c>
      <c r="O27" s="6" t="str">
        <f>IF(OR($A27="Power Cable",$A27="RTD Cable",$A27="Fieldbus Cable"),IF(AND($AE27&lt;&gt;""),"YES","NO"),"N/A")</f>
        <v>YES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YES</v>
      </c>
      <c r="S27" s="6" t="str">
        <f>IF(COUNTIF(I27:R27,"NO")=0,"YES","NO")</f>
        <v>YES</v>
      </c>
      <c r="T27" s="15" t="n">
        <v>8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inlineStr">
        <is>
          <t>550 MΩ / 550 MΩ / 550 MΩ</t>
        </is>
      </c>
      <c r="AE27" s="15" t="inlineStr">
        <is>
          <t>0.3 Ω / OL / OL</t>
        </is>
      </c>
      <c r="AF27" s="15" t="inlineStr">
        <is>
          <t>Fluke 1587 FC 72300003</t>
        </is>
      </c>
      <c r="AG27" s="15" t="n"/>
      <c r="AH27" s="15" t="n"/>
      <c r="AI27" s="15" t="n"/>
      <c r="AJ27" s="15" t="inlineStr">
        <is>
          <t>Teck</t>
        </is>
      </c>
      <c r="AK27" s="15" t="inlineStr">
        <is>
          <t>10 AWG</t>
        </is>
      </c>
      <c r="AL27" s="15" t="inlineStr">
        <is>
          <t>Levy Ostrup</t>
        </is>
      </c>
      <c r="AM27" s="15" t="inlineStr">
        <is>
          <t>Sept 26</t>
        </is>
      </c>
      <c r="AN27" s="15" t="inlineStr">
        <is>
          <t>No GRL</t>
        </is>
      </c>
    </row>
    <row r="28">
      <c r="A28" s="15" t="inlineStr">
        <is>
          <t>Power Cable</t>
        </is>
      </c>
      <c r="B28" s="15" t="inlineStr">
        <is>
          <t>29151-ET-SC4102-1-PWK-1</t>
        </is>
      </c>
      <c r="C28" s="15" t="inlineStr">
        <is>
          <t>29151-ET-SC4102-1</t>
        </is>
      </c>
      <c r="D28" s="15" t="inlineStr"/>
      <c r="E28" s="15" t="inlineStr">
        <is>
          <t>29151-HTP-001</t>
        </is>
      </c>
      <c r="F28" s="15" t="inlineStr"/>
      <c r="G28" s="15" t="inlineStr">
        <is>
          <t>113</t>
        </is>
      </c>
      <c r="H28" s="15" t="inlineStr">
        <is>
          <t>1.8. 29151-HTP-001/3. Power Cables/29151-ET-SC4102-1-PWK-1.pdf</t>
        </is>
      </c>
      <c r="I28" s="6" t="str">
        <f>IF($H28&lt;&gt;"","YES","NO")</f>
        <v>YES</v>
      </c>
      <c r="J28" s="6" t="str">
        <f>IF(N($T28)&gt;0,"YES","NO")</f>
        <v>YES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YES</v>
      </c>
      <c r="O28" s="6" t="str">
        <f>IF(OR($A28="Power Cable",$A28="RTD Cable",$A28="Fieldbus Cable"),IF(AND($AE28&lt;&gt;""),"YES","NO"),"N/A")</f>
        <v>YES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YES</v>
      </c>
      <c r="S28" s="6" t="str">
        <f>IF(COUNTIF(I28:R28,"NO")=0,"YES","NO")</f>
        <v>YES</v>
      </c>
      <c r="T28" s="15" t="n">
        <v>9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inlineStr">
        <is>
          <t>&gt;550 MΩ / &gt;550 MΩ / &gt;550 MΩ</t>
        </is>
      </c>
      <c r="AE28" s="15" t="inlineStr">
        <is>
          <t>0.3 Ω / OL / OL</t>
        </is>
      </c>
      <c r="AF28" s="15" t="inlineStr">
        <is>
          <t>Fluke 1587 FC 72300003</t>
        </is>
      </c>
      <c r="AG28" s="15" t="n"/>
      <c r="AH28" s="15" t="n"/>
      <c r="AI28" s="15" t="n"/>
      <c r="AJ28" s="15" t="inlineStr">
        <is>
          <t>Teck</t>
        </is>
      </c>
      <c r="AK28" s="15" t="inlineStr">
        <is>
          <t>8 AWG</t>
        </is>
      </c>
      <c r="AL28" s="15" t="inlineStr">
        <is>
          <t>Levy Ostrup</t>
        </is>
      </c>
      <c r="AM28" s="15" t="inlineStr">
        <is>
          <t>Sept 25 2026</t>
        </is>
      </c>
      <c r="AN28" s="15" t="inlineStr">
        <is>
          <t>Power kit installed but no cable pulled - Completed Sept 26</t>
        </is>
      </c>
    </row>
    <row r="29">
      <c r="A29" s="15" t="inlineStr">
        <is>
          <t>Power Cable</t>
        </is>
      </c>
      <c r="B29" s="15" t="inlineStr">
        <is>
          <t>29203-ET-DR5000-1-PWK-1</t>
        </is>
      </c>
      <c r="C29" s="15" t="inlineStr">
        <is>
          <t>29203-ET-DR5000-1</t>
        </is>
      </c>
      <c r="D29" s="15" t="inlineStr"/>
      <c r="E29" s="15" t="inlineStr">
        <is>
          <t>29151-HTP-001</t>
        </is>
      </c>
      <c r="F29" s="15" t="inlineStr"/>
      <c r="G29" s="15" t="inlineStr">
        <is>
          <t>113</t>
        </is>
      </c>
      <c r="H29" s="15" t="inlineStr">
        <is>
          <t>1.8. 29151-HTP-001/3. Power Cables/29203-ET-DR5000-1-PWK-1.pdf</t>
        </is>
      </c>
      <c r="I29" s="6" t="str">
        <f>IF($H29&lt;&gt;"","YES","NO")</f>
        <v>YES</v>
      </c>
      <c r="J29" s="6" t="str">
        <f>IF(N($T29)&gt;0,"YES","NO")</f>
        <v>YES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YES</v>
      </c>
      <c r="O29" s="6" t="str">
        <f>IF(OR($A29="Power Cable",$A29="RTD Cable",$A29="Fieldbus Cable"),IF(AND($AE29&lt;&gt;""),"YES","NO"),"N/A")</f>
        <v>YES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YES</v>
      </c>
      <c r="S29" s="6" t="str">
        <f>IF(COUNTIF(I29:R29,"NO")=0,"YES","NO")</f>
        <v>YES</v>
      </c>
      <c r="T29" s="15" t="n">
        <v>8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inlineStr">
        <is>
          <t>550 MΩ / 550 MΩ / 550 MΩ</t>
        </is>
      </c>
      <c r="AE29" s="15" t="inlineStr">
        <is>
          <t>0.4 Ω / OL / OL</t>
        </is>
      </c>
      <c r="AF29" s="15" t="inlineStr">
        <is>
          <t>Fluke 1587 FC 72300003</t>
        </is>
      </c>
      <c r="AG29" s="15" t="n"/>
      <c r="AH29" s="15" t="n"/>
      <c r="AI29" s="15" t="n"/>
      <c r="AJ29" s="15" t="inlineStr">
        <is>
          <t>Teck</t>
        </is>
      </c>
      <c r="AK29" s="15" t="inlineStr">
        <is>
          <t>10 AWG</t>
        </is>
      </c>
      <c r="AL29" s="15" t="inlineStr">
        <is>
          <t>Levy Ostrup</t>
        </is>
      </c>
      <c r="AM29" s="15" t="inlineStr">
        <is>
          <t>Sept 24, 2026</t>
        </is>
      </c>
      <c r="AN29" s="15" t="inlineStr">
        <is>
          <t>Missing core marker on white conductor - Fixed Sept 26</t>
        </is>
      </c>
    </row>
    <row r="30">
      <c r="A30" s="15" t="inlineStr">
        <is>
          <t>Power Cable</t>
        </is>
      </c>
      <c r="B30" s="15" t="inlineStr">
        <is>
          <t>29203-ET-HC5008-1-PWK-1</t>
        </is>
      </c>
      <c r="C30" s="15" t="inlineStr">
        <is>
          <t>29203-ET-HC5008-1</t>
        </is>
      </c>
      <c r="D30" s="15" t="inlineStr"/>
      <c r="E30" s="15" t="inlineStr">
        <is>
          <t>29151-HTP-001</t>
        </is>
      </c>
      <c r="F30" s="15" t="inlineStr"/>
      <c r="G30" s="15" t="inlineStr">
        <is>
          <t>113</t>
        </is>
      </c>
      <c r="H30" s="15" t="inlineStr">
        <is>
          <t>1.8. 29151-HTP-001/3. Power Cables/29203-ET-HC5008-1-PWK-1.pdf</t>
        </is>
      </c>
      <c r="I30" s="6" t="str">
        <f>IF($H30&lt;&gt;"","YES","NO")</f>
        <v>YES</v>
      </c>
      <c r="J30" s="6" t="str">
        <f>IF(N($T30)&gt;0,"YES","NO")</f>
        <v>YES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YES</v>
      </c>
      <c r="O30" s="6" t="str">
        <f>IF(OR($A30="Power Cable",$A30="RTD Cable",$A30="Fieldbus Cable"),IF(AND($AE30&lt;&gt;""),"YES","NO"),"N/A")</f>
        <v>YES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YES</v>
      </c>
      <c r="S30" s="6" t="str">
        <f>IF(COUNTIF(I30:R30,"NO")=0,"YES","NO")</f>
        <v>YES</v>
      </c>
      <c r="T30" s="15" t="n">
        <v>9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inlineStr">
        <is>
          <t>550 MΩ / 550 MΩ / 550 MΩ</t>
        </is>
      </c>
      <c r="AE30" s="15" t="inlineStr">
        <is>
          <t>0.3 Ω / OL / OL</t>
        </is>
      </c>
      <c r="AF30" s="15" t="inlineStr">
        <is>
          <t>Fluke 1587 FC 72300003</t>
        </is>
      </c>
      <c r="AG30" s="15" t="n"/>
      <c r="AH30" s="15" t="n"/>
      <c r="AI30" s="15" t="n"/>
      <c r="AJ30" s="15" t="inlineStr">
        <is>
          <t>Teck</t>
        </is>
      </c>
      <c r="AK30" s="15" t="inlineStr">
        <is>
          <t>6 AWG</t>
        </is>
      </c>
      <c r="AL30" s="15" t="inlineStr">
        <is>
          <t>Levy Ostrup</t>
        </is>
      </c>
      <c r="AM30" s="15" t="inlineStr">
        <is>
          <t>Sept 25, 2026</t>
        </is>
      </c>
      <c r="AN30" s="15" t="inlineStr">
        <is>
          <t>Print calls for #6 AWG, #10 AWG is installed</t>
        </is>
      </c>
    </row>
    <row r="31">
      <c r="A31" s="15" t="inlineStr">
        <is>
          <t>Power Cable</t>
        </is>
      </c>
      <c r="B31" s="15" t="inlineStr">
        <is>
          <t>29203-ET-LIT0210-1-PWK-1</t>
        </is>
      </c>
      <c r="C31" s="15" t="inlineStr">
        <is>
          <t>29203-ET-LIT0210-1</t>
        </is>
      </c>
      <c r="D31" s="15" t="inlineStr"/>
      <c r="E31" s="15" t="inlineStr">
        <is>
          <t>29151-HTP-001</t>
        </is>
      </c>
      <c r="F31" s="15" t="inlineStr"/>
      <c r="G31" s="15" t="inlineStr">
        <is>
          <t>113</t>
        </is>
      </c>
      <c r="H31" s="15" t="inlineStr">
        <is>
          <t>1.8. 29151-HTP-001/3. Power Cables/29203-ET-LIT0210-1-PWK-1.pdf</t>
        </is>
      </c>
      <c r="I31" s="6" t="str">
        <f>IF($H31&lt;&gt;"","YES","NO")</f>
        <v>YES</v>
      </c>
      <c r="J31" s="6" t="str">
        <f>IF(N($T31)&gt;0,"YES","NO")</f>
        <v>YES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YES</v>
      </c>
      <c r="O31" s="6" t="str">
        <f>IF(OR($A31="Power Cable",$A31="RTD Cable",$A31="Fieldbus Cable"),IF(AND($AE31&lt;&gt;""),"YES","NO"),"N/A")</f>
        <v>YES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YES</v>
      </c>
      <c r="S31" s="6" t="str">
        <f>IF(COUNTIF(I31:R31,"NO")=0,"YES","NO")</f>
        <v>YES</v>
      </c>
      <c r="T31" s="15" t="n">
        <v>9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inlineStr">
        <is>
          <t>550 MΩ / 550 MΩ / 550 MΩ</t>
        </is>
      </c>
      <c r="AE31" s="15" t="inlineStr">
        <is>
          <t>0.4 Ω / OL / OL</t>
        </is>
      </c>
      <c r="AF31" s="15" t="inlineStr">
        <is>
          <t>Fluke 1587 FC 72300003</t>
        </is>
      </c>
      <c r="AG31" s="15" t="n"/>
      <c r="AH31" s="15" t="n"/>
      <c r="AI31" s="15" t="n"/>
      <c r="AJ31" s="15" t="inlineStr">
        <is>
          <t>Teck</t>
        </is>
      </c>
      <c r="AK31" s="15" t="inlineStr">
        <is>
          <t>10 AWG</t>
        </is>
      </c>
      <c r="AL31" s="15" t="inlineStr">
        <is>
          <t>Levy Ostrup</t>
        </is>
      </c>
      <c r="AM31" s="15" t="inlineStr">
        <is>
          <t>Sept 25 2026</t>
        </is>
      </c>
      <c r="AN31" s="15" t="n"/>
    </row>
    <row r="32">
      <c r="A32" s="15" t="inlineStr">
        <is>
          <t>Power Cable</t>
        </is>
      </c>
      <c r="B32" s="15" t="inlineStr">
        <is>
          <t>29203-ET-LIT0211-1-PWK-1</t>
        </is>
      </c>
      <c r="C32" s="15" t="inlineStr">
        <is>
          <t>29203-ET-LIT0211-1</t>
        </is>
      </c>
      <c r="D32" s="15" t="inlineStr"/>
      <c r="E32" s="15" t="inlineStr">
        <is>
          <t>29151-HTP-001</t>
        </is>
      </c>
      <c r="F32" s="15" t="inlineStr"/>
      <c r="G32" s="15" t="inlineStr">
        <is>
          <t>113</t>
        </is>
      </c>
      <c r="H32" s="15" t="inlineStr">
        <is>
          <t>1.8. 29151-HTP-001/3. Power Cables/29203-ET-LIT0211-1-PWK-1.pdf</t>
        </is>
      </c>
      <c r="I32" s="6" t="str">
        <f>IF($H32&lt;&gt;"","YES","NO")</f>
        <v>YES</v>
      </c>
      <c r="J32" s="6" t="str">
        <f>IF(N($T32)&gt;0,"YES","NO")</f>
        <v>YES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YES</v>
      </c>
      <c r="O32" s="6" t="str">
        <f>IF(OR($A32="Power Cable",$A32="RTD Cable",$A32="Fieldbus Cable"),IF(AND($AE32&lt;&gt;""),"YES","NO"),"N/A")</f>
        <v>YES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YES</v>
      </c>
      <c r="S32" s="6" t="str">
        <f>IF(COUNTIF(I32:R32,"NO")=0,"YES","NO")</f>
        <v>YES</v>
      </c>
      <c r="T32" s="15" t="n">
        <v>9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inlineStr">
        <is>
          <t>550 MΩ / 550 MΩ / 550 MΩ</t>
        </is>
      </c>
      <c r="AE32" s="15" t="inlineStr">
        <is>
          <t>0.5 Ω / OL / OL</t>
        </is>
      </c>
      <c r="AF32" s="15" t="inlineStr">
        <is>
          <t>Fluke 1587 FC 72300003</t>
        </is>
      </c>
      <c r="AG32" s="15" t="n"/>
      <c r="AH32" s="15" t="n"/>
      <c r="AI32" s="15" t="n"/>
      <c r="AJ32" s="15" t="inlineStr">
        <is>
          <t>Teck</t>
        </is>
      </c>
      <c r="AK32" s="15" t="inlineStr">
        <is>
          <t>10 AWG</t>
        </is>
      </c>
      <c r="AL32" s="15" t="inlineStr">
        <is>
          <t>Levy Ostrup</t>
        </is>
      </c>
      <c r="AM32" s="15" t="inlineStr">
        <is>
          <t>Sept 25, 2026</t>
        </is>
      </c>
      <c r="AN32" s="15" t="n"/>
    </row>
    <row r="33">
      <c r="A33" s="15" t="inlineStr">
        <is>
          <t>Power Cable</t>
        </is>
      </c>
      <c r="B33" s="15" t="inlineStr">
        <is>
          <t>29203-ET-PE5002-2-PWK-1</t>
        </is>
      </c>
      <c r="C33" s="15" t="inlineStr">
        <is>
          <t>29203-ET-PE5002-2</t>
        </is>
      </c>
      <c r="D33" s="15" t="inlineStr"/>
      <c r="E33" s="15" t="inlineStr">
        <is>
          <t>29151-HTP-001</t>
        </is>
      </c>
      <c r="F33" s="15" t="inlineStr"/>
      <c r="G33" s="15" t="inlineStr">
        <is>
          <t>113</t>
        </is>
      </c>
      <c r="H33" s="15" t="inlineStr">
        <is>
          <t>1.8. 29151-HTP-001/3. Power Cables/29203-ET-PE5002-2-PWK-1.pdf</t>
        </is>
      </c>
      <c r="I33" s="6" t="str">
        <f>IF($H33&lt;&gt;"","YES","NO")</f>
        <v>YES</v>
      </c>
      <c r="J33" s="6" t="str">
        <f>IF(N($T33)&gt;0,"YES","NO")</f>
        <v>YES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YES</v>
      </c>
      <c r="O33" s="6" t="str">
        <f>IF(OR($A33="Power Cable",$A33="RTD Cable",$A33="Fieldbus Cable"),IF(AND($AE33&lt;&gt;""),"YES","NO"),"N/A")</f>
        <v>YES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YES</v>
      </c>
      <c r="S33" s="6" t="str">
        <f>IF(COUNTIF(I33:R33,"NO")=0,"YES","NO")</f>
        <v>YES</v>
      </c>
      <c r="T33" s="15" t="n">
        <v>9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inlineStr">
        <is>
          <t>550 MΩ / 550 MΩ / 550 MΩ</t>
        </is>
      </c>
      <c r="AE33" s="15" t="inlineStr">
        <is>
          <t>0.4 Ω / OL / OL</t>
        </is>
      </c>
      <c r="AF33" s="15" t="inlineStr">
        <is>
          <t>Fluke 1587 FC 72300003</t>
        </is>
      </c>
      <c r="AG33" s="15" t="n"/>
      <c r="AH33" s="15" t="n"/>
      <c r="AI33" s="15" t="n"/>
      <c r="AJ33" s="15" t="inlineStr">
        <is>
          <t>Teck</t>
        </is>
      </c>
      <c r="AK33" s="15" t="inlineStr">
        <is>
          <t>10 AWG</t>
        </is>
      </c>
      <c r="AL33" s="15" t="inlineStr">
        <is>
          <t>Levy Ostrup</t>
        </is>
      </c>
      <c r="AM33" s="15" t="inlineStr">
        <is>
          <t>Sept 25 2026</t>
        </is>
      </c>
      <c r="AN33" s="15" t="inlineStr">
        <is>
          <t>Location of RTD needs to be redlined in ISO.</t>
        </is>
      </c>
    </row>
    <row r="34">
      <c r="A34" s="15" t="inlineStr">
        <is>
          <t>Power Cable</t>
        </is>
      </c>
      <c r="B34" s="15" t="inlineStr">
        <is>
          <t>29203-ET-ST5001-1-PWK-1</t>
        </is>
      </c>
      <c r="C34" s="15" t="inlineStr">
        <is>
          <t>29203-ET-ST5001-1</t>
        </is>
      </c>
      <c r="D34" s="15" t="inlineStr"/>
      <c r="E34" s="15" t="inlineStr">
        <is>
          <t>29151-HTP-001</t>
        </is>
      </c>
      <c r="F34" s="15" t="inlineStr"/>
      <c r="G34" s="15" t="inlineStr">
        <is>
          <t>113</t>
        </is>
      </c>
      <c r="H34" s="15" t="inlineStr">
        <is>
          <t>1.8. 29151-HTP-001/3. Power Cables/29203-ET-ST5001-1-PWK-1.pdf</t>
        </is>
      </c>
      <c r="I34" s="6" t="str">
        <f>IF($H34&lt;&gt;"","YES","NO")</f>
        <v>YES</v>
      </c>
      <c r="J34" s="6" t="str">
        <f>IF(N($T34)&gt;0,"YES","NO")</f>
        <v>YES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YES</v>
      </c>
      <c r="O34" s="6" t="str">
        <f>IF(OR($A34="Power Cable",$A34="RTD Cable",$A34="Fieldbus Cable"),IF(AND($AE34&lt;&gt;""),"YES","NO"),"N/A")</f>
        <v>YES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YES</v>
      </c>
      <c r="S34" s="6" t="str">
        <f>IF(COUNTIF(I34:R34,"NO")=0,"YES","NO")</f>
        <v>YES</v>
      </c>
      <c r="T34" s="15" t="n">
        <v>9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inlineStr">
        <is>
          <t>550 MΩ / 550 MΩ / 550 MΩ</t>
        </is>
      </c>
      <c r="AE34" s="15" t="inlineStr">
        <is>
          <t>0.5 Ω / OL / OL</t>
        </is>
      </c>
      <c r="AF34" s="15" t="inlineStr">
        <is>
          <t>Fluke 1587 FC 72300003</t>
        </is>
      </c>
      <c r="AG34" s="15" t="n"/>
      <c r="AH34" s="15" t="n"/>
      <c r="AI34" s="15" t="n"/>
      <c r="AJ34" s="15" t="inlineStr">
        <is>
          <t>Teck</t>
        </is>
      </c>
      <c r="AK34" s="15" t="inlineStr">
        <is>
          <t>10 AWG</t>
        </is>
      </c>
      <c r="AL34" s="15" t="inlineStr">
        <is>
          <t>Levy Ostrup</t>
        </is>
      </c>
      <c r="AM34" s="15" t="inlineStr">
        <is>
          <t>Sept 25 2026</t>
        </is>
      </c>
      <c r="AN34" s="15" t="n"/>
    </row>
    <row r="35">
      <c r="A35" s="15" t="inlineStr">
        <is>
          <t>Power Cable</t>
        </is>
      </c>
      <c r="B35" s="15" t="inlineStr">
        <is>
          <t>TANK1-1-PWK-1</t>
        </is>
      </c>
      <c r="C35" s="15" t="inlineStr">
        <is>
          <t>TANK1-1</t>
        </is>
      </c>
      <c r="D35" s="15" t="inlineStr"/>
      <c r="E35" s="15" t="inlineStr">
        <is>
          <t>29151-HTP-001</t>
        </is>
      </c>
      <c r="F35" s="15" t="inlineStr"/>
      <c r="G35" s="15" t="inlineStr">
        <is>
          <t>113</t>
        </is>
      </c>
      <c r="H35" s="15" t="inlineStr">
        <is>
          <t>1.8. 29151-HTP-001/3. Power Cables/TANK1-1-PWK-1.pdf</t>
        </is>
      </c>
      <c r="I35" s="6" t="str">
        <f>IF($H35&lt;&gt;"","YES","NO")</f>
        <v>YES</v>
      </c>
      <c r="J35" s="6" t="str">
        <f>IF(N($T35)&gt;0,"YES","NO")</f>
        <v>YES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YES</v>
      </c>
      <c r="O35" s="6" t="str">
        <f>IF(OR($A35="Power Cable",$A35="RTD Cable",$A35="Fieldbus Cable"),IF(AND($AE35&lt;&gt;""),"YES","NO"),"N/A")</f>
        <v>YES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YES</v>
      </c>
      <c r="S35" s="6" t="str">
        <f>IF(COUNTIF(I35:R35,"NO")=0,"YES","NO")</f>
        <v>YES</v>
      </c>
      <c r="T35" s="15" t="n">
        <v>7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inlineStr">
        <is>
          <t>550 MΩ / 550 MΩ / 550 MΩ</t>
        </is>
      </c>
      <c r="AE35" s="15" t="inlineStr">
        <is>
          <t>0.4 Ω / OL / OL</t>
        </is>
      </c>
      <c r="AF35" s="15" t="inlineStr">
        <is>
          <t>Fluke 1587 FC 72300003</t>
        </is>
      </c>
      <c r="AG35" s="15" t="n"/>
      <c r="AH35" s="15" t="n"/>
      <c r="AI35" s="15" t="n"/>
      <c r="AJ35" s="15" t="inlineStr">
        <is>
          <t>Teck</t>
        </is>
      </c>
      <c r="AK35" s="15" t="inlineStr">
        <is>
          <t>10 AWG</t>
        </is>
      </c>
      <c r="AL35" s="15" t="inlineStr">
        <is>
          <t>Levy Ostrup</t>
        </is>
      </c>
      <c r="AM35" s="15" t="inlineStr">
        <is>
          <t>Sept 24, 2026</t>
        </is>
      </c>
      <c r="AN35" s="15" t="inlineStr">
        <is>
          <t>Missing core marker on white conductor - Fixed Sept 26 | Tray needs grommet</t>
        </is>
      </c>
    </row>
    <row r="36">
      <c r="A36" s="15" t="inlineStr">
        <is>
          <t>Power Cable</t>
        </is>
      </c>
      <c r="B36" s="15" t="inlineStr">
        <is>
          <t>TANK1-2-PWK-1</t>
        </is>
      </c>
      <c r="C36" s="15" t="inlineStr">
        <is>
          <t>TANK1-2</t>
        </is>
      </c>
      <c r="D36" s="15" t="inlineStr"/>
      <c r="E36" s="15" t="inlineStr">
        <is>
          <t>29151-HTP-001</t>
        </is>
      </c>
      <c r="F36" s="15" t="inlineStr"/>
      <c r="G36" s="15" t="inlineStr">
        <is>
          <t>113</t>
        </is>
      </c>
      <c r="H36" s="15" t="inlineStr">
        <is>
          <t>1.8. 29151-HTP-001/3. Power Cables/TANK1-2-PWK-1.pdf</t>
        </is>
      </c>
      <c r="I36" s="6" t="str">
        <f>IF($H36&lt;&gt;"","YES","NO")</f>
        <v>YES</v>
      </c>
      <c r="J36" s="6" t="str">
        <f>IF(N($T36)&gt;0,"YES","NO")</f>
        <v>YES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YES</v>
      </c>
      <c r="O36" s="6" t="str">
        <f>IF(OR($A36="Power Cable",$A36="RTD Cable",$A36="Fieldbus Cable"),IF(AND($AE36&lt;&gt;""),"YES","NO"),"N/A")</f>
        <v>YES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YES</v>
      </c>
      <c r="S36" s="6" t="str">
        <f>IF(COUNTIF(I36:R36,"NO")=0,"YES","NO")</f>
        <v>YES</v>
      </c>
      <c r="T36" s="15" t="n">
        <v>10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inlineStr">
        <is>
          <t>550 MΩ / 550 MΩ / 550 MΩ</t>
        </is>
      </c>
      <c r="AE36" s="15" t="inlineStr">
        <is>
          <t>0.4 Ω / OL / OL</t>
        </is>
      </c>
      <c r="AF36" s="15" t="inlineStr">
        <is>
          <t>Fluke 1587 FC 72300003</t>
        </is>
      </c>
      <c r="AG36" s="15" t="n"/>
      <c r="AH36" s="15" t="n"/>
      <c r="AI36" s="15" t="n"/>
      <c r="AJ36" s="15" t="inlineStr">
        <is>
          <t>Teck</t>
        </is>
      </c>
      <c r="AK36" s="15" t="inlineStr">
        <is>
          <t>10 AWG</t>
        </is>
      </c>
      <c r="AL36" s="15" t="inlineStr">
        <is>
          <t>Levy Ostrup</t>
        </is>
      </c>
      <c r="AM36" s="15" t="inlineStr">
        <is>
          <t>Sept 25 2026</t>
        </is>
      </c>
      <c r="AN36" s="15" t="n"/>
    </row>
    <row r="37">
      <c r="A37" s="15" t="inlineStr">
        <is>
          <t>Power Cable</t>
        </is>
      </c>
      <c r="B37" s="15" t="inlineStr">
        <is>
          <t>TANK1-3-PWK-1</t>
        </is>
      </c>
      <c r="C37" s="15" t="inlineStr">
        <is>
          <t>TANK1-3</t>
        </is>
      </c>
      <c r="D37" s="15" t="inlineStr"/>
      <c r="E37" s="15" t="inlineStr">
        <is>
          <t>29151-HTP-001</t>
        </is>
      </c>
      <c r="F37" s="15" t="inlineStr"/>
      <c r="G37" s="15" t="inlineStr">
        <is>
          <t>113</t>
        </is>
      </c>
      <c r="H37" s="15" t="inlineStr">
        <is>
          <t>1.8. 29151-HTP-001/3. Power Cables/TANK1-3-PWK-1.pdf</t>
        </is>
      </c>
      <c r="I37" s="6" t="str">
        <f>IF($H37&lt;&gt;"","YES","NO")</f>
        <v>YES</v>
      </c>
      <c r="J37" s="6" t="str">
        <f>IF(N($T37)&gt;0,"YES","NO")</f>
        <v>YES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YES</v>
      </c>
      <c r="O37" s="6" t="str">
        <f>IF(OR($A37="Power Cable",$A37="RTD Cable",$A37="Fieldbus Cable"),IF(AND($AE37&lt;&gt;""),"YES","NO"),"N/A")</f>
        <v>YES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YES</v>
      </c>
      <c r="S37" s="6" t="str">
        <f>IF(COUNTIF(I37:R37,"NO")=0,"YES","NO")</f>
        <v>YES</v>
      </c>
      <c r="T37" s="15" t="n">
        <v>10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inlineStr">
        <is>
          <t>550 MΩ / 550 MΩ / 550 MΩ</t>
        </is>
      </c>
      <c r="AE37" s="15" t="inlineStr">
        <is>
          <t>0.3 Ω / OL / OL</t>
        </is>
      </c>
      <c r="AF37" s="15" t="inlineStr">
        <is>
          <t>Fluke 1587 FC 72300003</t>
        </is>
      </c>
      <c r="AG37" s="15" t="n"/>
      <c r="AH37" s="15" t="n"/>
      <c r="AI37" s="15" t="n"/>
      <c r="AJ37" s="15" t="inlineStr">
        <is>
          <t>Teck</t>
        </is>
      </c>
      <c r="AK37" s="15" t="inlineStr">
        <is>
          <t>10 AWG</t>
        </is>
      </c>
      <c r="AL37" s="15" t="inlineStr">
        <is>
          <t>Levy Ostrup</t>
        </is>
      </c>
      <c r="AM37" s="15" t="inlineStr">
        <is>
          <t>Sept 25 2026</t>
        </is>
      </c>
      <c r="AN37" s="15" t="n"/>
    </row>
    <row r="38">
      <c r="A38" s="15" t="inlineStr">
        <is>
          <t>Power Cable</t>
        </is>
      </c>
      <c r="B38" s="15" t="inlineStr">
        <is>
          <t>TANK1-4-PWK-1</t>
        </is>
      </c>
      <c r="C38" s="15" t="inlineStr">
        <is>
          <t>TANK1-4</t>
        </is>
      </c>
      <c r="D38" s="15" t="inlineStr"/>
      <c r="E38" s="15" t="inlineStr">
        <is>
          <t>29151-HTP-001</t>
        </is>
      </c>
      <c r="F38" s="15" t="inlineStr"/>
      <c r="G38" s="15" t="inlineStr">
        <is>
          <t>113</t>
        </is>
      </c>
      <c r="H38" s="15" t="inlineStr">
        <is>
          <t>1.8. 29151-HTP-001/3. Power Cables/TANK1-4-PWK-1.pdf</t>
        </is>
      </c>
      <c r="I38" s="6" t="str">
        <f>IF($H38&lt;&gt;"","YES","NO")</f>
        <v>YES</v>
      </c>
      <c r="J38" s="6" t="str">
        <f>IF(N($T38)&gt;0,"YES","NO")</f>
        <v>YES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YES</v>
      </c>
      <c r="O38" s="6" t="str">
        <f>IF(OR($A38="Power Cable",$A38="RTD Cable",$A38="Fieldbus Cable"),IF(AND($AE38&lt;&gt;""),"YES","NO"),"N/A")</f>
        <v>YES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YES</v>
      </c>
      <c r="S38" s="6" t="str">
        <f>IF(COUNTIF(I38:R38,"NO")=0,"YES","NO")</f>
        <v>YES</v>
      </c>
      <c r="T38" s="15" t="n">
        <v>9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inlineStr">
        <is>
          <t>550 MΩ / 550 MΩ / 550 MΩ</t>
        </is>
      </c>
      <c r="AE38" s="15" t="inlineStr">
        <is>
          <t>0.4 Ω / OL / OL</t>
        </is>
      </c>
      <c r="AF38" s="15" t="inlineStr">
        <is>
          <t>Fluke 1587 FC 72300003</t>
        </is>
      </c>
      <c r="AG38" s="15" t="n"/>
      <c r="AH38" s="15" t="n"/>
      <c r="AI38" s="15" t="n"/>
      <c r="AJ38" s="15" t="inlineStr">
        <is>
          <t>Teck</t>
        </is>
      </c>
      <c r="AK38" s="15" t="inlineStr">
        <is>
          <t>10 AWG</t>
        </is>
      </c>
      <c r="AL38" s="15" t="inlineStr">
        <is>
          <t>Levy Ostrup</t>
        </is>
      </c>
      <c r="AM38" s="15" t="inlineStr">
        <is>
          <t>Sept 24 2026</t>
        </is>
      </c>
      <c r="AN38" s="15" t="n"/>
    </row>
    <row r="39">
      <c r="A39" s="15" t="inlineStr">
        <is>
          <t>Power Cable</t>
        </is>
      </c>
      <c r="B39" s="15" t="inlineStr">
        <is>
          <t>TANK1-5-PWK-1</t>
        </is>
      </c>
      <c r="C39" s="15" t="inlineStr">
        <is>
          <t>TANK1-5</t>
        </is>
      </c>
      <c r="D39" s="15" t="inlineStr"/>
      <c r="E39" s="15" t="inlineStr">
        <is>
          <t>29151-HTP-001</t>
        </is>
      </c>
      <c r="F39" s="15" t="inlineStr"/>
      <c r="G39" s="15" t="inlineStr">
        <is>
          <t>113</t>
        </is>
      </c>
      <c r="H39" s="15" t="inlineStr">
        <is>
          <t>1.8. 29151-HTP-001/3. Power Cables/TANK1-5-PWK-1.pdf</t>
        </is>
      </c>
      <c r="I39" s="6" t="str">
        <f>IF($H39&lt;&gt;"","YES","NO")</f>
        <v>YES</v>
      </c>
      <c r="J39" s="6" t="str">
        <f>IF(N($T39)&gt;0,"YES","NO")</f>
        <v>YES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YES</v>
      </c>
      <c r="O39" s="6" t="str">
        <f>IF(OR($A39="Power Cable",$A39="RTD Cable",$A39="Fieldbus Cable"),IF(AND($AE39&lt;&gt;""),"YES","NO"),"N/A")</f>
        <v>YES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YES</v>
      </c>
      <c r="S39" s="6" t="str">
        <f>IF(COUNTIF(I39:R39,"NO")=0,"YES","NO")</f>
        <v>YES</v>
      </c>
      <c r="T39" s="15" t="n">
        <v>8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inlineStr">
        <is>
          <t>550 MΩ / 550 MΩ / 550 MΩ</t>
        </is>
      </c>
      <c r="AE39" s="15" t="inlineStr">
        <is>
          <t>0.4 Ω / OL / OL</t>
        </is>
      </c>
      <c r="AF39" s="15" t="inlineStr">
        <is>
          <t>Fluke 1587 FC 72300003</t>
        </is>
      </c>
      <c r="AG39" s="15" t="n"/>
      <c r="AH39" s="15" t="n"/>
      <c r="AI39" s="15" t="n"/>
      <c r="AJ39" s="15" t="inlineStr">
        <is>
          <t>Teck</t>
        </is>
      </c>
      <c r="AK39" s="15" t="inlineStr">
        <is>
          <t>10 AWG</t>
        </is>
      </c>
      <c r="AL39" s="15" t="inlineStr">
        <is>
          <t>Levy Ostrup</t>
        </is>
      </c>
      <c r="AM39" s="15" t="inlineStr">
        <is>
          <t>Sept 25</t>
        </is>
      </c>
      <c r="AN39" s="15" t="inlineStr">
        <is>
          <t>No parts, needs term kit</t>
        </is>
      </c>
    </row>
  </sheetData>
  <autoFilter ref="A4:AN39"/>
  <mergeCells count="3">
    <mergeCell ref="A3:H3"/>
    <mergeCell ref="I3:S3"/>
    <mergeCell ref="T3:AN3"/>
  </mergeCells>
  <conditionalFormatting sqref="I5:S3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29152-HTP-001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29152-ET-DR4200-1-1</t>
        </is>
      </c>
      <c r="C5" s="15" t="inlineStr">
        <is>
          <t>29152-ET-DR4200-1</t>
        </is>
      </c>
      <c r="D5" s="15" t="inlineStr"/>
      <c r="E5" s="15" t="inlineStr">
        <is>
          <t>29152-DR-4200</t>
        </is>
      </c>
      <c r="F5" s="15" t="inlineStr">
        <is>
          <t>29152-65R-ET-DR4200-01-01</t>
        </is>
      </c>
      <c r="G5" s="15" t="inlineStr">
        <is>
          <t>13.1</t>
        </is>
      </c>
      <c r="H5" s="15" t="inlineStr">
        <is>
          <t>1.9. 29152-HTP-001/1. EHT Insulation/29152-ET-DR4200-1-1.pdf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20XTVR1-CT</t>
        </is>
      </c>
      <c r="AK5" s="15" t="inlineStr">
        <is>
          <t>7.2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29152-ET-FG4202-1-1</t>
        </is>
      </c>
      <c r="C6" s="15" t="inlineStr">
        <is>
          <t>29152-ET-FG4202-1</t>
        </is>
      </c>
      <c r="D6" s="15" t="inlineStr"/>
      <c r="E6" s="15" t="inlineStr">
        <is>
          <t>29152-FG-4202, 29152-FG-4201</t>
        </is>
      </c>
      <c r="F6" s="15" t="inlineStr">
        <is>
          <t>29152-65R-ET-FG4202-01-01</t>
        </is>
      </c>
      <c r="G6" s="15" t="inlineStr">
        <is>
          <t>13.1</t>
        </is>
      </c>
      <c r="H6" s="15" t="inlineStr">
        <is>
          <t>1.9. 29152-HTP-001/1. EHT Insulation/29152-ET-FG4202-1-1.pdf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8HTV1-CT</t>
        </is>
      </c>
      <c r="AK6" s="15" t="inlineStr">
        <is>
          <t>8.9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29152-ET-FG4202-1-2</t>
        </is>
      </c>
      <c r="C7" s="15" t="inlineStr">
        <is>
          <t>29152-ET-FG4202-1</t>
        </is>
      </c>
      <c r="D7" s="15" t="inlineStr"/>
      <c r="E7" s="15" t="inlineStr">
        <is>
          <t>29152-FG-4203</t>
        </is>
      </c>
      <c r="F7" s="15" t="inlineStr">
        <is>
          <t>29152-65R-ET-FG4202-01-01</t>
        </is>
      </c>
      <c r="G7" s="15" t="inlineStr">
        <is>
          <t>13.1</t>
        </is>
      </c>
      <c r="H7" s="15" t="inlineStr">
        <is>
          <t>1.9. 29152-HTP-001/1. EHT Insulation/29152-ET-FG4202-1-2.pdf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8HTV1-CT</t>
        </is>
      </c>
      <c r="AK7" s="15" t="inlineStr">
        <is>
          <t>8.7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29152-ET-HC4202-1-1</t>
        </is>
      </c>
      <c r="C8" s="15" t="inlineStr">
        <is>
          <t>29152-ET-HC4202-1</t>
        </is>
      </c>
      <c r="D8" s="15" t="inlineStr"/>
      <c r="E8" s="15" t="inlineStr">
        <is>
          <t>29152-HC-4202</t>
        </is>
      </c>
      <c r="F8" s="15" t="inlineStr">
        <is>
          <t>29152-65R-ET-HC4202-01-01</t>
        </is>
      </c>
      <c r="G8" s="15" t="inlineStr">
        <is>
          <t>13.1</t>
        </is>
      </c>
      <c r="H8" s="15" t="inlineStr">
        <is>
          <t>1.9. 29152-HTP-001/1. EHT Insulation/29152-ET-HC4202-1-1.pdf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5HTV1-CT</t>
        </is>
      </c>
      <c r="AK8" s="15" t="inlineStr">
        <is>
          <t>39.2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29152-ET-MT0001-1-1</t>
        </is>
      </c>
      <c r="C9" s="15" t="inlineStr">
        <is>
          <t>29152-ET-MT0001-1</t>
        </is>
      </c>
      <c r="D9" s="15" t="inlineStr"/>
      <c r="E9" s="15" t="inlineStr">
        <is>
          <t>29152-MT-0001</t>
        </is>
      </c>
      <c r="F9" s="15" t="inlineStr">
        <is>
          <t>29152-65R-ET-MT0001-01-01</t>
        </is>
      </c>
      <c r="G9" s="15" t="inlineStr">
        <is>
          <t>13.1</t>
        </is>
      </c>
      <c r="H9" s="15" t="inlineStr">
        <is>
          <t>1.9. 29152-HTP-001/1. EHT Insulation/29152-ET-MT0001-1-1.pdf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5XTVR1-CT</t>
        </is>
      </c>
      <c r="AK9" s="15" t="inlineStr">
        <is>
          <t>2.6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29152-ET-MT0002-1-1</t>
        </is>
      </c>
      <c r="C10" s="15" t="inlineStr">
        <is>
          <t>29152-ET-MT0002-1</t>
        </is>
      </c>
      <c r="D10" s="15" t="inlineStr"/>
      <c r="E10" s="15" t="inlineStr">
        <is>
          <t>29152-MT-0002</t>
        </is>
      </c>
      <c r="F10" s="15" t="inlineStr">
        <is>
          <t>29152-65R-ET-MT0002-01-01</t>
        </is>
      </c>
      <c r="G10" s="15" t="inlineStr">
        <is>
          <t>13.1</t>
        </is>
      </c>
      <c r="H10" s="15" t="inlineStr">
        <is>
          <t>1.9. 29152-HTP-001/1. EHT Insulation/29152-ET-MT0002-1-1.pdf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12HTV1-CT</t>
        </is>
      </c>
      <c r="AK10" s="15" t="inlineStr">
        <is>
          <t>3.6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29152-ET-MT0002-1-2</t>
        </is>
      </c>
      <c r="C11" s="15" t="inlineStr">
        <is>
          <t>29152-ET-MT0002-1</t>
        </is>
      </c>
      <c r="D11" s="15" t="inlineStr"/>
      <c r="E11" s="15" t="inlineStr">
        <is>
          <t>29152-MT-0002</t>
        </is>
      </c>
      <c r="F11" s="15" t="inlineStr">
        <is>
          <t>29152-65R-ET-MT0002-01-01</t>
        </is>
      </c>
      <c r="G11" s="15" t="inlineStr">
        <is>
          <t>13.1</t>
        </is>
      </c>
      <c r="H11" s="15" t="inlineStr">
        <is>
          <t>1.9. 29152-HTP-001/1. EHT Insulation/29152-ET-MT0002-1-2.pdf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12HTV1-CT</t>
        </is>
      </c>
      <c r="AK11" s="15" t="inlineStr">
        <is>
          <t>10.4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29152-ET-PG4200-1-1</t>
        </is>
      </c>
      <c r="C12" s="15" t="inlineStr">
        <is>
          <t>29152-ET-PG4200-1</t>
        </is>
      </c>
      <c r="D12" s="15" t="inlineStr"/>
      <c r="E12" s="15" t="inlineStr">
        <is>
          <t>29152-PG-4201, 29152-PG-4200</t>
        </is>
      </c>
      <c r="F12" s="15" t="inlineStr">
        <is>
          <t>29152-65R-ET-PG4200-01-01</t>
        </is>
      </c>
      <c r="G12" s="15" t="inlineStr">
        <is>
          <t>13.1</t>
        </is>
      </c>
      <c r="H12" s="15" t="inlineStr">
        <is>
          <t>1.9. 29152-HTP-001/1. EHT Insulation/29152-ET-PG4200-1-1.pdf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5HTV1-CT</t>
        </is>
      </c>
      <c r="AK12" s="15" t="inlineStr">
        <is>
          <t>34.3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29152-ET-SC4202-1-1</t>
        </is>
      </c>
      <c r="C13" s="15" t="inlineStr">
        <is>
          <t>29152-ET-SC4202-1</t>
        </is>
      </c>
      <c r="D13" s="15" t="inlineStr"/>
      <c r="E13" s="15" t="inlineStr">
        <is>
          <t>29152-SC-4203, 29152-SC-4202, 29152-DR-4204</t>
        </is>
      </c>
      <c r="F13" s="15" t="inlineStr">
        <is>
          <t>29152-65R-ET-SC4202-01-01</t>
        </is>
      </c>
      <c r="G13" s="15" t="inlineStr">
        <is>
          <t>13.1</t>
        </is>
      </c>
      <c r="H13" s="15" t="inlineStr">
        <is>
          <t>1.9. 29152-HTP-001/1. EHT Insulation/29152-ET-SC4202-1-1.pdf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D/32SQ3100/44.8M/959/120/1.2M/LS23A/X/N12</t>
        </is>
      </c>
      <c r="AK13" s="15" t="inlineStr">
        <is>
          <t>44.8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29152-ET-SC4202-1-2</t>
        </is>
      </c>
      <c r="C14" s="15" t="inlineStr">
        <is>
          <t>29152-ET-SC4202-1</t>
        </is>
      </c>
      <c r="D14" s="15" t="inlineStr"/>
      <c r="E14" s="15" t="inlineStr">
        <is>
          <t>29203-ST-5004, 29152-ST-4201, 29152-ST-4200, 29152- SC-4202</t>
        </is>
      </c>
      <c r="F14" s="15" t="inlineStr">
        <is>
          <t>29152-65R-ET-SC4202-01-01</t>
        </is>
      </c>
      <c r="G14" s="15" t="inlineStr">
        <is>
          <t>13.1</t>
        </is>
      </c>
      <c r="H14" s="15" t="inlineStr">
        <is>
          <t>1.9. 29152-HTP-001/1. EHT Insulation/29152-ET-SC4202-1-2.pdf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D/32SQ3100/51.5M/839/120/1.2M/LS23A/X/N12</t>
        </is>
      </c>
      <c r="AK14" s="15" t="inlineStr">
        <is>
          <t>51.5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29203-ET-DR5001-1-1</t>
        </is>
      </c>
      <c r="C15" s="15" t="inlineStr">
        <is>
          <t>29203-ET-DR5001-1</t>
        </is>
      </c>
      <c r="D15" s="15" t="inlineStr"/>
      <c r="E15" s="15" t="inlineStr">
        <is>
          <t>29203-DR-5001</t>
        </is>
      </c>
      <c r="F15" s="15" t="inlineStr">
        <is>
          <t>29203-65R-ET-DR5001-01-01</t>
        </is>
      </c>
      <c r="G15" s="15" t="inlineStr">
        <is>
          <t>13.1</t>
        </is>
      </c>
      <c r="H15" s="15" t="inlineStr">
        <is>
          <t>1.9. 29152-HTP-001/1. EHT Insulation/29203-ET-DR5001-1-1.pdf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20XTVR1-CT</t>
        </is>
      </c>
      <c r="AK15" s="15" t="inlineStr">
        <is>
          <t>28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29203-ET-HC5012-1-1</t>
        </is>
      </c>
      <c r="C16" s="15" t="inlineStr">
        <is>
          <t>29203-ET-HC5012-1</t>
        </is>
      </c>
      <c r="D16" s="15" t="inlineStr"/>
      <c r="E16" s="15" t="inlineStr">
        <is>
          <t>29203-HC-5012, 29203-HC-5011, 29203-HC-5010, 29203- HC-5009</t>
        </is>
      </c>
      <c r="F16" s="15" t="inlineStr">
        <is>
          <t>29203-65R-ET-HC5012-01-01</t>
        </is>
      </c>
      <c r="G16" s="15" t="inlineStr">
        <is>
          <t>13.1</t>
        </is>
      </c>
      <c r="H16" s="15" t="inlineStr">
        <is>
          <t>1.9. 29152-HTP-001/1. EHT Insulation/29203-ET-HC5012-1-1.pdf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10HTV1-CT</t>
        </is>
      </c>
      <c r="AK16" s="15" t="inlineStr">
        <is>
          <t>64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29203-ET-LIT0220-1-1</t>
        </is>
      </c>
      <c r="C17" s="15" t="inlineStr">
        <is>
          <t>29203-ET-LIT0220-1</t>
        </is>
      </c>
      <c r="D17" s="15" t="inlineStr"/>
      <c r="E17" s="15" t="inlineStr">
        <is>
          <t>29203-LIT-0220</t>
        </is>
      </c>
      <c r="F17" s="15" t="inlineStr">
        <is>
          <t>29203-65R-ET-LIT0220-01-01</t>
        </is>
      </c>
      <c r="G17" s="15" t="inlineStr">
        <is>
          <t>13.1</t>
        </is>
      </c>
      <c r="H17" s="15" t="inlineStr">
        <is>
          <t>1.9. 29152-HTP-001/1. EHT Insulation/29203-ET-LIT0220-1-1.pdf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8HTV1-CT</t>
        </is>
      </c>
      <c r="AK17" s="15" t="inlineStr">
        <is>
          <t>14.7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29203-ET-LIT0221-1-1</t>
        </is>
      </c>
      <c r="C18" s="15" t="inlineStr">
        <is>
          <t>29203-ET-LIT0221-1</t>
        </is>
      </c>
      <c r="D18" s="15" t="inlineStr"/>
      <c r="E18" s="15" t="inlineStr">
        <is>
          <t>29203-LIT-0221</t>
        </is>
      </c>
      <c r="F18" s="15" t="inlineStr">
        <is>
          <t>29203-65R-ET-LIT0221-01-01</t>
        </is>
      </c>
      <c r="G18" s="15" t="inlineStr">
        <is>
          <t>13.1</t>
        </is>
      </c>
      <c r="H18" s="15" t="inlineStr">
        <is>
          <t>1.9. 29152-HTP-001/1. EHT Insulation/29203-ET-LIT0221-1-1.pdf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8HTV1-CT</t>
        </is>
      </c>
      <c r="AK18" s="15" t="inlineStr">
        <is>
          <t>24.1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29203-ET-PE5002-1-1</t>
        </is>
      </c>
      <c r="C19" s="15" t="inlineStr">
        <is>
          <t>29203-ET-PE5002-1</t>
        </is>
      </c>
      <c r="D19" s="15" t="inlineStr"/>
      <c r="E19" s="15" t="inlineStr">
        <is>
          <t>29203-PE-5002</t>
        </is>
      </c>
      <c r="F19" s="15" t="inlineStr">
        <is>
          <t>29203-65R-ET-PE5002-01-01</t>
        </is>
      </c>
      <c r="G19" s="15" t="inlineStr">
        <is>
          <t>13.1</t>
        </is>
      </c>
      <c r="H19" s="15" t="inlineStr">
        <is>
          <t>1.9. 29152-HTP-001/1. EHT Insulation/29203-ET-PE5002-1-1.pdf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15HTV1-CT</t>
        </is>
      </c>
      <c r="AK19" s="15" t="inlineStr">
        <is>
          <t>37.3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29203-ET-ST5000-1-1</t>
        </is>
      </c>
      <c r="C20" s="15" t="inlineStr">
        <is>
          <t>29203-ET-ST5000-1</t>
        </is>
      </c>
      <c r="D20" s="15" t="inlineStr"/>
      <c r="E20" s="15" t="inlineStr">
        <is>
          <t>29203-ST-5000</t>
        </is>
      </c>
      <c r="F20" s="15" t="inlineStr">
        <is>
          <t>29203-65R-ET-ST5000-01-01</t>
        </is>
      </c>
      <c r="G20" s="15" t="inlineStr">
        <is>
          <t>13.1</t>
        </is>
      </c>
      <c r="H20" s="15" t="inlineStr">
        <is>
          <t>1.9. 29152-HTP-001/1. EHT Insulation/29203-ET-ST5000-1-1.pdf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D/32SQ3472/20.6M/443/120/2.1M/LS23A/X/N12</t>
        </is>
      </c>
      <c r="AK20" s="15" t="inlineStr">
        <is>
          <t>20.6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Power Cable</t>
        </is>
      </c>
      <c r="B21" s="15" t="inlineStr">
        <is>
          <t>29152-ET-DR4200-1-PWK-1</t>
        </is>
      </c>
      <c r="C21" s="15" t="inlineStr">
        <is>
          <t>29152-ET-DR4200-1</t>
        </is>
      </c>
      <c r="D21" s="15" t="inlineStr"/>
      <c r="E21" s="15" t="inlineStr">
        <is>
          <t>29152-HTP-001</t>
        </is>
      </c>
      <c r="F21" s="15" t="inlineStr"/>
      <c r="G21" s="15" t="inlineStr">
        <is>
          <t>113</t>
        </is>
      </c>
      <c r="H21" s="15" t="inlineStr">
        <is>
          <t>1.9. 29152-HTP-001/3. Power Cables/29152-ET-DR4200-1-PWK-1.pdf</t>
        </is>
      </c>
      <c r="I21" s="6" t="str">
        <f>IF($H21&lt;&gt;"","YES","NO")</f>
        <v>YES</v>
      </c>
      <c r="J21" s="6" t="str">
        <f>IF(N($T21)&gt;0,"YES","NO")</f>
        <v>YES</v>
      </c>
      <c r="K21" s="6" t="str">
        <f>IF(OR($A21="EHT Trace"),IF(AND($U21&lt;&gt;"",$V21&lt;&gt;""),"YES","NO"),"N/A")</f>
        <v>N/A</v>
      </c>
      <c r="L21" s="6" t="str">
        <f>IF(OR($A21="EHT Trace"),IF(AND($X21&lt;&gt;"",$Y21&lt;&gt;""),"YES","NO"),"N/A")</f>
        <v>N/A</v>
      </c>
      <c r="M21" s="6" t="str">
        <f>IF(OR($A21="EHT Trace"),IF(AND($AA21&lt;&gt;"",$AB21&lt;&gt;""),"YES","NO"),"N/A")</f>
        <v>N/A</v>
      </c>
      <c r="N21" s="6" t="str">
        <f>IF(OR($A21="Power Cable"),IF(AND($AD21&lt;&gt;""),"YES","NO"),"N/A")</f>
        <v>YES</v>
      </c>
      <c r="O21" s="6" t="str">
        <f>IF(OR($A21="Power Cable",$A21="RTD Cable",$A21="Fieldbus Cable"),IF(AND($AE21&lt;&gt;""),"YES","NO"),"N/A")</f>
        <v>YES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9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inlineStr">
        <is>
          <t>550 MΩ / 550 MΩ / 550 MΩ</t>
        </is>
      </c>
      <c r="AE21" s="15" t="inlineStr">
        <is>
          <t>0.3 Ω / OL / OL</t>
        </is>
      </c>
      <c r="AF21" s="15" t="inlineStr">
        <is>
          <t>Fluke 1587 FC 72300003</t>
        </is>
      </c>
      <c r="AG21" s="15" t="n"/>
      <c r="AH21" s="15" t="n"/>
      <c r="AI21" s="15" t="n"/>
      <c r="AJ21" s="15" t="inlineStr">
        <is>
          <t>TECK</t>
        </is>
      </c>
      <c r="AK21" s="15" t="inlineStr">
        <is>
          <t>10 AWG</t>
        </is>
      </c>
      <c r="AL21" s="15" t="inlineStr">
        <is>
          <t>Levy Ostrup</t>
        </is>
      </c>
      <c r="AM21" s="15" t="n"/>
      <c r="AN21" s="15" t="inlineStr">
        <is>
          <t>Incorrect HT installed, needs 43 W/m not 66 W/m</t>
        </is>
      </c>
    </row>
    <row r="22">
      <c r="A22" s="15" t="inlineStr">
        <is>
          <t>Power Cable</t>
        </is>
      </c>
      <c r="B22" s="15" t="inlineStr">
        <is>
          <t>29152-ET-FG4202-1-PWK-1</t>
        </is>
      </c>
      <c r="C22" s="15" t="inlineStr">
        <is>
          <t>29152-ET-FG4202-1</t>
        </is>
      </c>
      <c r="D22" s="15" t="inlineStr"/>
      <c r="E22" s="15" t="inlineStr">
        <is>
          <t>29152-HTP-001</t>
        </is>
      </c>
      <c r="F22" s="15" t="inlineStr"/>
      <c r="G22" s="15" t="inlineStr">
        <is>
          <t>113</t>
        </is>
      </c>
      <c r="H22" s="15" t="inlineStr">
        <is>
          <t>1.9. 29152-HTP-001/3. Power Cables/29152-ET-FG4202-1-PWK-1.pdf</t>
        </is>
      </c>
      <c r="I22" s="6" t="str">
        <f>IF($H22&lt;&gt;"","YES","NO")</f>
        <v>YES</v>
      </c>
      <c r="J22" s="6" t="str">
        <f>IF(N($T22)&gt;0,"YES","NO")</f>
        <v>YES</v>
      </c>
      <c r="K22" s="6" t="str">
        <f>IF(OR($A22="EHT Trace"),IF(AND($U22&lt;&gt;"",$V22&lt;&gt;""),"YES","NO"),"N/A")</f>
        <v>N/A</v>
      </c>
      <c r="L22" s="6" t="str">
        <f>IF(OR($A22="EHT Trace"),IF(AND($X22&lt;&gt;"",$Y22&lt;&gt;""),"YES","NO"),"N/A")</f>
        <v>N/A</v>
      </c>
      <c r="M22" s="6" t="str">
        <f>IF(OR($A22="EHT Trace"),IF(AND($AA22&lt;&gt;"",$AB22&lt;&gt;""),"YES","NO"),"N/A")</f>
        <v>N/A</v>
      </c>
      <c r="N22" s="6" t="str">
        <f>IF(OR($A22="Power Cable"),IF(AND($AD22&lt;&gt;""),"YES","NO"),"N/A")</f>
        <v>YES</v>
      </c>
      <c r="O22" s="6" t="str">
        <f>IF(OR($A22="Power Cable",$A22="RTD Cable",$A22="Fieldbus Cable"),IF(AND($AE22&lt;&gt;""),"YES","NO"),"N/A")</f>
        <v>YES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8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inlineStr">
        <is>
          <t>&gt;550 MΩ / &gt;550 MΩ / &gt;550 MΩ</t>
        </is>
      </c>
      <c r="AE22" s="15" t="inlineStr">
        <is>
          <t>0.3 Ω / OL / OL</t>
        </is>
      </c>
      <c r="AF22" s="15" t="inlineStr">
        <is>
          <t>Fluke 1587 FC 72300003</t>
        </is>
      </c>
      <c r="AG22" s="15" t="n"/>
      <c r="AH22" s="15" t="n"/>
      <c r="AI22" s="15" t="n"/>
      <c r="AJ22" s="15" t="inlineStr">
        <is>
          <t>Teck</t>
        </is>
      </c>
      <c r="AK22" s="15" t="inlineStr">
        <is>
          <t>10 AWG</t>
        </is>
      </c>
      <c r="AL22" s="15" t="inlineStr">
        <is>
          <t>Levy Ostrup</t>
        </is>
      </c>
      <c r="AM22" s="15" t="n"/>
      <c r="AN22" s="15" t="inlineStr">
        <is>
          <t>GRL missing</t>
        </is>
      </c>
    </row>
    <row r="23">
      <c r="A23" s="15" t="inlineStr">
        <is>
          <t>Power Cable</t>
        </is>
      </c>
      <c r="B23" s="15" t="inlineStr">
        <is>
          <t>29152-ET-HC4202-1-PWK-1</t>
        </is>
      </c>
      <c r="C23" s="15" t="inlineStr">
        <is>
          <t>29152-ET-HC4202-1</t>
        </is>
      </c>
      <c r="D23" s="15" t="inlineStr"/>
      <c r="E23" s="15" t="inlineStr">
        <is>
          <t>29152-HTP-001</t>
        </is>
      </c>
      <c r="F23" s="15" t="inlineStr"/>
      <c r="G23" s="15" t="inlineStr">
        <is>
          <t>113</t>
        </is>
      </c>
      <c r="H23" s="15" t="inlineStr">
        <is>
          <t>1.9. 29152-HTP-001/3. Power Cables/29152-ET-HC4202-1-PWK-1.pdf</t>
        </is>
      </c>
      <c r="I23" s="6" t="str">
        <f>IF($H23&lt;&gt;"","YES","NO")</f>
        <v>YES</v>
      </c>
      <c r="J23" s="6" t="str">
        <f>IF(N($T23)&gt;0,"YES","NO")</f>
        <v>YES</v>
      </c>
      <c r="K23" s="6" t="str">
        <f>IF(OR($A23="EHT Trace"),IF(AND($U23&lt;&gt;"",$V23&lt;&gt;""),"YES","NO"),"N/A")</f>
        <v>N/A</v>
      </c>
      <c r="L23" s="6" t="str">
        <f>IF(OR($A23="EHT Trace"),IF(AND($X23&lt;&gt;"",$Y23&lt;&gt;""),"YES","NO"),"N/A")</f>
        <v>N/A</v>
      </c>
      <c r="M23" s="6" t="str">
        <f>IF(OR($A23="EHT Trace"),IF(AND($AA23&lt;&gt;"",$AB23&lt;&gt;""),"YES","NO"),"N/A")</f>
        <v>N/A</v>
      </c>
      <c r="N23" s="6" t="str">
        <f>IF(OR($A23="Power Cable"),IF(AND($AD23&lt;&gt;""),"YES","NO"),"N/A")</f>
        <v>YES</v>
      </c>
      <c r="O23" s="6" t="str">
        <f>IF(OR($A23="Power Cable",$A23="RTD Cable",$A23="Fieldbus Cable"),IF(AND($AE23&lt;&gt;""),"YES","NO"),"N/A")</f>
        <v>YES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9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inlineStr">
        <is>
          <t>550 MΩ / 550 MΩ / 550 MΩ</t>
        </is>
      </c>
      <c r="AE23" s="15" t="inlineStr">
        <is>
          <t>0.3 Ω / OL / OL</t>
        </is>
      </c>
      <c r="AF23" s="15" t="inlineStr">
        <is>
          <t>Fluke 1587 FC 72300003</t>
        </is>
      </c>
      <c r="AG23" s="15" t="n"/>
      <c r="AH23" s="15" t="n"/>
      <c r="AI23" s="15" t="n"/>
      <c r="AJ23" s="15" t="inlineStr">
        <is>
          <t>Teck</t>
        </is>
      </c>
      <c r="AK23" s="15" t="inlineStr">
        <is>
          <t>10 AWG</t>
        </is>
      </c>
      <c r="AL23" s="15" t="inlineStr">
        <is>
          <t>Levy Ostrup</t>
        </is>
      </c>
      <c r="AM23" s="15" t="n"/>
      <c r="AN23" s="15" t="inlineStr">
        <is>
          <t>Doesn't have cable - fixed Sept 27</t>
        </is>
      </c>
    </row>
    <row r="24">
      <c r="A24" s="15" t="inlineStr">
        <is>
          <t>Power Cable</t>
        </is>
      </c>
      <c r="B24" s="15" t="inlineStr">
        <is>
          <t>29152-ET-MT0002-1-PWK-1</t>
        </is>
      </c>
      <c r="C24" s="15" t="inlineStr">
        <is>
          <t>29152-ET-MT0002-1</t>
        </is>
      </c>
      <c r="D24" s="15" t="inlineStr"/>
      <c r="E24" s="15" t="inlineStr">
        <is>
          <t>29152-HTP-001</t>
        </is>
      </c>
      <c r="F24" s="15" t="inlineStr"/>
      <c r="G24" s="15" t="inlineStr">
        <is>
          <t>113</t>
        </is>
      </c>
      <c r="H24" s="15" t="inlineStr">
        <is>
          <t>1.9. 29152-HTP-001/3. Power Cables/29152-ET-MT0002-1-PWK-1.pdf</t>
        </is>
      </c>
      <c r="I24" s="6" t="str">
        <f>IF($H24&lt;&gt;"","YES","NO")</f>
        <v>YES</v>
      </c>
      <c r="J24" s="6" t="str">
        <f>IF(N($T24)&gt;0,"YES","NO")</f>
        <v>YES</v>
      </c>
      <c r="K24" s="6" t="str">
        <f>IF(OR($A24="EHT Trace"),IF(AND($U24&lt;&gt;"",$V24&lt;&gt;""),"YES","NO"),"N/A")</f>
        <v>N/A</v>
      </c>
      <c r="L24" s="6" t="str">
        <f>IF(OR($A24="EHT Trace"),IF(AND($X24&lt;&gt;"",$Y24&lt;&gt;""),"YES","NO"),"N/A")</f>
        <v>N/A</v>
      </c>
      <c r="M24" s="6" t="str">
        <f>IF(OR($A24="EHT Trace"),IF(AND($AA24&lt;&gt;"",$AB24&lt;&gt;""),"YES","NO"),"N/A")</f>
        <v>N/A</v>
      </c>
      <c r="N24" s="6" t="str">
        <f>IF(OR($A24="Power Cable"),IF(AND($AD24&lt;&gt;""),"YES","NO"),"N/A")</f>
        <v>YES</v>
      </c>
      <c r="O24" s="6" t="str">
        <f>IF(OR($A24="Power Cable",$A24="RTD Cable",$A24="Fieldbus Cable"),IF(AND($AE24&lt;&gt;""),"YES","NO"),"N/A")</f>
        <v>YES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8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inlineStr">
        <is>
          <t>&gt;550 MΩ / &gt;550 MΩ / &gt;550 MΩ</t>
        </is>
      </c>
      <c r="AE24" s="15" t="inlineStr">
        <is>
          <t>0.3 Ω / OL / OL</t>
        </is>
      </c>
      <c r="AF24" s="15" t="inlineStr">
        <is>
          <t>Fluke 1587 FC 72300003</t>
        </is>
      </c>
      <c r="AG24" s="15" t="n"/>
      <c r="AH24" s="15" t="n"/>
      <c r="AI24" s="15" t="n"/>
      <c r="AJ24" s="15" t="inlineStr">
        <is>
          <t>Teck</t>
        </is>
      </c>
      <c r="AK24" s="15" t="inlineStr">
        <is>
          <t>10 AWG</t>
        </is>
      </c>
      <c r="AL24" s="15" t="inlineStr">
        <is>
          <t>Levy Ostrup</t>
        </is>
      </c>
      <c r="AM24" s="15" t="n"/>
      <c r="AN24" s="15" t="inlineStr">
        <is>
          <t>Missing cable supports @ gland - fixed Sept 27</t>
        </is>
      </c>
    </row>
    <row r="25">
      <c r="A25" s="15" t="inlineStr">
        <is>
          <t>Power Cable</t>
        </is>
      </c>
      <c r="B25" s="15" t="inlineStr">
        <is>
          <t>29152-ET-PG4200-1-PWK-1</t>
        </is>
      </c>
      <c r="C25" s="15" t="inlineStr">
        <is>
          <t>29152-ET-PG4200-1</t>
        </is>
      </c>
      <c r="D25" s="15" t="inlineStr"/>
      <c r="E25" s="15" t="inlineStr">
        <is>
          <t>29152-HTP-001</t>
        </is>
      </c>
      <c r="F25" s="15" t="inlineStr"/>
      <c r="G25" s="15" t="inlineStr">
        <is>
          <t>113</t>
        </is>
      </c>
      <c r="H25" s="15" t="inlineStr">
        <is>
          <t>1.9. 29152-HTP-001/3. Power Cables/29152-ET-PG4200-1-PWK-1.pdf</t>
        </is>
      </c>
      <c r="I25" s="6" t="str">
        <f>IF($H25&lt;&gt;"","YES","NO")</f>
        <v>YES</v>
      </c>
      <c r="J25" s="6" t="str">
        <f>IF(N($T25)&gt;0,"YES","NO")</f>
        <v>YES</v>
      </c>
      <c r="K25" s="6" t="str">
        <f>IF(OR($A25="EHT Trace"),IF(AND($U25&lt;&gt;"",$V25&lt;&gt;""),"YES","NO"),"N/A")</f>
        <v>N/A</v>
      </c>
      <c r="L25" s="6" t="str">
        <f>IF(OR($A25="EHT Trace"),IF(AND($X25&lt;&gt;"",$Y25&lt;&gt;""),"YES","NO"),"N/A")</f>
        <v>N/A</v>
      </c>
      <c r="M25" s="6" t="str">
        <f>IF(OR($A25="EHT Trace"),IF(AND($AA25&lt;&gt;"",$AB25&lt;&gt;""),"YES","NO"),"N/A")</f>
        <v>N/A</v>
      </c>
      <c r="N25" s="6" t="str">
        <f>IF(OR($A25="Power Cable"),IF(AND($AD25&lt;&gt;""),"YES","NO"),"N/A")</f>
        <v>YES</v>
      </c>
      <c r="O25" s="6" t="str">
        <f>IF(OR($A25="Power Cable",$A25="RTD Cable",$A25="Fieldbus Cable"),IF(AND($AE25&lt;&gt;""),"YES","NO"),"N/A")</f>
        <v>YES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8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inlineStr">
        <is>
          <t>&gt;550 MΩ / &gt;550 MΩ / &gt;550 MΩ</t>
        </is>
      </c>
      <c r="AE25" s="15" t="inlineStr">
        <is>
          <t>0.3 Ω / OL / OL</t>
        </is>
      </c>
      <c r="AF25" s="15" t="inlineStr">
        <is>
          <t>Fluke 1587 FC 72300003</t>
        </is>
      </c>
      <c r="AG25" s="15" t="n"/>
      <c r="AH25" s="15" t="n"/>
      <c r="AI25" s="15" t="n"/>
      <c r="AJ25" s="15" t="inlineStr">
        <is>
          <t>TECK</t>
        </is>
      </c>
      <c r="AK25" s="15" t="inlineStr">
        <is>
          <t>10 AWG</t>
        </is>
      </c>
      <c r="AL25" s="15" t="inlineStr">
        <is>
          <t>Levy Ostrup</t>
        </is>
      </c>
      <c r="AM25" s="15" t="n"/>
      <c r="AN25" s="15" t="inlineStr">
        <is>
          <t>Cable needs support at device gland - fixed Sept 27</t>
        </is>
      </c>
    </row>
    <row r="26">
      <c r="A26" s="15" t="inlineStr">
        <is>
          <t>Power Cable</t>
        </is>
      </c>
      <c r="B26" s="15" t="inlineStr">
        <is>
          <t>29152-ET-SC4202-1-PWK-1</t>
        </is>
      </c>
      <c r="C26" s="15" t="inlineStr">
        <is>
          <t>29152-ET-SC4202-1</t>
        </is>
      </c>
      <c r="D26" s="15" t="inlineStr"/>
      <c r="E26" s="15" t="inlineStr">
        <is>
          <t>29152-HTP-001</t>
        </is>
      </c>
      <c r="F26" s="15" t="inlineStr"/>
      <c r="G26" s="15" t="inlineStr">
        <is>
          <t>113</t>
        </is>
      </c>
      <c r="H26" s="15" t="inlineStr">
        <is>
          <t>1.9. 29152-HTP-001/3. Power Cables/29152-ET-SC4202-1-PWK-1.pdf</t>
        </is>
      </c>
      <c r="I26" s="6" t="str">
        <f>IF($H26&lt;&gt;"","YES","NO")</f>
        <v>YES</v>
      </c>
      <c r="J26" s="6" t="str">
        <f>IF(N($T26)&gt;0,"YES","NO")</f>
        <v>YES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YES</v>
      </c>
      <c r="O26" s="6" t="str">
        <f>IF(OR($A26="Power Cable",$A26="RTD Cable",$A26="Fieldbus Cable"),IF(AND($AE26&lt;&gt;""),"YES","NO"),"N/A")</f>
        <v>YES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9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inlineStr">
        <is>
          <t>&gt;550 MΩ / &gt;550 MΩ / &gt;550 MΩ</t>
        </is>
      </c>
      <c r="AE26" s="15" t="inlineStr">
        <is>
          <t>0.3 Ω / OL / OL</t>
        </is>
      </c>
      <c r="AF26" s="15" t="inlineStr">
        <is>
          <t>Fluke 1587 FC 72300003</t>
        </is>
      </c>
      <c r="AG26" s="15" t="n"/>
      <c r="AH26" s="15" t="n"/>
      <c r="AI26" s="15" t="n"/>
      <c r="AJ26" s="15" t="inlineStr">
        <is>
          <t>TECK</t>
        </is>
      </c>
      <c r="AK26" s="15" t="inlineStr">
        <is>
          <t>10 AWG</t>
        </is>
      </c>
      <c r="AL26" s="15" t="inlineStr">
        <is>
          <t>Levy Ostrup</t>
        </is>
      </c>
      <c r="AM26" s="15" t="n"/>
      <c r="AN26" s="15" t="inlineStr">
        <is>
          <t>Cable needs support | Prints call for #8, #10 currently installed</t>
        </is>
      </c>
    </row>
    <row r="27">
      <c r="A27" s="15" t="inlineStr">
        <is>
          <t>Power Cable</t>
        </is>
      </c>
      <c r="B27" s="15" t="inlineStr">
        <is>
          <t>29203-ET-DR5001-1-PWK-1</t>
        </is>
      </c>
      <c r="C27" s="15" t="inlineStr">
        <is>
          <t>29203-ET-DR5001-1</t>
        </is>
      </c>
      <c r="D27" s="15" t="inlineStr"/>
      <c r="E27" s="15" t="inlineStr">
        <is>
          <t>29152-HTP-001</t>
        </is>
      </c>
      <c r="F27" s="15" t="inlineStr"/>
      <c r="G27" s="15" t="inlineStr">
        <is>
          <t>113</t>
        </is>
      </c>
      <c r="H27" s="15" t="inlineStr">
        <is>
          <t>1.9. 29152-HTP-001/3. Power Cables/29203-ET-DR5001-1-PWK-1.pdf</t>
        </is>
      </c>
      <c r="I27" s="6" t="str">
        <f>IF($H27&lt;&gt;"","YES","NO")</f>
        <v>YES</v>
      </c>
      <c r="J27" s="6" t="str">
        <f>IF(N($T27)&gt;0,"YES","NO")</f>
        <v>YES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YES</v>
      </c>
      <c r="O27" s="6" t="str">
        <f>IF(OR($A27="Power Cable",$A27="RTD Cable",$A27="Fieldbus Cable"),IF(AND($AE27&lt;&gt;""),"YES","NO"),"N/A")</f>
        <v>YES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9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inlineStr">
        <is>
          <t>550 MΩ / 550 MΩ / 550 MΩ</t>
        </is>
      </c>
      <c r="AE27" s="15" t="inlineStr">
        <is>
          <t>0.3 Ω / OL / OL</t>
        </is>
      </c>
      <c r="AF27" s="15" t="inlineStr">
        <is>
          <t>Fluke 1587 FC 72300003</t>
        </is>
      </c>
      <c r="AG27" s="15" t="n"/>
      <c r="AH27" s="15" t="n"/>
      <c r="AI27" s="15" t="n"/>
      <c r="AJ27" s="15" t="inlineStr">
        <is>
          <t>TECK</t>
        </is>
      </c>
      <c r="AK27" s="15" t="inlineStr">
        <is>
          <t>10 AWG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Power Cable</t>
        </is>
      </c>
      <c r="B28" s="15" t="inlineStr">
        <is>
          <t>29203-ET-HC5012-1-PWK-1</t>
        </is>
      </c>
      <c r="C28" s="15" t="inlineStr">
        <is>
          <t>29203-ET-HC5012-1</t>
        </is>
      </c>
      <c r="D28" s="15" t="inlineStr"/>
      <c r="E28" s="15" t="inlineStr">
        <is>
          <t>29152-HTP-001</t>
        </is>
      </c>
      <c r="F28" s="15" t="inlineStr"/>
      <c r="G28" s="15" t="inlineStr">
        <is>
          <t>113</t>
        </is>
      </c>
      <c r="H28" s="15" t="inlineStr">
        <is>
          <t>1.9. 29152-HTP-001/3. Power Cables/29203-ET-HC5012-1-PWK-1.pdf</t>
        </is>
      </c>
      <c r="I28" s="6" t="str">
        <f>IF($H28&lt;&gt;"","YES","NO")</f>
        <v>YES</v>
      </c>
      <c r="J28" s="6" t="str">
        <f>IF(N($T28)&gt;0,"YES","NO")</f>
        <v>YES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YES</v>
      </c>
      <c r="O28" s="6" t="str">
        <f>IF(OR($A28="Power Cable",$A28="RTD Cable",$A28="Fieldbus Cable"),IF(AND($AE28&lt;&gt;""),"YES","NO"),"N/A")</f>
        <v>YES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8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inlineStr">
        <is>
          <t>550 MΩ / 550 MΩ / 550 MΩ</t>
        </is>
      </c>
      <c r="AE28" s="15" t="inlineStr">
        <is>
          <t>0.3 Ω / OL / OL</t>
        </is>
      </c>
      <c r="AF28" s="15" t="inlineStr">
        <is>
          <t>Fluke 1587 FC 72300003</t>
        </is>
      </c>
      <c r="AG28" s="15" t="n"/>
      <c r="AH28" s="15" t="n"/>
      <c r="AI28" s="15" t="n"/>
      <c r="AJ28" s="15" t="inlineStr">
        <is>
          <t>Teck</t>
        </is>
      </c>
      <c r="AK28" s="15" t="inlineStr">
        <is>
          <t>8 AWG</t>
        </is>
      </c>
      <c r="AL28" s="15" t="inlineStr">
        <is>
          <t>Levy Ostrup</t>
        </is>
      </c>
      <c r="AM28" s="15" t="n"/>
      <c r="AN28" s="15" t="inlineStr">
        <is>
          <t>Missing core markers</t>
        </is>
      </c>
    </row>
    <row r="29">
      <c r="A29" s="15" t="inlineStr">
        <is>
          <t>Power Cable</t>
        </is>
      </c>
      <c r="B29" s="15" t="inlineStr">
        <is>
          <t>29203-ET-LIT0220-1-PWK-1</t>
        </is>
      </c>
      <c r="C29" s="15" t="inlineStr">
        <is>
          <t>29203-ET-LIT0220-1</t>
        </is>
      </c>
      <c r="D29" s="15" t="inlineStr"/>
      <c r="E29" s="15" t="inlineStr">
        <is>
          <t>29152-HTP-001</t>
        </is>
      </c>
      <c r="F29" s="15" t="inlineStr"/>
      <c r="G29" s="15" t="inlineStr">
        <is>
          <t>113</t>
        </is>
      </c>
      <c r="H29" s="15" t="inlineStr">
        <is>
          <t>1.9. 29152-HTP-001/3. Power Cables/29203-ET-LIT0220-1-PWK-1.pdf</t>
        </is>
      </c>
      <c r="I29" s="6" t="str">
        <f>IF($H29&lt;&gt;"","YES","NO")</f>
        <v>YES</v>
      </c>
      <c r="J29" s="6" t="str">
        <f>IF(N($T29)&gt;0,"YES","NO")</f>
        <v>YES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YES</v>
      </c>
      <c r="O29" s="6" t="str">
        <f>IF(OR($A29="Power Cable",$A29="RTD Cable",$A29="Fieldbus Cable"),IF(AND($AE29&lt;&gt;""),"YES","NO"),"N/A")</f>
        <v>YES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8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inlineStr">
        <is>
          <t>550 MΩ / 550 MΩ / 550 MΩ</t>
        </is>
      </c>
      <c r="AE29" s="15" t="inlineStr">
        <is>
          <t>0.4 Ω / OL / OL</t>
        </is>
      </c>
      <c r="AF29" s="15" t="inlineStr">
        <is>
          <t>Fluke 1587 FC 72300003</t>
        </is>
      </c>
      <c r="AG29" s="15" t="n"/>
      <c r="AH29" s="15" t="n"/>
      <c r="AI29" s="15" t="n"/>
      <c r="AJ29" s="15" t="inlineStr">
        <is>
          <t>TECK</t>
        </is>
      </c>
      <c r="AK29" s="15" t="inlineStr">
        <is>
          <t>10 AWG</t>
        </is>
      </c>
      <c r="AL29" s="15" t="inlineStr">
        <is>
          <t>Levy Ostrup</t>
        </is>
      </c>
      <c r="AM29" s="15" t="n"/>
      <c r="AN29" s="15" t="inlineStr">
        <is>
          <t>Cable needs support at device gland</t>
        </is>
      </c>
    </row>
    <row r="30">
      <c r="A30" s="15" t="inlineStr">
        <is>
          <t>Power Cable</t>
        </is>
      </c>
      <c r="B30" s="15" t="inlineStr">
        <is>
          <t>29203-ET-LIT0221-1-PWK-1</t>
        </is>
      </c>
      <c r="C30" s="15" t="inlineStr">
        <is>
          <t>29203-ET-LIT0221-1</t>
        </is>
      </c>
      <c r="D30" s="15" t="inlineStr"/>
      <c r="E30" s="15" t="inlineStr">
        <is>
          <t>29152-HTP-001</t>
        </is>
      </c>
      <c r="F30" s="15" t="inlineStr"/>
      <c r="G30" s="15" t="inlineStr">
        <is>
          <t>113</t>
        </is>
      </c>
      <c r="H30" s="15" t="inlineStr">
        <is>
          <t>1.9. 29152-HTP-001/3. Power Cables/29203-ET-LIT0221-1-PWK-1.pdf</t>
        </is>
      </c>
      <c r="I30" s="6" t="str">
        <f>IF($H30&lt;&gt;"","YES","NO")</f>
        <v>YES</v>
      </c>
      <c r="J30" s="6" t="str">
        <f>IF(N($T30)&gt;0,"YES","NO")</f>
        <v>YES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YES</v>
      </c>
      <c r="O30" s="6" t="str">
        <f>IF(OR($A30="Power Cable",$A30="RTD Cable",$A30="Fieldbus Cable"),IF(AND($AE30&lt;&gt;""),"YES","NO"),"N/A")</f>
        <v>YES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9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inlineStr">
        <is>
          <t>550 MΩ / 550 MΩ / 550 MΩ</t>
        </is>
      </c>
      <c r="AE30" s="15" t="inlineStr">
        <is>
          <t>0.4 Ω / OL / OL</t>
        </is>
      </c>
      <c r="AF30" s="15" t="inlineStr">
        <is>
          <t>Fluke 1587 FC 72300003</t>
        </is>
      </c>
      <c r="AG30" s="15" t="n"/>
      <c r="AH30" s="15" t="n"/>
      <c r="AI30" s="15" t="n"/>
      <c r="AJ30" s="15" t="inlineStr">
        <is>
          <t>Teck</t>
        </is>
      </c>
      <c r="AK30" s="15" t="inlineStr">
        <is>
          <t>10 AWG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Power Cable</t>
        </is>
      </c>
      <c r="B31" s="15" t="inlineStr">
        <is>
          <t>29203-ET-PE5002-1-PWK-1</t>
        </is>
      </c>
      <c r="C31" s="15" t="inlineStr">
        <is>
          <t>29203-ET-PE5002-1</t>
        </is>
      </c>
      <c r="D31" s="15" t="inlineStr"/>
      <c r="E31" s="15" t="inlineStr">
        <is>
          <t>29152-HTP-001</t>
        </is>
      </c>
      <c r="F31" s="15" t="inlineStr"/>
      <c r="G31" s="15" t="inlineStr">
        <is>
          <t>113</t>
        </is>
      </c>
      <c r="H31" s="15" t="inlineStr">
        <is>
          <t>1.9. 29152-HTP-001/3. Power Cables/29203-ET-PE5002-1-PWK-1.pdf</t>
        </is>
      </c>
      <c r="I31" s="6" t="str">
        <f>IF($H31&lt;&gt;"","YES","NO")</f>
        <v>YES</v>
      </c>
      <c r="J31" s="6" t="str">
        <f>IF(N($T31)&gt;0,"YES","NO")</f>
        <v>YES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YES</v>
      </c>
      <c r="O31" s="6" t="str">
        <f>IF(OR($A31="Power Cable",$A31="RTD Cable",$A31="Fieldbus Cable"),IF(AND($AE31&lt;&gt;""),"YES","NO"),"N/A")</f>
        <v>YES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9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inlineStr">
        <is>
          <t>&gt;550 MΩ / &gt;550 MΩ / &gt;550 MΩ</t>
        </is>
      </c>
      <c r="AE31" s="15" t="inlineStr">
        <is>
          <t>0.3 Ω / OL / OL</t>
        </is>
      </c>
      <c r="AF31" s="15" t="inlineStr">
        <is>
          <t>Fluke 1587 FC 72300003</t>
        </is>
      </c>
      <c r="AG31" s="15" t="n"/>
      <c r="AH31" s="15" t="n"/>
      <c r="AI31" s="15" t="n"/>
      <c r="AJ31" s="15" t="inlineStr">
        <is>
          <t>TECK</t>
        </is>
      </c>
      <c r="AK31" s="15" t="inlineStr">
        <is>
          <t>10 AWG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Power Cable</t>
        </is>
      </c>
      <c r="B32" s="15" t="inlineStr">
        <is>
          <t>29203-ET-ST5000-1-PWK-1</t>
        </is>
      </c>
      <c r="C32" s="15" t="inlineStr">
        <is>
          <t>29203-ET-ST5000-1</t>
        </is>
      </c>
      <c r="D32" s="15" t="inlineStr"/>
      <c r="E32" s="15" t="inlineStr">
        <is>
          <t>29152-HTP-001</t>
        </is>
      </c>
      <c r="F32" s="15" t="inlineStr"/>
      <c r="G32" s="15" t="inlineStr">
        <is>
          <t>113</t>
        </is>
      </c>
      <c r="H32" s="15" t="inlineStr">
        <is>
          <t>1.9. 29152-HTP-001/3. Power Cables/29203-ET-ST5000-1-PWK-1.pdf</t>
        </is>
      </c>
      <c r="I32" s="6" t="str">
        <f>IF($H32&lt;&gt;"","YES","NO")</f>
        <v>YES</v>
      </c>
      <c r="J32" s="6" t="str">
        <f>IF(N($T32)&gt;0,"YES","NO")</f>
        <v>YES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YES</v>
      </c>
      <c r="O32" s="6" t="str">
        <f>IF(OR($A32="Power Cable",$A32="RTD Cable",$A32="Fieldbus Cable"),IF(AND($AE32&lt;&gt;""),"YES","NO"),"N/A")</f>
        <v>YES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9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inlineStr">
        <is>
          <t>&gt;550 MΩ / &gt;550 MΩ / &gt;550 MΩ</t>
        </is>
      </c>
      <c r="AE32" s="15" t="inlineStr">
        <is>
          <t>0.4 Ω / OL / OL</t>
        </is>
      </c>
      <c r="AF32" s="15" t="inlineStr">
        <is>
          <t>Fluke 1587 72300003</t>
        </is>
      </c>
      <c r="AG32" s="15" t="n"/>
      <c r="AH32" s="15" t="n"/>
      <c r="AI32" s="15" t="n"/>
      <c r="AJ32" s="15" t="inlineStr">
        <is>
          <t>TECK</t>
        </is>
      </c>
      <c r="AK32" s="15" t="inlineStr">
        <is>
          <t>10 AWG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TANK2-1-PWK-1</t>
        </is>
      </c>
      <c r="C33" s="15" t="inlineStr">
        <is>
          <t>TANK2-1</t>
        </is>
      </c>
      <c r="D33" s="15" t="inlineStr"/>
      <c r="E33" s="15" t="inlineStr">
        <is>
          <t>29152-HTP-001</t>
        </is>
      </c>
      <c r="F33" s="15" t="inlineStr"/>
      <c r="G33" s="15" t="inlineStr">
        <is>
          <t>113</t>
        </is>
      </c>
      <c r="H33" s="15" t="inlineStr">
        <is>
          <t>1.9. 29152-HTP-001/3. Power Cables/TANK2-1-PWK-1.pdf</t>
        </is>
      </c>
      <c r="I33" s="6" t="str">
        <f>IF($H33&lt;&gt;"","YES","NO")</f>
        <v>YES</v>
      </c>
      <c r="J33" s="6" t="str">
        <f>IF(N($T33)&gt;0,"YES","NO")</f>
        <v>YES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YES</v>
      </c>
      <c r="O33" s="6" t="str">
        <f>IF(OR($A33="Power Cable",$A33="RTD Cable",$A33="Fieldbus Cable"),IF(AND($AE33&lt;&gt;""),"YES","NO"),"N/A")</f>
        <v>YES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9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inlineStr">
        <is>
          <t>&gt;550 MΩ / &gt;550 MΩ / &gt;550 MΩ</t>
        </is>
      </c>
      <c r="AE33" s="15" t="inlineStr">
        <is>
          <t>0.2 Ω / OL / OL</t>
        </is>
      </c>
      <c r="AF33" s="15" t="inlineStr">
        <is>
          <t>Fluke 1587 FC 72300003</t>
        </is>
      </c>
      <c r="AG33" s="15" t="n"/>
      <c r="AH33" s="15" t="n"/>
      <c r="AI33" s="15" t="n"/>
      <c r="AJ33" s="15" t="inlineStr">
        <is>
          <t>TECK</t>
        </is>
      </c>
      <c r="AK33" s="15" t="inlineStr">
        <is>
          <t>10 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TANK2-2-PWK-1</t>
        </is>
      </c>
      <c r="C34" s="15" t="inlineStr">
        <is>
          <t>TANK2-2</t>
        </is>
      </c>
      <c r="D34" s="15" t="inlineStr"/>
      <c r="E34" s="15" t="inlineStr">
        <is>
          <t>29152-HTP-001</t>
        </is>
      </c>
      <c r="F34" s="15" t="inlineStr"/>
      <c r="G34" s="15" t="inlineStr">
        <is>
          <t>113</t>
        </is>
      </c>
      <c r="H34" s="15" t="inlineStr">
        <is>
          <t>1.9. 29152-HTP-001/3. Power Cables/TANK2-2-PWK-1.pdf</t>
        </is>
      </c>
      <c r="I34" s="6" t="str">
        <f>IF($H34&lt;&gt;"","YES","NO")</f>
        <v>YES</v>
      </c>
      <c r="J34" s="6" t="str">
        <f>IF(N($T34)&gt;0,"YES","NO")</f>
        <v>YES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YES</v>
      </c>
      <c r="O34" s="6" t="str">
        <f>IF(OR($A34="Power Cable",$A34="RTD Cable",$A34="Fieldbus Cable"),IF(AND($AE34&lt;&gt;""),"YES","NO"),"N/A")</f>
        <v>YES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10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inlineStr">
        <is>
          <t>&gt;550 MΩ / &gt;550 MΩ / &gt;550 MΩ</t>
        </is>
      </c>
      <c r="AE34" s="15" t="inlineStr">
        <is>
          <t>0.3 Ω / OL / OL</t>
        </is>
      </c>
      <c r="AF34" s="15" t="inlineStr">
        <is>
          <t>Fluke 1587 FC 72300003</t>
        </is>
      </c>
      <c r="AG34" s="15" t="n"/>
      <c r="AH34" s="15" t="n"/>
      <c r="AI34" s="15" t="n"/>
      <c r="AJ34" s="15" t="inlineStr">
        <is>
          <t>TECK</t>
        </is>
      </c>
      <c r="AK34" s="15" t="inlineStr">
        <is>
          <t>10 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TANK2-3-PWK-1</t>
        </is>
      </c>
      <c r="C35" s="15" t="inlineStr">
        <is>
          <t>TANK2-3</t>
        </is>
      </c>
      <c r="D35" s="15" t="inlineStr"/>
      <c r="E35" s="15" t="inlineStr">
        <is>
          <t>29152-HTP-001</t>
        </is>
      </c>
      <c r="F35" s="15" t="inlineStr"/>
      <c r="G35" s="15" t="inlineStr">
        <is>
          <t>113</t>
        </is>
      </c>
      <c r="H35" s="15" t="inlineStr">
        <is>
          <t>1.9. 29152-HTP-001/3. Power Cables/TANK2-3-PWK-1.pdf</t>
        </is>
      </c>
      <c r="I35" s="6" t="str">
        <f>IF($H35&lt;&gt;"","YES","NO")</f>
        <v>YES</v>
      </c>
      <c r="J35" s="6" t="str">
        <f>IF(N($T35)&gt;0,"YES","NO")</f>
        <v>YES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YES</v>
      </c>
      <c r="O35" s="6" t="str">
        <f>IF(OR($A35="Power Cable",$A35="RTD Cable",$A35="Fieldbus Cable"),IF(AND($AE35&lt;&gt;""),"YES","NO"),"N/A")</f>
        <v>YES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9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inlineStr">
        <is>
          <t>&gt;550 MΩ / &gt;550 MΩ / &gt;550 MΩ</t>
        </is>
      </c>
      <c r="AE35" s="15" t="inlineStr">
        <is>
          <t>0.2 Ω / OL / OL</t>
        </is>
      </c>
      <c r="AF35" s="15" t="inlineStr">
        <is>
          <t>Fluke 1587 FC 72300003</t>
        </is>
      </c>
      <c r="AG35" s="15" t="n"/>
      <c r="AH35" s="15" t="n"/>
      <c r="AI35" s="15" t="n"/>
      <c r="AJ35" s="15" t="inlineStr">
        <is>
          <t>Teck</t>
        </is>
      </c>
      <c r="AK35" s="15" t="inlineStr">
        <is>
          <t>10 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TANK2-4-PWK-1</t>
        </is>
      </c>
      <c r="C36" s="15" t="inlineStr">
        <is>
          <t>TANK2-4</t>
        </is>
      </c>
      <c r="D36" s="15" t="inlineStr"/>
      <c r="E36" s="15" t="inlineStr">
        <is>
          <t>29152-HTP-001</t>
        </is>
      </c>
      <c r="F36" s="15" t="inlineStr"/>
      <c r="G36" s="15" t="inlineStr">
        <is>
          <t>113</t>
        </is>
      </c>
      <c r="H36" s="15" t="inlineStr">
        <is>
          <t>1.9. 29152-HTP-001/3. Power Cables/TANK2-4-PWK-1.pdf</t>
        </is>
      </c>
      <c r="I36" s="6" t="str">
        <f>IF($H36&lt;&gt;"","YES","NO")</f>
        <v>YES</v>
      </c>
      <c r="J36" s="6" t="str">
        <f>IF(N($T36)&gt;0,"YES","NO")</f>
        <v>YES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YES</v>
      </c>
      <c r="O36" s="6" t="str">
        <f>IF(OR($A36="Power Cable",$A36="RTD Cable",$A36="Fieldbus Cable"),IF(AND($AE36&lt;&gt;""),"YES","NO"),"N/A")</f>
        <v>YES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9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inlineStr">
        <is>
          <t>550 MΩ / 550 MΩ / 550 MΩ</t>
        </is>
      </c>
      <c r="AE36" s="15" t="inlineStr">
        <is>
          <t>0.2 Ω / OL / OL</t>
        </is>
      </c>
      <c r="AF36" s="15" t="inlineStr">
        <is>
          <t>Fluke 1587 FC 72300003</t>
        </is>
      </c>
      <c r="AG36" s="15" t="n"/>
      <c r="AH36" s="15" t="n"/>
      <c r="AI36" s="15" t="n"/>
      <c r="AJ36" s="15" t="inlineStr">
        <is>
          <t>Teck</t>
        </is>
      </c>
      <c r="AK36" s="15" t="inlineStr">
        <is>
          <t>10 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TANK2-5-PWK-1</t>
        </is>
      </c>
      <c r="C37" s="15" t="inlineStr">
        <is>
          <t>TANK2-5</t>
        </is>
      </c>
      <c r="D37" s="15" t="inlineStr"/>
      <c r="E37" s="15" t="inlineStr">
        <is>
          <t>29152-HTP-001</t>
        </is>
      </c>
      <c r="F37" s="15" t="inlineStr"/>
      <c r="G37" s="15" t="inlineStr">
        <is>
          <t>113</t>
        </is>
      </c>
      <c r="H37" s="15" t="inlineStr">
        <is>
          <t>1.9. 29152-HTP-001/3. Power Cables/TANK2-5-PWK-1.pdf</t>
        </is>
      </c>
      <c r="I37" s="6" t="str">
        <f>IF($H37&lt;&gt;"","YES","NO")</f>
        <v>YES</v>
      </c>
      <c r="J37" s="6" t="str">
        <f>IF(N($T37)&gt;0,"YES","NO")</f>
        <v>YES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YES</v>
      </c>
      <c r="O37" s="6" t="str">
        <f>IF(OR($A37="Power Cable",$A37="RTD Cable",$A37="Fieldbus Cable"),IF(AND($AE37&lt;&gt;""),"YES","NO"),"N/A")</f>
        <v>YES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9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inlineStr">
        <is>
          <t>&gt;550 MΩ / &gt;550 MΩ / &gt;550 MΩ</t>
        </is>
      </c>
      <c r="AE37" s="15" t="inlineStr">
        <is>
          <t>0.3 Ω / OL / OL</t>
        </is>
      </c>
      <c r="AF37" s="15" t="inlineStr">
        <is>
          <t>Fluke 1587 FC 72300003</t>
        </is>
      </c>
      <c r="AG37" s="15" t="n"/>
      <c r="AH37" s="15" t="n"/>
      <c r="AI37" s="15" t="n"/>
      <c r="AJ37" s="15" t="inlineStr">
        <is>
          <t>TECK</t>
        </is>
      </c>
      <c r="AK37" s="15" t="inlineStr">
        <is>
          <t>10 AWG</t>
        </is>
      </c>
      <c r="AL37" s="15" t="inlineStr">
        <is>
          <t>Levy Ostrup</t>
        </is>
      </c>
      <c r="AM37" s="15" t="n"/>
      <c r="AN37" s="15" t="n"/>
    </row>
  </sheetData>
  <autoFilter ref="A4:AN37"/>
  <mergeCells count="3">
    <mergeCell ref="A3:H3"/>
    <mergeCell ref="I3:S3"/>
    <mergeCell ref="T3:AN3"/>
  </mergeCells>
  <conditionalFormatting sqref="I5:S37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Drain Tank Fieldbus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Fieldbus Cable</t>
        </is>
      </c>
      <c r="B5" s="15" t="inlineStr">
        <is>
          <t>29152-LIT-0203</t>
        </is>
      </c>
      <c r="C5" s="15" t="inlineStr"/>
      <c r="D5" s="15" t="inlineStr"/>
      <c r="E5" s="15" t="inlineStr"/>
      <c r="F5" s="15" t="inlineStr"/>
      <c r="G5" s="15" t="inlineStr">
        <is>
          <t>113</t>
        </is>
      </c>
      <c r="H5" s="15" t="inlineStr">
        <is>
          <t>Drain Tank 29152 Fieldbus Cables/29152-LIT-0203.pdf</t>
        </is>
      </c>
      <c r="I5" s="6" t="str">
        <f>IF($H5&lt;&gt;"","YES","NO")</f>
        <v>YES</v>
      </c>
      <c r="J5" s="6" t="str">
        <f>IF(N($T5)&gt;0,"YES","NO")</f>
        <v>YES</v>
      </c>
      <c r="K5" s="6" t="str">
        <f>IF(OR($A5="EHT Trace"),IF(AND($U5&lt;&gt;"",$V5&lt;&gt;""),"YES","NO"),"N/A")</f>
        <v>N/A</v>
      </c>
      <c r="L5" s="6" t="str">
        <f>IF(OR($A5="EHT Trace"),IF(AND($X5&lt;&gt;"",$Y5&lt;&gt;""),"YES","NO"),"N/A")</f>
        <v>N/A</v>
      </c>
      <c r="M5" s="6" t="str">
        <f>IF(OR($A5="EHT Trace"),IF(AND($AA5&lt;&gt;"",$AB5&lt;&gt;""),"YES","NO"),"N/A")</f>
        <v>N/A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YES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YES</v>
      </c>
      <c r="S5" s="6" t="str">
        <f>IF(COUNTIF(I5:R5,"NO")=0,"YES","NO")</f>
        <v>YES</v>
      </c>
      <c r="T5" s="15" t="n">
        <v>11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inlineStr">
        <is>
          <t>N/A / N/A / N/A</t>
        </is>
      </c>
      <c r="AE5" s="15" t="inlineStr">
        <is>
          <t>3.1 Ω / OL / OL</t>
        </is>
      </c>
      <c r="AF5" s="15" t="inlineStr">
        <is>
          <t>Fluke 117 70201851MV</t>
        </is>
      </c>
      <c r="AG5" s="15" t="n"/>
      <c r="AH5" s="15" t="n"/>
      <c r="AI5" s="15" t="n"/>
      <c r="AJ5" s="15" t="inlineStr">
        <is>
          <t>Fieldbus Type A</t>
        </is>
      </c>
      <c r="AK5" s="15" t="inlineStr">
        <is>
          <t>18 AWG</t>
        </is>
      </c>
      <c r="AL5" s="15" t="inlineStr">
        <is>
          <t>Levy Ostrup</t>
        </is>
      </c>
      <c r="AM5" s="15" t="inlineStr">
        <is>
          <t>Sept 12/26</t>
        </is>
      </c>
      <c r="AN5" s="15" t="inlineStr">
        <is>
          <t>- Pigtail on bend - No cable tags | - Coil drain under boot - Loose instrument; needs to be tightened | - Install grommet on FRT - All FRT up-top needs to be bonded to system</t>
        </is>
      </c>
    </row>
    <row r="6">
      <c r="A6" s="15" t="inlineStr">
        <is>
          <t>Fieldbus Cable</t>
        </is>
      </c>
      <c r="B6" s="15" t="inlineStr">
        <is>
          <t>29152-LIT-0205</t>
        </is>
      </c>
      <c r="C6" s="15" t="inlineStr"/>
      <c r="D6" s="15" t="inlineStr"/>
      <c r="E6" s="15" t="inlineStr"/>
      <c r="F6" s="15" t="inlineStr"/>
      <c r="G6" s="15" t="inlineStr">
        <is>
          <t>113</t>
        </is>
      </c>
      <c r="H6" s="15" t="inlineStr">
        <is>
          <t>Drain Tank 29152 Fieldbus Cables/29152-LIT-0205.pdf</t>
        </is>
      </c>
      <c r="I6" s="6" t="str">
        <f>IF($H6&lt;&gt;"","YES","NO")</f>
        <v>YES</v>
      </c>
      <c r="J6" s="6" t="str">
        <f>IF(N($T6)&gt;0,"YES","NO")</f>
        <v>YES</v>
      </c>
      <c r="K6" s="6" t="str">
        <f>IF(OR($A6="EHT Trace"),IF(AND($U6&lt;&gt;"",$V6&lt;&gt;""),"YES","NO"),"N/A")</f>
        <v>N/A</v>
      </c>
      <c r="L6" s="6" t="str">
        <f>IF(OR($A6="EHT Trace"),IF(AND($X6&lt;&gt;"",$Y6&lt;&gt;""),"YES","NO"),"N/A")</f>
        <v>N/A</v>
      </c>
      <c r="M6" s="6" t="str">
        <f>IF(OR($A6="EHT Trace"),IF(AND($AA6&lt;&gt;"",$AB6&lt;&gt;""),"YES","NO"),"N/A")</f>
        <v>N/A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YES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YES</v>
      </c>
      <c r="S6" s="6" t="str">
        <f>IF(COUNTIF(I6:R6,"NO")=0,"YES","NO")</f>
        <v>YES</v>
      </c>
      <c r="T6" s="15" t="n">
        <v>11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inlineStr">
        <is>
          <t>N/A / N/A / N/A</t>
        </is>
      </c>
      <c r="AE6" s="15" t="inlineStr">
        <is>
          <t>1.3 Ω / OL / OL</t>
        </is>
      </c>
      <c r="AF6" s="15" t="inlineStr">
        <is>
          <t>Fluke 117 70201851MV</t>
        </is>
      </c>
      <c r="AG6" s="15" t="n"/>
      <c r="AH6" s="15" t="n"/>
      <c r="AI6" s="15" t="n"/>
      <c r="AJ6" s="15" t="inlineStr">
        <is>
          <t>Fieldbus Type A</t>
        </is>
      </c>
      <c r="AK6" s="15" t="inlineStr">
        <is>
          <t>18 AWG</t>
        </is>
      </c>
      <c r="AL6" s="15" t="inlineStr">
        <is>
          <t>Levy Ostrup</t>
        </is>
      </c>
      <c r="AM6" s="15" t="inlineStr">
        <is>
          <t>9-11-2024</t>
        </is>
      </c>
      <c r="AN6" s="15" t="inlineStr">
        <is>
          <t>- Orange lead is squished and bare wire is seen - re-term | - Coil drain under boot; replace orange core marker</t>
        </is>
      </c>
    </row>
    <row r="7">
      <c r="A7" s="15" t="inlineStr">
        <is>
          <t>Fieldbus Cable</t>
        </is>
      </c>
      <c r="B7" s="15" t="inlineStr">
        <is>
          <t>29152-PIT-0205</t>
        </is>
      </c>
      <c r="C7" s="15" t="inlineStr"/>
      <c r="D7" s="15" t="inlineStr"/>
      <c r="E7" s="15" t="inlineStr"/>
      <c r="F7" s="15" t="inlineStr"/>
      <c r="G7" s="15" t="inlineStr">
        <is>
          <t>113</t>
        </is>
      </c>
      <c r="H7" s="15" t="inlineStr">
        <is>
          <t>Drain Tank 29152 Fieldbus Cables/29152-PIT-0205.pdf</t>
        </is>
      </c>
      <c r="I7" s="6" t="str">
        <f>IF($H7&lt;&gt;"","YES","NO")</f>
        <v>YES</v>
      </c>
      <c r="J7" s="6" t="str">
        <f>IF(N($T7)&gt;0,"YES","NO")</f>
        <v>YES</v>
      </c>
      <c r="K7" s="6" t="str">
        <f>IF(OR($A7="EHT Trace"),IF(AND($U7&lt;&gt;"",$V7&lt;&gt;""),"YES","NO"),"N/A")</f>
        <v>N/A</v>
      </c>
      <c r="L7" s="6" t="str">
        <f>IF(OR($A7="EHT Trace"),IF(AND($X7&lt;&gt;"",$Y7&lt;&gt;""),"YES","NO"),"N/A")</f>
        <v>N/A</v>
      </c>
      <c r="M7" s="6" t="str">
        <f>IF(OR($A7="EHT Trace"),IF(AND($AA7&lt;&gt;"",$AB7&lt;&gt;""),"YES","NO"),"N/A")</f>
        <v>N/A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YES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YES</v>
      </c>
      <c r="S7" s="6" t="str">
        <f>IF(COUNTIF(I7:R7,"NO")=0,"YES","NO")</f>
        <v>YES</v>
      </c>
      <c r="T7" s="15" t="n">
        <v>11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inlineStr">
        <is>
          <t>N/A / N/A / N/A</t>
        </is>
      </c>
      <c r="AE7" s="15" t="inlineStr">
        <is>
          <t>1.1 Ω / OL / OL</t>
        </is>
      </c>
      <c r="AF7" s="15" t="inlineStr">
        <is>
          <t>Fluke 117 70201851MV</t>
        </is>
      </c>
      <c r="AG7" s="15" t="n"/>
      <c r="AH7" s="15" t="n"/>
      <c r="AI7" s="15" t="n"/>
      <c r="AJ7" s="15" t="inlineStr">
        <is>
          <t>Fieldbus Type A</t>
        </is>
      </c>
      <c r="AK7" s="15" t="inlineStr">
        <is>
          <t>18 AWG</t>
        </is>
      </c>
      <c r="AL7" s="15" t="inlineStr">
        <is>
          <t>Levy Ostrup</t>
        </is>
      </c>
      <c r="AM7" s="15" t="inlineStr">
        <is>
          <t>9-11-2026</t>
        </is>
      </c>
      <c r="AN7" s="15" t="inlineStr">
        <is>
          <t>- No cable tag; wrap cable into tray w/ 6' serv. loop. | - Rubber grommet protruding through connector | - Field run tray needs better support with strut (wobbles)</t>
        </is>
      </c>
    </row>
    <row r="8">
      <c r="A8" s="15" t="inlineStr">
        <is>
          <t>Fieldbus Cable</t>
        </is>
      </c>
      <c r="B8" s="15" t="inlineStr">
        <is>
          <t>29152-PY-0205</t>
        </is>
      </c>
      <c r="C8" s="15" t="inlineStr"/>
      <c r="D8" s="15" t="inlineStr"/>
      <c r="E8" s="15" t="inlineStr"/>
      <c r="F8" s="15" t="inlineStr"/>
      <c r="G8" s="15" t="inlineStr">
        <is>
          <t>113</t>
        </is>
      </c>
      <c r="H8" s="15" t="inlineStr">
        <is>
          <t>Drain Tank 29152 Fieldbus Cables/29152-PY-0205.pdf</t>
        </is>
      </c>
      <c r="I8" s="6" t="str">
        <f>IF($H8&lt;&gt;"","YES","NO")</f>
        <v>YES</v>
      </c>
      <c r="J8" s="6" t="str">
        <f>IF(N($T8)&gt;0,"YES","NO")</f>
        <v>YES</v>
      </c>
      <c r="K8" s="6" t="str">
        <f>IF(OR($A8="EHT Trace"),IF(AND($U8&lt;&gt;"",$V8&lt;&gt;""),"YES","NO"),"N/A")</f>
        <v>N/A</v>
      </c>
      <c r="L8" s="6" t="str">
        <f>IF(OR($A8="EHT Trace"),IF(AND($X8&lt;&gt;"",$Y8&lt;&gt;""),"YES","NO"),"N/A")</f>
        <v>N/A</v>
      </c>
      <c r="M8" s="6" t="str">
        <f>IF(OR($A8="EHT Trace"),IF(AND($AA8&lt;&gt;"",$AB8&lt;&gt;""),"YES","NO"),"N/A")</f>
        <v>N/A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YES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YES</v>
      </c>
      <c r="S8" s="6" t="str">
        <f>IF(COUNTIF(I8:R8,"NO")=0,"YES","NO")</f>
        <v>YES</v>
      </c>
      <c r="T8" s="15" t="n">
        <v>11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inlineStr">
        <is>
          <t>N/A / N/A / N/A</t>
        </is>
      </c>
      <c r="AE8" s="15" t="inlineStr">
        <is>
          <t>1 Ω / OL / OL</t>
        </is>
      </c>
      <c r="AF8" s="15" t="inlineStr">
        <is>
          <t>Fluke 117 70201851MV</t>
        </is>
      </c>
      <c r="AG8" s="15" t="n"/>
      <c r="AH8" s="15" t="n"/>
      <c r="AI8" s="15" t="n"/>
      <c r="AJ8" s="15" t="inlineStr">
        <is>
          <t>Fieldbus Type A</t>
        </is>
      </c>
      <c r="AK8" s="15" t="inlineStr">
        <is>
          <t>18 AWG</t>
        </is>
      </c>
      <c r="AL8" s="15" t="inlineStr">
        <is>
          <t>Levy Ostrup</t>
        </is>
      </c>
      <c r="AM8" s="15" t="inlineStr">
        <is>
          <t>9-11-2026</t>
        </is>
      </c>
      <c r="AN8" s="15" t="inlineStr">
        <is>
          <t>Standard is to shrink and coil drain under boot.</t>
        </is>
      </c>
    </row>
    <row r="9">
      <c r="A9" s="15" t="inlineStr">
        <is>
          <t>Fieldbus Cable</t>
        </is>
      </c>
      <c r="B9" s="15" t="inlineStr">
        <is>
          <t>29152-XY-0201</t>
        </is>
      </c>
      <c r="C9" s="15" t="inlineStr"/>
      <c r="D9" s="15" t="inlineStr"/>
      <c r="E9" s="15" t="inlineStr"/>
      <c r="F9" s="15" t="inlineStr"/>
      <c r="G9" s="15" t="inlineStr">
        <is>
          <t>113</t>
        </is>
      </c>
      <c r="H9" s="15" t="inlineStr">
        <is>
          <t>Drain Tank 29152 Fieldbus Cables/29152-XY-0201.pdf</t>
        </is>
      </c>
      <c r="I9" s="6" t="str">
        <f>IF($H9&lt;&gt;"","YES","NO")</f>
        <v>YES</v>
      </c>
      <c r="J9" s="6" t="str">
        <f>IF(N($T9)&gt;0,"YES","NO")</f>
        <v>YES</v>
      </c>
      <c r="K9" s="6" t="str">
        <f>IF(OR($A9="EHT Trace"),IF(AND($U9&lt;&gt;"",$V9&lt;&gt;""),"YES","NO"),"N/A")</f>
        <v>N/A</v>
      </c>
      <c r="L9" s="6" t="str">
        <f>IF(OR($A9="EHT Trace"),IF(AND($X9&lt;&gt;"",$Y9&lt;&gt;""),"YES","NO"),"N/A")</f>
        <v>N/A</v>
      </c>
      <c r="M9" s="6" t="str">
        <f>IF(OR($A9="EHT Trace"),IF(AND($AA9&lt;&gt;"",$AB9&lt;&gt;""),"YES","NO"),"N/A")</f>
        <v>N/A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YES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YES</v>
      </c>
      <c r="S9" s="6" t="str">
        <f>IF(COUNTIF(I9:R9,"NO")=0,"YES","NO")</f>
        <v>YES</v>
      </c>
      <c r="T9" s="15" t="n">
        <v>11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inlineStr">
        <is>
          <t>N/A / N/A / N/A</t>
        </is>
      </c>
      <c r="AE9" s="15" t="inlineStr">
        <is>
          <t>1 Ω / OL / OL</t>
        </is>
      </c>
      <c r="AF9" s="15" t="inlineStr">
        <is>
          <t>Fluke 117 70201851MV</t>
        </is>
      </c>
      <c r="AG9" s="15" t="n"/>
      <c r="AH9" s="15" t="n"/>
      <c r="AI9" s="15" t="n"/>
      <c r="AJ9" s="15" t="inlineStr">
        <is>
          <t>Fieldbus Type A</t>
        </is>
      </c>
      <c r="AK9" s="15" t="inlineStr">
        <is>
          <t>18 AWG</t>
        </is>
      </c>
      <c r="AL9" s="15" t="inlineStr">
        <is>
          <t>Levy Ostrup</t>
        </is>
      </c>
      <c r="AM9" s="15" t="inlineStr">
        <is>
          <t>9-11-2026</t>
        </is>
      </c>
      <c r="AN9" s="15" t="inlineStr">
        <is>
          <t>- Coil drain under boot | - No cable tags.</t>
        </is>
      </c>
    </row>
    <row r="10">
      <c r="A10" s="15" t="inlineStr">
        <is>
          <t>Fieldbus Cable</t>
        </is>
      </c>
      <c r="B10" s="15" t="inlineStr">
        <is>
          <t>29152-XY-0202</t>
        </is>
      </c>
      <c r="C10" s="15" t="inlineStr"/>
      <c r="D10" s="15" t="inlineStr"/>
      <c r="E10" s="15" t="inlineStr"/>
      <c r="F10" s="15" t="inlineStr"/>
      <c r="G10" s="15" t="inlineStr">
        <is>
          <t>113</t>
        </is>
      </c>
      <c r="H10" s="15" t="inlineStr">
        <is>
          <t>Drain Tank 29152 Fieldbus Cables/29152-XY-0202.pdf</t>
        </is>
      </c>
      <c r="I10" s="6" t="str">
        <f>IF($H10&lt;&gt;"","YES","NO")</f>
        <v>YES</v>
      </c>
      <c r="J10" s="6" t="str">
        <f>IF(N($T10)&gt;0,"YES","NO")</f>
        <v>YES</v>
      </c>
      <c r="K10" s="6" t="str">
        <f>IF(OR($A10="EHT Trace"),IF(AND($U10&lt;&gt;"",$V10&lt;&gt;""),"YES","NO"),"N/A")</f>
        <v>N/A</v>
      </c>
      <c r="L10" s="6" t="str">
        <f>IF(OR($A10="EHT Trace"),IF(AND($X10&lt;&gt;"",$Y10&lt;&gt;""),"YES","NO"),"N/A")</f>
        <v>N/A</v>
      </c>
      <c r="M10" s="6" t="str">
        <f>IF(OR($A10="EHT Trace"),IF(AND($AA10&lt;&gt;"",$AB10&lt;&gt;""),"YES","NO"),"N/A")</f>
        <v>N/A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YES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YES</v>
      </c>
      <c r="S10" s="6" t="str">
        <f>IF(COUNTIF(I10:R10,"NO")=0,"YES","NO")</f>
        <v>YES</v>
      </c>
      <c r="T10" s="15" t="n">
        <v>11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inlineStr">
        <is>
          <t>N/A / N/A / N/A</t>
        </is>
      </c>
      <c r="AE10" s="15" t="inlineStr">
        <is>
          <t>.9 Ω / OL / OL</t>
        </is>
      </c>
      <c r="AF10" s="15" t="inlineStr">
        <is>
          <t>Fluke 117 70201851MV</t>
        </is>
      </c>
      <c r="AG10" s="15" t="n"/>
      <c r="AH10" s="15" t="n"/>
      <c r="AI10" s="15" t="n"/>
      <c r="AJ10" s="15" t="inlineStr">
        <is>
          <t>Fieldbus Type A</t>
        </is>
      </c>
      <c r="AK10" s="15" t="inlineStr">
        <is>
          <t>18 AWG</t>
        </is>
      </c>
      <c r="AL10" s="15" t="inlineStr">
        <is>
          <t>Levy Ostrup</t>
        </is>
      </c>
      <c r="AM10" s="15" t="inlineStr">
        <is>
          <t>9-11-2026</t>
        </is>
      </c>
      <c r="AN10" s="15" t="inlineStr">
        <is>
          <t>Drain should be coiled under boot.</t>
        </is>
      </c>
    </row>
    <row r="11">
      <c r="A11" s="15" t="inlineStr">
        <is>
          <t>Fieldbus Cable</t>
        </is>
      </c>
      <c r="B11" s="15" t="inlineStr">
        <is>
          <t>29152-XY-0203</t>
        </is>
      </c>
      <c r="C11" s="15" t="inlineStr"/>
      <c r="D11" s="15" t="inlineStr"/>
      <c r="E11" s="15" t="inlineStr"/>
      <c r="F11" s="15" t="inlineStr"/>
      <c r="G11" s="15" t="inlineStr">
        <is>
          <t>113</t>
        </is>
      </c>
      <c r="H11" s="15" t="inlineStr">
        <is>
          <t>Drain Tank 29152 Fieldbus Cables/29152-XY-0203.pdf</t>
        </is>
      </c>
      <c r="I11" s="6" t="str">
        <f>IF($H11&lt;&gt;"","YES","NO")</f>
        <v>YES</v>
      </c>
      <c r="J11" s="6" t="str">
        <f>IF(N($T11)&gt;0,"YES","NO")</f>
        <v>YES</v>
      </c>
      <c r="K11" s="6" t="str">
        <f>IF(OR($A11="EHT Trace"),IF(AND($U11&lt;&gt;"",$V11&lt;&gt;""),"YES","NO"),"N/A")</f>
        <v>N/A</v>
      </c>
      <c r="L11" s="6" t="str">
        <f>IF(OR($A11="EHT Trace"),IF(AND($X11&lt;&gt;"",$Y11&lt;&gt;""),"YES","NO"),"N/A")</f>
        <v>N/A</v>
      </c>
      <c r="M11" s="6" t="str">
        <f>IF(OR($A11="EHT Trace"),IF(AND($AA11&lt;&gt;"",$AB11&lt;&gt;""),"YES","NO"),"N/A")</f>
        <v>N/A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YES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YES</v>
      </c>
      <c r="S11" s="6" t="str">
        <f>IF(COUNTIF(I11:R11,"NO")=0,"YES","NO")</f>
        <v>YES</v>
      </c>
      <c r="T11" s="15" t="n">
        <v>11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inlineStr">
        <is>
          <t>N/A / N/A / N/A</t>
        </is>
      </c>
      <c r="AE11" s="15" t="inlineStr">
        <is>
          <t>1.0 / OL / OL</t>
        </is>
      </c>
      <c r="AF11" s="15" t="inlineStr">
        <is>
          <t>Fluke 117 70201851MV</t>
        </is>
      </c>
      <c r="AG11" s="15" t="n"/>
      <c r="AH11" s="15" t="n"/>
      <c r="AI11" s="15" t="n"/>
      <c r="AJ11" s="15" t="inlineStr">
        <is>
          <t>Fieldbus Type A</t>
        </is>
      </c>
      <c r="AK11" s="15" t="inlineStr">
        <is>
          <t>18 AWG</t>
        </is>
      </c>
      <c r="AL11" s="15" t="inlineStr">
        <is>
          <t>Levy Ostrup</t>
        </is>
      </c>
      <c r="AM11" s="15" t="inlineStr">
        <is>
          <t>9-11-26</t>
        </is>
      </c>
      <c r="AN11" s="15" t="inlineStr">
        <is>
          <t>Service loop no bigger than 6'; No cable tags</t>
        </is>
      </c>
    </row>
    <row r="12">
      <c r="A12" s="15" t="inlineStr">
        <is>
          <t>Fieldbus Cable</t>
        </is>
      </c>
      <c r="B12" s="15" t="inlineStr">
        <is>
          <t>29152-XY-0204</t>
        </is>
      </c>
      <c r="C12" s="15" t="inlineStr"/>
      <c r="D12" s="15" t="inlineStr"/>
      <c r="E12" s="15" t="inlineStr"/>
      <c r="F12" s="15" t="inlineStr"/>
      <c r="G12" s="15" t="inlineStr">
        <is>
          <t>113</t>
        </is>
      </c>
      <c r="H12" s="15" t="inlineStr">
        <is>
          <t>Drain Tank 29152 Fieldbus Cables/29152-XY-0204.pdf</t>
        </is>
      </c>
      <c r="I12" s="6" t="str">
        <f>IF($H12&lt;&gt;"","YES","NO")</f>
        <v>YES</v>
      </c>
      <c r="J12" s="6" t="str">
        <f>IF(N($T12)&gt;0,"YES","NO")</f>
        <v>YES</v>
      </c>
      <c r="K12" s="6" t="str">
        <f>IF(OR($A12="EHT Trace"),IF(AND($U12&lt;&gt;"",$V12&lt;&gt;""),"YES","NO"),"N/A")</f>
        <v>N/A</v>
      </c>
      <c r="L12" s="6" t="str">
        <f>IF(OR($A12="EHT Trace"),IF(AND($X12&lt;&gt;"",$Y12&lt;&gt;""),"YES","NO"),"N/A")</f>
        <v>N/A</v>
      </c>
      <c r="M12" s="6" t="str">
        <f>IF(OR($A12="EHT Trace"),IF(AND($AA12&lt;&gt;"",$AB12&lt;&gt;""),"YES","NO"),"N/A")</f>
        <v>N/A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YES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YES</v>
      </c>
      <c r="T12" s="15" t="n">
        <v>11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inlineStr">
        <is>
          <t>N/A / N/A / N/A</t>
        </is>
      </c>
      <c r="AE12" s="15" t="inlineStr">
        <is>
          <t>1.1 / OL / OL</t>
        </is>
      </c>
      <c r="AF12" s="15" t="inlineStr">
        <is>
          <t>Fluke 117 70201851MV</t>
        </is>
      </c>
      <c r="AG12" s="15" t="n"/>
      <c r="AH12" s="15" t="n"/>
      <c r="AI12" s="15" t="n"/>
      <c r="AJ12" s="15" t="inlineStr">
        <is>
          <t>Fieldbus Type A</t>
        </is>
      </c>
      <c r="AK12" s="15" t="inlineStr">
        <is>
          <t>18 AWG</t>
        </is>
      </c>
      <c r="AL12" s="15" t="inlineStr">
        <is>
          <t>Levy Ostrup</t>
        </is>
      </c>
      <c r="AM12" s="15" t="inlineStr">
        <is>
          <t>Sept 11/26</t>
        </is>
      </c>
      <c r="AN12" s="15" t="inlineStr">
        <is>
          <t>- No cable tags | - Drain should be coiled under boot.</t>
        </is>
      </c>
    </row>
    <row r="13">
      <c r="A13" s="15" t="inlineStr">
        <is>
          <t>Fieldbus Cable</t>
        </is>
      </c>
      <c r="B13" s="15" t="inlineStr">
        <is>
          <t>29203-XY-0220</t>
        </is>
      </c>
      <c r="C13" s="15" t="inlineStr"/>
      <c r="D13" s="15" t="inlineStr"/>
      <c r="E13" s="15" t="inlineStr"/>
      <c r="F13" s="15" t="inlineStr"/>
      <c r="G13" s="15" t="inlineStr">
        <is>
          <t>113</t>
        </is>
      </c>
      <c r="H13" s="15" t="inlineStr">
        <is>
          <t>Drain Tank 29152 Fieldbus Cables/29203-XY-0220.pdf</t>
        </is>
      </c>
      <c r="I13" s="6" t="str">
        <f>IF($H13&lt;&gt;"","YES","NO")</f>
        <v>YES</v>
      </c>
      <c r="J13" s="6" t="str">
        <f>IF(N($T13)&gt;0,"YES","NO")</f>
        <v>YES</v>
      </c>
      <c r="K13" s="6" t="str">
        <f>IF(OR($A13="EHT Trace"),IF(AND($U13&lt;&gt;"",$V13&lt;&gt;""),"YES","NO"),"N/A")</f>
        <v>N/A</v>
      </c>
      <c r="L13" s="6" t="str">
        <f>IF(OR($A13="EHT Trace"),IF(AND($X13&lt;&gt;"",$Y13&lt;&gt;""),"YES","NO"),"N/A")</f>
        <v>N/A</v>
      </c>
      <c r="M13" s="6" t="str">
        <f>IF(OR($A13="EHT Trace"),IF(AND($AA13&lt;&gt;"",$AB13&lt;&gt;""),"YES","NO"),"N/A")</f>
        <v>N/A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YES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YES</v>
      </c>
      <c r="S13" s="6" t="str">
        <f>IF(COUNTIF(I13:R13,"NO")=0,"YES","NO")</f>
        <v>YES</v>
      </c>
      <c r="T13" s="15" t="n">
        <v>11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inlineStr">
        <is>
          <t>N/A / N/A / N/A</t>
        </is>
      </c>
      <c r="AE13" s="15" t="inlineStr">
        <is>
          <t>1 Ω / OL / OL</t>
        </is>
      </c>
      <c r="AF13" s="15" t="inlineStr">
        <is>
          <t>Fluke 117 70201851MV</t>
        </is>
      </c>
      <c r="AG13" s="15" t="n"/>
      <c r="AH13" s="15" t="n"/>
      <c r="AI13" s="15" t="n"/>
      <c r="AJ13" s="15" t="inlineStr">
        <is>
          <t>Fieldbus Type A</t>
        </is>
      </c>
      <c r="AK13" s="15" t="inlineStr">
        <is>
          <t>18 AWG</t>
        </is>
      </c>
      <c r="AL13" s="15" t="inlineStr">
        <is>
          <t>Levy Ostrup</t>
        </is>
      </c>
      <c r="AM13" s="15" t="inlineStr">
        <is>
          <t>9-11-2026</t>
        </is>
      </c>
      <c r="AN13" s="15" t="inlineStr">
        <is>
          <t>- Drain should be coiled under the boot | - No cable tags.</t>
        </is>
      </c>
    </row>
  </sheetData>
  <autoFilter ref="A4:AN13"/>
  <mergeCells count="3">
    <mergeCell ref="A3:H3"/>
    <mergeCell ref="I3:S3"/>
    <mergeCell ref="T3:AN3"/>
  </mergeCells>
  <conditionalFormatting sqref="I5:S13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2026-10-05T21:49:09Z</dcterms:created>
  <dcterms:modified xsi:type="dcterms:W3CDTF">2026-10-05T21:49:11Z</dcterms:modified>
</cp:coreProperties>
</file>