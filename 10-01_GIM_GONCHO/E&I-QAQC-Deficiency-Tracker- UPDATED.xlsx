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N:\3. COC2510 K1B Module Fabrication and Site Construction\10.0 Quality\03.K1B-Site Construction\31. Master Logs\1.4. Tracker Logs\"/>
    </mc:Choice>
  </mc:AlternateContent>
  <xr:revisionPtr revIDLastSave="0" documentId="13_ncr:1_{1F42B532-595F-4B16-9C79-B1E27E8ADA1F}" xr6:coauthVersionLast="47" xr6:coauthVersionMax="47" xr10:uidLastSave="{00000000-0000-0000-0000-000000000000}"/>
  <bookViews>
    <workbookView xWindow="28680" yWindow="-120" windowWidth="37920" windowHeight="21840" tabRatio="814" xr2:uid="{00000000-000D-0000-FFFF-FFFF00000000}"/>
  </bookViews>
  <sheets>
    <sheet name="Deficiency Tracker" sheetId="1" r:id="rId1"/>
    <sheet name="Dashboard" sheetId="2" r:id="rId2"/>
    <sheet name="Lists" sheetId="3" r:id="rId3"/>
  </sheet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R225" i="1" l="1"/>
  <c r="Q225" i="1"/>
  <c r="A225" i="1"/>
  <c r="R224" i="1"/>
  <c r="Q224" i="1"/>
  <c r="A224" i="1"/>
  <c r="R223" i="1"/>
  <c r="Q223" i="1"/>
  <c r="A223" i="1"/>
  <c r="R222" i="1"/>
  <c r="Q222" i="1"/>
  <c r="A222" i="1"/>
  <c r="R221" i="1"/>
  <c r="Q221" i="1"/>
  <c r="A221" i="1"/>
  <c r="R220" i="1"/>
  <c r="Q220" i="1"/>
  <c r="A220" i="1"/>
  <c r="R219" i="1"/>
  <c r="Q219" i="1"/>
  <c r="A219" i="1"/>
  <c r="R218" i="1"/>
  <c r="Q218" i="1"/>
  <c r="A218" i="1"/>
  <c r="R217" i="1"/>
  <c r="Q217" i="1"/>
  <c r="A217" i="1"/>
  <c r="R216" i="1"/>
  <c r="Q216" i="1"/>
  <c r="A216" i="1"/>
  <c r="R215" i="1"/>
  <c r="Q215" i="1"/>
  <c r="A215" i="1"/>
  <c r="R214" i="1"/>
  <c r="Q214" i="1"/>
  <c r="A214" i="1"/>
  <c r="A163" i="1"/>
  <c r="A164" i="1"/>
  <c r="A165" i="1"/>
  <c r="A90" i="1"/>
  <c r="A91" i="1"/>
  <c r="A92" i="1"/>
  <c r="A93" i="1"/>
  <c r="A94" i="1"/>
  <c r="A95" i="1"/>
  <c r="A96" i="1"/>
  <c r="A97" i="1"/>
  <c r="A98" i="1"/>
  <c r="A99" i="1"/>
  <c r="A100" i="1"/>
  <c r="A101" i="1"/>
  <c r="A102" i="1"/>
  <c r="A103" i="1"/>
  <c r="A104" i="1"/>
  <c r="A105" i="1"/>
  <c r="A106" i="1"/>
  <c r="A107" i="1"/>
  <c r="A108" i="1"/>
  <c r="A109" i="1"/>
  <c r="A110" i="1"/>
  <c r="A111" i="1"/>
  <c r="E7" i="2" l="1"/>
  <c r="B7" i="2"/>
  <c r="E6" i="2"/>
  <c r="B6" i="2"/>
  <c r="E5" i="2"/>
  <c r="B5" i="2"/>
  <c r="H4" i="2"/>
  <c r="E4" i="2"/>
  <c r="B4" i="2"/>
  <c r="R506" i="1"/>
  <c r="Q506" i="1"/>
  <c r="A506" i="1"/>
  <c r="R505" i="1"/>
  <c r="Q505" i="1"/>
  <c r="A505" i="1"/>
  <c r="R504" i="1"/>
  <c r="Q504" i="1"/>
  <c r="A504" i="1"/>
  <c r="R503" i="1"/>
  <c r="Q503" i="1"/>
  <c r="A503" i="1"/>
  <c r="R502" i="1"/>
  <c r="Q502" i="1"/>
  <c r="A502" i="1"/>
  <c r="R501" i="1"/>
  <c r="Q501" i="1"/>
  <c r="A501" i="1"/>
  <c r="R500" i="1"/>
  <c r="Q500" i="1"/>
  <c r="A500" i="1"/>
  <c r="R499" i="1"/>
  <c r="Q499" i="1"/>
  <c r="A499" i="1"/>
  <c r="R498" i="1"/>
  <c r="Q498" i="1"/>
  <c r="A498" i="1"/>
  <c r="R497" i="1"/>
  <c r="Q497" i="1"/>
  <c r="A497" i="1"/>
  <c r="R496" i="1"/>
  <c r="Q496" i="1"/>
  <c r="A496" i="1"/>
  <c r="R495" i="1"/>
  <c r="Q495" i="1"/>
  <c r="A495" i="1"/>
  <c r="R494" i="1"/>
  <c r="Q494" i="1"/>
  <c r="A494" i="1"/>
  <c r="R493" i="1"/>
  <c r="Q493" i="1"/>
  <c r="A493" i="1"/>
  <c r="R492" i="1"/>
  <c r="Q492" i="1"/>
  <c r="A492" i="1"/>
  <c r="R491" i="1"/>
  <c r="Q491" i="1"/>
  <c r="A491" i="1"/>
  <c r="R490" i="1"/>
  <c r="Q490" i="1"/>
  <c r="A490" i="1"/>
  <c r="R489" i="1"/>
  <c r="Q489" i="1"/>
  <c r="A489" i="1"/>
  <c r="R488" i="1"/>
  <c r="Q488" i="1"/>
  <c r="A488" i="1"/>
  <c r="R487" i="1"/>
  <c r="Q487" i="1"/>
  <c r="A487" i="1"/>
  <c r="R486" i="1"/>
  <c r="Q486" i="1"/>
  <c r="A486" i="1"/>
  <c r="R485" i="1"/>
  <c r="Q485" i="1"/>
  <c r="A485" i="1"/>
  <c r="R484" i="1"/>
  <c r="Q484" i="1"/>
  <c r="A484" i="1"/>
  <c r="R483" i="1"/>
  <c r="Q483" i="1"/>
  <c r="A483" i="1"/>
  <c r="R482" i="1"/>
  <c r="Q482" i="1"/>
  <c r="A482" i="1"/>
  <c r="R481" i="1"/>
  <c r="Q481" i="1"/>
  <c r="A481" i="1"/>
  <c r="R480" i="1"/>
  <c r="Q480" i="1"/>
  <c r="A480" i="1"/>
  <c r="R479" i="1"/>
  <c r="Q479" i="1"/>
  <c r="A479" i="1"/>
  <c r="R478" i="1"/>
  <c r="Q478" i="1"/>
  <c r="A478" i="1"/>
  <c r="R477" i="1"/>
  <c r="Q477" i="1"/>
  <c r="A477" i="1"/>
  <c r="R476" i="1"/>
  <c r="Q476" i="1"/>
  <c r="A476" i="1"/>
  <c r="R475" i="1"/>
  <c r="Q475" i="1"/>
  <c r="A475" i="1"/>
  <c r="R474" i="1"/>
  <c r="Q474" i="1"/>
  <c r="A474" i="1"/>
  <c r="R473" i="1"/>
  <c r="Q473" i="1"/>
  <c r="A473" i="1"/>
  <c r="R472" i="1"/>
  <c r="Q472" i="1"/>
  <c r="A472" i="1"/>
  <c r="R471" i="1"/>
  <c r="Q471" i="1"/>
  <c r="A471" i="1"/>
  <c r="R470" i="1"/>
  <c r="Q470" i="1"/>
  <c r="A470" i="1"/>
  <c r="R469" i="1"/>
  <c r="Q469" i="1"/>
  <c r="A469" i="1"/>
  <c r="R468" i="1"/>
  <c r="Q468" i="1"/>
  <c r="A468" i="1"/>
  <c r="R467" i="1"/>
  <c r="Q467" i="1"/>
  <c r="A467" i="1"/>
  <c r="R466" i="1"/>
  <c r="Q466" i="1"/>
  <c r="A466" i="1"/>
  <c r="R465" i="1"/>
  <c r="Q465" i="1"/>
  <c r="A465" i="1"/>
  <c r="R464" i="1"/>
  <c r="Q464" i="1"/>
  <c r="A464" i="1"/>
  <c r="R463" i="1"/>
  <c r="Q463" i="1"/>
  <c r="A463" i="1"/>
  <c r="R462" i="1"/>
  <c r="Q462" i="1"/>
  <c r="A462" i="1"/>
  <c r="R461" i="1"/>
  <c r="Q461" i="1"/>
  <c r="A461" i="1"/>
  <c r="R460" i="1"/>
  <c r="Q460" i="1"/>
  <c r="A460" i="1"/>
  <c r="R459" i="1"/>
  <c r="Q459" i="1"/>
  <c r="A459" i="1"/>
  <c r="R458" i="1"/>
  <c r="Q458" i="1"/>
  <c r="A458" i="1"/>
  <c r="R457" i="1"/>
  <c r="Q457" i="1"/>
  <c r="A457" i="1"/>
  <c r="R456" i="1"/>
  <c r="Q456" i="1"/>
  <c r="A456" i="1"/>
  <c r="R455" i="1"/>
  <c r="Q455" i="1"/>
  <c r="A455" i="1"/>
  <c r="R454" i="1"/>
  <c r="Q454" i="1"/>
  <c r="A454" i="1"/>
  <c r="R453" i="1"/>
  <c r="Q453" i="1"/>
  <c r="A453" i="1"/>
  <c r="R452" i="1"/>
  <c r="Q452" i="1"/>
  <c r="A452" i="1"/>
  <c r="R451" i="1"/>
  <c r="Q451" i="1"/>
  <c r="A451" i="1"/>
  <c r="R450" i="1"/>
  <c r="Q450" i="1"/>
  <c r="A450" i="1"/>
  <c r="R449" i="1"/>
  <c r="Q449" i="1"/>
  <c r="A449" i="1"/>
  <c r="R448" i="1"/>
  <c r="Q448" i="1"/>
  <c r="A448" i="1"/>
  <c r="R447" i="1"/>
  <c r="Q447" i="1"/>
  <c r="A447" i="1"/>
  <c r="R446" i="1"/>
  <c r="Q446" i="1"/>
  <c r="A446" i="1"/>
  <c r="R445" i="1"/>
  <c r="Q445" i="1"/>
  <c r="A445" i="1"/>
  <c r="R444" i="1"/>
  <c r="Q444" i="1"/>
  <c r="A444" i="1"/>
  <c r="R443" i="1"/>
  <c r="Q443" i="1"/>
  <c r="A443" i="1"/>
  <c r="R442" i="1"/>
  <c r="Q442" i="1"/>
  <c r="A442" i="1"/>
  <c r="R441" i="1"/>
  <c r="Q441" i="1"/>
  <c r="A441" i="1"/>
  <c r="R440" i="1"/>
  <c r="Q440" i="1"/>
  <c r="A440" i="1"/>
  <c r="R439" i="1"/>
  <c r="Q439" i="1"/>
  <c r="A439" i="1"/>
  <c r="R438" i="1"/>
  <c r="Q438" i="1"/>
  <c r="A438" i="1"/>
  <c r="R437" i="1"/>
  <c r="Q437" i="1"/>
  <c r="A437" i="1"/>
  <c r="R436" i="1"/>
  <c r="Q436" i="1"/>
  <c r="A436" i="1"/>
  <c r="R435" i="1"/>
  <c r="Q435" i="1"/>
  <c r="A435" i="1"/>
  <c r="R434" i="1"/>
  <c r="Q434" i="1"/>
  <c r="A434" i="1"/>
  <c r="R433" i="1"/>
  <c r="Q433" i="1"/>
  <c r="A433" i="1"/>
  <c r="R432" i="1"/>
  <c r="Q432" i="1"/>
  <c r="A432" i="1"/>
  <c r="R431" i="1"/>
  <c r="Q431" i="1"/>
  <c r="A431" i="1"/>
  <c r="R430" i="1"/>
  <c r="Q430" i="1"/>
  <c r="A430" i="1"/>
  <c r="R429" i="1"/>
  <c r="Q429" i="1"/>
  <c r="A429" i="1"/>
  <c r="R428" i="1"/>
  <c r="Q428" i="1"/>
  <c r="A428" i="1"/>
  <c r="R427" i="1"/>
  <c r="Q427" i="1"/>
  <c r="A427" i="1"/>
  <c r="R426" i="1"/>
  <c r="Q426" i="1"/>
  <c r="A426" i="1"/>
  <c r="R425" i="1"/>
  <c r="Q425" i="1"/>
  <c r="A425" i="1"/>
  <c r="R424" i="1"/>
  <c r="Q424" i="1"/>
  <c r="A424" i="1"/>
  <c r="R423" i="1"/>
  <c r="Q423" i="1"/>
  <c r="A423" i="1"/>
  <c r="R422" i="1"/>
  <c r="Q422" i="1"/>
  <c r="A422" i="1"/>
  <c r="R421" i="1"/>
  <c r="Q421" i="1"/>
  <c r="A421" i="1"/>
  <c r="R420" i="1"/>
  <c r="Q420" i="1"/>
  <c r="A420" i="1"/>
  <c r="R419" i="1"/>
  <c r="Q419" i="1"/>
  <c r="A419" i="1"/>
  <c r="R418" i="1"/>
  <c r="Q418" i="1"/>
  <c r="A418" i="1"/>
  <c r="R417" i="1"/>
  <c r="Q417" i="1"/>
  <c r="A417" i="1"/>
  <c r="R416" i="1"/>
  <c r="Q416" i="1"/>
  <c r="A416" i="1"/>
  <c r="R415" i="1"/>
  <c r="Q415" i="1"/>
  <c r="A415" i="1"/>
  <c r="R414" i="1"/>
  <c r="Q414" i="1"/>
  <c r="A414" i="1"/>
  <c r="R413" i="1"/>
  <c r="Q413" i="1"/>
  <c r="A413" i="1"/>
  <c r="R412" i="1"/>
  <c r="Q412" i="1"/>
  <c r="A412" i="1"/>
  <c r="R411" i="1"/>
  <c r="Q411" i="1"/>
  <c r="A411" i="1"/>
  <c r="R410" i="1"/>
  <c r="Q410" i="1"/>
  <c r="A410" i="1"/>
  <c r="R409" i="1"/>
  <c r="Q409" i="1"/>
  <c r="A409" i="1"/>
  <c r="R408" i="1"/>
  <c r="Q408" i="1"/>
  <c r="A408" i="1"/>
  <c r="R407" i="1"/>
  <c r="Q407" i="1"/>
  <c r="A407" i="1"/>
  <c r="R406" i="1"/>
  <c r="Q406" i="1"/>
  <c r="A406" i="1"/>
  <c r="R405" i="1"/>
  <c r="Q405" i="1"/>
  <c r="A405" i="1"/>
  <c r="R404" i="1"/>
  <c r="Q404" i="1"/>
  <c r="A404" i="1"/>
  <c r="R403" i="1"/>
  <c r="Q403" i="1"/>
  <c r="A403" i="1"/>
  <c r="R402" i="1"/>
  <c r="Q402" i="1"/>
  <c r="A402" i="1"/>
  <c r="R401" i="1"/>
  <c r="Q401" i="1"/>
  <c r="A401" i="1"/>
  <c r="R400" i="1"/>
  <c r="Q400" i="1"/>
  <c r="A400" i="1"/>
  <c r="R399" i="1"/>
  <c r="Q399" i="1"/>
  <c r="A399" i="1"/>
  <c r="R398" i="1"/>
  <c r="Q398" i="1"/>
  <c r="A398" i="1"/>
  <c r="R397" i="1"/>
  <c r="Q397" i="1"/>
  <c r="A397" i="1"/>
  <c r="R396" i="1"/>
  <c r="Q396" i="1"/>
  <c r="A396" i="1"/>
  <c r="R395" i="1"/>
  <c r="Q395" i="1"/>
  <c r="A395" i="1"/>
  <c r="R394" i="1"/>
  <c r="Q394" i="1"/>
  <c r="A394" i="1"/>
  <c r="R393" i="1"/>
  <c r="Q393" i="1"/>
  <c r="A393" i="1"/>
  <c r="R392" i="1"/>
  <c r="Q392" i="1"/>
  <c r="A392" i="1"/>
  <c r="R391" i="1"/>
  <c r="Q391" i="1"/>
  <c r="A391" i="1"/>
  <c r="R390" i="1"/>
  <c r="Q390" i="1"/>
  <c r="A390" i="1"/>
  <c r="R389" i="1"/>
  <c r="Q389" i="1"/>
  <c r="A389" i="1"/>
  <c r="R388" i="1"/>
  <c r="Q388" i="1"/>
  <c r="A388" i="1"/>
  <c r="R387" i="1"/>
  <c r="Q387" i="1"/>
  <c r="A387" i="1"/>
  <c r="R386" i="1"/>
  <c r="Q386" i="1"/>
  <c r="A386" i="1"/>
  <c r="R385" i="1"/>
  <c r="Q385" i="1"/>
  <c r="A385" i="1"/>
  <c r="R384" i="1"/>
  <c r="Q384" i="1"/>
  <c r="A384" i="1"/>
  <c r="R383" i="1"/>
  <c r="Q383" i="1"/>
  <c r="A383" i="1"/>
  <c r="R382" i="1"/>
  <c r="Q382" i="1"/>
  <c r="A382" i="1"/>
  <c r="R381" i="1"/>
  <c r="Q381" i="1"/>
  <c r="A381" i="1"/>
  <c r="R380" i="1"/>
  <c r="Q380" i="1"/>
  <c r="A380" i="1"/>
  <c r="R379" i="1"/>
  <c r="Q379" i="1"/>
  <c r="A379" i="1"/>
  <c r="R378" i="1"/>
  <c r="Q378" i="1"/>
  <c r="A378" i="1"/>
  <c r="R377" i="1"/>
  <c r="Q377" i="1"/>
  <c r="A377" i="1"/>
  <c r="R376" i="1"/>
  <c r="Q376" i="1"/>
  <c r="A376" i="1"/>
  <c r="R375" i="1"/>
  <c r="Q375" i="1"/>
  <c r="A375" i="1"/>
  <c r="R374" i="1"/>
  <c r="Q374" i="1"/>
  <c r="A374" i="1"/>
  <c r="R373" i="1"/>
  <c r="Q373" i="1"/>
  <c r="A373" i="1"/>
  <c r="R372" i="1"/>
  <c r="Q372" i="1"/>
  <c r="A372" i="1"/>
  <c r="R371" i="1"/>
  <c r="Q371" i="1"/>
  <c r="A371" i="1"/>
  <c r="R370" i="1"/>
  <c r="Q370" i="1"/>
  <c r="A370" i="1"/>
  <c r="R369" i="1"/>
  <c r="Q369" i="1"/>
  <c r="A369" i="1"/>
  <c r="R368" i="1"/>
  <c r="Q368" i="1"/>
  <c r="A368" i="1"/>
  <c r="R367" i="1"/>
  <c r="Q367" i="1"/>
  <c r="A367" i="1"/>
  <c r="R366" i="1"/>
  <c r="Q366" i="1"/>
  <c r="A366" i="1"/>
  <c r="R365" i="1"/>
  <c r="Q365" i="1"/>
  <c r="A365" i="1"/>
  <c r="R364" i="1"/>
  <c r="Q364" i="1"/>
  <c r="A364" i="1"/>
  <c r="R363" i="1"/>
  <c r="Q363" i="1"/>
  <c r="A363" i="1"/>
  <c r="R362" i="1"/>
  <c r="Q362" i="1"/>
  <c r="A362" i="1"/>
  <c r="R361" i="1"/>
  <c r="Q361" i="1"/>
  <c r="A361" i="1"/>
  <c r="R360" i="1"/>
  <c r="Q360" i="1"/>
  <c r="A360" i="1"/>
  <c r="R359" i="1"/>
  <c r="Q359" i="1"/>
  <c r="A359" i="1"/>
  <c r="R358" i="1"/>
  <c r="Q358" i="1"/>
  <c r="A358" i="1"/>
  <c r="R357" i="1"/>
  <c r="Q357" i="1"/>
  <c r="A357" i="1"/>
  <c r="R356" i="1"/>
  <c r="Q356" i="1"/>
  <c r="A356" i="1"/>
  <c r="R355" i="1"/>
  <c r="Q355" i="1"/>
  <c r="A355" i="1"/>
  <c r="R354" i="1"/>
  <c r="Q354" i="1"/>
  <c r="A354" i="1"/>
  <c r="R353" i="1"/>
  <c r="Q353" i="1"/>
  <c r="A353" i="1"/>
  <c r="R352" i="1"/>
  <c r="Q352" i="1"/>
  <c r="A352" i="1"/>
  <c r="R351" i="1"/>
  <c r="Q351" i="1"/>
  <c r="A351" i="1"/>
  <c r="R350" i="1"/>
  <c r="Q350" i="1"/>
  <c r="A350" i="1"/>
  <c r="R349" i="1"/>
  <c r="Q349" i="1"/>
  <c r="A349" i="1"/>
  <c r="R348" i="1"/>
  <c r="Q348" i="1"/>
  <c r="A348" i="1"/>
  <c r="R347" i="1"/>
  <c r="Q347" i="1"/>
  <c r="A347" i="1"/>
  <c r="R346" i="1"/>
  <c r="Q346" i="1"/>
  <c r="A346" i="1"/>
  <c r="R345" i="1"/>
  <c r="Q345" i="1"/>
  <c r="A345" i="1"/>
  <c r="R344" i="1"/>
  <c r="Q344" i="1"/>
  <c r="A344" i="1"/>
  <c r="R343" i="1"/>
  <c r="Q343" i="1"/>
  <c r="A343" i="1"/>
  <c r="R342" i="1"/>
  <c r="Q342" i="1"/>
  <c r="A342" i="1"/>
  <c r="R341" i="1"/>
  <c r="Q341" i="1"/>
  <c r="A341" i="1"/>
  <c r="R340" i="1"/>
  <c r="Q340" i="1"/>
  <c r="A340" i="1"/>
  <c r="R339" i="1"/>
  <c r="Q339" i="1"/>
  <c r="A339" i="1"/>
  <c r="R338" i="1"/>
  <c r="Q338" i="1"/>
  <c r="A338" i="1"/>
  <c r="R337" i="1"/>
  <c r="Q337" i="1"/>
  <c r="A337" i="1"/>
  <c r="R336" i="1"/>
  <c r="Q336" i="1"/>
  <c r="A336" i="1"/>
  <c r="R335" i="1"/>
  <c r="Q335" i="1"/>
  <c r="A335" i="1"/>
  <c r="R334" i="1"/>
  <c r="Q334" i="1"/>
  <c r="A334" i="1"/>
  <c r="R333" i="1"/>
  <c r="Q333" i="1"/>
  <c r="A333" i="1"/>
  <c r="R332" i="1"/>
  <c r="Q332" i="1"/>
  <c r="A332" i="1"/>
  <c r="R331" i="1"/>
  <c r="Q331" i="1"/>
  <c r="A331" i="1"/>
  <c r="R330" i="1"/>
  <c r="Q330" i="1"/>
  <c r="A330" i="1"/>
  <c r="R329" i="1"/>
  <c r="Q329" i="1"/>
  <c r="A329" i="1"/>
  <c r="R328" i="1"/>
  <c r="Q328" i="1"/>
  <c r="A328" i="1"/>
  <c r="R327" i="1"/>
  <c r="Q327" i="1"/>
  <c r="A327" i="1"/>
  <c r="R326" i="1"/>
  <c r="Q326" i="1"/>
  <c r="A326" i="1"/>
  <c r="R325" i="1"/>
  <c r="Q325" i="1"/>
  <c r="A325" i="1"/>
  <c r="R324" i="1"/>
  <c r="Q324" i="1"/>
  <c r="A324" i="1"/>
  <c r="R323" i="1"/>
  <c r="Q323" i="1"/>
  <c r="A323" i="1"/>
  <c r="R322" i="1"/>
  <c r="Q322" i="1"/>
  <c r="A322" i="1"/>
  <c r="R321" i="1"/>
  <c r="Q321" i="1"/>
  <c r="A321" i="1"/>
  <c r="R320" i="1"/>
  <c r="Q320" i="1"/>
  <c r="A320" i="1"/>
  <c r="R319" i="1"/>
  <c r="Q319" i="1"/>
  <c r="A319" i="1"/>
  <c r="R318" i="1"/>
  <c r="Q318" i="1"/>
  <c r="A318" i="1"/>
  <c r="R317" i="1"/>
  <c r="Q317" i="1"/>
  <c r="A317" i="1"/>
  <c r="R316" i="1"/>
  <c r="Q316" i="1"/>
  <c r="A316" i="1"/>
  <c r="R315" i="1"/>
  <c r="Q315" i="1"/>
  <c r="A315" i="1"/>
  <c r="R314" i="1"/>
  <c r="Q314" i="1"/>
  <c r="A314" i="1"/>
  <c r="R313" i="1"/>
  <c r="Q313" i="1"/>
  <c r="A313" i="1"/>
  <c r="R312" i="1"/>
  <c r="Q312" i="1"/>
  <c r="A312" i="1"/>
  <c r="R311" i="1"/>
  <c r="Q311" i="1"/>
  <c r="A311" i="1"/>
  <c r="R310" i="1"/>
  <c r="Q310" i="1"/>
  <c r="A310" i="1"/>
  <c r="R309" i="1"/>
  <c r="Q309" i="1"/>
  <c r="A309" i="1"/>
  <c r="R308" i="1"/>
  <c r="Q308" i="1"/>
  <c r="A308" i="1"/>
  <c r="R307" i="1"/>
  <c r="Q307" i="1"/>
  <c r="A307" i="1"/>
  <c r="R306" i="1"/>
  <c r="Q306" i="1"/>
  <c r="A306" i="1"/>
  <c r="R305" i="1"/>
  <c r="Q305" i="1"/>
  <c r="A305" i="1"/>
  <c r="R304" i="1"/>
  <c r="Q304" i="1"/>
  <c r="A304" i="1"/>
  <c r="R303" i="1"/>
  <c r="Q303" i="1"/>
  <c r="A303" i="1"/>
  <c r="R302" i="1"/>
  <c r="Q302" i="1"/>
  <c r="A302" i="1"/>
  <c r="R301" i="1"/>
  <c r="Q301" i="1"/>
  <c r="A301" i="1"/>
  <c r="R300" i="1"/>
  <c r="Q300" i="1"/>
  <c r="A300" i="1"/>
  <c r="R299" i="1"/>
  <c r="Q299" i="1"/>
  <c r="A299" i="1"/>
  <c r="R298" i="1"/>
  <c r="Q298" i="1"/>
  <c r="A298" i="1"/>
  <c r="R297" i="1"/>
  <c r="Q297" i="1"/>
  <c r="A297" i="1"/>
  <c r="R296" i="1"/>
  <c r="Q296" i="1"/>
  <c r="A296" i="1"/>
  <c r="R295" i="1"/>
  <c r="Q295" i="1"/>
  <c r="A295" i="1"/>
  <c r="R294" i="1"/>
  <c r="Q294" i="1"/>
  <c r="A294" i="1"/>
  <c r="R293" i="1"/>
  <c r="Q293" i="1"/>
  <c r="A293" i="1"/>
  <c r="R292" i="1"/>
  <c r="Q292" i="1"/>
  <c r="A292" i="1"/>
  <c r="R291" i="1"/>
  <c r="Q291" i="1"/>
  <c r="A291" i="1"/>
  <c r="R290" i="1"/>
  <c r="Q290" i="1"/>
  <c r="A290" i="1"/>
  <c r="R289" i="1"/>
  <c r="Q289" i="1"/>
  <c r="A289" i="1"/>
  <c r="R288" i="1"/>
  <c r="Q288" i="1"/>
  <c r="A288" i="1"/>
  <c r="R287" i="1"/>
  <c r="Q287" i="1"/>
  <c r="A287" i="1"/>
  <c r="R286" i="1"/>
  <c r="Q286" i="1"/>
  <c r="A286" i="1"/>
  <c r="R285" i="1"/>
  <c r="Q285" i="1"/>
  <c r="A285" i="1"/>
  <c r="R284" i="1"/>
  <c r="Q284" i="1"/>
  <c r="A284" i="1"/>
  <c r="R283" i="1"/>
  <c r="Q283" i="1"/>
  <c r="A283" i="1"/>
  <c r="R282" i="1"/>
  <c r="Q282" i="1"/>
  <c r="A282" i="1"/>
  <c r="R281" i="1"/>
  <c r="Q281" i="1"/>
  <c r="A281" i="1"/>
  <c r="R280" i="1"/>
  <c r="Q280" i="1"/>
  <c r="A280" i="1"/>
  <c r="R279" i="1"/>
  <c r="Q279" i="1"/>
  <c r="A279" i="1"/>
  <c r="R278" i="1"/>
  <c r="Q278" i="1"/>
  <c r="A278" i="1"/>
  <c r="R277" i="1"/>
  <c r="Q277" i="1"/>
  <c r="A277" i="1"/>
  <c r="R276" i="1"/>
  <c r="Q276" i="1"/>
  <c r="A276" i="1"/>
  <c r="R275" i="1"/>
  <c r="Q275" i="1"/>
  <c r="A275" i="1"/>
  <c r="R274" i="1"/>
  <c r="Q274" i="1"/>
  <c r="A274" i="1"/>
  <c r="R273" i="1"/>
  <c r="Q273" i="1"/>
  <c r="A273" i="1"/>
  <c r="R272" i="1"/>
  <c r="Q272" i="1"/>
  <c r="A272" i="1"/>
  <c r="R271" i="1"/>
  <c r="Q271" i="1"/>
  <c r="A271" i="1"/>
  <c r="R270" i="1"/>
  <c r="Q270" i="1"/>
  <c r="A270" i="1"/>
  <c r="R269" i="1"/>
  <c r="Q269" i="1"/>
  <c r="A269" i="1"/>
  <c r="R268" i="1"/>
  <c r="Q268" i="1"/>
  <c r="A268" i="1"/>
  <c r="R267" i="1"/>
  <c r="Q267" i="1"/>
  <c r="A267" i="1"/>
  <c r="R266" i="1"/>
  <c r="Q266" i="1"/>
  <c r="A266" i="1"/>
  <c r="R265" i="1"/>
  <c r="Q265" i="1"/>
  <c r="A265" i="1"/>
  <c r="R264" i="1"/>
  <c r="Q264" i="1"/>
  <c r="A264" i="1"/>
  <c r="R263" i="1"/>
  <c r="Q263" i="1"/>
  <c r="A263" i="1"/>
  <c r="R262" i="1"/>
  <c r="Q262" i="1"/>
  <c r="A262" i="1"/>
  <c r="R261" i="1"/>
  <c r="Q261" i="1"/>
  <c r="A261" i="1"/>
  <c r="R260" i="1"/>
  <c r="Q260" i="1"/>
  <c r="A260" i="1"/>
  <c r="R259" i="1"/>
  <c r="Q259" i="1"/>
  <c r="A259" i="1"/>
  <c r="R258" i="1"/>
  <c r="Q258" i="1"/>
  <c r="A258" i="1"/>
  <c r="R257" i="1"/>
  <c r="Q257" i="1"/>
  <c r="A257" i="1"/>
  <c r="R256" i="1"/>
  <c r="Q256" i="1"/>
  <c r="A256" i="1"/>
  <c r="R255" i="1"/>
  <c r="Q255" i="1"/>
  <c r="A255" i="1"/>
  <c r="R254" i="1"/>
  <c r="Q254" i="1"/>
  <c r="A254" i="1"/>
  <c r="R253" i="1"/>
  <c r="Q253" i="1"/>
  <c r="A253" i="1"/>
  <c r="R252" i="1"/>
  <c r="Q252" i="1"/>
  <c r="A252" i="1"/>
  <c r="R251" i="1"/>
  <c r="Q251" i="1"/>
  <c r="A251" i="1"/>
  <c r="R250" i="1"/>
  <c r="Q250" i="1"/>
  <c r="A250" i="1"/>
  <c r="R249" i="1"/>
  <c r="Q249" i="1"/>
  <c r="A249" i="1"/>
  <c r="R248" i="1"/>
  <c r="Q248" i="1"/>
  <c r="A248" i="1"/>
  <c r="R247" i="1"/>
  <c r="Q247" i="1"/>
  <c r="A247" i="1"/>
  <c r="R246" i="1"/>
  <c r="Q246" i="1"/>
  <c r="A246" i="1"/>
  <c r="R245" i="1"/>
  <c r="Q245" i="1"/>
  <c r="A245" i="1"/>
  <c r="R244" i="1"/>
  <c r="Q244" i="1"/>
  <c r="A244" i="1"/>
  <c r="R243" i="1"/>
  <c r="Q243" i="1"/>
  <c r="A243" i="1"/>
  <c r="R242" i="1"/>
  <c r="Q242" i="1"/>
  <c r="A242" i="1"/>
  <c r="R241" i="1"/>
  <c r="Q241" i="1"/>
  <c r="A241" i="1"/>
  <c r="R240" i="1"/>
  <c r="Q240" i="1"/>
  <c r="A240" i="1"/>
  <c r="R239" i="1"/>
  <c r="Q239" i="1"/>
  <c r="A239" i="1"/>
  <c r="R238" i="1"/>
  <c r="Q238" i="1"/>
  <c r="A238" i="1"/>
  <c r="R237" i="1"/>
  <c r="Q237" i="1"/>
  <c r="A237" i="1"/>
  <c r="R236" i="1"/>
  <c r="Q236" i="1"/>
  <c r="A236" i="1"/>
  <c r="R235" i="1"/>
  <c r="Q235" i="1"/>
  <c r="A235" i="1"/>
  <c r="R234" i="1"/>
  <c r="Q234" i="1"/>
  <c r="A234" i="1"/>
  <c r="R233" i="1"/>
  <c r="Q233" i="1"/>
  <c r="A233" i="1"/>
  <c r="R232" i="1"/>
  <c r="Q232" i="1"/>
  <c r="A232" i="1"/>
  <c r="R231" i="1"/>
  <c r="Q231" i="1"/>
  <c r="A231" i="1"/>
  <c r="R230" i="1"/>
  <c r="Q230" i="1"/>
  <c r="A230" i="1"/>
  <c r="R213" i="1"/>
  <c r="Q213" i="1"/>
  <c r="A213" i="1"/>
  <c r="R212" i="1"/>
  <c r="Q212" i="1"/>
  <c r="A212" i="1"/>
  <c r="R211" i="1"/>
  <c r="Q211" i="1"/>
  <c r="A211" i="1"/>
  <c r="R210" i="1"/>
  <c r="Q210" i="1"/>
  <c r="A210" i="1"/>
  <c r="R209" i="1"/>
  <c r="Q209" i="1"/>
  <c r="A209" i="1"/>
  <c r="R208" i="1"/>
  <c r="Q208" i="1"/>
  <c r="A208" i="1"/>
  <c r="R207" i="1"/>
  <c r="Q207" i="1"/>
  <c r="A207" i="1"/>
  <c r="R206" i="1"/>
  <c r="Q206" i="1"/>
  <c r="A206" i="1"/>
  <c r="R205" i="1"/>
  <c r="Q205" i="1"/>
  <c r="A205" i="1"/>
  <c r="R204" i="1"/>
  <c r="Q204" i="1"/>
  <c r="A204" i="1"/>
  <c r="R203" i="1"/>
  <c r="Q203" i="1"/>
  <c r="A203" i="1"/>
  <c r="R202" i="1"/>
  <c r="Q202" i="1"/>
  <c r="A202" i="1"/>
  <c r="R201" i="1"/>
  <c r="Q201" i="1"/>
  <c r="A201" i="1"/>
  <c r="R200" i="1"/>
  <c r="Q200" i="1"/>
  <c r="A200" i="1"/>
  <c r="R199" i="1"/>
  <c r="Q199" i="1"/>
  <c r="A199" i="1"/>
  <c r="R198" i="1"/>
  <c r="Q198" i="1"/>
  <c r="A198" i="1"/>
  <c r="R197" i="1"/>
  <c r="Q197" i="1"/>
  <c r="A197" i="1"/>
  <c r="R196" i="1"/>
  <c r="Q196" i="1"/>
  <c r="A196" i="1"/>
  <c r="R195" i="1"/>
  <c r="Q195" i="1"/>
  <c r="A195" i="1"/>
  <c r="R194" i="1"/>
  <c r="Q194" i="1"/>
  <c r="A194" i="1"/>
  <c r="R193" i="1"/>
  <c r="Q193" i="1"/>
  <c r="A193" i="1"/>
  <c r="R192" i="1"/>
  <c r="Q192" i="1"/>
  <c r="A192" i="1"/>
  <c r="R191" i="1"/>
  <c r="Q191" i="1"/>
  <c r="A191" i="1"/>
  <c r="R190" i="1"/>
  <c r="Q190" i="1"/>
  <c r="A190" i="1"/>
  <c r="R189" i="1"/>
  <c r="Q189" i="1"/>
  <c r="A189" i="1"/>
  <c r="R188" i="1"/>
  <c r="Q188" i="1"/>
  <c r="A188" i="1"/>
  <c r="R187" i="1"/>
  <c r="Q187" i="1"/>
  <c r="A187" i="1"/>
  <c r="R186" i="1"/>
  <c r="Q186" i="1"/>
  <c r="A186" i="1"/>
  <c r="R185" i="1"/>
  <c r="Q185" i="1"/>
  <c r="A185" i="1"/>
  <c r="R184" i="1"/>
  <c r="Q184" i="1"/>
  <c r="A184" i="1"/>
  <c r="R183" i="1"/>
  <c r="Q183" i="1"/>
  <c r="A183" i="1"/>
  <c r="R182" i="1"/>
  <c r="Q182" i="1"/>
  <c r="A182" i="1"/>
  <c r="R181" i="1"/>
  <c r="Q181" i="1"/>
  <c r="A181" i="1"/>
  <c r="R180" i="1"/>
  <c r="Q180" i="1"/>
  <c r="A180" i="1"/>
  <c r="R179" i="1"/>
  <c r="Q179" i="1"/>
  <c r="A179" i="1"/>
  <c r="R178" i="1"/>
  <c r="Q178" i="1"/>
  <c r="A178" i="1"/>
  <c r="R177" i="1"/>
  <c r="Q177" i="1"/>
  <c r="A177" i="1"/>
  <c r="R176" i="1"/>
  <c r="Q176" i="1"/>
  <c r="A176" i="1"/>
  <c r="R175" i="1"/>
  <c r="Q175" i="1"/>
  <c r="A175" i="1"/>
  <c r="R174" i="1"/>
  <c r="Q174" i="1"/>
  <c r="A174" i="1"/>
  <c r="R173" i="1"/>
  <c r="Q173" i="1"/>
  <c r="A173" i="1"/>
  <c r="R172" i="1"/>
  <c r="Q172" i="1"/>
  <c r="A172" i="1"/>
  <c r="R171" i="1"/>
  <c r="Q171" i="1"/>
  <c r="A171" i="1"/>
  <c r="R170" i="1"/>
  <c r="Q170" i="1"/>
  <c r="A170" i="1"/>
  <c r="R169" i="1"/>
  <c r="Q169" i="1"/>
  <c r="A169" i="1"/>
  <c r="R168" i="1"/>
  <c r="Q168" i="1"/>
  <c r="A168" i="1"/>
  <c r="R167" i="1"/>
  <c r="Q167" i="1"/>
  <c r="A167" i="1"/>
  <c r="R166" i="1"/>
  <c r="Q166" i="1"/>
  <c r="A166" i="1"/>
  <c r="R165" i="1"/>
  <c r="Q165" i="1"/>
  <c r="R164" i="1"/>
  <c r="Q164" i="1"/>
  <c r="R163" i="1"/>
  <c r="Q163" i="1"/>
  <c r="R162" i="1"/>
  <c r="Q162" i="1"/>
  <c r="A162" i="1"/>
  <c r="R161" i="1"/>
  <c r="Q161" i="1"/>
  <c r="A161" i="1"/>
  <c r="R160" i="1"/>
  <c r="Q160" i="1"/>
  <c r="A160" i="1"/>
  <c r="R159" i="1"/>
  <c r="Q159" i="1"/>
  <c r="A159" i="1"/>
  <c r="R158" i="1"/>
  <c r="Q158" i="1"/>
  <c r="A158" i="1"/>
  <c r="R157" i="1"/>
  <c r="Q157" i="1"/>
  <c r="A157" i="1"/>
  <c r="R156" i="1"/>
  <c r="Q156" i="1"/>
  <c r="A156" i="1"/>
  <c r="R155" i="1"/>
  <c r="Q155" i="1"/>
  <c r="A155" i="1"/>
  <c r="R154" i="1"/>
  <c r="Q154" i="1"/>
  <c r="A154" i="1"/>
  <c r="R153" i="1"/>
  <c r="Q153" i="1"/>
  <c r="A153" i="1"/>
  <c r="R152" i="1"/>
  <c r="Q152" i="1"/>
  <c r="A152" i="1"/>
  <c r="R151" i="1"/>
  <c r="Q151" i="1"/>
  <c r="A151" i="1"/>
  <c r="R150" i="1"/>
  <c r="Q150" i="1"/>
  <c r="A150" i="1"/>
  <c r="R149" i="1"/>
  <c r="Q149" i="1"/>
  <c r="A149" i="1"/>
  <c r="R148" i="1"/>
  <c r="Q148" i="1"/>
  <c r="A148" i="1"/>
  <c r="R147" i="1"/>
  <c r="Q147" i="1"/>
  <c r="A147" i="1"/>
  <c r="R146" i="1"/>
  <c r="Q146" i="1"/>
  <c r="A146" i="1"/>
  <c r="R145" i="1"/>
  <c r="Q145" i="1"/>
  <c r="A145" i="1"/>
  <c r="R144" i="1"/>
  <c r="Q144" i="1"/>
  <c r="A144" i="1"/>
  <c r="R143" i="1"/>
  <c r="Q143" i="1"/>
  <c r="A143" i="1"/>
  <c r="R142" i="1"/>
  <c r="Q142" i="1"/>
  <c r="A142" i="1"/>
  <c r="R141" i="1"/>
  <c r="Q141" i="1"/>
  <c r="A141" i="1"/>
  <c r="R140" i="1"/>
  <c r="Q140" i="1"/>
  <c r="A140" i="1"/>
  <c r="R139" i="1"/>
  <c r="Q139" i="1"/>
  <c r="A139" i="1"/>
  <c r="R138" i="1"/>
  <c r="Q138" i="1"/>
  <c r="A138" i="1"/>
  <c r="R137" i="1"/>
  <c r="Q137" i="1"/>
  <c r="A137" i="1"/>
  <c r="R136" i="1"/>
  <c r="Q136" i="1"/>
  <c r="A136" i="1"/>
  <c r="R135" i="1"/>
  <c r="Q135" i="1"/>
  <c r="A135" i="1"/>
  <c r="R134" i="1"/>
  <c r="Q134" i="1"/>
  <c r="A134" i="1"/>
  <c r="R133" i="1"/>
  <c r="Q133" i="1"/>
  <c r="A133" i="1"/>
  <c r="R132" i="1"/>
  <c r="Q132" i="1"/>
  <c r="A132" i="1"/>
  <c r="R131" i="1"/>
  <c r="Q131" i="1"/>
  <c r="A131" i="1"/>
  <c r="R130" i="1"/>
  <c r="Q130" i="1"/>
  <c r="A130" i="1"/>
  <c r="R129" i="1"/>
  <c r="Q129" i="1"/>
  <c r="A129" i="1"/>
  <c r="R128" i="1"/>
  <c r="Q128" i="1"/>
  <c r="A128" i="1"/>
  <c r="R127" i="1"/>
  <c r="Q127" i="1"/>
  <c r="A127" i="1"/>
  <c r="R126" i="1"/>
  <c r="Q126" i="1"/>
  <c r="A126" i="1"/>
  <c r="R125" i="1"/>
  <c r="Q125" i="1"/>
  <c r="A125" i="1"/>
  <c r="R124" i="1"/>
  <c r="Q124" i="1"/>
  <c r="A124" i="1"/>
  <c r="R123" i="1"/>
  <c r="Q123" i="1"/>
  <c r="A123" i="1"/>
  <c r="R122" i="1"/>
  <c r="Q122" i="1"/>
  <c r="A122" i="1"/>
  <c r="R121" i="1"/>
  <c r="Q121" i="1"/>
  <c r="A121" i="1"/>
  <c r="R120" i="1"/>
  <c r="Q120" i="1"/>
  <c r="A120" i="1"/>
  <c r="R119" i="1"/>
  <c r="Q119" i="1"/>
  <c r="A119" i="1"/>
  <c r="R118" i="1"/>
  <c r="Q118" i="1"/>
  <c r="A118" i="1"/>
  <c r="R117" i="1"/>
  <c r="Q117" i="1"/>
  <c r="A117" i="1"/>
  <c r="R116" i="1"/>
  <c r="Q116" i="1"/>
  <c r="A116" i="1"/>
  <c r="R115" i="1"/>
  <c r="Q115" i="1"/>
  <c r="A115" i="1"/>
  <c r="R114" i="1"/>
  <c r="Q114" i="1"/>
  <c r="A114" i="1"/>
  <c r="R113" i="1"/>
  <c r="Q113" i="1"/>
  <c r="A113" i="1"/>
  <c r="R112" i="1"/>
  <c r="Q112" i="1"/>
  <c r="A112" i="1"/>
  <c r="R111" i="1"/>
  <c r="Q111" i="1"/>
  <c r="R110" i="1"/>
  <c r="Q110" i="1"/>
  <c r="R109" i="1"/>
  <c r="Q109" i="1"/>
  <c r="R108" i="1"/>
  <c r="Q108" i="1"/>
  <c r="R107" i="1"/>
  <c r="Q107" i="1"/>
  <c r="R106" i="1"/>
  <c r="Q106" i="1"/>
  <c r="R105" i="1"/>
  <c r="Q105" i="1"/>
  <c r="R104" i="1"/>
  <c r="Q104" i="1"/>
  <c r="R103" i="1"/>
  <c r="Q103" i="1"/>
  <c r="R102" i="1"/>
  <c r="Q102" i="1"/>
  <c r="R101" i="1"/>
  <c r="Q101" i="1"/>
  <c r="R100" i="1"/>
  <c r="Q100" i="1"/>
  <c r="R99" i="1"/>
  <c r="Q99" i="1"/>
  <c r="R98" i="1"/>
  <c r="Q98" i="1"/>
  <c r="R97" i="1"/>
  <c r="Q97" i="1"/>
  <c r="R96" i="1"/>
  <c r="Q96" i="1"/>
  <c r="R95" i="1"/>
  <c r="Q95" i="1"/>
  <c r="R94" i="1"/>
  <c r="Q94" i="1"/>
  <c r="R93" i="1"/>
  <c r="Q93" i="1"/>
  <c r="R92" i="1"/>
  <c r="Q92" i="1"/>
  <c r="R91" i="1"/>
  <c r="Q91" i="1"/>
  <c r="R90" i="1"/>
  <c r="Q90" i="1"/>
  <c r="R89" i="1"/>
  <c r="Q89" i="1"/>
  <c r="A89" i="1"/>
  <c r="R88" i="1"/>
  <c r="Q88" i="1"/>
  <c r="A88" i="1"/>
  <c r="R87" i="1"/>
  <c r="Q87" i="1"/>
  <c r="A87" i="1"/>
  <c r="R86" i="1"/>
  <c r="Q86" i="1"/>
  <c r="A86" i="1"/>
  <c r="R85" i="1"/>
  <c r="Q85" i="1"/>
  <c r="A85" i="1"/>
  <c r="R84" i="1"/>
  <c r="Q84" i="1"/>
  <c r="A84" i="1"/>
  <c r="R83" i="1"/>
  <c r="Q83" i="1"/>
  <c r="A83" i="1"/>
  <c r="R82" i="1"/>
  <c r="Q82" i="1"/>
  <c r="A82" i="1"/>
  <c r="R81" i="1"/>
  <c r="Q81" i="1"/>
  <c r="A81" i="1"/>
  <c r="R80" i="1"/>
  <c r="Q80" i="1"/>
  <c r="A80" i="1"/>
  <c r="R79" i="1"/>
  <c r="Q79" i="1"/>
  <c r="A79" i="1"/>
  <c r="R78" i="1"/>
  <c r="Q78" i="1"/>
  <c r="A78" i="1"/>
  <c r="R77" i="1"/>
  <c r="Q77" i="1"/>
  <c r="A77" i="1"/>
  <c r="R76" i="1"/>
  <c r="Q76" i="1"/>
  <c r="A76" i="1"/>
  <c r="R75" i="1"/>
  <c r="Q75" i="1"/>
  <c r="A75" i="1"/>
  <c r="R74" i="1"/>
  <c r="Q74" i="1"/>
  <c r="A74" i="1"/>
  <c r="R73" i="1"/>
  <c r="Q73" i="1"/>
  <c r="A73" i="1"/>
  <c r="R72" i="1"/>
  <c r="Q72" i="1"/>
  <c r="A72" i="1"/>
  <c r="R71" i="1"/>
  <c r="Q71" i="1"/>
  <c r="A71" i="1"/>
  <c r="R70" i="1"/>
  <c r="Q70" i="1"/>
  <c r="R69" i="1"/>
  <c r="Q69" i="1"/>
  <c r="R68" i="1"/>
  <c r="Q68" i="1"/>
  <c r="R67" i="1"/>
  <c r="Q67" i="1"/>
  <c r="R66" i="1"/>
  <c r="Q66" i="1"/>
  <c r="R65" i="1"/>
  <c r="Q65" i="1"/>
  <c r="R64" i="1"/>
  <c r="Q64" i="1"/>
  <c r="A64" i="1"/>
  <c r="R63" i="1"/>
  <c r="Q63" i="1"/>
  <c r="A63" i="1"/>
  <c r="R62" i="1"/>
  <c r="Q62" i="1"/>
  <c r="A62" i="1"/>
  <c r="R61" i="1"/>
  <c r="Q61" i="1"/>
  <c r="A61" i="1"/>
  <c r="R60" i="1"/>
  <c r="Q60" i="1"/>
  <c r="A60" i="1"/>
  <c r="R59" i="1"/>
  <c r="Q59" i="1"/>
  <c r="A59" i="1"/>
  <c r="R58" i="1"/>
  <c r="Q58" i="1"/>
  <c r="R57" i="1"/>
  <c r="Q57" i="1"/>
  <c r="R56" i="1"/>
  <c r="Q56" i="1"/>
  <c r="R55" i="1"/>
  <c r="Q55" i="1"/>
  <c r="R54" i="1"/>
  <c r="Q54" i="1"/>
  <c r="R53" i="1"/>
  <c r="Q53" i="1"/>
  <c r="R52" i="1"/>
  <c r="Q52" i="1"/>
  <c r="R51" i="1"/>
  <c r="Q51" i="1"/>
  <c r="R50" i="1"/>
  <c r="Q50" i="1"/>
  <c r="R49" i="1"/>
  <c r="Q49" i="1"/>
  <c r="R48" i="1"/>
  <c r="Q48" i="1"/>
  <c r="R47" i="1"/>
  <c r="Q47" i="1"/>
  <c r="A47" i="1"/>
  <c r="R46" i="1"/>
  <c r="Q46" i="1"/>
  <c r="A46" i="1"/>
  <c r="R45" i="1"/>
  <c r="Q45" i="1"/>
  <c r="A45" i="1"/>
  <c r="R44" i="1"/>
  <c r="Q44" i="1"/>
  <c r="A44" i="1"/>
  <c r="R43" i="1"/>
  <c r="Q43" i="1"/>
  <c r="A43" i="1"/>
  <c r="R42" i="1"/>
  <c r="Q42" i="1"/>
  <c r="A42" i="1"/>
  <c r="R41" i="1"/>
  <c r="Q41" i="1"/>
  <c r="A41" i="1"/>
  <c r="R40" i="1"/>
  <c r="Q40" i="1"/>
  <c r="A40" i="1"/>
  <c r="R39" i="1"/>
  <c r="Q39" i="1"/>
  <c r="A39" i="1"/>
  <c r="R38" i="1"/>
  <c r="Q38" i="1"/>
  <c r="A38" i="1"/>
  <c r="R37" i="1"/>
  <c r="Q37" i="1"/>
  <c r="A37" i="1"/>
  <c r="R36" i="1"/>
  <c r="Q36" i="1"/>
  <c r="R35" i="1"/>
  <c r="Q35" i="1"/>
  <c r="R34" i="1"/>
  <c r="Q34" i="1"/>
  <c r="R33" i="1"/>
  <c r="Q33" i="1"/>
  <c r="R32" i="1"/>
  <c r="Q32" i="1"/>
  <c r="A32" i="1"/>
  <c r="R31" i="1"/>
  <c r="Q31" i="1"/>
  <c r="A31" i="1"/>
  <c r="R30" i="1"/>
  <c r="Q30" i="1"/>
  <c r="A30" i="1"/>
  <c r="R29" i="1"/>
  <c r="Q29" i="1"/>
  <c r="A29" i="1"/>
  <c r="R28" i="1"/>
  <c r="Q28" i="1"/>
  <c r="A28" i="1"/>
  <c r="R27" i="1"/>
  <c r="Q27" i="1"/>
  <c r="R26" i="1"/>
  <c r="Q26" i="1"/>
  <c r="A26" i="1"/>
  <c r="R25" i="1"/>
  <c r="Q25" i="1"/>
  <c r="A25" i="1"/>
  <c r="R24" i="1"/>
  <c r="Q24" i="1"/>
  <c r="A24" i="1"/>
  <c r="R23" i="1"/>
  <c r="Q23" i="1"/>
  <c r="A23" i="1"/>
  <c r="R22" i="1"/>
  <c r="Q22" i="1"/>
  <c r="A22" i="1"/>
  <c r="R21" i="1"/>
  <c r="Q21" i="1"/>
  <c r="A21" i="1"/>
  <c r="R20" i="1"/>
  <c r="Q20" i="1"/>
  <c r="A20" i="1"/>
  <c r="R19" i="1"/>
  <c r="Q19" i="1"/>
  <c r="A19" i="1"/>
  <c r="R18" i="1"/>
  <c r="Q18" i="1"/>
  <c r="A18" i="1"/>
  <c r="R17" i="1"/>
  <c r="Q17" i="1"/>
  <c r="A17" i="1"/>
  <c r="R16" i="1"/>
  <c r="Q16" i="1"/>
  <c r="R15" i="1"/>
  <c r="Q15" i="1"/>
  <c r="R14" i="1"/>
  <c r="Q14" i="1"/>
  <c r="R13" i="1"/>
  <c r="Q13" i="1"/>
  <c r="R12" i="1"/>
  <c r="Q12" i="1"/>
  <c r="R11" i="1"/>
  <c r="Q11" i="1"/>
  <c r="R10" i="1"/>
  <c r="Q10" i="1"/>
  <c r="R9" i="1"/>
  <c r="Q9" i="1"/>
  <c r="R8" i="1"/>
  <c r="Q8" i="1"/>
  <c r="R7" i="1"/>
  <c r="Q7" i="1"/>
  <c r="T3" i="1"/>
  <c r="R3" i="1"/>
  <c r="N3" i="1"/>
  <c r="H6" i="2" l="1"/>
  <c r="P3" i="1"/>
  <c r="H5"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tc={F5FE0468-6B60-5BAE-6D9A-6E4E95F5D63D}</author>
    <author>tc={0B1C9601-EE0C-A845-E951-EF9A90346BE7}</author>
  </authors>
  <commentList>
    <comment ref="I6" authorId="0" shapeId="0" xr:uid="{00000000-0006-0000-0000-000001000000}">
      <text>
        <r>
          <rPr>
            <sz val="11"/>
            <rFont val="Carlito"/>
          </rPr>
          <t>[Threaded comment]
Your version of Excel allows you to read this threaded comment; however, any edits to it will get removed if the file is opened in a newer version of Excel. Learn more: https://go.microsoft.com/fwlink/?linkid=870924
Comment:
    Enter a clear, objective description of the observed deficiency and the required correction.</t>
        </r>
      </text>
    </comment>
    <comment ref="M6" authorId="1" shapeId="0" xr:uid="{00000000-0006-0000-0000-000002000000}">
      <text>
        <r>
          <rPr>
            <sz val="11"/>
            <rFont val="Carlito"/>
          </rPr>
          <t>[Threaded comment]
Your version of Excel allows you to read this threaded comment; however, any edits to it will get removed if the file is opened in a newer version of Excel. Learn more: https://go.microsoft.com/fwlink/?linkid=870924
Comment:
    Use Ready for Verification after construction reports the correction complete; QA/QC should move it to Closed after verification.</t>
        </r>
      </text>
    </comment>
  </commentList>
</comments>
</file>

<file path=xl/sharedStrings.xml><?xml version="1.0" encoding="utf-8"?>
<sst xmlns="http://schemas.openxmlformats.org/spreadsheetml/2006/main" count="2202" uniqueCount="538">
  <si>
    <t>Use filters to sort by area, system, priority, responsible party, due date, or status. Blue cells are user-entry fields; grey cells calculate automatically.</t>
  </si>
  <si>
    <t>Project:</t>
  </si>
  <si>
    <t>Contractor:</t>
  </si>
  <si>
    <t>Yanda</t>
  </si>
  <si>
    <t>Prepared By:</t>
  </si>
  <si>
    <t>Levy Ostrup</t>
  </si>
  <si>
    <t>Location:</t>
  </si>
  <si>
    <t>Last Updated:</t>
  </si>
  <si>
    <t>Open:</t>
  </si>
  <si>
    <t>Overdue:</t>
  </si>
  <si>
    <t>Ready for Verification:</t>
  </si>
  <si>
    <t>Closed:</t>
  </si>
  <si>
    <t>Deficiency ID</t>
  </si>
  <si>
    <t>Date Identified</t>
  </si>
  <si>
    <t>Area / Module</t>
  </si>
  <si>
    <t>System</t>
  </si>
  <si>
    <t>Discipline</t>
  </si>
  <si>
    <t>Tag / Equipment No.</t>
  </si>
  <si>
    <t>Drawing / EWP / ITR Ref.</t>
  </si>
  <si>
    <t>Category</t>
  </si>
  <si>
    <t>Deficiency Description</t>
  </si>
  <si>
    <t>Priority</t>
  </si>
  <si>
    <t>Responsible Party</t>
  </si>
  <si>
    <t>Target Date</t>
  </si>
  <si>
    <t>Status</t>
  </si>
  <si>
    <t>Date Corrected</t>
  </si>
  <si>
    <t>Verified By</t>
  </si>
  <si>
    <t>Verification Date</t>
  </si>
  <si>
    <t>Days Open</t>
  </si>
  <si>
    <t>Overdue?</t>
  </si>
  <si>
    <t>Photo / NCR / RFI Ref.</t>
  </si>
  <si>
    <t>Comments / Close-out Details</t>
  </si>
  <si>
    <t>DEFICIENCY STATUS DASHBOARD</t>
  </si>
  <si>
    <t>Count</t>
  </si>
  <si>
    <t>Open Count</t>
  </si>
  <si>
    <t>Key Metric</t>
  </si>
  <si>
    <t>Value</t>
  </si>
  <si>
    <t>Open</t>
  </si>
  <si>
    <t>Critical</t>
  </si>
  <si>
    <t>Total Logged</t>
  </si>
  <si>
    <t>In Progress</t>
  </si>
  <si>
    <t>High</t>
  </si>
  <si>
    <t>Currently Overdue</t>
  </si>
  <si>
    <t>Ready for Verification</t>
  </si>
  <si>
    <t>Medium</t>
  </si>
  <si>
    <t>Average Days Open</t>
  </si>
  <si>
    <t>Closed</t>
  </si>
  <si>
    <t>Low</t>
  </si>
  <si>
    <t>Dashboard figures update automatically from the Deficiency Tracker. Use the main log for detailed review, filtering, verification, and close-out records.</t>
  </si>
  <si>
    <t>Electrical</t>
  </si>
  <si>
    <t>Installation</t>
  </si>
  <si>
    <t>Construction</t>
  </si>
  <si>
    <t>Instrumentation</t>
  </si>
  <si>
    <t>Damage</t>
  </si>
  <si>
    <t>QA/QC</t>
  </si>
  <si>
    <t>Mechanical</t>
  </si>
  <si>
    <t>Documentation</t>
  </si>
  <si>
    <t>Engineering</t>
  </si>
  <si>
    <t>Civil</t>
  </si>
  <si>
    <t>Testing</t>
  </si>
  <si>
    <t>Vendor</t>
  </si>
  <si>
    <t>On Hold</t>
  </si>
  <si>
    <t>Structural</t>
  </si>
  <si>
    <t>Accessibility</t>
  </si>
  <si>
    <t>Client</t>
  </si>
  <si>
    <t>Rejected</t>
  </si>
  <si>
    <t>Insulation</t>
  </si>
  <si>
    <t>Code / Standard</t>
  </si>
  <si>
    <t>Subcontractor</t>
  </si>
  <si>
    <t>Coatings</t>
  </si>
  <si>
    <t>Housekeeping</t>
  </si>
  <si>
    <t>Other</t>
  </si>
  <si>
    <t>Add project-specific Areas / Modules and Systems in columns F and G. Dropdowns in the tracker will update automatically within the reserved list range.</t>
  </si>
  <si>
    <t>E&amp;I DEFICIENCY TRACKER</t>
  </si>
  <si>
    <t>Client: COOEC</t>
  </si>
  <si>
    <t>21-07-2026</t>
  </si>
  <si>
    <t>COOEC</t>
  </si>
  <si>
    <t>K1B Wellpad Project</t>
  </si>
  <si>
    <t>WPM-104</t>
  </si>
  <si>
    <t>K1A-600V</t>
  </si>
  <si>
    <t>Cables need supporting under controller</t>
  </si>
  <si>
    <t>29103-HTP-003</t>
  </si>
  <si>
    <t>K1A-600V / EHT</t>
  </si>
  <si>
    <t>29103-ET-PE1709-1-1</t>
  </si>
  <si>
    <t>EHT</t>
  </si>
  <si>
    <t>Trace broken</t>
  </si>
  <si>
    <t>A mods</t>
  </si>
  <si>
    <t>K1B-600V</t>
  </si>
  <si>
    <t>29103-LJB-103/102</t>
  </si>
  <si>
    <t>LJB's missing lamacoids</t>
  </si>
  <si>
    <t>CA23007-QSR-K1B-038</t>
  </si>
  <si>
    <t>K1B-600V / EHT</t>
  </si>
  <si>
    <t>Inproper EHT installation</t>
  </si>
  <si>
    <t>CA23007-QSR-K1B-039</t>
  </si>
  <si>
    <t>K1B Wellpad Proj.</t>
  </si>
  <si>
    <t>29103-ELM-101</t>
  </si>
  <si>
    <t>K1B-600V-ESP</t>
  </si>
  <si>
    <t>29103-VD-P25,26,27</t>
  </si>
  <si>
    <t>Strut needs protective coating of Cold Galv.</t>
  </si>
  <si>
    <t>Vertical tray downs to be changed to match the rest.</t>
  </si>
  <si>
    <t>All ground connections need Glyptol present.</t>
  </si>
  <si>
    <t>29103-PT-P12</t>
  </si>
  <si>
    <t>Armour is showing on cable at connector (Inproper gland)</t>
  </si>
  <si>
    <t>Cable tags missing</t>
  </si>
  <si>
    <t>29103-VFD-P24</t>
  </si>
  <si>
    <t>Missing Lamacoid on 29103-VFD-P24</t>
  </si>
  <si>
    <t>29103-PT-P16</t>
  </si>
  <si>
    <t>Ground strain relief is cross threaded (Inproper Install), Add weatherproof washer</t>
  </si>
  <si>
    <t>Cobra clamps on VFD feed are wrong size</t>
  </si>
  <si>
    <t>29103-WPM-102</t>
  </si>
  <si>
    <t>29103-WPM-103</t>
  </si>
  <si>
    <t>29103-WPM-104</t>
  </si>
  <si>
    <t>29103-WPM-101/104</t>
  </si>
  <si>
    <t>PE1202-1-PWK-1</t>
  </si>
  <si>
    <t>PG1401-1-R-2</t>
  </si>
  <si>
    <t>P1601-1-PWK-1</t>
  </si>
  <si>
    <t>PE1602-1-PWK-1</t>
  </si>
  <si>
    <t>N/A</t>
  </si>
  <si>
    <t>PE1701-2-R-2</t>
  </si>
  <si>
    <t>MI trace part number partially scratched</t>
  </si>
  <si>
    <t>RTD not secure, Need insulation stripped to re-secure</t>
  </si>
  <si>
    <t>Cable bend Radi is tight, Armour is present at connector</t>
  </si>
  <si>
    <t>I-Tray needs grommet</t>
  </si>
  <si>
    <t>Terminated in the wrong TB in 29103-HTP-003</t>
  </si>
  <si>
    <t>QSR-K1B-039</t>
  </si>
  <si>
    <t>QSR-K1B-038</t>
  </si>
  <si>
    <t>DEF-0010</t>
  </si>
  <si>
    <t>DEF-0009</t>
  </si>
  <si>
    <t>DEF-0008</t>
  </si>
  <si>
    <t>DEF-0007</t>
  </si>
  <si>
    <t>DEF-0006</t>
  </si>
  <si>
    <t>DEF-0005</t>
  </si>
  <si>
    <t>DEF-0004</t>
  </si>
  <si>
    <t>DEF-0003</t>
  </si>
  <si>
    <t>29103-ET-PG1201-1-R-2</t>
  </si>
  <si>
    <t>29103-ET-P1204-1-1</t>
  </si>
  <si>
    <t>29103-PE1404-1-R2-R</t>
  </si>
  <si>
    <t>29103-PE1701-1-1</t>
  </si>
  <si>
    <t>Missing Cable for RTD</t>
  </si>
  <si>
    <t>K1B-PE</t>
  </si>
  <si>
    <t>DEF-0021</t>
  </si>
  <si>
    <t>MI Trace is broken</t>
  </si>
  <si>
    <t>29103-HVJB-P12</t>
  </si>
  <si>
    <t>Stick built Prod. Wells</t>
  </si>
  <si>
    <t>29103-BDG-101</t>
  </si>
  <si>
    <t>29103-EQM-101</t>
  </si>
  <si>
    <t>29103-EQM-102/103</t>
  </si>
  <si>
    <t>29209-EQM-103</t>
  </si>
  <si>
    <t>29209-EQM-101/102</t>
  </si>
  <si>
    <t>29103-PRM-101</t>
  </si>
  <si>
    <t>29103-CMM-101</t>
  </si>
  <si>
    <t>29103-PRM-201</t>
  </si>
  <si>
    <t>29103-CMM-201</t>
  </si>
  <si>
    <t>29103-WPM-101</t>
  </si>
  <si>
    <t>29103-A-1S/2S</t>
  </si>
  <si>
    <t>29103-A-1P/2P</t>
  </si>
  <si>
    <t>29103-A-3P/4P</t>
  </si>
  <si>
    <t>29103-A-3S/4S</t>
  </si>
  <si>
    <t>29103-A-5P/6P</t>
  </si>
  <si>
    <t>29103-A-5S/6S</t>
  </si>
  <si>
    <t>Multiple</t>
  </si>
  <si>
    <t>29103-T-02-300-003</t>
  </si>
  <si>
    <t>29103-T-01-150-001</t>
  </si>
  <si>
    <t>29103-T-02-300-004</t>
  </si>
  <si>
    <t>29103-T-01-150-002</t>
  </si>
  <si>
    <t>29103-T-01-150-003</t>
  </si>
  <si>
    <t>Tray ID's are not installed / Need Cold Galv on tray supports</t>
  </si>
  <si>
    <t>DEF-0027</t>
  </si>
  <si>
    <t>DEF-0028</t>
  </si>
  <si>
    <t>DEF-0029</t>
  </si>
  <si>
    <t>DEF-0030</t>
  </si>
  <si>
    <t>29103-65N-004-01</t>
  </si>
  <si>
    <t>Tray ID's are not installed</t>
  </si>
  <si>
    <t>29103-65N-001-01</t>
  </si>
  <si>
    <t>29209-T-02-300-001</t>
  </si>
  <si>
    <t>Missing Tray ID / C-Tap not taped</t>
  </si>
  <si>
    <t>29103-JJB-200</t>
  </si>
  <si>
    <t>JBB needs lamacoid designation / Missing Main trunk cable</t>
  </si>
  <si>
    <t>29103-JJB-XXX</t>
  </si>
  <si>
    <t>JJB's are missing termial strip marker designation</t>
  </si>
  <si>
    <t>K1B-600V-UPS</t>
  </si>
  <si>
    <t>K1B-600V-SUS</t>
  </si>
  <si>
    <t>29103UPS-001-C</t>
  </si>
  <si>
    <t>29103UP001-P</t>
  </si>
  <si>
    <t>Missing SS cable tag (MCC Side)</t>
  </si>
  <si>
    <t>Missing plastic bushing on both source and destination, Panel feeds require torqueing / marked</t>
  </si>
  <si>
    <t>29103-65N-203-01</t>
  </si>
  <si>
    <t>K1B-F&amp;G</t>
  </si>
  <si>
    <t>29103-XL-0900B</t>
  </si>
  <si>
    <t>Blue beacon, SS Cable tag is incorrect outside of I/A room</t>
  </si>
  <si>
    <t>A Mods</t>
  </si>
  <si>
    <t>R Mods</t>
  </si>
  <si>
    <t>29103-XV-XXXX</t>
  </si>
  <si>
    <t>Field run tray for XV's, cables were incorrecly drilled and supported through the side wall.</t>
  </si>
  <si>
    <t>K1B-HS</t>
  </si>
  <si>
    <t>K1B-NG</t>
  </si>
  <si>
    <t>K1B-PV</t>
  </si>
  <si>
    <t>DT-29151</t>
  </si>
  <si>
    <t>DT-29152</t>
  </si>
  <si>
    <t>29103-ET-ST-1103-1-2</t>
  </si>
  <si>
    <t>29103-ET-ST-1103-1-1</t>
  </si>
  <si>
    <t>EHT end bullet banding is coming off</t>
  </si>
  <si>
    <t>EHT is installed inproperly, (Wrapped around the Pipe)</t>
  </si>
  <si>
    <t>K1B-600V-EHT</t>
  </si>
  <si>
    <t>29103-HTT-100</t>
  </si>
  <si>
    <t>Lamacoid is inproper</t>
  </si>
  <si>
    <t>DEF-0042</t>
  </si>
  <si>
    <t xml:space="preserve">MCC Front Deck (NGR): Ground cable lying on deck; secure/remove. </t>
  </si>
  <si>
    <t>DEF-0043</t>
  </si>
  <si>
    <t>29103-NGR001-C2</t>
  </si>
  <si>
    <t xml:space="preserve">Missing tag </t>
  </si>
  <si>
    <t>DEF-0044</t>
  </si>
  <si>
    <t>29151 Drain Area</t>
  </si>
  <si>
    <t xml:space="preserve">Up on scaffold strut weld should be cold galv painted </t>
  </si>
  <si>
    <t xml:space="preserve">Construction </t>
  </si>
  <si>
    <t>DEF-0045</t>
  </si>
  <si>
    <t>Most instrument tray bonds need to be glyptaled</t>
  </si>
  <si>
    <t>DEF-0046</t>
  </si>
  <si>
    <t>300mm tray requires an expansion joint, and tray splice needs additional support</t>
  </si>
  <si>
    <t>DEF-0047</t>
  </si>
  <si>
    <t>NGR Cable tags need to be changed to 9050-NGR-001-P AND 9050-NGR001-C1, 9050-NGR001-C2, 9050-NGR001-C3</t>
  </si>
  <si>
    <t>DEF-0048</t>
  </si>
  <si>
    <t>300mm tray out to the pipe rack needs as strut installed for support</t>
  </si>
  <si>
    <t>DEF-0049</t>
  </si>
  <si>
    <t>8' Vertical tray on south side drain, C-Tap not taped</t>
  </si>
  <si>
    <t>DEF-0050</t>
  </si>
  <si>
    <t>A power kit cable missing ty-wrap</t>
  </si>
  <si>
    <t>DEF-0051</t>
  </si>
  <si>
    <t>Cable ends need to be bagged and taped to prevent moisture and should be placed off ground</t>
  </si>
  <si>
    <t>DEF-0052</t>
  </si>
  <si>
    <t>29151-T-02-300-001</t>
  </si>
  <si>
    <t>29151-T-01-150-003</t>
  </si>
  <si>
    <t>29151-T-02-200-003</t>
  </si>
  <si>
    <t>29151-T-01-150-002</t>
  </si>
  <si>
    <t>29151-T-02-200-002</t>
  </si>
  <si>
    <t>29151-T-01-150-001</t>
  </si>
  <si>
    <t>29151-T-02-200-001</t>
  </si>
  <si>
    <t>Missing tray ID'S</t>
  </si>
  <si>
    <t>DEF-0059</t>
  </si>
  <si>
    <t>East of skid, ground cable outside of kick plate</t>
  </si>
  <si>
    <t>DEF-0060</t>
  </si>
  <si>
    <t xml:space="preserve">Ground cable needs to be bonded </t>
  </si>
  <si>
    <t>DEF-0061</t>
  </si>
  <si>
    <t>Vertical tray south side, Ty-wraps need to be every second rung</t>
  </si>
  <si>
    <t>DEF-0062</t>
  </si>
  <si>
    <t>K1B-Ehouse</t>
  </si>
  <si>
    <t>Fire brick needed on all wall penetrations</t>
  </si>
  <si>
    <t>DEF-0063</t>
  </si>
  <si>
    <t>DEF-0064</t>
  </si>
  <si>
    <t>K2B-600V-EGEN</t>
  </si>
  <si>
    <t>GRL needs to be swapped out with Lock nuts and plastic bushing</t>
  </si>
  <si>
    <t>Scratch back pan around KA ground lugs to ensure continuity</t>
  </si>
  <si>
    <t>PIT-1012</t>
  </si>
  <si>
    <t>K1B-DCS-001</t>
  </si>
  <si>
    <t>Loose connector</t>
  </si>
  <si>
    <t>Incorrect Cable Tag</t>
  </si>
  <si>
    <t>Core markers don’t match cable tag</t>
  </si>
  <si>
    <t>Missing cable tag</t>
  </si>
  <si>
    <t>loose connector</t>
  </si>
  <si>
    <t>missing cable tag</t>
  </si>
  <si>
    <t>missing cable tag / Wires are too long</t>
  </si>
  <si>
    <t>Wires too long</t>
  </si>
  <si>
    <t>FIT-1061</t>
  </si>
  <si>
    <t>PIT-1062</t>
  </si>
  <si>
    <t>PIT-1072</t>
  </si>
  <si>
    <t>FY-1071</t>
  </si>
  <si>
    <t>PIT-1071</t>
  </si>
  <si>
    <t>FY-1061</t>
  </si>
  <si>
    <t>PIT-1061</t>
  </si>
  <si>
    <t>XY-1072</t>
  </si>
  <si>
    <t>XY-1071</t>
  </si>
  <si>
    <t>FY-1072</t>
  </si>
  <si>
    <t>FIT--1074</t>
  </si>
  <si>
    <t>Cable tag missing</t>
  </si>
  <si>
    <t>Missing cable tag, Wires are too long</t>
  </si>
  <si>
    <t>Connector loose</t>
  </si>
  <si>
    <t>Missing Cable tag</t>
  </si>
  <si>
    <t>Cables not Ty-raped in Tray / Capilary lines need to be in I-Tray</t>
  </si>
  <si>
    <t>Cables not Ty-raped in Tray / Support of cable from gland, distance is substantial.</t>
  </si>
  <si>
    <t>K1B-600V-AHU</t>
  </si>
  <si>
    <t>MCC Air Handling Unit</t>
  </si>
  <si>
    <t>Cable tags are missing under AHU</t>
  </si>
  <si>
    <t>29103-SB-001</t>
  </si>
  <si>
    <t>Splitter box need KO Filler / Cable needs support under tray. SS cable tags are missing on both field and source sides</t>
  </si>
  <si>
    <t>PIT-2172</t>
  </si>
  <si>
    <t>FIT-XXX</t>
  </si>
  <si>
    <t>PIT-1031</t>
  </si>
  <si>
    <t>PIT-1041</t>
  </si>
  <si>
    <t>FY-1051</t>
  </si>
  <si>
    <t>Wrong core marker</t>
  </si>
  <si>
    <t>Wrong Cable Tag</t>
  </si>
  <si>
    <t>FY-1022</t>
  </si>
  <si>
    <t>IA Tubing support</t>
  </si>
  <si>
    <t>Dog tags on devices</t>
  </si>
  <si>
    <t>Upside down cable tag</t>
  </si>
  <si>
    <t>Tighten U-Bolt</t>
  </si>
  <si>
    <t>Tags/Terms incomplete</t>
  </si>
  <si>
    <t>FY-1052</t>
  </si>
  <si>
    <t>No Cable tag present</t>
  </si>
  <si>
    <t>FIT-1071</t>
  </si>
  <si>
    <t>Loose U-Bolt</t>
  </si>
  <si>
    <t>WPM-100/104</t>
  </si>
  <si>
    <t>Chop J-Hooks supporting Horns</t>
  </si>
  <si>
    <t>PIT-2171</t>
  </si>
  <si>
    <t>needs proper core marker</t>
  </si>
  <si>
    <t>Loose T-Head</t>
  </si>
  <si>
    <t>Spare cable entry is stripped</t>
  </si>
  <si>
    <t>TIT-1100</t>
  </si>
  <si>
    <t>Incomplete</t>
  </si>
  <si>
    <t>PIT-1202</t>
  </si>
  <si>
    <t>PV-1200</t>
  </si>
  <si>
    <t>PIT-1200</t>
  </si>
  <si>
    <t>PIT-1201</t>
  </si>
  <si>
    <t>install plug</t>
  </si>
  <si>
    <t>Install additional support</t>
  </si>
  <si>
    <t>PIT-1013</t>
  </si>
  <si>
    <t>KV-1013</t>
  </si>
  <si>
    <t>FY-1015</t>
  </si>
  <si>
    <t>PIT-1023</t>
  </si>
  <si>
    <t>KV1023</t>
  </si>
  <si>
    <t>FIT-1015</t>
  </si>
  <si>
    <t>No field side cable tag
Field tray not bonded to main tray</t>
  </si>
  <si>
    <t>Device is loose on mount
Field tray not bonded to main
Serivce loops for both PIT-1013 &amp; KV-1013 are 9" in diameter</t>
  </si>
  <si>
    <t>Needs terminations and core markers
Field tray not bonded to main</t>
  </si>
  <si>
    <t>Field tray not bonded to system</t>
  </si>
  <si>
    <t>Gland is loose at 90 degree fitting</t>
  </si>
  <si>
    <t>Service loops need relocation</t>
  </si>
  <si>
    <t>Helen</t>
  </si>
  <si>
    <t>Completed by Dana</t>
  </si>
  <si>
    <t>KV-1023</t>
  </si>
  <si>
    <t>Field Tray needs Grommet installed</t>
  </si>
  <si>
    <t>JJB-102</t>
  </si>
  <si>
    <t>Loose shield/ Shrink not shrunk</t>
  </si>
  <si>
    <t>All JJB's</t>
  </si>
  <si>
    <t>Cable connectors are 'loose'</t>
  </si>
  <si>
    <t>SHV5 Terminal block ID's</t>
  </si>
  <si>
    <t>Panduit Covers is missing (Ordered)</t>
  </si>
  <si>
    <t>JJB-105</t>
  </si>
  <si>
    <t>Updated/ redlines drawings</t>
  </si>
  <si>
    <t>Trunk shield to Individual drains</t>
  </si>
  <si>
    <t>JJB-XXX</t>
  </si>
  <si>
    <t>Shield Jumpers</t>
  </si>
  <si>
    <t>JJB-301</t>
  </si>
  <si>
    <t>JJB-302</t>
  </si>
  <si>
    <t>JJB-100</t>
  </si>
  <si>
    <t>Loose Drains/Ferrules</t>
  </si>
  <si>
    <t xml:space="preserve">Missing cable </t>
  </si>
  <si>
    <t>JJB-104</t>
  </si>
  <si>
    <t>Bottom latch on JB will not close due to connector</t>
  </si>
  <si>
    <t>K1B-IA</t>
  </si>
  <si>
    <t>Connector is loose at gland</t>
  </si>
  <si>
    <t>Missing cable tag &amp; Field Side</t>
  </si>
  <si>
    <t>Requires 1/2" Plug</t>
  </si>
  <si>
    <t>Incorrect core marker</t>
  </si>
  <si>
    <t>PIT-1035</t>
  </si>
  <si>
    <t>Loose at coupling, adhesive on cable (please remove)</t>
  </si>
  <si>
    <t>TIT-1035</t>
  </si>
  <si>
    <t>Field support, lift from gland</t>
  </si>
  <si>
    <t>FIT-1034</t>
  </si>
  <si>
    <t>PIT-1038</t>
  </si>
  <si>
    <t>Service loop is doubled up; cable rides tray as it comes out</t>
  </si>
  <si>
    <t>TIT-1034</t>
  </si>
  <si>
    <t>Support lift from gland</t>
  </si>
  <si>
    <t>PIT-1034</t>
  </si>
  <si>
    <t>Loose out coupling; support lift from the gland</t>
  </si>
  <si>
    <t>XY-1032</t>
  </si>
  <si>
    <t>Remove adhesive + grime from cable</t>
  </si>
  <si>
    <t>PIT-2072</t>
  </si>
  <si>
    <t>Missing cable tag; loose at coupling</t>
  </si>
  <si>
    <t>TIT-1014</t>
  </si>
  <si>
    <t>Support lift from gland; tidy up service loop + loose instrument</t>
  </si>
  <si>
    <t>TIT-1020J</t>
  </si>
  <si>
    <t>No cable tag; field run tray bonding needed</t>
  </si>
  <si>
    <t>TIT-1020A</t>
  </si>
  <si>
    <t>Armour is showing at connected conductor, field run tray needs bonding</t>
  </si>
  <si>
    <t>TIT-1010J</t>
  </si>
  <si>
    <t>Field run tray needs bonding + grummet</t>
  </si>
  <si>
    <t>TIT-1010A</t>
  </si>
  <si>
    <t>Field run tray needs bonding/remove adhesive from cable</t>
  </si>
  <si>
    <t>Needs support lift from gland; service loop needed, rubber gasket in connector is visible (reset connector)</t>
  </si>
  <si>
    <t>PIT-1024</t>
  </si>
  <si>
    <t>Support lift from the gland</t>
  </si>
  <si>
    <t>TIT-1024</t>
  </si>
  <si>
    <t>PSHH-1029</t>
  </si>
  <si>
    <t>Tray bonding needs glyptal</t>
  </si>
  <si>
    <t>PIT-1028</t>
  </si>
  <si>
    <t>Loose connector, support lift from gland</t>
  </si>
  <si>
    <t>PIT-1025</t>
  </si>
  <si>
    <t>Loose coupler at the gland</t>
  </si>
  <si>
    <t>TIT-1025</t>
  </si>
  <si>
    <t>Instrument lid threads have a ding in it (hard to close) needs support lift from gland</t>
  </si>
  <si>
    <t>PIT-1021</t>
  </si>
  <si>
    <t>Cable routing into gland has to form below. (water flow)</t>
  </si>
  <si>
    <t>PY-1024</t>
  </si>
  <si>
    <t>Connector fitting is close to I-tubing + cable is touching tubing</t>
  </si>
  <si>
    <t>FIT-1024</t>
  </si>
  <si>
    <t>Remove point from cable</t>
  </si>
  <si>
    <t>TIT-1030A</t>
  </si>
  <si>
    <t>Field run tray needs bonding; cable tag missing</t>
  </si>
  <si>
    <t>TIT-1030J</t>
  </si>
  <si>
    <t>Field run tray needs bonding; missing cable tag</t>
  </si>
  <si>
    <t xml:space="preserve">No cable tag; field run tray bonding needed. </t>
  </si>
  <si>
    <t>29203-ET-PE5002-1</t>
  </si>
  <si>
    <t>29151-65E-001-01</t>
  </si>
  <si>
    <t>29203-ET-PE5002-1PWK</t>
  </si>
  <si>
    <t>29152 Drain Area</t>
  </si>
  <si>
    <t>29153 Drain Area</t>
  </si>
  <si>
    <t>Additional Tape required to secure 29203 ET PE5002-1 to pipe and remove slack.</t>
  </si>
  <si>
    <t>Cables 29151PP001-P &amp; 29151DS001-P missing cable tag, + strap down to tray needed. -Need to clean inside of disconect</t>
  </si>
  <si>
    <t>Tighten connector to power box kit. Tighten lockrings to kit box. Core tags/ Cable tags missing.</t>
  </si>
  <si>
    <t>29103-PIT-1027</t>
  </si>
  <si>
    <t>JJB 101</t>
  </si>
  <si>
    <t>29103-KV-1017</t>
  </si>
  <si>
    <t>29103-PIT-1017</t>
  </si>
  <si>
    <t>29103-PIT-1067</t>
  </si>
  <si>
    <t>Loose connector,  grommet needed</t>
  </si>
  <si>
    <t>missing cable tags</t>
  </si>
  <si>
    <t>loose device, need to seal cable into connector</t>
  </si>
  <si>
    <t>Nylar too long</t>
  </si>
  <si>
    <t>Panel JJB 102: missing cable tags</t>
  </si>
  <si>
    <t>29103-PIT-1077</t>
  </si>
  <si>
    <t>JJB 107</t>
  </si>
  <si>
    <t>29103-KV-1067</t>
  </si>
  <si>
    <t>29103-PIT-1057</t>
  </si>
  <si>
    <t>JJB 106</t>
  </si>
  <si>
    <t>29103-KV-1057</t>
  </si>
  <si>
    <t>29103-KV-1047</t>
  </si>
  <si>
    <t>JJB 104</t>
  </si>
  <si>
    <t>29103-KV-1037</t>
  </si>
  <si>
    <t>JJB 103</t>
  </si>
  <si>
    <t>29103-KV-1027</t>
  </si>
  <si>
    <t>29103-KV-1077</t>
  </si>
  <si>
    <t>Tighten connector, tighten 90 degree coupling.</t>
  </si>
  <si>
    <t>Missing cable tags</t>
  </si>
  <si>
    <t>loose device</t>
  </si>
  <si>
    <t>loose connector, grommet needed for I-Tray</t>
  </si>
  <si>
    <t>Cable tags missing, install panduit</t>
  </si>
  <si>
    <t>re-seal connector / loose device</t>
  </si>
  <si>
    <t>loose connector, re-seal connector (re-gland)</t>
  </si>
  <si>
    <t>missing cabe tags, connector obstructing locking mechanism</t>
  </si>
  <si>
    <t>re-gland connector / proper seal, tray not bonded, loose device, device needs to be aligned (Centered)</t>
  </si>
  <si>
    <t>29103-PIT-0900</t>
  </si>
  <si>
    <t>29103-PIT-0916</t>
  </si>
  <si>
    <t>29103-TIT-0916</t>
  </si>
  <si>
    <t>29103-FIT-0916</t>
  </si>
  <si>
    <t>Mainline Separator</t>
  </si>
  <si>
    <t>loose connector, re-gland, fix service loop, need ground 0h perpendicular to ladder tray.</t>
  </si>
  <si>
    <t>Missing cable tags, ground field tray</t>
  </si>
  <si>
    <t>Tighten connector at 90 , missing cable tags</t>
  </si>
  <si>
    <t>Loose connector, missing cable tags</t>
  </si>
  <si>
    <t>Device needs to be tightened on base. Missing grommet and cable tags, seal better with connector/gland needs proper seal. Finish glyptal with band.</t>
  </si>
  <si>
    <t>Mainline Cooler</t>
  </si>
  <si>
    <t>29103-A-001-UHE-1</t>
  </si>
  <si>
    <t>29103-A-001-UHE-2</t>
  </si>
  <si>
    <t>29103-A-001-UHE-3</t>
  </si>
  <si>
    <t>29103-A-001-UHE-4</t>
  </si>
  <si>
    <t>29103-A-001-UHE-5</t>
  </si>
  <si>
    <t>Mainline cooler, shrink is torn off conductors</t>
  </si>
  <si>
    <t>Shrink is also torn a little bit. Set screw on 29103-A-001-UHE-2 Bucket A phase was stripped</t>
  </si>
  <si>
    <t>Screw looks cross threaded, didn’t want to touch it</t>
  </si>
  <si>
    <t>scratched up a little, but probably okay</t>
  </si>
  <si>
    <t>There was another screw that looked cross threaded. But was abel to be fixed</t>
  </si>
  <si>
    <t>FY-0913</t>
  </si>
  <si>
    <t>FIT-0913A</t>
  </si>
  <si>
    <t>LIT-0920</t>
  </si>
  <si>
    <t>TIT-0921</t>
  </si>
  <si>
    <t>PIT-0908</t>
  </si>
  <si>
    <t>PIT-0909</t>
  </si>
  <si>
    <t>PIT-0920</t>
  </si>
  <si>
    <t>PIT-0921</t>
  </si>
  <si>
    <t>PIT-0923</t>
  </si>
  <si>
    <t>Connector Loose; shrink in JJB for shield are short</t>
  </si>
  <si>
    <t>Device is loose</t>
  </si>
  <si>
    <t>Threads on device need lubrication</t>
  </si>
  <si>
    <t>Device &amp; connector need to be tightened</t>
  </si>
  <si>
    <t>PIT located on PG loctation; Helen to confirm?</t>
  </si>
  <si>
    <t>Set screw loose</t>
  </si>
  <si>
    <t>29152-LIT-0203</t>
  </si>
  <si>
    <t>29203-LIT-0221</t>
  </si>
  <si>
    <t>29152-XY-0204</t>
  </si>
  <si>
    <t>29152-PIT-0205</t>
  </si>
  <si>
    <t>29203-XY-0220</t>
  </si>
  <si>
    <t>29152-XY-0201</t>
  </si>
  <si>
    <t>29152-XY-0202</t>
  </si>
  <si>
    <t>29152-XY-0203</t>
  </si>
  <si>
    <t>29152-LIT-0205</t>
  </si>
  <si>
    <t>29152-HTP-001</t>
  </si>
  <si>
    <t>29152-DCSFF-JB-001</t>
  </si>
  <si>
    <t>29152-PT-001</t>
  </si>
  <si>
    <t>Drain Tank 2</t>
  </si>
  <si>
    <t>Ensure all field run tray up top is bonded to system and has glyptal installed. Coil drain under boot. Loose instrument: needs to be tightened. No cable tags. Install grommet on field run tray.</t>
  </si>
  <si>
    <t>Install capillary support. Install field tray run bond and grommet + glyptal. Install service loop 10" in diameter. Cable tag missing. Loose gland at coupling. New clean undamaged core markers.</t>
  </si>
  <si>
    <t>No cable tags. Drain needs to be coiled under boot.</t>
  </si>
  <si>
    <t>No cable tags. Service loops are 6" in diamater. Tyrap cable into tray. Rubber grommet protruding at connector. Field run tray requires more support.</t>
  </si>
  <si>
    <t>Drain needs to be coiled under boot. No cable tags</t>
  </si>
  <si>
    <t>Drain needs to be coiled under boot. No cable tags. Orange lead is damaged; Re-term required. Replace damaged/worn core markers</t>
  </si>
  <si>
    <t>Drain needs to be coiled under boot. No cable tags. Core marker is incorrect. Service loop no igger than 6" in diameter</t>
  </si>
  <si>
    <t>Drain needs to be coiled under boot. No cable tags. Grommet needed for field tray run.</t>
  </si>
  <si>
    <t>System ground needs sealing ring and plastic bushing. Missing cable tags. Panel unfinished, panduit open, open unglanded connectors waiting power cables. Support 1 ft from the gland; tyrap into tray. Vacuum</t>
  </si>
  <si>
    <t>Cabinet sits loose on the mount / Should have used square washers - In turn small hair line cracks are showing both top corners. Remove adhesive on front door. Support 1' from the gland. No cable tags. Vacuum out cabinet. Loose LB. Ferroles are crimped incorrectly; shields are poorly shrunk and exposed. In some broken wires, install boots at the end of the mylar. Taps in gutter need insulation tape + rubber tape. Clean up sloppy glyptal.</t>
  </si>
  <si>
    <t>Double nut day hooks and cut ends. Up size XO lug and land neutral. Secondaries are short and reaching; why no sway or even hard 90? Primaries rest on other phase lugs; requires 1" of seperation. Tighten the GRL on LB. Vacuum cabinet. Tyrap main feed into tray. Red phase is score w/ knife</t>
  </si>
  <si>
    <t>South Drain Tank</t>
  </si>
  <si>
    <t>29203-LIT-0211</t>
  </si>
  <si>
    <t>Need core markers and cable tags. Coil shield under boot. Install grommet on all sides of FRT; needs a longer run of FRT.</t>
  </si>
  <si>
    <t>29203-LIT-0210</t>
  </si>
  <si>
    <t>Need tubing supports; tighten device supports. Need grommet on FRT; reduce service loop to 6" max diameter. Coil shield under boot. Need tubing supports; tighten device supports.</t>
  </si>
  <si>
    <t>29203-XV-0210</t>
  </si>
  <si>
    <t>Need cable tags on both ends.</t>
  </si>
  <si>
    <t>29151-XV-0101</t>
  </si>
  <si>
    <t>Need cable tags on both ends. Need glyptal for grounding points on FRT.</t>
  </si>
  <si>
    <t>29151-XV-0102</t>
  </si>
  <si>
    <t>Need cable tags on both ends. Incorrect field wiring.</t>
  </si>
  <si>
    <t>29151-PIT-0105</t>
  </si>
  <si>
    <t>29151-LIT-0103</t>
  </si>
  <si>
    <t>Need cable tags on both ends; install 6" max diameter service loop. Need grommet for FRT.</t>
  </si>
  <si>
    <t>29151-LIT-0105</t>
  </si>
  <si>
    <t>Need cable tags on both ends. Need core markers on field device.</t>
  </si>
  <si>
    <t>29151-XV-0104</t>
  </si>
  <si>
    <t>Need cable tags on both ends. Coil shield under boot.</t>
  </si>
  <si>
    <t>29151-PSE-0106</t>
  </si>
  <si>
    <t>Need cable tags on both ends. Coil shield under boot. Reduce service loop to 6" diameter max. Incorrect connector size for cable.</t>
  </si>
  <si>
    <t>29203-TW-0101</t>
  </si>
  <si>
    <t>Need cable tags for both ends; need 1 core marker for red lead and all core markers for RTD.</t>
  </si>
  <si>
    <t>29203-TIT-0101</t>
  </si>
  <si>
    <t>Coil shield under boot. Need cable tags for both ends; need new/clean core marker.</t>
  </si>
  <si>
    <t>Incorrect field wiring corrected 09/14/2026 ). Cable tags on both ends still outstanding.</t>
  </si>
  <si>
    <t>DEF-0220</t>
  </si>
  <si>
    <t>CMM / Main line</t>
  </si>
  <si>
    <t>29103-PIT-1600</t>
  </si>
  <si>
    <t>Need to update core markers.</t>
  </si>
  <si>
    <t>DEF-0221</t>
  </si>
  <si>
    <t>Need to cut FRT to shorter length.</t>
  </si>
  <si>
    <t>DEF-0222</t>
  </si>
  <si>
    <t>29103-PV-1400</t>
  </si>
  <si>
    <t>Need to gland and terminate device.</t>
  </si>
  <si>
    <t>DEF-0223</t>
  </si>
  <si>
    <t>29103-TIT-0015P</t>
  </si>
  <si>
    <t>Tag on device does not match any prints.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</si>
</sst>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b/>
      <sz val="11"/>
      <color rgb="FFFFFFFF"/>
      <name val="Carlito"/>
    </font>
    <font>
      <i/>
      <sz val="11"/>
      <color rgb="FF17365D"/>
      <name val="Carlito"/>
    </font>
    <font>
      <b/>
      <sz val="18"/>
      <color rgb="FFFFFFFF"/>
      <name val="Carlito"/>
    </font>
    <font>
      <sz val="11"/>
      <color rgb="FF17365D"/>
      <name val="Carlito"/>
    </font>
    <font>
      <sz val="10"/>
      <name val="Carlito"/>
    </font>
    <font>
      <b/>
      <sz val="14"/>
      <name val="Carlito"/>
    </font>
    <font>
      <sz val="8"/>
      <name val="Carlito"/>
    </font>
    <font>
      <sz val="10"/>
      <name val="Calibri"/>
      <charset val="1"/>
    </font>
  </fonts>
  <fills count="10">
    <fill>
      <patternFill patternType="none"/>
    </fill>
    <fill>
      <patternFill patternType="gray125"/>
    </fill>
    <fill>
      <patternFill patternType="solid">
        <fgColor rgb="FF17365D"/>
      </patternFill>
    </fill>
    <fill>
      <patternFill patternType="solid">
        <fgColor rgb="FFD9EAF7"/>
      </patternFill>
    </fill>
    <fill>
      <patternFill patternType="solid">
        <fgColor rgb="FFF3F6F9"/>
      </patternFill>
    </fill>
    <fill>
      <patternFill patternType="solid">
        <fgColor rgb="FF1F4E78"/>
      </patternFill>
    </fill>
    <fill>
      <patternFill patternType="solid">
        <fgColor rgb="FFF7FBFF"/>
      </patternFill>
    </fill>
    <fill>
      <patternFill patternType="solid">
        <fgColor rgb="FFE7E6E6"/>
      </patternFill>
    </fill>
    <fill>
      <patternFill patternType="solid">
        <fgColor rgb="FFE7E6E6"/>
        <bgColor rgb="FFE5EAF0"/>
      </patternFill>
    </fill>
    <fill>
      <patternFill patternType="solid">
        <fgColor rgb="FFF7FBFF"/>
        <bgColor rgb="FFF3F6F9"/>
      </patternFill>
    </fill>
  </fills>
  <borders count="20">
    <border>
      <left/>
      <right/>
      <top/>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right style="thin">
        <color rgb="FFC9D5E3"/>
      </right>
      <top/>
      <bottom/>
      <diagonal/>
    </border>
    <border>
      <left style="thin">
        <color rgb="FFC9D5E3"/>
      </left>
      <right style="thin">
        <color rgb="FFC9D5E3"/>
      </right>
      <top/>
      <bottom/>
      <diagonal/>
    </border>
    <border>
      <left style="thin">
        <color rgb="FFC9D5E3"/>
      </left>
      <right/>
      <top/>
      <bottom/>
      <diagonal/>
    </border>
    <border>
      <left style="medium">
        <color rgb="FF17365D"/>
      </left>
      <right/>
      <top style="medium">
        <color rgb="FF17365D"/>
      </top>
      <bottom style="medium">
        <color rgb="FF17365D"/>
      </bottom>
      <diagonal/>
    </border>
    <border>
      <left/>
      <right/>
      <top style="medium">
        <color rgb="FF17365D"/>
      </top>
      <bottom style="medium">
        <color rgb="FF17365D"/>
      </bottom>
      <diagonal/>
    </border>
    <border>
      <left/>
      <right style="medium">
        <color rgb="FF17365D"/>
      </right>
      <top style="medium">
        <color rgb="FF17365D"/>
      </top>
      <bottom style="medium">
        <color rgb="FF17365D"/>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C9D5E3"/>
      </left>
      <right style="thin">
        <color rgb="FFC9D5E3"/>
      </right>
      <top style="thin">
        <color rgb="FFC9D5E3"/>
      </top>
      <bottom style="thin">
        <color rgb="FFC9D5E3"/>
      </bottom>
      <diagonal/>
    </border>
  </borders>
  <cellStyleXfs count="1">
    <xf numFmtId="0" fontId="0" fillId="0" borderId="0"/>
  </cellStyleXfs>
  <cellXfs count="65">
    <xf numFmtId="0" fontId="0" fillId="0" borderId="0" xfId="0"/>
    <xf numFmtId="0" fontId="1" fillId="2" borderId="1" xfId="0" applyNumberFormat="1" applyFont="1" applyFill="1" applyBorder="1" applyAlignment="1">
      <alignment horizontal="center"/>
    </xf>
    <xf numFmtId="0" fontId="1" fillId="2" borderId="2" xfId="0" applyNumberFormat="1" applyFont="1" applyFill="1" applyBorder="1" applyAlignment="1">
      <alignment horizontal="center"/>
    </xf>
    <xf numFmtId="0" fontId="1" fillId="2" borderId="3" xfId="0" applyNumberFormat="1" applyFont="1" applyFill="1" applyBorder="1" applyAlignment="1">
      <alignment horizontal="center"/>
    </xf>
    <xf numFmtId="0" fontId="0" fillId="0" borderId="4" xfId="0" applyNumberFormat="1" applyFont="1" applyFill="1" applyBorder="1"/>
    <xf numFmtId="0" fontId="0" fillId="0" borderId="5" xfId="0" applyNumberFormat="1" applyFont="1" applyFill="1" applyBorder="1"/>
    <xf numFmtId="0" fontId="0" fillId="0" borderId="6" xfId="0" applyNumberFormat="1" applyFont="1" applyFill="1" applyBorder="1"/>
    <xf numFmtId="0" fontId="0" fillId="0" borderId="7" xfId="0" applyNumberFormat="1" applyFont="1" applyFill="1" applyBorder="1"/>
    <xf numFmtId="0" fontId="0" fillId="0" borderId="8" xfId="0" applyNumberFormat="1" applyFont="1" applyFill="1" applyBorder="1"/>
    <xf numFmtId="0" fontId="0" fillId="0" borderId="9" xfId="0" applyNumberFormat="1" applyFont="1" applyFill="1" applyBorder="1"/>
    <xf numFmtId="0" fontId="4" fillId="4" borderId="10" xfId="0" applyNumberFormat="1" applyFont="1" applyFill="1" applyBorder="1" applyAlignment="1">
      <alignment vertical="center"/>
    </xf>
    <xf numFmtId="0" fontId="4" fillId="4" borderId="11" xfId="0" applyNumberFormat="1" applyFont="1" applyFill="1" applyBorder="1" applyAlignment="1">
      <alignment vertical="center"/>
    </xf>
    <xf numFmtId="0" fontId="4" fillId="4" borderId="12" xfId="0" applyNumberFormat="1" applyFont="1" applyFill="1" applyBorder="1" applyAlignment="1">
      <alignment vertical="center"/>
    </xf>
    <xf numFmtId="0" fontId="1" fillId="5" borderId="13" xfId="0" applyNumberFormat="1" applyFont="1" applyFill="1" applyBorder="1" applyAlignment="1">
      <alignment horizontal="center" vertical="center" wrapText="1"/>
    </xf>
    <xf numFmtId="0" fontId="1" fillId="5" borderId="14" xfId="0" applyNumberFormat="1" applyFont="1" applyFill="1" applyBorder="1" applyAlignment="1">
      <alignment horizontal="center" vertical="center" wrapText="1"/>
    </xf>
    <xf numFmtId="0" fontId="1" fillId="5" borderId="15" xfId="0" applyNumberFormat="1" applyFont="1" applyFill="1" applyBorder="1" applyAlignment="1">
      <alignment horizontal="center" vertical="center" wrapText="1"/>
    </xf>
    <xf numFmtId="0" fontId="5" fillId="0" borderId="16" xfId="0" applyNumberFormat="1" applyFont="1" applyFill="1" applyBorder="1" applyAlignment="1">
      <alignment vertical="top"/>
    </xf>
    <xf numFmtId="0" fontId="5" fillId="0" borderId="17" xfId="0" applyNumberFormat="1" applyFont="1" applyFill="1" applyBorder="1" applyAlignment="1">
      <alignment vertical="top"/>
    </xf>
    <xf numFmtId="0" fontId="5" fillId="0" borderId="18" xfId="0" applyNumberFormat="1" applyFont="1" applyFill="1" applyBorder="1" applyAlignment="1">
      <alignment vertical="top"/>
    </xf>
    <xf numFmtId="0" fontId="5" fillId="6" borderId="16" xfId="0" applyNumberFormat="1" applyFont="1" applyFill="1" applyBorder="1" applyAlignment="1">
      <alignment vertical="top"/>
    </xf>
    <xf numFmtId="0" fontId="5" fillId="6" borderId="17" xfId="0" applyNumberFormat="1" applyFont="1" applyFill="1" applyBorder="1" applyAlignment="1">
      <alignment vertical="top"/>
    </xf>
    <xf numFmtId="0" fontId="5" fillId="6" borderId="18" xfId="0" applyNumberFormat="1" applyFont="1" applyFill="1" applyBorder="1" applyAlignment="1">
      <alignment vertical="top"/>
    </xf>
    <xf numFmtId="0" fontId="5" fillId="7" borderId="16" xfId="0" applyNumberFormat="1" applyFont="1" applyFill="1" applyBorder="1" applyAlignment="1">
      <alignment vertical="top"/>
    </xf>
    <xf numFmtId="0" fontId="5" fillId="7" borderId="17" xfId="0" applyNumberFormat="1" applyFont="1" applyFill="1" applyBorder="1" applyAlignment="1">
      <alignment vertical="top"/>
    </xf>
    <xf numFmtId="0" fontId="5" fillId="7" borderId="18" xfId="0" applyNumberFormat="1" applyFont="1" applyFill="1" applyBorder="1" applyAlignment="1">
      <alignment vertical="top"/>
    </xf>
    <xf numFmtId="164" fontId="5" fillId="6" borderId="16" xfId="0" applyNumberFormat="1" applyFont="1" applyFill="1" applyBorder="1" applyAlignment="1">
      <alignment vertical="top"/>
    </xf>
    <xf numFmtId="164" fontId="5" fillId="6" borderId="17" xfId="0" applyNumberFormat="1" applyFont="1" applyFill="1" applyBorder="1" applyAlignment="1">
      <alignment vertical="top"/>
    </xf>
    <xf numFmtId="164" fontId="5" fillId="6" borderId="18" xfId="0" applyNumberFormat="1" applyFont="1" applyFill="1" applyBorder="1" applyAlignment="1">
      <alignment vertical="top"/>
    </xf>
    <xf numFmtId="1" fontId="5" fillId="7" borderId="16" xfId="0" applyNumberFormat="1" applyFont="1" applyFill="1" applyBorder="1" applyAlignment="1">
      <alignment vertical="top"/>
    </xf>
    <xf numFmtId="1" fontId="5" fillId="7" borderId="17" xfId="0" applyNumberFormat="1" applyFont="1" applyFill="1" applyBorder="1" applyAlignment="1">
      <alignment vertical="top"/>
    </xf>
    <xf numFmtId="1" fontId="5" fillId="7" borderId="18" xfId="0" applyNumberFormat="1" applyFont="1" applyFill="1" applyBorder="1" applyAlignment="1">
      <alignment vertical="top"/>
    </xf>
    <xf numFmtId="0" fontId="5" fillId="0" borderId="16" xfId="0" applyNumberFormat="1" applyFont="1" applyFill="1" applyBorder="1" applyAlignment="1">
      <alignment vertical="top" wrapText="1"/>
    </xf>
    <xf numFmtId="0" fontId="5" fillId="0" borderId="17" xfId="0" applyNumberFormat="1" applyFont="1" applyFill="1" applyBorder="1" applyAlignment="1">
      <alignment vertical="top" wrapText="1"/>
    </xf>
    <xf numFmtId="0" fontId="5" fillId="0" borderId="18" xfId="0" applyNumberFormat="1" applyFont="1" applyFill="1" applyBorder="1" applyAlignment="1">
      <alignment vertical="top" wrapText="1"/>
    </xf>
    <xf numFmtId="0" fontId="1" fillId="5" borderId="19" xfId="0" applyNumberFormat="1" applyFont="1" applyFill="1" applyBorder="1" applyAlignment="1">
      <alignment horizontal="center"/>
    </xf>
    <xf numFmtId="0" fontId="0" fillId="0" borderId="19" xfId="0" applyNumberFormat="1" applyFont="1" applyFill="1" applyBorder="1"/>
    <xf numFmtId="0" fontId="6" fillId="0" borderId="19" xfId="0" applyNumberFormat="1" applyFont="1" applyFill="1" applyBorder="1" applyAlignment="1">
      <alignment horizontal="center"/>
    </xf>
    <xf numFmtId="0" fontId="4" fillId="4" borderId="11" xfId="0" applyNumberFormat="1" applyFont="1" applyFill="1" applyBorder="1" applyAlignment="1">
      <alignment horizontal="center" vertical="center"/>
    </xf>
    <xf numFmtId="0" fontId="5" fillId="6" borderId="16" xfId="0" applyNumberFormat="1" applyFont="1" applyFill="1" applyBorder="1" applyAlignment="1">
      <alignment horizontal="center" vertical="top"/>
    </xf>
    <xf numFmtId="0" fontId="5" fillId="6" borderId="17" xfId="0" applyNumberFormat="1" applyFont="1" applyFill="1" applyBorder="1" applyAlignment="1">
      <alignment horizontal="center" vertical="top"/>
    </xf>
    <xf numFmtId="0" fontId="5" fillId="6" borderId="18" xfId="0" applyNumberFormat="1" applyFont="1" applyFill="1" applyBorder="1" applyAlignment="1">
      <alignment horizontal="center" vertical="top"/>
    </xf>
    <xf numFmtId="0" fontId="0" fillId="0" borderId="0" xfId="0" applyAlignment="1">
      <alignment horizontal="center"/>
    </xf>
    <xf numFmtId="0" fontId="0" fillId="0" borderId="5" xfId="0" applyNumberFormat="1" applyFont="1" applyFill="1" applyBorder="1" applyAlignment="1">
      <alignment horizontal="center"/>
    </xf>
    <xf numFmtId="0" fontId="5" fillId="6" borderId="16" xfId="0" applyNumberFormat="1" applyFont="1" applyFill="1" applyBorder="1" applyAlignment="1">
      <alignment horizontal="center" vertical="top" wrapText="1"/>
    </xf>
    <xf numFmtId="0" fontId="5" fillId="6" borderId="17" xfId="0" applyNumberFormat="1" applyFont="1" applyFill="1" applyBorder="1" applyAlignment="1">
      <alignment horizontal="center" vertical="top" wrapText="1"/>
    </xf>
    <xf numFmtId="0" fontId="5" fillId="6" borderId="18" xfId="0" applyNumberFormat="1" applyFont="1" applyFill="1" applyBorder="1" applyAlignment="1">
      <alignment horizontal="center" vertical="top" wrapText="1"/>
    </xf>
    <xf numFmtId="164" fontId="5" fillId="6" borderId="16" xfId="0" applyNumberFormat="1" applyFont="1" applyFill="1" applyBorder="1" applyAlignment="1">
      <alignment horizontal="center" vertical="top"/>
    </xf>
    <xf numFmtId="164" fontId="5" fillId="6" borderId="17" xfId="0" applyNumberFormat="1" applyFont="1" applyFill="1" applyBorder="1" applyAlignment="1">
      <alignment horizontal="center" vertical="top"/>
    </xf>
    <xf numFmtId="164" fontId="5" fillId="6" borderId="18" xfId="0" applyNumberFormat="1" applyFont="1" applyFill="1" applyBorder="1" applyAlignment="1">
      <alignment horizontal="center" vertical="top"/>
    </xf>
    <xf numFmtId="0" fontId="8" fillId="8" borderId="17" xfId="0" applyFont="1" applyFill="1" applyBorder="1" applyAlignment="1">
      <alignment vertical="top"/>
    </xf>
    <xf numFmtId="164" fontId="8" fillId="9" borderId="17" xfId="0" applyNumberFormat="1" applyFont="1" applyFill="1" applyBorder="1" applyAlignment="1">
      <alignment horizontal="center" vertical="top"/>
    </xf>
    <xf numFmtId="0" fontId="8" fillId="9" borderId="17" xfId="0" applyFont="1" applyFill="1" applyBorder="1" applyAlignment="1">
      <alignment horizontal="center" vertical="top"/>
    </xf>
    <xf numFmtId="0" fontId="8" fillId="9" borderId="17" xfId="0" applyFont="1" applyFill="1" applyBorder="1" applyAlignment="1">
      <alignment vertical="top"/>
    </xf>
    <xf numFmtId="0" fontId="8" fillId="9" borderId="17" xfId="0" applyFont="1" applyFill="1" applyBorder="1" applyAlignment="1">
      <alignment horizontal="center" vertical="top" wrapText="1"/>
    </xf>
    <xf numFmtId="164" fontId="8" fillId="9" borderId="17" xfId="0" applyNumberFormat="1" applyFont="1" applyFill="1" applyBorder="1" applyAlignment="1">
      <alignment vertical="top"/>
    </xf>
    <xf numFmtId="1" fontId="8" fillId="8" borderId="17" xfId="0" applyNumberFormat="1" applyFont="1" applyFill="1" applyBorder="1" applyAlignment="1">
      <alignment vertical="top"/>
    </xf>
    <xf numFmtId="0" fontId="8" fillId="0" borderId="17" xfId="0" applyFont="1" applyBorder="1" applyAlignment="1">
      <alignment vertical="top"/>
    </xf>
    <xf numFmtId="0" fontId="8" fillId="0" borderId="17" xfId="0" applyFont="1" applyBorder="1" applyAlignment="1">
      <alignment vertical="top" wrapText="1"/>
    </xf>
    <xf numFmtId="0" fontId="3" fillId="2" borderId="0" xfId="0" applyNumberFormat="1" applyFont="1" applyFill="1" applyBorder="1" applyAlignment="1">
      <alignment horizontal="left" vertical="center"/>
    </xf>
    <xf numFmtId="0" fontId="2" fillId="3" borderId="0" xfId="0" applyNumberFormat="1" applyFont="1" applyFill="1" applyBorder="1" applyAlignment="1">
      <alignment wrapText="1"/>
    </xf>
    <xf numFmtId="0" fontId="3" fillId="2" borderId="0" xfId="0" applyNumberFormat="1" applyFont="1" applyFill="1" applyBorder="1" applyAlignment="1">
      <alignment horizontal="left"/>
    </xf>
    <xf numFmtId="0" fontId="2" fillId="3" borderId="0" xfId="0" applyNumberFormat="1" applyFont="1" applyFill="1" applyBorder="1" applyAlignment="1">
      <alignment vertical="center" wrapText="1"/>
    </xf>
    <xf numFmtId="0" fontId="2" fillId="3" borderId="4" xfId="0" applyNumberFormat="1" applyFont="1" applyFill="1" applyBorder="1" applyAlignment="1">
      <alignment vertical="center" wrapText="1"/>
    </xf>
    <xf numFmtId="0" fontId="2" fillId="3" borderId="5" xfId="0" applyNumberFormat="1" applyFont="1" applyFill="1" applyBorder="1" applyAlignment="1">
      <alignment vertical="center" wrapText="1"/>
    </xf>
    <xf numFmtId="0" fontId="2" fillId="3" borderId="6" xfId="0" applyNumberFormat="1" applyFont="1" applyFill="1" applyBorder="1" applyAlignment="1">
      <alignment vertical="center" wrapText="1"/>
    </xf>
  </cellXfs>
  <cellStyles count="1">
    <cellStyle name="Normal" xfId="0" builtinId="0"/>
  </cellStyles>
  <dxfs count="25">
    <dxf>
      <font>
        <b/>
        <color rgb="FF9C0006"/>
      </font>
      <fill>
        <patternFill>
          <bgColor rgb="FFF4CCCC"/>
        </patternFill>
      </fill>
    </dxf>
    <dxf>
      <font>
        <b/>
        <color rgb="FF9C0006"/>
      </font>
      <fill>
        <patternFill patternType="solid">
          <bgColor rgb="FFF4CCCC"/>
        </patternFill>
      </fill>
    </dxf>
    <dxf>
      <font>
        <b/>
        <color rgb="FF1F4E78"/>
      </font>
      <fill>
        <patternFill>
          <bgColor rgb="FFDDEBF7"/>
        </patternFill>
      </fill>
    </dxf>
    <dxf>
      <font>
        <b/>
        <color rgb="FF006100"/>
      </font>
      <fill>
        <patternFill>
          <bgColor rgb="FFE2F0D9"/>
        </patternFill>
      </fill>
    </dxf>
    <dxf>
      <font>
        <b/>
        <color rgb="FF1F4E78"/>
      </font>
      <fill>
        <patternFill patternType="solid">
          <bgColor rgb="FFDDEBF7"/>
        </patternFill>
      </fill>
    </dxf>
    <dxf>
      <font>
        <b/>
        <color rgb="FF006100"/>
      </font>
      <fill>
        <patternFill patternType="solid">
          <bgColor rgb="FFE2F0D9"/>
        </patternFill>
      </fill>
    </dxf>
    <dxf>
      <font>
        <color rgb="FF006100"/>
      </font>
      <fill>
        <patternFill>
          <bgColor rgb="FFE2F0D9"/>
        </patternFill>
      </fill>
    </dxf>
    <dxf>
      <font>
        <color rgb="FF9C6500"/>
      </font>
      <fill>
        <patternFill>
          <bgColor rgb="FFFFF2CC"/>
        </patternFill>
      </fill>
    </dxf>
    <dxf>
      <font>
        <b/>
        <color rgb="FF9C0006"/>
      </font>
      <fill>
        <patternFill>
          <bgColor rgb="FFF4CCCC"/>
        </patternFill>
      </fill>
    </dxf>
    <dxf>
      <font>
        <b/>
        <color rgb="FFFFFFFF"/>
      </font>
      <fill>
        <patternFill>
          <bgColor rgb="FFC00000"/>
        </patternFill>
      </fill>
    </dxf>
    <dxf>
      <font>
        <color rgb="FF006100"/>
      </font>
      <fill>
        <patternFill patternType="solid">
          <bgColor rgb="FFE2F0D9"/>
        </patternFill>
      </fill>
    </dxf>
    <dxf>
      <font>
        <color rgb="FF9C6500"/>
      </font>
      <fill>
        <patternFill patternType="solid">
          <bgColor rgb="FFFFF2CC"/>
        </patternFill>
      </fill>
    </dxf>
    <dxf>
      <font>
        <b/>
        <color rgb="FF9C0006"/>
      </font>
      <fill>
        <patternFill patternType="solid">
          <bgColor rgb="FFF4CCCC"/>
        </patternFill>
      </fill>
    </dxf>
    <dxf>
      <font>
        <b/>
        <color rgb="FFFFFFFF"/>
      </font>
      <fill>
        <patternFill patternType="solid">
          <bgColor rgb="FFC00000"/>
        </patternFill>
      </fill>
    </dxf>
    <dxf>
      <font>
        <b/>
        <color rgb="FF17365D"/>
      </font>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
      <alignment horizontal="center"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76a7b5a8ecc44c49" Type="http://schemas.microsoft.com/office/2017/10/relationships/person" Target="persons/person.xml"/><Relationship Id="rId4"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177800</xdr:colOff>
      <xdr:row>31</xdr:row>
      <xdr:rowOff>95250</xdr:rowOff>
    </xdr:to>
    <xdr:sp macro="" textlink="">
      <xdr:nvSpPr>
        <xdr:cNvPr id="1027" name="Text Box 3" hidden="1">
          <a:extLst>
            <a:ext uri="{FF2B5EF4-FFF2-40B4-BE49-F238E27FC236}">
              <a16:creationId xmlns:a16="http://schemas.microsoft.com/office/drawing/2014/main" id="{22DEA8C3-EB2A-7987-608C-1287472B0CB3}"/>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xltc:personList xmlns:xltc="http://schemas.microsoft.com/office/spreadsheetml/2018/threadedcomments">
  <xltc:person displayName="Levy Ostrup" id="{CC4B347F-2ECD-46CB-B565-2B77C9B73372}"/>
</xltc: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eficiencyLog" displayName="DeficiencyLog" ref="A6:T506" totalsRowShown="0">
  <autoFilter ref="A6:T506" xr:uid="{00000000-0009-0000-0100-000001000000}"/>
  <tableColumns count="20">
    <tableColumn id="1" xr3:uid="{00000000-0010-0000-0000-000001000000}" name="Deficiency ID"/>
    <tableColumn id="2" xr3:uid="{00000000-0010-0000-0000-000002000000}" name="Date Identified" dataDxfId="24"/>
    <tableColumn id="3" xr3:uid="{00000000-0010-0000-0000-000003000000}" name="Area / Module" dataDxfId="23"/>
    <tableColumn id="4" xr3:uid="{00000000-0010-0000-0000-000004000000}" name="System" dataDxfId="22"/>
    <tableColumn id="5" xr3:uid="{00000000-0010-0000-0000-000005000000}" name="Discipline" dataDxfId="21"/>
    <tableColumn id="6" xr3:uid="{00000000-0010-0000-0000-000006000000}" name="Tag / Equipment No." dataDxfId="20"/>
    <tableColumn id="7" xr3:uid="{00000000-0010-0000-0000-000007000000}" name="Drawing / EWP / ITR Ref."/>
    <tableColumn id="8" xr3:uid="{00000000-0010-0000-0000-000008000000}" name="Category" dataDxfId="19"/>
    <tableColumn id="9" xr3:uid="{00000000-0010-0000-0000-000009000000}" name="Deficiency Description" dataDxfId="18"/>
    <tableColumn id="10" xr3:uid="{00000000-0010-0000-0000-00000A000000}" name="Priority" dataDxfId="17"/>
    <tableColumn id="11" xr3:uid="{00000000-0010-0000-0000-00000B000000}" name="Responsible Party" dataDxfId="16"/>
    <tableColumn id="12" xr3:uid="{00000000-0010-0000-0000-00000C000000}" name="Target Date"/>
    <tableColumn id="13" xr3:uid="{00000000-0010-0000-0000-00000D000000}" name="Status" dataDxfId="15"/>
    <tableColumn id="14" xr3:uid="{00000000-0010-0000-0000-00000E000000}" name="Date Corrected"/>
    <tableColumn id="15" xr3:uid="{00000000-0010-0000-0000-00000F000000}" name="Verified By"/>
    <tableColumn id="16" xr3:uid="{00000000-0010-0000-0000-000010000000}" name="Verification Date"/>
    <tableColumn id="17" xr3:uid="{00000000-0010-0000-0000-000011000000}" name="Days Open"/>
    <tableColumn id="18" xr3:uid="{00000000-0010-0000-0000-000012000000}" name="Overdue?"/>
    <tableColumn id="19" xr3:uid="{00000000-0010-0000-0000-000013000000}" name="Photo / NCR / RFI Ref."/>
    <tableColumn id="20" xr3:uid="{00000000-0010-0000-0000-000014000000}" name="Comments / Close-out Detail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xml><?xml version="1.0" encoding="utf-8"?>
<xltc:ThreadedComments xmlns:xltc="http://schemas.microsoft.com/office/spreadsheetml/2018/threadedcomments">
  <xltc:threadedComment ref="I6" dT="2026-07-21T14:00:08.643" personId="{CC4B347F-2ECD-46CB-B565-2B77C9B73372}" id="{F5FE0468-6B60-5BAE-6D9A-6E4E95F5D63D}">
    <xltc:text>Enter a clear, objective description of the observed deficiency and the required correction.</xltc:text>
  </xltc:threadedComment>
  <xltc:threadedComment ref="M6" dT="2026-07-21T14:00:08.644" personId="{CC4B347F-2ECD-46CB-B565-2B77C9B73372}" id="{0B1C9601-EE0C-A845-E951-EF9A90346BE7}">
    <xltc:text>Use Ready for Verification after construction reports the correction complete; QA/QC should move it to Closed after verification.</xltc:text>
  </xltc:threadedComment>
</xltc:ThreadedComments>
</file>

<file path=xl/worksheets/_rels/sheet1.xml.rels><?xml version="1.0" encoding="UTF-8" standalone="yes"?>
<Relationships xmlns="http://schemas.openxmlformats.org/package/2006/relationships"><Relationship Id="R72e8e68f7c32410a" Type="http://schemas.microsoft.com/office/2017/10/relationships/threadedComment" Target="../threadedcomments/threadedcomment.xm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06"/>
  <sheetViews>
    <sheetView showGridLines="0" tabSelected="1" topLeftCell="A211" zoomScale="115" zoomScaleNormal="115" workbookViewId="0">
      <selection activeCell="H220" sqref="H220"/>
    </sheetView>
  </sheetViews>
  <sheetFormatPr defaultRowHeight="14"/>
  <cols>
    <col min="1" max="1" width="15" customWidth="1"/>
    <col min="2" max="2" width="14" style="41" customWidth="1"/>
    <col min="3" max="4" width="18" style="41" customWidth="1"/>
    <col min="5" max="5" width="16" style="41" customWidth="1"/>
    <col min="6" max="6" width="20" style="41" customWidth="1"/>
    <col min="7" max="7" width="38.9140625" customWidth="1"/>
    <col min="8" max="8" width="18" style="41" customWidth="1"/>
    <col min="9" max="9" width="42" style="41" customWidth="1"/>
    <col min="10" max="10" width="12" style="41" customWidth="1"/>
    <col min="11" max="11" width="20" style="41" customWidth="1"/>
    <col min="12" max="12" width="14" customWidth="1"/>
    <col min="13" max="13" width="22" style="41" customWidth="1"/>
    <col min="14" max="14" width="15" customWidth="1"/>
    <col min="15" max="15" width="18" customWidth="1"/>
    <col min="16" max="16" width="16" customWidth="1"/>
    <col min="17" max="18" width="11" customWidth="1"/>
    <col min="19" max="19" width="22" customWidth="1"/>
    <col min="20" max="20" width="38" customWidth="1"/>
  </cols>
  <sheetData>
    <row r="1" spans="1:20" ht="34" customHeight="1">
      <c r="A1" s="58" t="s">
        <v>73</v>
      </c>
      <c r="B1" s="58"/>
      <c r="C1" s="58"/>
      <c r="D1" s="58"/>
      <c r="E1" s="58"/>
      <c r="F1" s="58"/>
      <c r="G1" s="58"/>
      <c r="H1" s="58"/>
      <c r="I1" s="58"/>
      <c r="J1" s="58"/>
      <c r="K1" s="58"/>
      <c r="L1" s="58"/>
      <c r="M1" s="58"/>
      <c r="N1" s="58"/>
      <c r="O1" s="58"/>
      <c r="P1" s="58"/>
      <c r="Q1" s="58"/>
      <c r="R1" s="58"/>
      <c r="S1" s="58"/>
      <c r="T1" s="58"/>
    </row>
    <row r="2" spans="1:20" ht="14.5">
      <c r="A2" s="59" t="s">
        <v>0</v>
      </c>
      <c r="B2" s="59"/>
      <c r="C2" s="59"/>
      <c r="D2" s="59"/>
      <c r="E2" s="59"/>
      <c r="F2" s="59"/>
      <c r="G2" s="59"/>
      <c r="H2" s="59"/>
      <c r="I2" s="59"/>
      <c r="J2" s="59"/>
      <c r="K2" s="59"/>
      <c r="L2" s="59"/>
      <c r="M2" s="59"/>
      <c r="N2" s="59"/>
      <c r="O2" s="59"/>
      <c r="P2" s="59"/>
      <c r="Q2" s="59"/>
      <c r="R2" s="59"/>
      <c r="S2" s="59"/>
      <c r="T2" s="59"/>
    </row>
    <row r="3" spans="1:20" ht="24" customHeight="1">
      <c r="A3" s="10" t="s">
        <v>1</v>
      </c>
      <c r="B3" s="37" t="s">
        <v>94</v>
      </c>
      <c r="C3" s="37" t="s">
        <v>2</v>
      </c>
      <c r="D3" s="37" t="s">
        <v>3</v>
      </c>
      <c r="E3" s="37" t="s">
        <v>4</v>
      </c>
      <c r="F3" s="37" t="s">
        <v>5</v>
      </c>
      <c r="G3" s="11" t="s">
        <v>74</v>
      </c>
      <c r="H3" s="37" t="s">
        <v>76</v>
      </c>
      <c r="I3" s="37" t="s">
        <v>6</v>
      </c>
      <c r="J3" s="37" t="s">
        <v>77</v>
      </c>
      <c r="K3" s="37" t="s">
        <v>7</v>
      </c>
      <c r="L3" s="11" t="inlineStr">
        <is>
          <t>01-10-2026</t>
        </is>
      </c>
      <c r="M3" s="37" t="s">
        <v>8</v>
      </c>
      <c r="N3" s="11">
        <f>COUNTIF($M$7:$M$506,"Open")+COUNTIF($M$7:$M$506,"In Progress")</f>
        <v>149</v>
      </c>
      <c r="O3" s="11" t="s">
        <v>9</v>
      </c>
      <c r="P3" s="11">
        <f ca="1">COUNTIF($R$7:$R$506,"Yes")</f>
        <v>6</v>
      </c>
      <c r="Q3" s="11" t="s">
        <v>10</v>
      </c>
      <c r="R3" s="11">
        <f>COUNTIF($M$7:$M$506,"Ready for Verification")</f>
        <v>0</v>
      </c>
      <c r="S3" s="11" t="s">
        <v>11</v>
      </c>
      <c r="T3" s="12">
        <f>COUNTIF($M$7:$M$506,"Closed")</f>
        <v>34</v>
      </c>
    </row>
    <row r="6" spans="1:20" ht="42" customHeight="1">
      <c r="A6" s="13" t="s">
        <v>12</v>
      </c>
      <c r="B6" s="14" t="s">
        <v>13</v>
      </c>
      <c r="C6" s="14" t="s">
        <v>14</v>
      </c>
      <c r="D6" s="14" t="s">
        <v>15</v>
      </c>
      <c r="E6" s="14" t="s">
        <v>16</v>
      </c>
      <c r="F6" s="14" t="s">
        <v>17</v>
      </c>
      <c r="G6" s="14" t="s">
        <v>18</v>
      </c>
      <c r="H6" s="14" t="s">
        <v>19</v>
      </c>
      <c r="I6" s="14" t="s">
        <v>20</v>
      </c>
      <c r="J6" s="14" t="s">
        <v>21</v>
      </c>
      <c r="K6" s="14" t="s">
        <v>22</v>
      </c>
      <c r="L6" s="14" t="s">
        <v>23</v>
      </c>
      <c r="M6" s="14" t="s">
        <v>24</v>
      </c>
      <c r="N6" s="14" t="s">
        <v>25</v>
      </c>
      <c r="O6" s="14" t="s">
        <v>26</v>
      </c>
      <c r="P6" s="14" t="s">
        <v>27</v>
      </c>
      <c r="Q6" s="14" t="s">
        <v>28</v>
      </c>
      <c r="R6" s="14" t="s">
        <v>29</v>
      </c>
      <c r="S6" s="14" t="s">
        <v>30</v>
      </c>
      <c r="T6" s="15" t="s">
        <v>31</v>
      </c>
    </row>
    <row r="7" spans="1:20">
      <c r="A7" s="23" t="s">
        <v>133</v>
      </c>
      <c r="B7" s="46">
        <v>46224</v>
      </c>
      <c r="C7" s="38" t="s">
        <v>78</v>
      </c>
      <c r="D7" s="38" t="s">
        <v>79</v>
      </c>
      <c r="E7" s="38" t="s">
        <v>49</v>
      </c>
      <c r="F7" s="38" t="s">
        <v>81</v>
      </c>
      <c r="G7" s="19"/>
      <c r="H7" s="38" t="s">
        <v>67</v>
      </c>
      <c r="I7" s="43" t="s">
        <v>80</v>
      </c>
      <c r="J7" s="38" t="s">
        <v>44</v>
      </c>
      <c r="K7" s="42" t="s">
        <v>51</v>
      </c>
      <c r="L7" s="25">
        <v>46233</v>
      </c>
      <c r="M7" s="38" t="s">
        <v>37</v>
      </c>
      <c r="N7" s="25"/>
      <c r="O7" s="19"/>
      <c r="P7" s="25"/>
      <c r="Q7" s="28">
        <f t="shared" ref="Q7:Q70" ca="1" si="0">IF($B7="","",MAX(0,IF($M7="Closed",IF($N7="",TODAY()-$B7,$N7-$B7),TODAY()-$B7)))</f>
        <v>60</v>
      </c>
      <c r="R7" s="22" t="str">
        <f t="shared" ref="R7:R70" ca="1" si="1">IF(OR($I7="",$L7="",$M7="Closed"),"",IF(TODAY()&gt;$L7,"Yes","No"))</f>
        <v>Yes</v>
      </c>
      <c r="S7" s="16"/>
      <c r="T7" s="31"/>
    </row>
    <row r="8" spans="1:20">
      <c r="A8" s="23" t="s">
        <v>132</v>
      </c>
      <c r="B8" s="47">
        <v>46218</v>
      </c>
      <c r="C8" s="39" t="s">
        <v>78</v>
      </c>
      <c r="D8" s="39" t="s">
        <v>82</v>
      </c>
      <c r="E8" s="39" t="s">
        <v>49</v>
      </c>
      <c r="F8" s="39" t="s">
        <v>83</v>
      </c>
      <c r="G8" s="20"/>
      <c r="H8" s="39" t="s">
        <v>53</v>
      </c>
      <c r="I8" s="44" t="s">
        <v>85</v>
      </c>
      <c r="J8" s="39" t="s">
        <v>41</v>
      </c>
      <c r="K8" s="42" t="s">
        <v>51</v>
      </c>
      <c r="L8" s="26">
        <v>46233</v>
      </c>
      <c r="M8" s="39" t="s">
        <v>37</v>
      </c>
      <c r="N8" s="26"/>
      <c r="O8" s="20"/>
      <c r="P8" s="26"/>
      <c r="Q8" s="29">
        <f t="shared" ca="1" si="0"/>
        <v>66</v>
      </c>
      <c r="R8" s="23" t="str">
        <f t="shared" ca="1" si="1"/>
        <v>Yes</v>
      </c>
      <c r="S8" s="17"/>
      <c r="T8" s="32"/>
    </row>
    <row r="9" spans="1:20">
      <c r="A9" s="23" t="s">
        <v>125</v>
      </c>
      <c r="B9" s="47">
        <v>46220</v>
      </c>
      <c r="C9" s="39" t="s">
        <v>86</v>
      </c>
      <c r="D9" s="39" t="s">
        <v>87</v>
      </c>
      <c r="E9" s="39" t="s">
        <v>49</v>
      </c>
      <c r="F9" s="39" t="s">
        <v>88</v>
      </c>
      <c r="G9" s="20"/>
      <c r="H9" s="39" t="s">
        <v>67</v>
      </c>
      <c r="I9" s="44" t="s">
        <v>89</v>
      </c>
      <c r="J9" s="39" t="s">
        <v>47</v>
      </c>
      <c r="K9" s="42" t="s">
        <v>51</v>
      </c>
      <c r="L9" s="26">
        <v>46234</v>
      </c>
      <c r="M9" s="39" t="s">
        <v>37</v>
      </c>
      <c r="N9" s="26"/>
      <c r="O9" s="20"/>
      <c r="P9" s="26"/>
      <c r="Q9" s="29">
        <f t="shared" ca="1" si="0"/>
        <v>64</v>
      </c>
      <c r="R9" s="23" t="str">
        <f t="shared" ca="1" si="1"/>
        <v>Yes</v>
      </c>
      <c r="S9" s="23" t="s">
        <v>90</v>
      </c>
      <c r="T9" s="32"/>
    </row>
    <row r="10" spans="1:20">
      <c r="A10" s="23" t="s">
        <v>124</v>
      </c>
      <c r="B10" s="47">
        <v>46222</v>
      </c>
      <c r="C10" s="39" t="s">
        <v>86</v>
      </c>
      <c r="D10" s="39" t="s">
        <v>91</v>
      </c>
      <c r="E10" s="39" t="s">
        <v>49</v>
      </c>
      <c r="F10" s="39" t="s">
        <v>84</v>
      </c>
      <c r="G10" s="20"/>
      <c r="H10" s="39" t="s">
        <v>67</v>
      </c>
      <c r="I10" s="44" t="s">
        <v>92</v>
      </c>
      <c r="J10" s="39" t="s">
        <v>44</v>
      </c>
      <c r="K10" s="42" t="s">
        <v>51</v>
      </c>
      <c r="L10" s="26">
        <v>46234</v>
      </c>
      <c r="M10" s="39" t="s">
        <v>37</v>
      </c>
      <c r="N10" s="26"/>
      <c r="O10" s="20"/>
      <c r="P10" s="26"/>
      <c r="Q10" s="29">
        <f t="shared" ca="1" si="0"/>
        <v>62</v>
      </c>
      <c r="R10" s="23" t="str">
        <f t="shared" ca="1" si="1"/>
        <v>Yes</v>
      </c>
      <c r="S10" s="17" t="s">
        <v>93</v>
      </c>
      <c r="T10" s="32"/>
    </row>
    <row r="11" spans="1:20" ht="25">
      <c r="A11" s="23" t="s">
        <v>131</v>
      </c>
      <c r="B11" s="47">
        <v>46195</v>
      </c>
      <c r="C11" s="39" t="s">
        <v>95</v>
      </c>
      <c r="D11" s="39" t="s">
        <v>96</v>
      </c>
      <c r="E11" s="39" t="s">
        <v>49</v>
      </c>
      <c r="F11" s="39" t="s">
        <v>97</v>
      </c>
      <c r="G11" s="20"/>
      <c r="H11" s="39" t="s">
        <v>50</v>
      </c>
      <c r="I11" s="44" t="s">
        <v>102</v>
      </c>
      <c r="J11" s="39" t="s">
        <v>44</v>
      </c>
      <c r="K11" s="42" t="s">
        <v>51</v>
      </c>
      <c r="L11" s="26"/>
      <c r="M11" s="39" t="s">
        <v>37</v>
      </c>
      <c r="N11" s="26"/>
      <c r="O11" s="20"/>
      <c r="P11" s="26"/>
      <c r="Q11" s="29">
        <f t="shared" ca="1" si="0"/>
        <v>89</v>
      </c>
      <c r="R11" s="23" t="str">
        <f t="shared" ca="1" si="1"/>
        <v/>
      </c>
      <c r="S11" s="17"/>
      <c r="T11" s="32"/>
    </row>
    <row r="12" spans="1:20">
      <c r="A12" s="23" t="s">
        <v>130</v>
      </c>
      <c r="B12" s="47">
        <v>46195</v>
      </c>
      <c r="C12" s="39" t="s">
        <v>95</v>
      </c>
      <c r="D12" s="39" t="s">
        <v>96</v>
      </c>
      <c r="E12" s="39" t="s">
        <v>49</v>
      </c>
      <c r="F12" s="39" t="s">
        <v>95</v>
      </c>
      <c r="G12" s="20"/>
      <c r="H12" s="39" t="s">
        <v>67</v>
      </c>
      <c r="I12" s="44" t="s">
        <v>98</v>
      </c>
      <c r="J12" s="39" t="s">
        <v>44</v>
      </c>
      <c r="K12" s="39" t="s">
        <v>51</v>
      </c>
      <c r="L12" s="26"/>
      <c r="M12" s="39" t="s">
        <v>37</v>
      </c>
      <c r="N12" s="26"/>
      <c r="O12" s="20"/>
      <c r="P12" s="26"/>
      <c r="Q12" s="29">
        <f t="shared" ca="1" si="0"/>
        <v>89</v>
      </c>
      <c r="R12" s="23" t="str">
        <f t="shared" ca="1" si="1"/>
        <v/>
      </c>
      <c r="S12" s="17"/>
      <c r="T12" s="32"/>
    </row>
    <row r="13" spans="1:20">
      <c r="A13" s="23" t="s">
        <v>129</v>
      </c>
      <c r="B13" s="47">
        <v>46195</v>
      </c>
      <c r="C13" s="39" t="s">
        <v>95</v>
      </c>
      <c r="D13" s="39" t="s">
        <v>96</v>
      </c>
      <c r="E13" s="39" t="s">
        <v>49</v>
      </c>
      <c r="F13" s="39" t="s">
        <v>95</v>
      </c>
      <c r="G13" s="20"/>
      <c r="H13" s="39" t="s">
        <v>56</v>
      </c>
      <c r="I13" s="44" t="s">
        <v>99</v>
      </c>
      <c r="J13" s="39" t="s">
        <v>47</v>
      </c>
      <c r="K13" s="39" t="s">
        <v>51</v>
      </c>
      <c r="L13" s="26"/>
      <c r="M13" s="39" t="s">
        <v>37</v>
      </c>
      <c r="N13" s="26"/>
      <c r="O13" s="20"/>
      <c r="P13" s="26"/>
      <c r="Q13" s="29">
        <f t="shared" ca="1" si="0"/>
        <v>89</v>
      </c>
      <c r="R13" s="23" t="str">
        <f t="shared" ca="1" si="1"/>
        <v/>
      </c>
      <c r="S13" s="17"/>
      <c r="T13" s="32"/>
    </row>
    <row r="14" spans="1:20">
      <c r="A14" s="23" t="s">
        <v>128</v>
      </c>
      <c r="B14" s="47">
        <v>46195</v>
      </c>
      <c r="C14" s="39" t="s">
        <v>95</v>
      </c>
      <c r="D14" s="39" t="s">
        <v>96</v>
      </c>
      <c r="E14" s="39" t="s">
        <v>49</v>
      </c>
      <c r="F14" s="39" t="s">
        <v>95</v>
      </c>
      <c r="G14" s="20"/>
      <c r="H14" s="39" t="s">
        <v>67</v>
      </c>
      <c r="I14" s="44" t="s">
        <v>100</v>
      </c>
      <c r="J14" s="39" t="s">
        <v>44</v>
      </c>
      <c r="K14" s="39" t="s">
        <v>51</v>
      </c>
      <c r="L14" s="26"/>
      <c r="M14" s="39" t="s">
        <v>37</v>
      </c>
      <c r="N14" s="26"/>
      <c r="O14" s="20"/>
      <c r="P14" s="26"/>
      <c r="Q14" s="29">
        <f t="shared" ca="1" si="0"/>
        <v>89</v>
      </c>
      <c r="R14" s="23" t="str">
        <f t="shared" ca="1" si="1"/>
        <v/>
      </c>
      <c r="S14" s="17"/>
      <c r="T14" s="32"/>
    </row>
    <row r="15" spans="1:20" ht="25">
      <c r="A15" s="23" t="s">
        <v>127</v>
      </c>
      <c r="B15" s="47">
        <v>46195</v>
      </c>
      <c r="C15" s="39" t="s">
        <v>95</v>
      </c>
      <c r="D15" s="39" t="s">
        <v>96</v>
      </c>
      <c r="E15" s="39" t="s">
        <v>49</v>
      </c>
      <c r="F15" s="39" t="s">
        <v>101</v>
      </c>
      <c r="G15" s="20"/>
      <c r="H15" s="39" t="s">
        <v>50</v>
      </c>
      <c r="I15" s="44" t="s">
        <v>102</v>
      </c>
      <c r="J15" s="39" t="s">
        <v>44</v>
      </c>
      <c r="K15" s="39" t="s">
        <v>51</v>
      </c>
      <c r="L15" s="26"/>
      <c r="M15" s="39" t="s">
        <v>37</v>
      </c>
      <c r="N15" s="26"/>
      <c r="O15" s="20"/>
      <c r="P15" s="26"/>
      <c r="Q15" s="29">
        <f t="shared" ca="1" si="0"/>
        <v>89</v>
      </c>
      <c r="R15" s="23" t="str">
        <f t="shared" ca="1" si="1"/>
        <v/>
      </c>
      <c r="S15" s="17"/>
      <c r="T15" s="32"/>
    </row>
    <row r="16" spans="1:20">
      <c r="A16" s="23" t="s">
        <v>126</v>
      </c>
      <c r="B16" s="47">
        <v>46195</v>
      </c>
      <c r="C16" s="39" t="s">
        <v>95</v>
      </c>
      <c r="D16" s="39" t="s">
        <v>96</v>
      </c>
      <c r="E16" s="39" t="s">
        <v>49</v>
      </c>
      <c r="F16" s="39" t="s">
        <v>95</v>
      </c>
      <c r="G16" s="20"/>
      <c r="H16" s="39" t="s">
        <v>67</v>
      </c>
      <c r="I16" s="44" t="s">
        <v>103</v>
      </c>
      <c r="J16" s="39" t="s">
        <v>47</v>
      </c>
      <c r="K16" s="39" t="s">
        <v>51</v>
      </c>
      <c r="L16" s="26"/>
      <c r="M16" s="39" t="s">
        <v>37</v>
      </c>
      <c r="N16" s="26"/>
      <c r="O16" s="20"/>
      <c r="P16" s="26"/>
      <c r="Q16" s="29">
        <f t="shared" ca="1" si="0"/>
        <v>89</v>
      </c>
      <c r="R16" s="23" t="str">
        <f t="shared" ca="1" si="1"/>
        <v/>
      </c>
      <c r="S16" s="17"/>
      <c r="T16" s="32"/>
    </row>
    <row r="17" spans="1:20">
      <c r="A17" s="23" t="str">
        <f t="shared" ref="A17:A64" si="2">IF($I17="","","DEF-"&amp;TEXT(ROW()-6,"0000"))</f>
        <v>DEF-0011</v>
      </c>
      <c r="B17" s="47">
        <v>46195</v>
      </c>
      <c r="C17" s="39" t="s">
        <v>95</v>
      </c>
      <c r="D17" s="39" t="s">
        <v>96</v>
      </c>
      <c r="E17" s="39" t="s">
        <v>49</v>
      </c>
      <c r="F17" s="39" t="s">
        <v>104</v>
      </c>
      <c r="G17" s="20"/>
      <c r="H17" s="39" t="s">
        <v>67</v>
      </c>
      <c r="I17" s="44" t="s">
        <v>105</v>
      </c>
      <c r="J17" s="39" t="s">
        <v>47</v>
      </c>
      <c r="K17" s="39" t="s">
        <v>51</v>
      </c>
      <c r="L17" s="26"/>
      <c r="M17" s="39" t="s">
        <v>37</v>
      </c>
      <c r="N17" s="26"/>
      <c r="O17" s="20"/>
      <c r="P17" s="26"/>
      <c r="Q17" s="29">
        <f t="shared" ca="1" si="0"/>
        <v>89</v>
      </c>
      <c r="R17" s="23" t="str">
        <f t="shared" ca="1" si="1"/>
        <v/>
      </c>
      <c r="S17" s="17"/>
      <c r="T17" s="32"/>
    </row>
    <row r="18" spans="1:20" ht="25">
      <c r="A18" s="23" t="str">
        <f t="shared" si="2"/>
        <v>DEF-0012</v>
      </c>
      <c r="B18" s="47">
        <v>46195</v>
      </c>
      <c r="C18" s="39" t="s">
        <v>95</v>
      </c>
      <c r="D18" s="39" t="s">
        <v>96</v>
      </c>
      <c r="E18" s="39" t="s">
        <v>49</v>
      </c>
      <c r="F18" s="39" t="s">
        <v>106</v>
      </c>
      <c r="G18" s="20"/>
      <c r="H18" s="39" t="s">
        <v>50</v>
      </c>
      <c r="I18" s="44" t="s">
        <v>107</v>
      </c>
      <c r="J18" s="39" t="s">
        <v>47</v>
      </c>
      <c r="K18" s="39" t="s">
        <v>51</v>
      </c>
      <c r="L18" s="26"/>
      <c r="M18" s="39" t="s">
        <v>37</v>
      </c>
      <c r="N18" s="26"/>
      <c r="O18" s="20"/>
      <c r="P18" s="26"/>
      <c r="Q18" s="29">
        <f t="shared" ca="1" si="0"/>
        <v>89</v>
      </c>
      <c r="R18" s="23" t="str">
        <f t="shared" ca="1" si="1"/>
        <v/>
      </c>
      <c r="S18" s="17"/>
      <c r="T18" s="32"/>
    </row>
    <row r="19" spans="1:20">
      <c r="A19" s="23" t="str">
        <f t="shared" si="2"/>
        <v>DEF-0013</v>
      </c>
      <c r="B19" s="47">
        <v>46195</v>
      </c>
      <c r="C19" s="39" t="s">
        <v>95</v>
      </c>
      <c r="D19" s="39" t="s">
        <v>96</v>
      </c>
      <c r="E19" s="39" t="s">
        <v>49</v>
      </c>
      <c r="F19" s="39" t="s">
        <v>95</v>
      </c>
      <c r="G19" s="20"/>
      <c r="H19" s="39" t="s">
        <v>50</v>
      </c>
      <c r="I19" s="44" t="s">
        <v>108</v>
      </c>
      <c r="J19" s="39" t="s">
        <v>47</v>
      </c>
      <c r="K19" s="39" t="s">
        <v>51</v>
      </c>
      <c r="L19" s="26"/>
      <c r="M19" s="39" t="s">
        <v>37</v>
      </c>
      <c r="N19" s="26"/>
      <c r="O19" s="20"/>
      <c r="P19" s="26"/>
      <c r="Q19" s="29">
        <f t="shared" ca="1" si="0"/>
        <v>89</v>
      </c>
      <c r="R19" s="23" t="str">
        <f t="shared" ca="1" si="1"/>
        <v/>
      </c>
      <c r="S19" s="17"/>
      <c r="T19" s="32"/>
    </row>
    <row r="20" spans="1:20">
      <c r="A20" s="23" t="str">
        <f t="shared" si="2"/>
        <v>DEF-0014</v>
      </c>
      <c r="B20" s="47">
        <v>46191</v>
      </c>
      <c r="C20" s="39" t="s">
        <v>109</v>
      </c>
      <c r="D20" s="39"/>
      <c r="E20" s="39" t="s">
        <v>49</v>
      </c>
      <c r="F20" s="39" t="s">
        <v>113</v>
      </c>
      <c r="G20" s="20"/>
      <c r="H20" s="39" t="s">
        <v>56</v>
      </c>
      <c r="I20" s="44" t="s">
        <v>119</v>
      </c>
      <c r="J20" s="39" t="s">
        <v>47</v>
      </c>
      <c r="K20" s="39" t="s">
        <v>51</v>
      </c>
      <c r="L20" s="26"/>
      <c r="M20" s="39" t="s">
        <v>37</v>
      </c>
      <c r="N20" s="26"/>
      <c r="O20" s="20"/>
      <c r="P20" s="26"/>
      <c r="Q20" s="29">
        <f t="shared" ca="1" si="0"/>
        <v>93</v>
      </c>
      <c r="R20" s="23" t="str">
        <f t="shared" ca="1" si="1"/>
        <v/>
      </c>
      <c r="S20" s="17"/>
      <c r="T20" s="32"/>
    </row>
    <row r="21" spans="1:20">
      <c r="A21" s="23" t="str">
        <f t="shared" si="2"/>
        <v>DEF-0015</v>
      </c>
      <c r="B21" s="47">
        <v>46191</v>
      </c>
      <c r="C21" s="39" t="s">
        <v>109</v>
      </c>
      <c r="D21" s="39"/>
      <c r="E21" s="39" t="s">
        <v>49</v>
      </c>
      <c r="F21" s="39" t="s">
        <v>114</v>
      </c>
      <c r="G21" s="20"/>
      <c r="H21" s="39" t="s">
        <v>67</v>
      </c>
      <c r="I21" s="44" t="s">
        <v>120</v>
      </c>
      <c r="J21" s="39" t="s">
        <v>47</v>
      </c>
      <c r="K21" s="39" t="s">
        <v>51</v>
      </c>
      <c r="L21" s="26"/>
      <c r="M21" s="39" t="s">
        <v>37</v>
      </c>
      <c r="N21" s="26"/>
      <c r="O21" s="20"/>
      <c r="P21" s="26"/>
      <c r="Q21" s="29">
        <f t="shared" ca="1" si="0"/>
        <v>93</v>
      </c>
      <c r="R21" s="23" t="str">
        <f t="shared" ca="1" si="1"/>
        <v/>
      </c>
      <c r="S21" s="17"/>
      <c r="T21" s="32"/>
    </row>
    <row r="22" spans="1:20">
      <c r="A22" s="23" t="str">
        <f t="shared" si="2"/>
        <v>DEF-0016</v>
      </c>
      <c r="B22" s="47">
        <v>46191</v>
      </c>
      <c r="C22" s="39" t="s">
        <v>110</v>
      </c>
      <c r="D22" s="39"/>
      <c r="E22" s="39" t="s">
        <v>49</v>
      </c>
      <c r="F22" s="39" t="s">
        <v>115</v>
      </c>
      <c r="G22" s="20"/>
      <c r="H22" s="39" t="s">
        <v>56</v>
      </c>
      <c r="I22" s="44" t="s">
        <v>119</v>
      </c>
      <c r="J22" s="39" t="s">
        <v>47</v>
      </c>
      <c r="K22" s="39" t="s">
        <v>51</v>
      </c>
      <c r="L22" s="26"/>
      <c r="M22" s="39" t="s">
        <v>37</v>
      </c>
      <c r="N22" s="26"/>
      <c r="O22" s="20"/>
      <c r="P22" s="26"/>
      <c r="Q22" s="29">
        <f t="shared" ca="1" si="0"/>
        <v>93</v>
      </c>
      <c r="R22" s="23" t="str">
        <f t="shared" ca="1" si="1"/>
        <v/>
      </c>
      <c r="S22" s="17"/>
      <c r="T22" s="32"/>
    </row>
    <row r="23" spans="1:20" ht="25">
      <c r="A23" s="23" t="str">
        <f t="shared" si="2"/>
        <v>DEF-0017</v>
      </c>
      <c r="B23" s="47">
        <v>46191</v>
      </c>
      <c r="C23" s="39" t="s">
        <v>111</v>
      </c>
      <c r="D23" s="39"/>
      <c r="E23" s="39" t="s">
        <v>49</v>
      </c>
      <c r="F23" s="39" t="s">
        <v>116</v>
      </c>
      <c r="G23" s="20"/>
      <c r="H23" s="39" t="s">
        <v>67</v>
      </c>
      <c r="I23" s="44" t="s">
        <v>121</v>
      </c>
      <c r="J23" s="39" t="s">
        <v>47</v>
      </c>
      <c r="K23" s="39" t="s">
        <v>51</v>
      </c>
      <c r="L23" s="26"/>
      <c r="M23" s="39" t="s">
        <v>37</v>
      </c>
      <c r="N23" s="26"/>
      <c r="O23" s="20"/>
      <c r="P23" s="26"/>
      <c r="Q23" s="29">
        <f t="shared" ca="1" si="0"/>
        <v>93</v>
      </c>
      <c r="R23" s="23" t="str">
        <f t="shared" ca="1" si="1"/>
        <v/>
      </c>
      <c r="S23" s="17"/>
      <c r="T23" s="32"/>
    </row>
    <row r="24" spans="1:20">
      <c r="A24" s="23" t="str">
        <f t="shared" si="2"/>
        <v>DEF-0018</v>
      </c>
      <c r="B24" s="47">
        <v>46191</v>
      </c>
      <c r="C24" s="39" t="s">
        <v>112</v>
      </c>
      <c r="D24" s="39"/>
      <c r="E24" s="39" t="s">
        <v>49</v>
      </c>
      <c r="F24" s="39" t="s">
        <v>117</v>
      </c>
      <c r="G24" s="20"/>
      <c r="H24" s="39" t="s">
        <v>67</v>
      </c>
      <c r="I24" s="44" t="s">
        <v>98</v>
      </c>
      <c r="J24" s="39" t="s">
        <v>47</v>
      </c>
      <c r="K24" s="39" t="s">
        <v>51</v>
      </c>
      <c r="L24" s="26"/>
      <c r="M24" s="39" t="s">
        <v>37</v>
      </c>
      <c r="N24" s="26"/>
      <c r="O24" s="20"/>
      <c r="P24" s="26"/>
      <c r="Q24" s="29">
        <f t="shared" ca="1" si="0"/>
        <v>93</v>
      </c>
      <c r="R24" s="23" t="str">
        <f t="shared" ca="1" si="1"/>
        <v/>
      </c>
      <c r="S24" s="17"/>
      <c r="T24" s="32"/>
    </row>
    <row r="25" spans="1:20">
      <c r="A25" s="23" t="str">
        <f t="shared" si="2"/>
        <v>DEF-0019</v>
      </c>
      <c r="B25" s="47">
        <v>46191</v>
      </c>
      <c r="C25" s="39" t="s">
        <v>112</v>
      </c>
      <c r="D25" s="39"/>
      <c r="E25" s="39" t="s">
        <v>49</v>
      </c>
      <c r="F25" s="39" t="s">
        <v>117</v>
      </c>
      <c r="G25" s="20"/>
      <c r="H25" s="39" t="s">
        <v>67</v>
      </c>
      <c r="I25" s="44" t="s">
        <v>122</v>
      </c>
      <c r="J25" s="39" t="s">
        <v>47</v>
      </c>
      <c r="K25" s="39" t="s">
        <v>51</v>
      </c>
      <c r="L25" s="26"/>
      <c r="M25" s="39" t="s">
        <v>37</v>
      </c>
      <c r="N25" s="26"/>
      <c r="O25" s="20"/>
      <c r="P25" s="26"/>
      <c r="Q25" s="29">
        <f t="shared" ca="1" si="0"/>
        <v>93</v>
      </c>
      <c r="R25" s="23" t="str">
        <f t="shared" ca="1" si="1"/>
        <v/>
      </c>
      <c r="S25" s="17"/>
      <c r="T25" s="32"/>
    </row>
    <row r="26" spans="1:20">
      <c r="A26" s="23" t="str">
        <f t="shared" si="2"/>
        <v>DEF-0020</v>
      </c>
      <c r="B26" s="47">
        <v>46191</v>
      </c>
      <c r="C26" s="39" t="s">
        <v>111</v>
      </c>
      <c r="D26" s="39"/>
      <c r="E26" s="39" t="s">
        <v>49</v>
      </c>
      <c r="F26" s="39" t="s">
        <v>118</v>
      </c>
      <c r="G26" s="20"/>
      <c r="H26" s="39" t="s">
        <v>50</v>
      </c>
      <c r="I26" s="44" t="s">
        <v>123</v>
      </c>
      <c r="J26" s="39" t="s">
        <v>47</v>
      </c>
      <c r="K26" s="39" t="s">
        <v>51</v>
      </c>
      <c r="L26" s="26"/>
      <c r="M26" s="39" t="s">
        <v>37</v>
      </c>
      <c r="N26" s="26"/>
      <c r="O26" s="20"/>
      <c r="P26" s="26"/>
      <c r="Q26" s="29">
        <f t="shared" ca="1" si="0"/>
        <v>93</v>
      </c>
      <c r="R26" s="23" t="str">
        <f t="shared" ca="1" si="1"/>
        <v/>
      </c>
      <c r="S26" s="17"/>
      <c r="T26" s="32"/>
    </row>
    <row r="27" spans="1:20">
      <c r="A27" s="23" t="s">
        <v>140</v>
      </c>
      <c r="B27" s="47">
        <v>46221</v>
      </c>
      <c r="C27" s="39"/>
      <c r="D27" s="39" t="s">
        <v>139</v>
      </c>
      <c r="E27" s="39" t="s">
        <v>49</v>
      </c>
      <c r="F27" s="39" t="s">
        <v>134</v>
      </c>
      <c r="G27" s="20"/>
      <c r="H27" s="39" t="s">
        <v>50</v>
      </c>
      <c r="I27" s="44" t="s">
        <v>138</v>
      </c>
      <c r="J27" s="39" t="s">
        <v>44</v>
      </c>
      <c r="K27" s="39" t="s">
        <v>51</v>
      </c>
      <c r="L27" s="26"/>
      <c r="M27" s="39" t="s">
        <v>37</v>
      </c>
      <c r="N27" s="26"/>
      <c r="O27" s="20"/>
      <c r="P27" s="26"/>
      <c r="Q27" s="29">
        <f t="shared" ca="1" si="0"/>
        <v>63</v>
      </c>
      <c r="R27" s="23" t="str">
        <f t="shared" ca="1" si="1"/>
        <v/>
      </c>
      <c r="S27" s="17"/>
      <c r="T27" s="32"/>
    </row>
    <row r="28" spans="1:20">
      <c r="A28" s="23" t="str">
        <f t="shared" si="2"/>
        <v>DEF-0022</v>
      </c>
      <c r="B28" s="47">
        <v>46221</v>
      </c>
      <c r="C28" s="39"/>
      <c r="D28" s="39"/>
      <c r="E28" s="39" t="s">
        <v>49</v>
      </c>
      <c r="F28" s="39" t="s">
        <v>135</v>
      </c>
      <c r="G28" s="20"/>
      <c r="H28" s="39" t="s">
        <v>50</v>
      </c>
      <c r="I28" s="44" t="s">
        <v>138</v>
      </c>
      <c r="J28" s="39" t="s">
        <v>44</v>
      </c>
      <c r="K28" s="39" t="s">
        <v>51</v>
      </c>
      <c r="L28" s="26"/>
      <c r="M28" s="39" t="s">
        <v>37</v>
      </c>
      <c r="N28" s="26"/>
      <c r="O28" s="20"/>
      <c r="P28" s="26"/>
      <c r="Q28" s="29">
        <f t="shared" ca="1" si="0"/>
        <v>63</v>
      </c>
      <c r="R28" s="23" t="str">
        <f t="shared" ca="1" si="1"/>
        <v/>
      </c>
      <c r="S28" s="17"/>
      <c r="T28" s="32"/>
    </row>
    <row r="29" spans="1:20">
      <c r="A29" s="23" t="str">
        <f t="shared" si="2"/>
        <v>DEF-0023</v>
      </c>
      <c r="B29" s="47">
        <v>46221</v>
      </c>
      <c r="C29" s="39"/>
      <c r="D29" s="39" t="s">
        <v>139</v>
      </c>
      <c r="E29" s="39" t="s">
        <v>49</v>
      </c>
      <c r="F29" s="39" t="s">
        <v>136</v>
      </c>
      <c r="G29" s="20"/>
      <c r="H29" s="39" t="s">
        <v>50</v>
      </c>
      <c r="I29" s="44" t="s">
        <v>138</v>
      </c>
      <c r="J29" s="39" t="s">
        <v>44</v>
      </c>
      <c r="K29" s="39" t="s">
        <v>51</v>
      </c>
      <c r="L29" s="26"/>
      <c r="M29" s="39" t="s">
        <v>37</v>
      </c>
      <c r="N29" s="26"/>
      <c r="O29" s="20"/>
      <c r="P29" s="26"/>
      <c r="Q29" s="29">
        <f t="shared" ca="1" si="0"/>
        <v>63</v>
      </c>
      <c r="R29" s="23" t="str">
        <f t="shared" ca="1" si="1"/>
        <v/>
      </c>
      <c r="S29" s="17"/>
      <c r="T29" s="32"/>
    </row>
    <row r="30" spans="1:20">
      <c r="A30" s="23" t="str">
        <f t="shared" si="2"/>
        <v>DEF-0024</v>
      </c>
      <c r="B30" s="47">
        <v>46221</v>
      </c>
      <c r="C30" s="39"/>
      <c r="D30" s="39" t="s">
        <v>139</v>
      </c>
      <c r="E30" s="39" t="s">
        <v>49</v>
      </c>
      <c r="F30" s="39" t="s">
        <v>137</v>
      </c>
      <c r="G30" s="20"/>
      <c r="H30" s="39" t="s">
        <v>50</v>
      </c>
      <c r="I30" s="44" t="s">
        <v>141</v>
      </c>
      <c r="J30" s="39" t="s">
        <v>38</v>
      </c>
      <c r="K30" s="41" t="s">
        <v>51</v>
      </c>
      <c r="L30" s="26"/>
      <c r="M30" s="39" t="s">
        <v>37</v>
      </c>
      <c r="N30" s="26"/>
      <c r="O30" s="20"/>
      <c r="P30" s="26"/>
      <c r="Q30" s="29">
        <f t="shared" ca="1" si="0"/>
        <v>63</v>
      </c>
      <c r="R30" s="23" t="str">
        <f t="shared" ca="1" si="1"/>
        <v/>
      </c>
      <c r="S30" s="17"/>
      <c r="T30" s="32"/>
    </row>
    <row r="31" spans="1:20" ht="25">
      <c r="A31" s="23" t="str">
        <f t="shared" si="2"/>
        <v>DEF-0025</v>
      </c>
      <c r="B31" s="47">
        <v>46221</v>
      </c>
      <c r="C31" s="39" t="s">
        <v>143</v>
      </c>
      <c r="D31" s="39" t="s">
        <v>96</v>
      </c>
      <c r="E31" s="39" t="s">
        <v>49</v>
      </c>
      <c r="F31" s="39" t="s">
        <v>142</v>
      </c>
      <c r="G31" s="20"/>
      <c r="H31" s="39" t="s">
        <v>50</v>
      </c>
      <c r="I31" s="44" t="s">
        <v>102</v>
      </c>
      <c r="J31" s="39" t="s">
        <v>44</v>
      </c>
      <c r="K31" s="39" t="s">
        <v>51</v>
      </c>
      <c r="L31" s="26"/>
      <c r="M31" s="39" t="s">
        <v>37</v>
      </c>
      <c r="N31" s="26"/>
      <c r="O31" s="20"/>
      <c r="P31" s="26"/>
      <c r="Q31" s="29">
        <f t="shared" ca="1" si="0"/>
        <v>63</v>
      </c>
      <c r="R31" s="23" t="str">
        <f t="shared" ca="1" si="1"/>
        <v/>
      </c>
      <c r="S31" s="17"/>
      <c r="T31" s="32"/>
    </row>
    <row r="32" spans="1:20" ht="25">
      <c r="A32" s="23" t="str">
        <f t="shared" si="2"/>
        <v>DEF-0026</v>
      </c>
      <c r="B32" s="47">
        <v>46229</v>
      </c>
      <c r="C32" s="39" t="s">
        <v>147</v>
      </c>
      <c r="D32" s="39" t="s">
        <v>160</v>
      </c>
      <c r="E32" s="39" t="s">
        <v>49</v>
      </c>
      <c r="F32" s="39" t="s">
        <v>161</v>
      </c>
      <c r="G32" s="20" t="s">
        <v>171</v>
      </c>
      <c r="H32" s="39" t="s">
        <v>67</v>
      </c>
      <c r="I32" s="44" t="s">
        <v>166</v>
      </c>
      <c r="J32" s="39" t="s">
        <v>47</v>
      </c>
      <c r="K32" s="39" t="s">
        <v>51</v>
      </c>
      <c r="L32" s="26"/>
      <c r="M32" s="39" t="s">
        <v>37</v>
      </c>
      <c r="N32" s="26"/>
      <c r="O32" s="20"/>
      <c r="P32" s="26"/>
      <c r="Q32" s="29">
        <f t="shared" ca="1" si="0"/>
        <v>55</v>
      </c>
      <c r="R32" s="23" t="str">
        <f t="shared" ca="1" si="1"/>
        <v/>
      </c>
      <c r="S32" s="17"/>
      <c r="T32" s="32"/>
    </row>
    <row r="33" spans="1:20" ht="25">
      <c r="A33" s="23" t="s">
        <v>167</v>
      </c>
      <c r="B33" s="47">
        <v>46229</v>
      </c>
      <c r="C33" s="39" t="s">
        <v>147</v>
      </c>
      <c r="D33" s="39" t="s">
        <v>160</v>
      </c>
      <c r="E33" s="39" t="s">
        <v>49</v>
      </c>
      <c r="F33" s="39" t="s">
        <v>162</v>
      </c>
      <c r="G33" s="20" t="s">
        <v>171</v>
      </c>
      <c r="H33" s="39" t="s">
        <v>67</v>
      </c>
      <c r="I33" s="44" t="s">
        <v>166</v>
      </c>
      <c r="J33" s="39" t="s">
        <v>47</v>
      </c>
      <c r="K33" s="39" t="s">
        <v>51</v>
      </c>
      <c r="L33" s="26"/>
      <c r="M33" s="39" t="s">
        <v>37</v>
      </c>
      <c r="N33" s="26"/>
      <c r="O33" s="20"/>
      <c r="P33" s="26"/>
      <c r="Q33" s="29">
        <f t="shared" ca="1" si="0"/>
        <v>55</v>
      </c>
      <c r="R33" s="23" t="str">
        <f t="shared" ca="1" si="1"/>
        <v/>
      </c>
      <c r="S33" s="17"/>
      <c r="T33" s="32"/>
    </row>
    <row r="34" spans="1:20" ht="25">
      <c r="A34" s="23" t="s">
        <v>168</v>
      </c>
      <c r="B34" s="47">
        <v>46229</v>
      </c>
      <c r="C34" s="39" t="s">
        <v>147</v>
      </c>
      <c r="D34" s="39" t="s">
        <v>160</v>
      </c>
      <c r="E34" s="39" t="s">
        <v>49</v>
      </c>
      <c r="F34" s="39" t="s">
        <v>163</v>
      </c>
      <c r="G34" s="20" t="s">
        <v>171</v>
      </c>
      <c r="H34" s="39" t="s">
        <v>67</v>
      </c>
      <c r="I34" s="44" t="s">
        <v>166</v>
      </c>
      <c r="J34" s="39" t="s">
        <v>47</v>
      </c>
      <c r="K34" s="39" t="s">
        <v>51</v>
      </c>
      <c r="L34" s="26"/>
      <c r="M34" s="39" t="s">
        <v>37</v>
      </c>
      <c r="N34" s="26"/>
      <c r="O34" s="20"/>
      <c r="P34" s="26"/>
      <c r="Q34" s="29">
        <f t="shared" ca="1" si="0"/>
        <v>55</v>
      </c>
      <c r="R34" s="23" t="str">
        <f t="shared" ca="1" si="1"/>
        <v/>
      </c>
      <c r="S34" s="17"/>
      <c r="T34" s="32"/>
    </row>
    <row r="35" spans="1:20" ht="25">
      <c r="A35" s="23" t="s">
        <v>169</v>
      </c>
      <c r="B35" s="47">
        <v>46229</v>
      </c>
      <c r="C35" s="39" t="s">
        <v>147</v>
      </c>
      <c r="D35" s="39" t="s">
        <v>160</v>
      </c>
      <c r="E35" s="39" t="s">
        <v>49</v>
      </c>
      <c r="F35" s="39" t="s">
        <v>164</v>
      </c>
      <c r="G35" s="20" t="s">
        <v>171</v>
      </c>
      <c r="H35" s="39" t="s">
        <v>67</v>
      </c>
      <c r="I35" s="44" t="s">
        <v>166</v>
      </c>
      <c r="J35" s="39" t="s">
        <v>47</v>
      </c>
      <c r="K35" s="39" t="s">
        <v>51</v>
      </c>
      <c r="L35" s="26"/>
      <c r="M35" s="39" t="s">
        <v>37</v>
      </c>
      <c r="N35" s="26"/>
      <c r="O35" s="20"/>
      <c r="P35" s="26"/>
      <c r="Q35" s="29">
        <f t="shared" ca="1" si="0"/>
        <v>55</v>
      </c>
      <c r="R35" s="23" t="str">
        <f t="shared" ca="1" si="1"/>
        <v/>
      </c>
      <c r="S35" s="17"/>
      <c r="T35" s="32"/>
    </row>
    <row r="36" spans="1:20">
      <c r="A36" s="23" t="s">
        <v>170</v>
      </c>
      <c r="B36" s="47">
        <v>46229</v>
      </c>
      <c r="C36" s="39" t="s">
        <v>147</v>
      </c>
      <c r="D36" s="39" t="s">
        <v>160</v>
      </c>
      <c r="E36" s="39" t="s">
        <v>49</v>
      </c>
      <c r="F36" s="39" t="s">
        <v>165</v>
      </c>
      <c r="G36" s="20" t="s">
        <v>171</v>
      </c>
      <c r="H36" s="39" t="s">
        <v>67</v>
      </c>
      <c r="I36" s="44" t="s">
        <v>172</v>
      </c>
      <c r="J36" s="39" t="s">
        <v>47</v>
      </c>
      <c r="K36" s="39" t="s">
        <v>51</v>
      </c>
      <c r="L36" s="26"/>
      <c r="M36" s="39" t="s">
        <v>37</v>
      </c>
      <c r="N36" s="26"/>
      <c r="O36" s="20"/>
      <c r="P36" s="26"/>
      <c r="Q36" s="29">
        <f t="shared" ca="1" si="0"/>
        <v>55</v>
      </c>
      <c r="R36" s="23" t="str">
        <f t="shared" ca="1" si="1"/>
        <v/>
      </c>
      <c r="S36" s="17"/>
      <c r="T36" s="32"/>
    </row>
    <row r="37" spans="1:20">
      <c r="A37" s="23" t="str">
        <f t="shared" si="2"/>
        <v>DEF-0031</v>
      </c>
      <c r="B37" s="47">
        <v>46229</v>
      </c>
      <c r="C37" s="39" t="s">
        <v>160</v>
      </c>
      <c r="D37" s="39" t="s">
        <v>160</v>
      </c>
      <c r="E37" s="39" t="s">
        <v>49</v>
      </c>
      <c r="F37" s="39" t="s">
        <v>174</v>
      </c>
      <c r="G37" s="20" t="s">
        <v>173</v>
      </c>
      <c r="H37" s="39" t="s">
        <v>67</v>
      </c>
      <c r="I37" s="44" t="s">
        <v>175</v>
      </c>
      <c r="J37" s="39" t="s">
        <v>47</v>
      </c>
      <c r="K37" s="39" t="s">
        <v>51</v>
      </c>
      <c r="L37" s="26"/>
      <c r="M37" s="39" t="s">
        <v>40</v>
      </c>
      <c r="N37" s="26"/>
      <c r="O37" s="20"/>
      <c r="P37" s="26"/>
      <c r="Q37" s="29">
        <f t="shared" ca="1" si="0"/>
        <v>55</v>
      </c>
      <c r="R37" s="23" t="str">
        <f t="shared" ca="1" si="1"/>
        <v/>
      </c>
      <c r="S37" s="17"/>
      <c r="T37" s="32"/>
    </row>
    <row r="38" spans="1:20">
      <c r="A38" s="23" t="str">
        <f t="shared" si="2"/>
        <v>DEF-0032</v>
      </c>
      <c r="B38" s="47">
        <v>46229</v>
      </c>
      <c r="C38" s="39" t="s">
        <v>160</v>
      </c>
      <c r="D38" s="39" t="s">
        <v>160</v>
      </c>
      <c r="E38" s="39" t="s">
        <v>49</v>
      </c>
      <c r="F38" s="39" t="s">
        <v>162</v>
      </c>
      <c r="G38" s="20" t="s">
        <v>173</v>
      </c>
      <c r="H38" s="39" t="s">
        <v>67</v>
      </c>
      <c r="I38" s="44" t="s">
        <v>175</v>
      </c>
      <c r="J38" s="39" t="s">
        <v>47</v>
      </c>
      <c r="K38" s="39" t="s">
        <v>51</v>
      </c>
      <c r="L38" s="26"/>
      <c r="M38" s="39" t="s">
        <v>40</v>
      </c>
      <c r="N38" s="26"/>
      <c r="O38" s="20"/>
      <c r="P38" s="26"/>
      <c r="Q38" s="29">
        <f t="shared" ca="1" si="0"/>
        <v>55</v>
      </c>
      <c r="R38" s="23" t="str">
        <f t="shared" ca="1" si="1"/>
        <v/>
      </c>
      <c r="S38" s="17"/>
      <c r="T38" s="32"/>
    </row>
    <row r="39" spans="1:20" ht="25">
      <c r="A39" s="23" t="str">
        <f t="shared" si="2"/>
        <v>DEF-0033</v>
      </c>
      <c r="B39" s="47">
        <v>46230</v>
      </c>
      <c r="C39" s="39" t="s">
        <v>152</v>
      </c>
      <c r="D39" s="39" t="s">
        <v>160</v>
      </c>
      <c r="E39" s="39" t="s">
        <v>49</v>
      </c>
      <c r="F39" s="39" t="s">
        <v>176</v>
      </c>
      <c r="G39" s="20"/>
      <c r="H39" s="39" t="s">
        <v>67</v>
      </c>
      <c r="I39" s="44" t="s">
        <v>177</v>
      </c>
      <c r="J39" s="39" t="s">
        <v>47</v>
      </c>
      <c r="K39" s="39" t="s">
        <v>51</v>
      </c>
      <c r="L39" s="26"/>
      <c r="M39" s="39" t="s">
        <v>37</v>
      </c>
      <c r="N39" s="26"/>
      <c r="O39" s="20"/>
      <c r="P39" s="26"/>
      <c r="Q39" s="29">
        <f t="shared" ca="1" si="0"/>
        <v>54</v>
      </c>
      <c r="R39" s="23" t="str">
        <f t="shared" ca="1" si="1"/>
        <v/>
      </c>
      <c r="S39" s="17"/>
      <c r="T39" s="32"/>
    </row>
    <row r="40" spans="1:20">
      <c r="A40" s="23" t="str">
        <f t="shared" si="2"/>
        <v>DEF-0034</v>
      </c>
      <c r="B40" s="47">
        <v>46230</v>
      </c>
      <c r="C40" s="39" t="s">
        <v>160</v>
      </c>
      <c r="D40" s="39" t="s">
        <v>160</v>
      </c>
      <c r="E40" s="39" t="s">
        <v>49</v>
      </c>
      <c r="F40" s="39" t="s">
        <v>178</v>
      </c>
      <c r="G40" s="20"/>
      <c r="H40" s="39" t="s">
        <v>67</v>
      </c>
      <c r="I40" s="44" t="s">
        <v>179</v>
      </c>
      <c r="J40" s="39" t="s">
        <v>47</v>
      </c>
      <c r="K40" s="39" t="s">
        <v>51</v>
      </c>
      <c r="L40" s="26"/>
      <c r="M40" s="39" t="s">
        <v>37</v>
      </c>
      <c r="N40" s="26"/>
      <c r="O40" s="20"/>
      <c r="P40" s="26"/>
      <c r="Q40" s="29">
        <f t="shared" ca="1" si="0"/>
        <v>54</v>
      </c>
      <c r="R40" s="23" t="str">
        <f t="shared" ca="1" si="1"/>
        <v/>
      </c>
      <c r="S40" s="17"/>
      <c r="T40" s="32"/>
    </row>
    <row r="41" spans="1:20">
      <c r="A41" s="23" t="str">
        <f t="shared" si="2"/>
        <v>DEF-0035</v>
      </c>
      <c r="B41" s="47">
        <v>46228</v>
      </c>
      <c r="C41" s="39" t="s">
        <v>144</v>
      </c>
      <c r="D41" s="39" t="s">
        <v>180</v>
      </c>
      <c r="E41" s="39" t="s">
        <v>49</v>
      </c>
      <c r="F41" s="39" t="s">
        <v>182</v>
      </c>
      <c r="G41" s="20"/>
      <c r="H41" s="39" t="s">
        <v>67</v>
      </c>
      <c r="I41" s="44" t="s">
        <v>184</v>
      </c>
      <c r="J41" s="39" t="s">
        <v>47</v>
      </c>
      <c r="K41" s="39" t="s">
        <v>51</v>
      </c>
      <c r="L41" s="26"/>
      <c r="M41" s="39" t="s">
        <v>37</v>
      </c>
      <c r="N41" s="26"/>
      <c r="O41" s="20"/>
      <c r="P41" s="26"/>
      <c r="Q41" s="29">
        <f t="shared" ca="1" si="0"/>
        <v>56</v>
      </c>
      <c r="R41" s="23" t="str">
        <f t="shared" ca="1" si="1"/>
        <v/>
      </c>
      <c r="S41" s="17"/>
      <c r="T41" s="32"/>
    </row>
    <row r="42" spans="1:20" ht="25">
      <c r="A42" s="23" t="str">
        <f t="shared" si="2"/>
        <v>DEF-0036</v>
      </c>
      <c r="B42" s="47">
        <v>46228</v>
      </c>
      <c r="C42" s="39" t="s">
        <v>144</v>
      </c>
      <c r="D42" s="39" t="s">
        <v>180</v>
      </c>
      <c r="E42" s="39" t="s">
        <v>52</v>
      </c>
      <c r="F42" s="39" t="s">
        <v>183</v>
      </c>
      <c r="G42" s="20"/>
      <c r="H42" s="39" t="s">
        <v>67</v>
      </c>
      <c r="I42" s="44" t="s">
        <v>185</v>
      </c>
      <c r="J42" s="39" t="s">
        <v>44</v>
      </c>
      <c r="K42" s="39" t="s">
        <v>51</v>
      </c>
      <c r="L42" s="26"/>
      <c r="M42" s="39" t="s">
        <v>37</v>
      </c>
      <c r="N42" s="26"/>
      <c r="O42" s="20"/>
      <c r="P42" s="26"/>
      <c r="Q42" s="29">
        <f t="shared" ca="1" si="0"/>
        <v>56</v>
      </c>
      <c r="R42" s="23" t="str">
        <f t="shared" ca="1" si="1"/>
        <v/>
      </c>
      <c r="S42" s="17"/>
      <c r="T42" s="32"/>
    </row>
    <row r="43" spans="1:20" ht="25">
      <c r="A43" s="23" t="str">
        <f t="shared" si="2"/>
        <v>DEF-0037</v>
      </c>
      <c r="B43" s="47">
        <v>46225</v>
      </c>
      <c r="C43" s="39" t="s">
        <v>144</v>
      </c>
      <c r="D43" s="39" t="s">
        <v>187</v>
      </c>
      <c r="E43" s="39" t="s">
        <v>49</v>
      </c>
      <c r="F43" s="39" t="s">
        <v>188</v>
      </c>
      <c r="G43" s="20" t="s">
        <v>186</v>
      </c>
      <c r="H43" s="39" t="s">
        <v>67</v>
      </c>
      <c r="I43" s="44" t="s">
        <v>189</v>
      </c>
      <c r="J43" s="39" t="s">
        <v>47</v>
      </c>
      <c r="K43" s="39" t="s">
        <v>51</v>
      </c>
      <c r="L43" s="26"/>
      <c r="M43" s="39" t="s">
        <v>37</v>
      </c>
      <c r="N43" s="26"/>
      <c r="O43" s="20"/>
      <c r="P43" s="26"/>
      <c r="Q43" s="29">
        <f t="shared" ca="1" si="0"/>
        <v>59</v>
      </c>
      <c r="R43" s="23" t="str">
        <f t="shared" ca="1" si="1"/>
        <v/>
      </c>
      <c r="S43" s="17"/>
      <c r="T43" s="32"/>
    </row>
    <row r="44" spans="1:20" ht="25">
      <c r="A44" s="23" t="str">
        <f t="shared" si="2"/>
        <v>DEF-0038</v>
      </c>
      <c r="B44" s="47">
        <v>46225</v>
      </c>
      <c r="C44" s="39" t="s">
        <v>190</v>
      </c>
      <c r="D44" s="39" t="s">
        <v>160</v>
      </c>
      <c r="E44" s="39" t="s">
        <v>49</v>
      </c>
      <c r="F44" s="39" t="s">
        <v>192</v>
      </c>
      <c r="G44" s="20"/>
      <c r="H44" s="39" t="s">
        <v>50</v>
      </c>
      <c r="I44" s="44" t="s">
        <v>193</v>
      </c>
      <c r="J44" s="39" t="s">
        <v>47</v>
      </c>
      <c r="K44" s="39" t="s">
        <v>51</v>
      </c>
      <c r="L44" s="26"/>
      <c r="M44" s="39" t="s">
        <v>37</v>
      </c>
      <c r="N44" s="26"/>
      <c r="O44" s="20"/>
      <c r="P44" s="26"/>
      <c r="Q44" s="29">
        <f t="shared" ca="1" si="0"/>
        <v>59</v>
      </c>
      <c r="R44" s="23" t="str">
        <f t="shared" ca="1" si="1"/>
        <v/>
      </c>
      <c r="S44" s="17"/>
      <c r="T44" s="32"/>
    </row>
    <row r="45" spans="1:20">
      <c r="A45" s="23" t="str">
        <f t="shared" si="2"/>
        <v>DEF-0039</v>
      </c>
      <c r="B45" s="47">
        <v>46225</v>
      </c>
      <c r="C45" s="39" t="s">
        <v>190</v>
      </c>
      <c r="D45" s="39" t="s">
        <v>194</v>
      </c>
      <c r="E45" s="39" t="s">
        <v>49</v>
      </c>
      <c r="F45" s="39" t="s">
        <v>199</v>
      </c>
      <c r="G45" s="20"/>
      <c r="H45" s="39" t="s">
        <v>50</v>
      </c>
      <c r="I45" s="44" t="s">
        <v>201</v>
      </c>
      <c r="J45" s="39" t="s">
        <v>47</v>
      </c>
      <c r="K45" s="39" t="s">
        <v>51</v>
      </c>
      <c r="L45" s="26"/>
      <c r="M45" s="39" t="s">
        <v>37</v>
      </c>
      <c r="N45" s="26"/>
      <c r="O45" s="20"/>
      <c r="P45" s="26"/>
      <c r="Q45" s="29">
        <f t="shared" ca="1" si="0"/>
        <v>59</v>
      </c>
      <c r="R45" s="23" t="str">
        <f t="shared" ca="1" si="1"/>
        <v/>
      </c>
      <c r="S45" s="17"/>
      <c r="T45" s="32"/>
    </row>
    <row r="46" spans="1:20">
      <c r="A46" s="23" t="str">
        <f t="shared" si="2"/>
        <v>DEF-0040</v>
      </c>
      <c r="B46" s="47">
        <v>46225</v>
      </c>
      <c r="C46" s="39" t="s">
        <v>190</v>
      </c>
      <c r="D46" s="39" t="s">
        <v>194</v>
      </c>
      <c r="E46" s="39" t="s">
        <v>49</v>
      </c>
      <c r="F46" s="39" t="s">
        <v>200</v>
      </c>
      <c r="G46" s="20"/>
      <c r="H46" s="39" t="s">
        <v>50</v>
      </c>
      <c r="I46" s="44" t="s">
        <v>202</v>
      </c>
      <c r="J46" s="39" t="s">
        <v>44</v>
      </c>
      <c r="K46" s="39" t="s">
        <v>51</v>
      </c>
      <c r="L46" s="26"/>
      <c r="M46" s="39" t="s">
        <v>37</v>
      </c>
      <c r="N46" s="26"/>
      <c r="O46" s="20"/>
      <c r="P46" s="26"/>
      <c r="Q46" s="29">
        <f t="shared" ca="1" si="0"/>
        <v>59</v>
      </c>
      <c r="R46" s="23" t="str">
        <f t="shared" ca="1" si="1"/>
        <v/>
      </c>
      <c r="S46" s="17"/>
      <c r="T46" s="32"/>
    </row>
    <row r="47" spans="1:20">
      <c r="A47" s="23" t="str">
        <f t="shared" si="2"/>
        <v>DEF-0041</v>
      </c>
      <c r="B47" s="47">
        <v>46226</v>
      </c>
      <c r="C47" s="39" t="s">
        <v>149</v>
      </c>
      <c r="D47" s="39" t="s">
        <v>203</v>
      </c>
      <c r="E47" s="39" t="s">
        <v>49</v>
      </c>
      <c r="F47" s="39" t="s">
        <v>204</v>
      </c>
      <c r="G47" s="20"/>
      <c r="H47" s="39" t="s">
        <v>67</v>
      </c>
      <c r="I47" s="44" t="s">
        <v>205</v>
      </c>
      <c r="J47" s="39" t="s">
        <v>47</v>
      </c>
      <c r="K47" s="39" t="s">
        <v>51</v>
      </c>
      <c r="L47" s="26"/>
      <c r="M47" s="39" t="s">
        <v>37</v>
      </c>
      <c r="N47" s="26"/>
      <c r="O47" s="20"/>
      <c r="P47" s="26"/>
      <c r="Q47" s="29">
        <f t="shared" ca="1" si="0"/>
        <v>58</v>
      </c>
      <c r="R47" s="23" t="str">
        <f t="shared" ca="1" si="1"/>
        <v/>
      </c>
      <c r="S47" s="17"/>
      <c r="T47" s="32"/>
    </row>
    <row r="48" spans="1:20" ht="25">
      <c r="A48" s="23" t="s">
        <v>206</v>
      </c>
      <c r="B48" s="47">
        <v>46232</v>
      </c>
      <c r="C48" s="39" t="s">
        <v>144</v>
      </c>
      <c r="D48" s="39" t="s">
        <v>117</v>
      </c>
      <c r="E48" s="39" t="s">
        <v>49</v>
      </c>
      <c r="F48" s="39" t="s">
        <v>117</v>
      </c>
      <c r="G48" s="20" t="s">
        <v>117</v>
      </c>
      <c r="H48" s="39" t="s">
        <v>70</v>
      </c>
      <c r="I48" s="44" t="s">
        <v>207</v>
      </c>
      <c r="J48" s="39" t="s">
        <v>47</v>
      </c>
      <c r="K48" s="39" t="s">
        <v>51</v>
      </c>
      <c r="L48" s="26"/>
      <c r="M48" s="39" t="s">
        <v>37</v>
      </c>
      <c r="N48" s="26"/>
      <c r="O48" s="20"/>
      <c r="P48" s="26"/>
      <c r="Q48" s="29">
        <f t="shared" ca="1" si="0"/>
        <v>52</v>
      </c>
      <c r="R48" s="23" t="str">
        <f t="shared" ca="1" si="1"/>
        <v/>
      </c>
      <c r="S48" s="17"/>
      <c r="T48" s="32"/>
    </row>
    <row r="49" spans="1:20">
      <c r="A49" s="23" t="s">
        <v>208</v>
      </c>
      <c r="B49" s="47">
        <v>46232</v>
      </c>
      <c r="C49" s="39" t="s">
        <v>144</v>
      </c>
      <c r="D49" s="39" t="s">
        <v>117</v>
      </c>
      <c r="E49" s="39" t="s">
        <v>49</v>
      </c>
      <c r="F49" s="39" t="s">
        <v>209</v>
      </c>
      <c r="G49" s="20" t="s">
        <v>117</v>
      </c>
      <c r="H49" s="39" t="s">
        <v>67</v>
      </c>
      <c r="I49" s="44" t="s">
        <v>210</v>
      </c>
      <c r="J49" s="39" t="s">
        <v>47</v>
      </c>
      <c r="K49" s="39" t="s">
        <v>51</v>
      </c>
      <c r="L49" s="26"/>
      <c r="M49" s="39" t="s">
        <v>37</v>
      </c>
      <c r="N49" s="26"/>
      <c r="O49" s="20"/>
      <c r="P49" s="26"/>
      <c r="Q49" s="29">
        <f t="shared" ca="1" si="0"/>
        <v>52</v>
      </c>
      <c r="R49" s="23" t="str">
        <f t="shared" ca="1" si="1"/>
        <v/>
      </c>
      <c r="S49" s="17"/>
      <c r="T49" s="32"/>
    </row>
    <row r="50" spans="1:20">
      <c r="A50" s="23" t="s">
        <v>211</v>
      </c>
      <c r="B50" s="47">
        <v>46232</v>
      </c>
      <c r="C50" s="39" t="s">
        <v>212</v>
      </c>
      <c r="D50" s="39" t="s">
        <v>117</v>
      </c>
      <c r="E50" s="39" t="s">
        <v>49</v>
      </c>
      <c r="F50" s="39" t="s">
        <v>117</v>
      </c>
      <c r="G50" s="20" t="s">
        <v>117</v>
      </c>
      <c r="H50" s="39" t="s">
        <v>67</v>
      </c>
      <c r="I50" s="44" t="s">
        <v>213</v>
      </c>
      <c r="J50" s="39" t="s">
        <v>47</v>
      </c>
      <c r="K50" s="39" t="s">
        <v>214</v>
      </c>
      <c r="L50" s="26"/>
      <c r="M50" s="39" t="s">
        <v>37</v>
      </c>
      <c r="N50" s="26"/>
      <c r="O50" s="20"/>
      <c r="P50" s="26"/>
      <c r="Q50" s="29">
        <f t="shared" ca="1" si="0"/>
        <v>52</v>
      </c>
      <c r="R50" s="23" t="str">
        <f t="shared" ca="1" si="1"/>
        <v/>
      </c>
      <c r="S50" s="17"/>
      <c r="T50" s="32"/>
    </row>
    <row r="51" spans="1:20">
      <c r="A51" s="23" t="s">
        <v>215</v>
      </c>
      <c r="B51" s="47">
        <v>46232</v>
      </c>
      <c r="C51" s="39" t="s">
        <v>212</v>
      </c>
      <c r="D51" s="39" t="s">
        <v>117</v>
      </c>
      <c r="E51" s="39" t="s">
        <v>49</v>
      </c>
      <c r="F51" s="39" t="s">
        <v>117</v>
      </c>
      <c r="G51" s="20" t="s">
        <v>117</v>
      </c>
      <c r="H51" s="39" t="s">
        <v>67</v>
      </c>
      <c r="I51" s="44" t="s">
        <v>216</v>
      </c>
      <c r="J51" s="39" t="s">
        <v>47</v>
      </c>
      <c r="K51" s="39" t="s">
        <v>51</v>
      </c>
      <c r="L51" s="26"/>
      <c r="M51" s="39" t="s">
        <v>37</v>
      </c>
      <c r="N51" s="26"/>
      <c r="O51" s="20"/>
      <c r="P51" s="26"/>
      <c r="Q51" s="29">
        <f t="shared" ca="1" si="0"/>
        <v>52</v>
      </c>
      <c r="R51" s="23" t="str">
        <f t="shared" ca="1" si="1"/>
        <v/>
      </c>
      <c r="S51" s="17"/>
      <c r="T51" s="32"/>
    </row>
    <row r="52" spans="1:20" ht="25">
      <c r="A52" s="23" t="s">
        <v>217</v>
      </c>
      <c r="B52" s="47">
        <v>46232</v>
      </c>
      <c r="C52" s="39" t="s">
        <v>212</v>
      </c>
      <c r="D52" s="39" t="s">
        <v>117</v>
      </c>
      <c r="E52" s="39" t="s">
        <v>49</v>
      </c>
      <c r="F52" s="39" t="s">
        <v>117</v>
      </c>
      <c r="G52" s="20" t="s">
        <v>117</v>
      </c>
      <c r="H52" s="39" t="s">
        <v>67</v>
      </c>
      <c r="I52" s="44" t="s">
        <v>218</v>
      </c>
      <c r="J52" s="39" t="s">
        <v>47</v>
      </c>
      <c r="K52" s="39" t="s">
        <v>51</v>
      </c>
      <c r="L52" s="26"/>
      <c r="M52" s="39" t="s">
        <v>37</v>
      </c>
      <c r="N52" s="26"/>
      <c r="O52" s="20"/>
      <c r="P52" s="26"/>
      <c r="Q52" s="29">
        <f t="shared" ca="1" si="0"/>
        <v>52</v>
      </c>
      <c r="R52" s="23" t="str">
        <f t="shared" ca="1" si="1"/>
        <v/>
      </c>
      <c r="S52" s="17"/>
      <c r="T52" s="32"/>
    </row>
    <row r="53" spans="1:20" ht="37.5">
      <c r="A53" s="23" t="s">
        <v>219</v>
      </c>
      <c r="B53" s="47">
        <v>46232</v>
      </c>
      <c r="C53" s="39" t="s">
        <v>144</v>
      </c>
      <c r="D53" s="39" t="s">
        <v>117</v>
      </c>
      <c r="E53" s="39" t="s">
        <v>49</v>
      </c>
      <c r="F53" s="39" t="s">
        <v>117</v>
      </c>
      <c r="G53" s="20" t="s">
        <v>117</v>
      </c>
      <c r="H53" s="39" t="s">
        <v>67</v>
      </c>
      <c r="I53" s="44" t="s">
        <v>220</v>
      </c>
      <c r="J53" s="39" t="s">
        <v>47</v>
      </c>
      <c r="K53" s="39" t="s">
        <v>214</v>
      </c>
      <c r="L53" s="26"/>
      <c r="M53" s="39" t="s">
        <v>37</v>
      </c>
      <c r="N53" s="26"/>
      <c r="O53" s="20"/>
      <c r="P53" s="26"/>
      <c r="Q53" s="29">
        <f t="shared" ca="1" si="0"/>
        <v>52</v>
      </c>
      <c r="R53" s="23" t="str">
        <f t="shared" ca="1" si="1"/>
        <v/>
      </c>
      <c r="S53" s="17"/>
      <c r="T53" s="32"/>
    </row>
    <row r="54" spans="1:20" ht="25">
      <c r="A54" s="23" t="s">
        <v>221</v>
      </c>
      <c r="B54" s="47">
        <v>46232</v>
      </c>
      <c r="C54" s="39" t="s">
        <v>212</v>
      </c>
      <c r="D54" s="39" t="s">
        <v>117</v>
      </c>
      <c r="E54" s="39" t="s">
        <v>49</v>
      </c>
      <c r="F54" s="39" t="s">
        <v>117</v>
      </c>
      <c r="G54" s="20" t="s">
        <v>117</v>
      </c>
      <c r="H54" s="39" t="s">
        <v>67</v>
      </c>
      <c r="I54" s="44" t="s">
        <v>222</v>
      </c>
      <c r="J54" s="39" t="s">
        <v>47</v>
      </c>
      <c r="K54" s="39" t="s">
        <v>214</v>
      </c>
      <c r="L54" s="39" t="s">
        <v>71</v>
      </c>
      <c r="M54" s="39" t="s">
        <v>37</v>
      </c>
      <c r="N54" s="26"/>
      <c r="O54" s="20"/>
      <c r="P54" s="26"/>
      <c r="Q54" s="29">
        <f t="shared" ca="1" si="0"/>
        <v>52</v>
      </c>
      <c r="R54" s="23" t="e">
        <f ca="1">IF(OR($I54="",#REF!="",$M54="Closed"),"",IF(TODAY()&gt;#REF!,"Yes","No"))</f>
        <v>#REF!</v>
      </c>
      <c r="S54" s="17"/>
      <c r="T54" s="32"/>
    </row>
    <row r="55" spans="1:20">
      <c r="A55" s="23" t="s">
        <v>223</v>
      </c>
      <c r="B55" s="47">
        <v>46232</v>
      </c>
      <c r="C55" s="39" t="s">
        <v>212</v>
      </c>
      <c r="D55" s="39" t="s">
        <v>117</v>
      </c>
      <c r="E55" s="39" t="s">
        <v>49</v>
      </c>
      <c r="F55" s="39" t="s">
        <v>117</v>
      </c>
      <c r="G55" s="20" t="s">
        <v>117</v>
      </c>
      <c r="H55" s="39" t="s">
        <v>67</v>
      </c>
      <c r="I55" s="44" t="s">
        <v>224</v>
      </c>
      <c r="J55" s="39" t="s">
        <v>47</v>
      </c>
      <c r="K55" s="39" t="s">
        <v>51</v>
      </c>
      <c r="L55" s="26"/>
      <c r="M55" s="39" t="s">
        <v>37</v>
      </c>
      <c r="N55" s="26"/>
      <c r="O55" s="20"/>
      <c r="P55" s="26"/>
      <c r="Q55" s="29">
        <f t="shared" ca="1" si="0"/>
        <v>52</v>
      </c>
      <c r="R55" s="23" t="str">
        <f t="shared" ca="1" si="1"/>
        <v/>
      </c>
      <c r="S55" s="17"/>
      <c r="T55" s="32"/>
    </row>
    <row r="56" spans="1:20">
      <c r="A56" s="23" t="s">
        <v>225</v>
      </c>
      <c r="B56" s="47">
        <v>46232</v>
      </c>
      <c r="C56" s="39" t="s">
        <v>212</v>
      </c>
      <c r="D56" s="39" t="s">
        <v>117</v>
      </c>
      <c r="E56" s="39" t="s">
        <v>49</v>
      </c>
      <c r="F56" s="39" t="s">
        <v>117</v>
      </c>
      <c r="G56" s="20" t="s">
        <v>117</v>
      </c>
      <c r="H56" s="39" t="s">
        <v>67</v>
      </c>
      <c r="I56" s="44" t="s">
        <v>226</v>
      </c>
      <c r="J56" s="39" t="s">
        <v>47</v>
      </c>
      <c r="K56" s="39" t="s">
        <v>51</v>
      </c>
      <c r="L56" s="26"/>
      <c r="M56" s="39" t="s">
        <v>37</v>
      </c>
      <c r="N56" s="26"/>
      <c r="O56" s="20"/>
      <c r="P56" s="26"/>
      <c r="Q56" s="29">
        <f t="shared" ca="1" si="0"/>
        <v>52</v>
      </c>
      <c r="R56" s="23" t="str">
        <f t="shared" ca="1" si="1"/>
        <v/>
      </c>
      <c r="S56" s="17"/>
      <c r="T56" s="32"/>
    </row>
    <row r="57" spans="1:20" ht="25">
      <c r="A57" s="23" t="s">
        <v>227</v>
      </c>
      <c r="B57" s="47">
        <v>46232</v>
      </c>
      <c r="C57" s="39" t="s">
        <v>212</v>
      </c>
      <c r="D57" s="39" t="s">
        <v>117</v>
      </c>
      <c r="E57" s="39" t="s">
        <v>49</v>
      </c>
      <c r="F57" s="39" t="s">
        <v>117</v>
      </c>
      <c r="G57" s="20" t="s">
        <v>117</v>
      </c>
      <c r="H57" s="39" t="s">
        <v>70</v>
      </c>
      <c r="I57" s="44" t="s">
        <v>228</v>
      </c>
      <c r="J57" s="39" t="s">
        <v>47</v>
      </c>
      <c r="K57" s="39" t="s">
        <v>51</v>
      </c>
      <c r="L57" s="26"/>
      <c r="M57" s="39" t="s">
        <v>37</v>
      </c>
      <c r="N57" s="26"/>
      <c r="O57" s="20"/>
      <c r="P57" s="26"/>
      <c r="Q57" s="29">
        <f t="shared" ca="1" si="0"/>
        <v>52</v>
      </c>
      <c r="R57" s="23" t="str">
        <f t="shared" ca="1" si="1"/>
        <v/>
      </c>
      <c r="S57" s="17"/>
      <c r="T57" s="32"/>
    </row>
    <row r="58" spans="1:20">
      <c r="A58" s="23" t="s">
        <v>229</v>
      </c>
      <c r="B58" s="47">
        <v>46232</v>
      </c>
      <c r="C58" s="39" t="s">
        <v>212</v>
      </c>
      <c r="D58" s="39" t="s">
        <v>117</v>
      </c>
      <c r="E58" s="39" t="s">
        <v>49</v>
      </c>
      <c r="F58" s="39" t="s">
        <v>230</v>
      </c>
      <c r="G58" s="20" t="s">
        <v>117</v>
      </c>
      <c r="H58" s="39" t="s">
        <v>67</v>
      </c>
      <c r="I58" s="44" t="s">
        <v>237</v>
      </c>
      <c r="J58" s="39" t="s">
        <v>47</v>
      </c>
      <c r="K58" s="39" t="s">
        <v>51</v>
      </c>
      <c r="L58" s="26"/>
      <c r="M58" s="39" t="s">
        <v>37</v>
      </c>
      <c r="N58" s="26"/>
      <c r="O58" s="20"/>
      <c r="P58" s="26"/>
      <c r="Q58" s="29">
        <f t="shared" ca="1" si="0"/>
        <v>52</v>
      </c>
      <c r="R58" s="23" t="str">
        <f t="shared" ca="1" si="1"/>
        <v/>
      </c>
      <c r="S58" s="17"/>
      <c r="T58" s="32"/>
    </row>
    <row r="59" spans="1:20">
      <c r="A59" s="23" t="str">
        <f t="shared" si="2"/>
        <v>DEF-0053</v>
      </c>
      <c r="B59" s="47">
        <v>46232</v>
      </c>
      <c r="C59" s="39" t="s">
        <v>212</v>
      </c>
      <c r="D59" s="39" t="s">
        <v>117</v>
      </c>
      <c r="E59" s="39" t="s">
        <v>49</v>
      </c>
      <c r="F59" s="39" t="s">
        <v>231</v>
      </c>
      <c r="G59" s="20" t="s">
        <v>117</v>
      </c>
      <c r="H59" s="39" t="s">
        <v>67</v>
      </c>
      <c r="I59" s="44" t="s">
        <v>237</v>
      </c>
      <c r="J59" s="39" t="s">
        <v>47</v>
      </c>
      <c r="K59" s="39" t="s">
        <v>51</v>
      </c>
      <c r="L59" s="26"/>
      <c r="M59" s="39" t="s">
        <v>37</v>
      </c>
      <c r="N59" s="26"/>
      <c r="O59" s="20"/>
      <c r="P59" s="26"/>
      <c r="Q59" s="29">
        <f t="shared" ca="1" si="0"/>
        <v>52</v>
      </c>
      <c r="R59" s="23" t="str">
        <f t="shared" ca="1" si="1"/>
        <v/>
      </c>
      <c r="S59" s="17"/>
      <c r="T59" s="32"/>
    </row>
    <row r="60" spans="1:20">
      <c r="A60" s="23" t="str">
        <f t="shared" si="2"/>
        <v>DEF-0054</v>
      </c>
      <c r="B60" s="47">
        <v>46232</v>
      </c>
      <c r="C60" s="39" t="s">
        <v>212</v>
      </c>
      <c r="D60" s="39" t="s">
        <v>117</v>
      </c>
      <c r="E60" s="39" t="s">
        <v>49</v>
      </c>
      <c r="F60" s="39" t="s">
        <v>232</v>
      </c>
      <c r="G60" s="20" t="s">
        <v>117</v>
      </c>
      <c r="H60" s="39" t="s">
        <v>67</v>
      </c>
      <c r="I60" s="44" t="s">
        <v>237</v>
      </c>
      <c r="J60" s="39" t="s">
        <v>47</v>
      </c>
      <c r="K60" s="39" t="s">
        <v>51</v>
      </c>
      <c r="L60" s="26"/>
      <c r="M60" s="39" t="s">
        <v>37</v>
      </c>
      <c r="N60" s="26"/>
      <c r="O60" s="20"/>
      <c r="P60" s="26"/>
      <c r="Q60" s="29">
        <f t="shared" ca="1" si="0"/>
        <v>52</v>
      </c>
      <c r="R60" s="23" t="str">
        <f t="shared" ca="1" si="1"/>
        <v/>
      </c>
      <c r="S60" s="17"/>
      <c r="T60" s="32"/>
    </row>
    <row r="61" spans="1:20">
      <c r="A61" s="23" t="str">
        <f t="shared" si="2"/>
        <v>DEF-0055</v>
      </c>
      <c r="B61" s="47">
        <v>46232</v>
      </c>
      <c r="C61" s="39" t="s">
        <v>212</v>
      </c>
      <c r="D61" s="39" t="s">
        <v>117</v>
      </c>
      <c r="E61" s="39" t="s">
        <v>49</v>
      </c>
      <c r="F61" s="39" t="s">
        <v>233</v>
      </c>
      <c r="G61" s="20" t="s">
        <v>117</v>
      </c>
      <c r="H61" s="39" t="s">
        <v>67</v>
      </c>
      <c r="I61" s="44" t="s">
        <v>237</v>
      </c>
      <c r="J61" s="39" t="s">
        <v>47</v>
      </c>
      <c r="K61" s="39" t="s">
        <v>51</v>
      </c>
      <c r="L61" s="26"/>
      <c r="M61" s="39" t="s">
        <v>37</v>
      </c>
      <c r="N61" s="26"/>
      <c r="O61" s="20"/>
      <c r="P61" s="26"/>
      <c r="Q61" s="29">
        <f t="shared" ca="1" si="0"/>
        <v>52</v>
      </c>
      <c r="R61" s="23" t="str">
        <f t="shared" ca="1" si="1"/>
        <v/>
      </c>
      <c r="S61" s="17"/>
      <c r="T61" s="32"/>
    </row>
    <row r="62" spans="1:20">
      <c r="A62" s="23" t="str">
        <f t="shared" si="2"/>
        <v>DEF-0056</v>
      </c>
      <c r="B62" s="47">
        <v>46232</v>
      </c>
      <c r="C62" s="39" t="s">
        <v>212</v>
      </c>
      <c r="D62" s="39" t="s">
        <v>117</v>
      </c>
      <c r="E62" s="39" t="s">
        <v>49</v>
      </c>
      <c r="F62" s="39" t="s">
        <v>234</v>
      </c>
      <c r="G62" s="20" t="s">
        <v>117</v>
      </c>
      <c r="H62" s="39" t="s">
        <v>67</v>
      </c>
      <c r="I62" s="44" t="s">
        <v>237</v>
      </c>
      <c r="J62" s="39" t="s">
        <v>47</v>
      </c>
      <c r="K62" s="39" t="s">
        <v>51</v>
      </c>
      <c r="L62" s="26"/>
      <c r="M62" s="39" t="s">
        <v>37</v>
      </c>
      <c r="N62" s="26"/>
      <c r="O62" s="20"/>
      <c r="P62" s="26"/>
      <c r="Q62" s="29">
        <f t="shared" ca="1" si="0"/>
        <v>52</v>
      </c>
      <c r="R62" s="23" t="str">
        <f t="shared" ca="1" si="1"/>
        <v/>
      </c>
      <c r="S62" s="17"/>
      <c r="T62" s="32"/>
    </row>
    <row r="63" spans="1:20">
      <c r="A63" s="23" t="str">
        <f t="shared" si="2"/>
        <v>DEF-0057</v>
      </c>
      <c r="B63" s="47">
        <v>46232</v>
      </c>
      <c r="C63" s="39" t="s">
        <v>212</v>
      </c>
      <c r="D63" s="39" t="s">
        <v>117</v>
      </c>
      <c r="E63" s="39" t="s">
        <v>49</v>
      </c>
      <c r="F63" s="39" t="s">
        <v>235</v>
      </c>
      <c r="G63" s="20" t="s">
        <v>117</v>
      </c>
      <c r="H63" s="39" t="s">
        <v>67</v>
      </c>
      <c r="I63" s="44" t="s">
        <v>237</v>
      </c>
      <c r="J63" s="39" t="s">
        <v>47</v>
      </c>
      <c r="K63" s="39" t="s">
        <v>51</v>
      </c>
      <c r="L63" s="26"/>
      <c r="M63" s="39" t="s">
        <v>37</v>
      </c>
      <c r="N63" s="26"/>
      <c r="O63" s="20"/>
      <c r="P63" s="26"/>
      <c r="Q63" s="29">
        <f t="shared" ca="1" si="0"/>
        <v>52</v>
      </c>
      <c r="R63" s="23" t="str">
        <f t="shared" ca="1" si="1"/>
        <v/>
      </c>
      <c r="S63" s="17"/>
      <c r="T63" s="32"/>
    </row>
    <row r="64" spans="1:20">
      <c r="A64" s="23" t="str">
        <f t="shared" si="2"/>
        <v>DEF-0058</v>
      </c>
      <c r="B64" s="47">
        <v>46232</v>
      </c>
      <c r="C64" s="39" t="s">
        <v>212</v>
      </c>
      <c r="D64" s="39" t="s">
        <v>117</v>
      </c>
      <c r="E64" s="39" t="s">
        <v>49</v>
      </c>
      <c r="F64" s="39" t="s">
        <v>236</v>
      </c>
      <c r="G64" s="20" t="s">
        <v>117</v>
      </c>
      <c r="H64" s="39" t="s">
        <v>67</v>
      </c>
      <c r="I64" s="44" t="s">
        <v>237</v>
      </c>
      <c r="J64" s="39" t="s">
        <v>47</v>
      </c>
      <c r="K64" s="39" t="s">
        <v>51</v>
      </c>
      <c r="L64" s="26"/>
      <c r="M64" s="39" t="s">
        <v>37</v>
      </c>
      <c r="N64" s="26"/>
      <c r="O64" s="20"/>
      <c r="P64" s="26"/>
      <c r="Q64" s="29">
        <f t="shared" ca="1" si="0"/>
        <v>52</v>
      </c>
      <c r="R64" s="23" t="str">
        <f t="shared" ca="1" si="1"/>
        <v/>
      </c>
      <c r="S64" s="17"/>
      <c r="T64" s="32"/>
    </row>
    <row r="65" spans="1:20">
      <c r="A65" s="23" t="s">
        <v>238</v>
      </c>
      <c r="B65" s="47">
        <v>46232</v>
      </c>
      <c r="C65" s="39" t="s">
        <v>212</v>
      </c>
      <c r="D65" s="39" t="s">
        <v>117</v>
      </c>
      <c r="E65" s="39" t="s">
        <v>49</v>
      </c>
      <c r="F65" s="39" t="s">
        <v>117</v>
      </c>
      <c r="G65" s="20" t="s">
        <v>117</v>
      </c>
      <c r="H65" s="39" t="s">
        <v>67</v>
      </c>
      <c r="I65" s="44" t="s">
        <v>239</v>
      </c>
      <c r="J65" s="39" t="s">
        <v>47</v>
      </c>
      <c r="K65" s="39" t="s">
        <v>51</v>
      </c>
      <c r="L65" s="26"/>
      <c r="M65" s="39" t="s">
        <v>37</v>
      </c>
      <c r="N65" s="26"/>
      <c r="O65" s="20"/>
      <c r="P65" s="26"/>
      <c r="Q65" s="29">
        <f t="shared" ca="1" si="0"/>
        <v>52</v>
      </c>
      <c r="R65" s="23" t="str">
        <f t="shared" ca="1" si="1"/>
        <v/>
      </c>
      <c r="S65" s="17"/>
      <c r="T65" s="32"/>
    </row>
    <row r="66" spans="1:20">
      <c r="A66" s="23" t="s">
        <v>240</v>
      </c>
      <c r="B66" s="47">
        <v>46232</v>
      </c>
      <c r="C66" s="39" t="s">
        <v>212</v>
      </c>
      <c r="D66" s="39" t="s">
        <v>117</v>
      </c>
      <c r="E66" s="39" t="s">
        <v>49</v>
      </c>
      <c r="F66" s="39" t="s">
        <v>117</v>
      </c>
      <c r="G66" s="20" t="s">
        <v>117</v>
      </c>
      <c r="H66" s="39" t="s">
        <v>67</v>
      </c>
      <c r="I66" s="44" t="s">
        <v>241</v>
      </c>
      <c r="J66" s="39" t="s">
        <v>44</v>
      </c>
      <c r="K66" s="39" t="s">
        <v>51</v>
      </c>
      <c r="L66" s="26"/>
      <c r="M66" s="39" t="s">
        <v>37</v>
      </c>
      <c r="N66" s="26"/>
      <c r="O66" s="20"/>
      <c r="P66" s="26"/>
      <c r="Q66" s="29">
        <f t="shared" ca="1" si="0"/>
        <v>52</v>
      </c>
      <c r="R66" s="23" t="str">
        <f t="shared" ca="1" si="1"/>
        <v/>
      </c>
      <c r="S66" s="17"/>
      <c r="T66" s="32"/>
    </row>
    <row r="67" spans="1:20" ht="25">
      <c r="A67" s="23" t="s">
        <v>242</v>
      </c>
      <c r="B67" s="47">
        <v>46232</v>
      </c>
      <c r="C67" s="39" t="s">
        <v>212</v>
      </c>
      <c r="D67" s="39" t="s">
        <v>117</v>
      </c>
      <c r="E67" s="39" t="s">
        <v>49</v>
      </c>
      <c r="F67" s="39" t="s">
        <v>117</v>
      </c>
      <c r="G67" s="20" t="s">
        <v>117</v>
      </c>
      <c r="H67" s="39" t="s">
        <v>67</v>
      </c>
      <c r="I67" s="44" t="s">
        <v>243</v>
      </c>
      <c r="J67" s="39" t="s">
        <v>47</v>
      </c>
      <c r="K67" s="39" t="s">
        <v>51</v>
      </c>
      <c r="L67" s="26"/>
      <c r="M67" s="39" t="s">
        <v>37</v>
      </c>
      <c r="N67" s="26"/>
      <c r="O67" s="20"/>
      <c r="P67" s="26"/>
      <c r="Q67" s="29">
        <f t="shared" ca="1" si="0"/>
        <v>52</v>
      </c>
      <c r="R67" s="23" t="str">
        <f t="shared" ca="1" si="1"/>
        <v/>
      </c>
      <c r="S67" s="17"/>
      <c r="T67" s="32"/>
    </row>
    <row r="68" spans="1:20">
      <c r="A68" s="23" t="s">
        <v>244</v>
      </c>
      <c r="B68" s="47">
        <v>46237</v>
      </c>
      <c r="C68" s="39" t="s">
        <v>144</v>
      </c>
      <c r="D68" s="39" t="s">
        <v>245</v>
      </c>
      <c r="E68" s="39" t="s">
        <v>49</v>
      </c>
      <c r="F68" s="39" t="s">
        <v>144</v>
      </c>
      <c r="G68" s="20" t="s">
        <v>117</v>
      </c>
      <c r="H68" s="39" t="s">
        <v>67</v>
      </c>
      <c r="I68" s="44" t="s">
        <v>246</v>
      </c>
      <c r="J68" s="39" t="s">
        <v>47</v>
      </c>
      <c r="K68" s="39" t="s">
        <v>51</v>
      </c>
      <c r="L68" s="26">
        <v>46297</v>
      </c>
      <c r="M68" s="39" t="s">
        <v>37</v>
      </c>
      <c r="N68" s="26"/>
      <c r="O68" s="20"/>
      <c r="P68" s="26"/>
      <c r="Q68" s="29">
        <f t="shared" ca="1" si="0"/>
        <v>47</v>
      </c>
      <c r="R68" s="23" t="str">
        <f t="shared" ca="1" si="1"/>
        <v>No</v>
      </c>
      <c r="S68" s="17"/>
      <c r="T68" s="32"/>
    </row>
    <row r="69" spans="1:20" ht="25">
      <c r="A69" s="23" t="s">
        <v>247</v>
      </c>
      <c r="B69" s="47">
        <v>46237</v>
      </c>
      <c r="C69" s="39" t="s">
        <v>144</v>
      </c>
      <c r="D69" s="39" t="s">
        <v>249</v>
      </c>
      <c r="E69" s="39" t="s">
        <v>49</v>
      </c>
      <c r="F69" s="39" t="s">
        <v>144</v>
      </c>
      <c r="G69" s="20" t="s">
        <v>117</v>
      </c>
      <c r="H69" s="39" t="s">
        <v>67</v>
      </c>
      <c r="I69" s="44" t="s">
        <v>250</v>
      </c>
      <c r="J69" s="39" t="s">
        <v>41</v>
      </c>
      <c r="K69" s="39" t="s">
        <v>51</v>
      </c>
      <c r="L69" s="26">
        <v>46238</v>
      </c>
      <c r="M69" s="39" t="s">
        <v>37</v>
      </c>
      <c r="N69" s="26"/>
      <c r="O69" s="20"/>
      <c r="P69" s="26"/>
      <c r="Q69" s="29">
        <f t="shared" ca="1" si="0"/>
        <v>47</v>
      </c>
      <c r="R69" s="23" t="str">
        <f t="shared" ca="1" si="1"/>
        <v>Yes</v>
      </c>
      <c r="S69" s="17"/>
      <c r="T69" s="32"/>
    </row>
    <row r="70" spans="1:20" ht="25">
      <c r="A70" s="23" t="s">
        <v>248</v>
      </c>
      <c r="B70" s="47">
        <v>46237</v>
      </c>
      <c r="C70" s="39" t="s">
        <v>144</v>
      </c>
      <c r="D70" s="39" t="s">
        <v>249</v>
      </c>
      <c r="E70" s="39" t="s">
        <v>49</v>
      </c>
      <c r="F70" s="39" t="s">
        <v>144</v>
      </c>
      <c r="G70" s="20" t="s">
        <v>117</v>
      </c>
      <c r="H70" s="39" t="s">
        <v>67</v>
      </c>
      <c r="I70" s="44" t="s">
        <v>251</v>
      </c>
      <c r="J70" s="39" t="s">
        <v>41</v>
      </c>
      <c r="K70" s="39" t="s">
        <v>51</v>
      </c>
      <c r="L70" s="26">
        <v>46238</v>
      </c>
      <c r="M70" s="39" t="s">
        <v>37</v>
      </c>
      <c r="N70" s="26"/>
      <c r="O70" s="20"/>
      <c r="P70" s="26"/>
      <c r="Q70" s="29">
        <f t="shared" ca="1" si="0"/>
        <v>47</v>
      </c>
      <c r="R70" s="23" t="str">
        <f t="shared" ca="1" si="1"/>
        <v>Yes</v>
      </c>
      <c r="S70" s="17"/>
      <c r="T70" s="32"/>
    </row>
    <row r="71" spans="1:20">
      <c r="A71" s="23" t="str">
        <f t="shared" ref="A71:A134" si="3">IF($I71="","","DEF-"&amp;TEXT(ROW()-6,"0000"))</f>
        <v>DEF-0065</v>
      </c>
      <c r="B71" s="47">
        <v>46249</v>
      </c>
      <c r="C71" s="39"/>
      <c r="D71" s="39" t="s">
        <v>253</v>
      </c>
      <c r="E71" s="39" t="s">
        <v>49</v>
      </c>
      <c r="F71" s="47" t="s">
        <v>252</v>
      </c>
      <c r="G71" s="20" t="s">
        <v>117</v>
      </c>
      <c r="H71" s="39" t="s">
        <v>50</v>
      </c>
      <c r="I71" s="44" t="s">
        <v>254</v>
      </c>
      <c r="J71" s="39" t="s">
        <v>44</v>
      </c>
      <c r="K71" s="39" t="s">
        <v>51</v>
      </c>
      <c r="L71" s="26"/>
      <c r="M71" s="39" t="s">
        <v>37</v>
      </c>
      <c r="N71" s="26"/>
      <c r="O71" s="20"/>
      <c r="P71" s="26"/>
      <c r="Q71" s="29">
        <f t="shared" ref="Q71:Q134" ca="1" si="4">IF($B71="","",MAX(0,IF($M71="Closed",IF($N71="",TODAY()-$B71,$N71-$B71),TODAY()-$B71)))</f>
        <v>35</v>
      </c>
      <c r="R71" s="23" t="str">
        <f t="shared" ref="R71:R134" ca="1" si="5">IF(OR($I71="",$L71="",$M71="Closed"),"",IF(TODAY()&gt;$L71,"Yes","No"))</f>
        <v/>
      </c>
      <c r="S71" s="17"/>
      <c r="T71" s="32"/>
    </row>
    <row r="72" spans="1:20" ht="25">
      <c r="A72" s="23" t="str">
        <f t="shared" si="3"/>
        <v>DEF-0066</v>
      </c>
      <c r="B72" s="47">
        <v>46249</v>
      </c>
      <c r="C72" s="39"/>
      <c r="D72" s="39" t="s">
        <v>253</v>
      </c>
      <c r="E72" s="39" t="s">
        <v>49</v>
      </c>
      <c r="F72" s="47" t="s">
        <v>262</v>
      </c>
      <c r="G72" s="20" t="s">
        <v>117</v>
      </c>
      <c r="H72" s="39" t="s">
        <v>50</v>
      </c>
      <c r="I72" s="44" t="s">
        <v>278</v>
      </c>
      <c r="J72" s="39" t="s">
        <v>44</v>
      </c>
      <c r="K72" s="39" t="s">
        <v>51</v>
      </c>
      <c r="L72" s="26"/>
      <c r="M72" s="39" t="s">
        <v>37</v>
      </c>
      <c r="N72" s="26"/>
      <c r="O72" s="20"/>
      <c r="P72" s="26"/>
      <c r="Q72" s="29">
        <f t="shared" ca="1" si="4"/>
        <v>35</v>
      </c>
      <c r="R72" s="23" t="str">
        <f t="shared" ca="1" si="5"/>
        <v/>
      </c>
      <c r="S72" s="17"/>
      <c r="T72" s="32"/>
    </row>
    <row r="73" spans="1:20" ht="25">
      <c r="A73" s="23" t="str">
        <f t="shared" si="3"/>
        <v>DEF-0067</v>
      </c>
      <c r="B73" s="47">
        <v>46249</v>
      </c>
      <c r="C73" s="39"/>
      <c r="D73" s="39" t="s">
        <v>253</v>
      </c>
      <c r="E73" s="39" t="s">
        <v>49</v>
      </c>
      <c r="F73" s="47" t="s">
        <v>263</v>
      </c>
      <c r="G73" s="20" t="s">
        <v>117</v>
      </c>
      <c r="H73" s="39" t="s">
        <v>50</v>
      </c>
      <c r="I73" s="44" t="s">
        <v>277</v>
      </c>
      <c r="J73" s="39" t="s">
        <v>44</v>
      </c>
      <c r="K73" s="39" t="s">
        <v>51</v>
      </c>
      <c r="L73" s="26"/>
      <c r="M73" s="39" t="s">
        <v>37</v>
      </c>
      <c r="N73" s="26"/>
      <c r="O73" s="20"/>
      <c r="P73" s="26"/>
      <c r="Q73" s="29">
        <f t="shared" ca="1" si="4"/>
        <v>35</v>
      </c>
      <c r="R73" s="23" t="str">
        <f t="shared" ca="1" si="5"/>
        <v/>
      </c>
      <c r="S73" s="17"/>
      <c r="T73" s="32"/>
    </row>
    <row r="74" spans="1:20">
      <c r="A74" s="23" t="str">
        <f t="shared" si="3"/>
        <v>DEF-0068</v>
      </c>
      <c r="B74" s="47">
        <v>46249</v>
      </c>
      <c r="C74" s="39"/>
      <c r="D74" s="39" t="s">
        <v>253</v>
      </c>
      <c r="E74" s="39" t="s">
        <v>49</v>
      </c>
      <c r="F74" s="47" t="s">
        <v>264</v>
      </c>
      <c r="G74" s="20" t="s">
        <v>117</v>
      </c>
      <c r="H74" s="39" t="s">
        <v>50</v>
      </c>
      <c r="I74" s="44" t="s">
        <v>255</v>
      </c>
      <c r="J74" s="39" t="s">
        <v>44</v>
      </c>
      <c r="K74" s="39" t="s">
        <v>51</v>
      </c>
      <c r="L74" s="26"/>
      <c r="M74" s="39" t="s">
        <v>37</v>
      </c>
      <c r="N74" s="26"/>
      <c r="O74" s="20"/>
      <c r="P74" s="26"/>
      <c r="Q74" s="29">
        <f t="shared" ca="1" si="4"/>
        <v>35</v>
      </c>
      <c r="R74" s="23" t="str">
        <f t="shared" ca="1" si="5"/>
        <v/>
      </c>
      <c r="S74" s="17"/>
      <c r="T74" s="32"/>
    </row>
    <row r="75" spans="1:20">
      <c r="A75" s="23" t="str">
        <f t="shared" si="3"/>
        <v>DEF-0069</v>
      </c>
      <c r="B75" s="47">
        <v>46249</v>
      </c>
      <c r="C75" s="39"/>
      <c r="D75" s="39" t="s">
        <v>253</v>
      </c>
      <c r="E75" s="39" t="s">
        <v>49</v>
      </c>
      <c r="F75" s="47" t="s">
        <v>271</v>
      </c>
      <c r="G75" s="20" t="s">
        <v>117</v>
      </c>
      <c r="H75" s="39" t="s">
        <v>50</v>
      </c>
      <c r="I75" s="44" t="s">
        <v>256</v>
      </c>
      <c r="J75" s="39" t="s">
        <v>44</v>
      </c>
      <c r="K75" s="39" t="s">
        <v>51</v>
      </c>
      <c r="L75" s="26"/>
      <c r="M75" s="39" t="s">
        <v>37</v>
      </c>
      <c r="N75" s="26"/>
      <c r="O75" s="20"/>
      <c r="P75" s="26"/>
      <c r="Q75" s="29">
        <f t="shared" ca="1" si="4"/>
        <v>35</v>
      </c>
      <c r="R75" s="23" t="str">
        <f t="shared" ca="1" si="5"/>
        <v/>
      </c>
      <c r="S75" s="17"/>
      <c r="T75" s="32"/>
    </row>
    <row r="76" spans="1:20">
      <c r="A76" s="23" t="str">
        <f t="shared" si="3"/>
        <v>DEF-0070</v>
      </c>
      <c r="B76" s="47">
        <v>46249</v>
      </c>
      <c r="C76" s="39"/>
      <c r="D76" s="39" t="s">
        <v>253</v>
      </c>
      <c r="E76" s="39" t="s">
        <v>49</v>
      </c>
      <c r="F76" s="47" t="s">
        <v>265</v>
      </c>
      <c r="G76" s="20" t="s">
        <v>117</v>
      </c>
      <c r="H76" s="39" t="s">
        <v>50</v>
      </c>
      <c r="I76" s="44" t="s">
        <v>254</v>
      </c>
      <c r="J76" s="39" t="s">
        <v>44</v>
      </c>
      <c r="K76" s="39" t="s">
        <v>51</v>
      </c>
      <c r="L76" s="26"/>
      <c r="M76" s="39" t="s">
        <v>37</v>
      </c>
      <c r="N76" s="26"/>
      <c r="O76" s="20"/>
      <c r="P76" s="26"/>
      <c r="Q76" s="29">
        <f t="shared" ca="1" si="4"/>
        <v>35</v>
      </c>
      <c r="R76" s="23" t="str">
        <f t="shared" ca="1" si="5"/>
        <v/>
      </c>
      <c r="S76" s="17"/>
      <c r="T76" s="32"/>
    </row>
    <row r="77" spans="1:20">
      <c r="A77" s="23" t="str">
        <f t="shared" si="3"/>
        <v>DEF-0071</v>
      </c>
      <c r="B77" s="47">
        <v>46249</v>
      </c>
      <c r="C77" s="39"/>
      <c r="D77" s="39" t="s">
        <v>253</v>
      </c>
      <c r="E77" s="39" t="s">
        <v>49</v>
      </c>
      <c r="F77" s="47" t="s">
        <v>266</v>
      </c>
      <c r="G77" s="20" t="s">
        <v>117</v>
      </c>
      <c r="H77" s="39" t="s">
        <v>50</v>
      </c>
      <c r="I77" s="44" t="s">
        <v>257</v>
      </c>
      <c r="J77" s="39" t="s">
        <v>44</v>
      </c>
      <c r="K77" s="39" t="s">
        <v>51</v>
      </c>
      <c r="L77" s="26"/>
      <c r="M77" s="39" t="s">
        <v>37</v>
      </c>
      <c r="N77" s="26"/>
      <c r="O77" s="20"/>
      <c r="P77" s="26"/>
      <c r="Q77" s="29">
        <f t="shared" ca="1" si="4"/>
        <v>35</v>
      </c>
      <c r="R77" s="23" t="str">
        <f t="shared" ca="1" si="5"/>
        <v/>
      </c>
      <c r="S77" s="17"/>
      <c r="T77" s="32"/>
    </row>
    <row r="78" spans="1:20">
      <c r="A78" s="23" t="str">
        <f t="shared" si="3"/>
        <v>DEF-0072</v>
      </c>
      <c r="B78" s="47">
        <v>46249</v>
      </c>
      <c r="C78" s="39"/>
      <c r="D78" s="39" t="s">
        <v>253</v>
      </c>
      <c r="E78" s="39" t="s">
        <v>49</v>
      </c>
      <c r="F78" s="47" t="s">
        <v>267</v>
      </c>
      <c r="G78" s="20" t="s">
        <v>117</v>
      </c>
      <c r="H78" s="39" t="s">
        <v>50</v>
      </c>
      <c r="I78" s="44" t="s">
        <v>258</v>
      </c>
      <c r="J78" s="39" t="s">
        <v>44</v>
      </c>
      <c r="K78" s="39" t="s">
        <v>51</v>
      </c>
      <c r="L78" s="26"/>
      <c r="M78" s="39" t="s">
        <v>37</v>
      </c>
      <c r="N78" s="26"/>
      <c r="O78" s="20"/>
      <c r="P78" s="26"/>
      <c r="Q78" s="29">
        <f t="shared" ca="1" si="4"/>
        <v>35</v>
      </c>
      <c r="R78" s="23" t="str">
        <f t="shared" ca="1" si="5"/>
        <v/>
      </c>
      <c r="S78" s="17"/>
      <c r="T78" s="32"/>
    </row>
    <row r="79" spans="1:20">
      <c r="A79" s="23" t="str">
        <f t="shared" si="3"/>
        <v>DEF-0073</v>
      </c>
      <c r="B79" s="47">
        <v>46249</v>
      </c>
      <c r="C79" s="39"/>
      <c r="D79" s="39" t="s">
        <v>253</v>
      </c>
      <c r="E79" s="39" t="s">
        <v>49</v>
      </c>
      <c r="F79" s="47" t="s">
        <v>268</v>
      </c>
      <c r="G79" s="20" t="s">
        <v>117</v>
      </c>
      <c r="H79" s="39" t="s">
        <v>50</v>
      </c>
      <c r="I79" s="44" t="s">
        <v>259</v>
      </c>
      <c r="J79" s="39" t="s">
        <v>44</v>
      </c>
      <c r="K79" s="39" t="s">
        <v>51</v>
      </c>
      <c r="L79" s="26"/>
      <c r="M79" s="39" t="s">
        <v>37</v>
      </c>
      <c r="N79" s="26"/>
      <c r="O79" s="20"/>
      <c r="P79" s="26"/>
      <c r="Q79" s="29">
        <f t="shared" ca="1" si="4"/>
        <v>35</v>
      </c>
      <c r="R79" s="23" t="str">
        <f t="shared" ca="1" si="5"/>
        <v/>
      </c>
      <c r="S79" s="17"/>
      <c r="T79" s="32"/>
    </row>
    <row r="80" spans="1:20">
      <c r="A80" s="23" t="str">
        <f t="shared" si="3"/>
        <v>DEF-0074</v>
      </c>
      <c r="B80" s="47">
        <v>46249</v>
      </c>
      <c r="C80" s="39"/>
      <c r="D80" s="39" t="s">
        <v>253</v>
      </c>
      <c r="E80" s="39" t="s">
        <v>49</v>
      </c>
      <c r="F80" s="47" t="s">
        <v>269</v>
      </c>
      <c r="G80" s="20" t="s">
        <v>117</v>
      </c>
      <c r="H80" s="39" t="s">
        <v>50</v>
      </c>
      <c r="I80" s="44" t="s">
        <v>260</v>
      </c>
      <c r="J80" s="39" t="s">
        <v>44</v>
      </c>
      <c r="K80" s="39" t="s">
        <v>51</v>
      </c>
      <c r="L80" s="26"/>
      <c r="M80" s="39" t="s">
        <v>37</v>
      </c>
      <c r="N80" s="26"/>
      <c r="O80" s="20"/>
      <c r="P80" s="26"/>
      <c r="Q80" s="29">
        <f t="shared" ca="1" si="4"/>
        <v>35</v>
      </c>
      <c r="R80" s="23" t="str">
        <f t="shared" ca="1" si="5"/>
        <v/>
      </c>
      <c r="S80" s="17"/>
      <c r="T80" s="32"/>
    </row>
    <row r="81" spans="1:20">
      <c r="A81" s="23" t="str">
        <f t="shared" si="3"/>
        <v>DEF-0075</v>
      </c>
      <c r="B81" s="47">
        <v>46249</v>
      </c>
      <c r="C81" s="39"/>
      <c r="D81" s="39" t="s">
        <v>253</v>
      </c>
      <c r="E81" s="39" t="s">
        <v>49</v>
      </c>
      <c r="F81" s="39" t="s">
        <v>270</v>
      </c>
      <c r="G81" s="20" t="s">
        <v>117</v>
      </c>
      <c r="H81" s="39" t="s">
        <v>50</v>
      </c>
      <c r="I81" s="44" t="s">
        <v>261</v>
      </c>
      <c r="J81" s="39" t="s">
        <v>44</v>
      </c>
      <c r="K81" s="39" t="s">
        <v>51</v>
      </c>
      <c r="L81" s="26"/>
      <c r="M81" s="39" t="s">
        <v>37</v>
      </c>
      <c r="N81" s="26"/>
      <c r="O81" s="20"/>
      <c r="P81" s="26"/>
      <c r="Q81" s="29">
        <f t="shared" ca="1" si="4"/>
        <v>35</v>
      </c>
      <c r="R81" s="23" t="str">
        <f t="shared" ca="1" si="5"/>
        <v/>
      </c>
      <c r="S81" s="17"/>
      <c r="T81" s="32"/>
    </row>
    <row r="82" spans="1:20">
      <c r="A82" s="23" t="str">
        <f t="shared" si="3"/>
        <v>DEF-0076</v>
      </c>
      <c r="B82" s="47">
        <v>46249</v>
      </c>
      <c r="C82" s="39"/>
      <c r="D82" s="39" t="s">
        <v>253</v>
      </c>
      <c r="E82" s="39" t="s">
        <v>49</v>
      </c>
      <c r="F82" s="39" t="s">
        <v>272</v>
      </c>
      <c r="G82" s="20" t="s">
        <v>117</v>
      </c>
      <c r="H82" s="39" t="s">
        <v>50</v>
      </c>
      <c r="I82" s="44" t="s">
        <v>273</v>
      </c>
      <c r="J82" s="39" t="s">
        <v>44</v>
      </c>
      <c r="K82" s="39" t="s">
        <v>51</v>
      </c>
      <c r="L82" s="26"/>
      <c r="M82" s="39" t="s">
        <v>37</v>
      </c>
      <c r="N82" s="26"/>
      <c r="O82" s="20"/>
      <c r="P82" s="26"/>
      <c r="Q82" s="29">
        <f t="shared" ca="1" si="4"/>
        <v>35</v>
      </c>
      <c r="R82" s="23" t="str">
        <f t="shared" ca="1" si="5"/>
        <v/>
      </c>
      <c r="S82" s="17"/>
      <c r="T82" s="32"/>
    </row>
    <row r="83" spans="1:20">
      <c r="A83" s="23" t="str">
        <f t="shared" si="3"/>
        <v>DEF-0077</v>
      </c>
      <c r="B83" s="47">
        <v>46249</v>
      </c>
      <c r="C83" s="39"/>
      <c r="D83" s="39" t="s">
        <v>253</v>
      </c>
      <c r="E83" s="39" t="s">
        <v>49</v>
      </c>
      <c r="F83" s="39" t="s">
        <v>269</v>
      </c>
      <c r="G83" s="20" t="s">
        <v>117</v>
      </c>
      <c r="H83" s="39" t="s">
        <v>50</v>
      </c>
      <c r="I83" s="44" t="s">
        <v>274</v>
      </c>
      <c r="J83" s="39" t="s">
        <v>44</v>
      </c>
      <c r="K83" s="39" t="s">
        <v>51</v>
      </c>
      <c r="L83" s="26"/>
      <c r="M83" s="39" t="s">
        <v>37</v>
      </c>
      <c r="N83" s="26"/>
      <c r="O83" s="20"/>
      <c r="P83" s="26"/>
      <c r="Q83" s="29">
        <f t="shared" ca="1" si="4"/>
        <v>35</v>
      </c>
      <c r="R83" s="23" t="str">
        <f t="shared" ca="1" si="5"/>
        <v/>
      </c>
      <c r="S83" s="17"/>
      <c r="T83" s="32"/>
    </row>
    <row r="84" spans="1:20">
      <c r="A84" s="23" t="str">
        <f t="shared" si="3"/>
        <v>DEF-0078</v>
      </c>
      <c r="B84" s="47">
        <v>46249</v>
      </c>
      <c r="C84" s="39"/>
      <c r="D84" s="39" t="s">
        <v>253</v>
      </c>
      <c r="E84" s="39" t="s">
        <v>49</v>
      </c>
      <c r="F84" s="39" t="s">
        <v>270</v>
      </c>
      <c r="G84" s="20" t="s">
        <v>117</v>
      </c>
      <c r="H84" s="39" t="s">
        <v>50</v>
      </c>
      <c r="I84" s="44" t="s">
        <v>261</v>
      </c>
      <c r="J84" s="39" t="s">
        <v>44</v>
      </c>
      <c r="K84" s="39" t="s">
        <v>51</v>
      </c>
      <c r="L84" s="26"/>
      <c r="M84" s="39" t="s">
        <v>37</v>
      </c>
      <c r="N84" s="26"/>
      <c r="O84" s="20"/>
      <c r="P84" s="26"/>
      <c r="Q84" s="29">
        <f t="shared" ca="1" si="4"/>
        <v>35</v>
      </c>
      <c r="R84" s="23" t="str">
        <f t="shared" ca="1" si="5"/>
        <v/>
      </c>
      <c r="S84" s="17"/>
      <c r="T84" s="32"/>
    </row>
    <row r="85" spans="1:20">
      <c r="A85" s="23" t="str">
        <f t="shared" si="3"/>
        <v>DEF-0079</v>
      </c>
      <c r="B85" s="47">
        <v>46249</v>
      </c>
      <c r="C85" s="39"/>
      <c r="D85" s="39" t="s">
        <v>253</v>
      </c>
      <c r="E85" s="39" t="s">
        <v>49</v>
      </c>
      <c r="F85" s="39" t="s">
        <v>252</v>
      </c>
      <c r="G85" s="20" t="s">
        <v>117</v>
      </c>
      <c r="H85" s="39" t="s">
        <v>50</v>
      </c>
      <c r="I85" s="44" t="s">
        <v>275</v>
      </c>
      <c r="J85" s="39" t="s">
        <v>44</v>
      </c>
      <c r="K85" s="39" t="s">
        <v>51</v>
      </c>
      <c r="L85" s="26"/>
      <c r="M85" s="39" t="s">
        <v>37</v>
      </c>
      <c r="N85" s="26"/>
      <c r="O85" s="20"/>
      <c r="P85" s="26"/>
      <c r="Q85" s="29">
        <f t="shared" ca="1" si="4"/>
        <v>35</v>
      </c>
      <c r="R85" s="23" t="str">
        <f t="shared" ca="1" si="5"/>
        <v/>
      </c>
      <c r="S85" s="17"/>
      <c r="T85" s="32"/>
    </row>
    <row r="86" spans="1:20">
      <c r="A86" s="23" t="str">
        <f t="shared" si="3"/>
        <v>DEF-0080</v>
      </c>
      <c r="B86" s="47">
        <v>46249</v>
      </c>
      <c r="C86" s="39"/>
      <c r="D86" s="39" t="s">
        <v>253</v>
      </c>
      <c r="E86" s="39" t="s">
        <v>49</v>
      </c>
      <c r="F86" s="39" t="s">
        <v>266</v>
      </c>
      <c r="G86" s="20" t="s">
        <v>117</v>
      </c>
      <c r="H86" s="39" t="s">
        <v>50</v>
      </c>
      <c r="I86" s="44" t="s">
        <v>276</v>
      </c>
      <c r="J86" s="39" t="s">
        <v>44</v>
      </c>
      <c r="K86" s="39" t="s">
        <v>51</v>
      </c>
      <c r="L86" s="26"/>
      <c r="M86" s="39" t="s">
        <v>37</v>
      </c>
      <c r="N86" s="26"/>
      <c r="O86" s="20"/>
      <c r="P86" s="26"/>
      <c r="Q86" s="29">
        <f t="shared" ca="1" si="4"/>
        <v>35</v>
      </c>
      <c r="R86" s="23" t="str">
        <f t="shared" ca="1" si="5"/>
        <v/>
      </c>
      <c r="S86" s="17"/>
      <c r="T86" s="32"/>
    </row>
    <row r="87" spans="1:20">
      <c r="A87" s="23" t="str">
        <f t="shared" si="3"/>
        <v>DEF-0081</v>
      </c>
      <c r="B87" s="47">
        <v>46249</v>
      </c>
      <c r="C87" s="39"/>
      <c r="D87" s="39" t="s">
        <v>253</v>
      </c>
      <c r="E87" s="39" t="s">
        <v>49</v>
      </c>
      <c r="F87" s="39" t="s">
        <v>268</v>
      </c>
      <c r="G87" s="20" t="s">
        <v>117</v>
      </c>
      <c r="H87" s="39" t="s">
        <v>50</v>
      </c>
      <c r="I87" s="44" t="s">
        <v>257</v>
      </c>
      <c r="J87" s="39" t="s">
        <v>44</v>
      </c>
      <c r="K87" s="39" t="s">
        <v>51</v>
      </c>
      <c r="L87" s="26"/>
      <c r="M87" s="39" t="s">
        <v>37</v>
      </c>
      <c r="N87" s="26"/>
      <c r="O87" s="20"/>
      <c r="P87" s="26"/>
      <c r="Q87" s="29">
        <f t="shared" ca="1" si="4"/>
        <v>35</v>
      </c>
      <c r="R87" s="23" t="str">
        <f t="shared" ca="1" si="5"/>
        <v/>
      </c>
      <c r="S87" s="17"/>
      <c r="T87" s="32"/>
    </row>
    <row r="88" spans="1:20">
      <c r="A88" s="23" t="str">
        <f t="shared" si="3"/>
        <v>DEF-0082</v>
      </c>
      <c r="B88" s="47">
        <v>46249</v>
      </c>
      <c r="C88" s="39" t="s">
        <v>144</v>
      </c>
      <c r="D88" s="39" t="s">
        <v>279</v>
      </c>
      <c r="E88" s="39" t="s">
        <v>49</v>
      </c>
      <c r="F88" s="39" t="s">
        <v>280</v>
      </c>
      <c r="G88" s="20" t="s">
        <v>117</v>
      </c>
      <c r="H88" s="39" t="s">
        <v>50</v>
      </c>
      <c r="I88" s="44" t="s">
        <v>281</v>
      </c>
      <c r="J88" s="39" t="s">
        <v>44</v>
      </c>
      <c r="K88" s="39" t="s">
        <v>51</v>
      </c>
      <c r="L88" s="26"/>
      <c r="M88" s="39" t="s">
        <v>37</v>
      </c>
      <c r="N88" s="26"/>
      <c r="O88" s="20"/>
      <c r="P88" s="26"/>
      <c r="Q88" s="29">
        <f t="shared" ca="1" si="4"/>
        <v>35</v>
      </c>
      <c r="R88" s="23" t="str">
        <f t="shared" ca="1" si="5"/>
        <v/>
      </c>
      <c r="S88" s="17"/>
      <c r="T88" s="32"/>
    </row>
    <row r="89" spans="1:20" ht="37.5">
      <c r="A89" s="23" t="str">
        <f t="shared" si="3"/>
        <v>DEF-0083</v>
      </c>
      <c r="B89" s="47">
        <v>46240</v>
      </c>
      <c r="C89" s="39" t="s">
        <v>148</v>
      </c>
      <c r="D89" s="39" t="s">
        <v>181</v>
      </c>
      <c r="E89" s="39" t="s">
        <v>49</v>
      </c>
      <c r="F89" s="39" t="s">
        <v>282</v>
      </c>
      <c r="G89" s="20" t="s">
        <v>117</v>
      </c>
      <c r="H89" s="39" t="s">
        <v>50</v>
      </c>
      <c r="I89" s="44" t="s">
        <v>283</v>
      </c>
      <c r="J89" s="39" t="s">
        <v>41</v>
      </c>
      <c r="K89" s="39" t="s">
        <v>51</v>
      </c>
      <c r="L89" s="26"/>
      <c r="M89" s="39" t="s">
        <v>37</v>
      </c>
      <c r="N89" s="26"/>
      <c r="O89" s="20"/>
      <c r="P89" s="26"/>
      <c r="Q89" s="29">
        <f t="shared" ca="1" si="4"/>
        <v>44</v>
      </c>
      <c r="R89" s="23" t="str">
        <f t="shared" ca="1" si="5"/>
        <v/>
      </c>
      <c r="S89" s="17"/>
      <c r="T89" s="32"/>
    </row>
    <row r="90" spans="1:20">
      <c r="A90" s="23" t="str">
        <f t="shared" si="3"/>
        <v>DEF-0084</v>
      </c>
      <c r="B90" s="47">
        <v>46254</v>
      </c>
      <c r="C90" s="39"/>
      <c r="D90" s="39" t="s">
        <v>194</v>
      </c>
      <c r="E90" s="39" t="s">
        <v>49</v>
      </c>
      <c r="F90" s="39" t="s">
        <v>284</v>
      </c>
      <c r="G90" s="20"/>
      <c r="H90" s="39" t="s">
        <v>50</v>
      </c>
      <c r="I90" s="44" t="s">
        <v>289</v>
      </c>
      <c r="J90" s="39" t="s">
        <v>44</v>
      </c>
      <c r="K90" s="39" t="s">
        <v>51</v>
      </c>
      <c r="L90" s="26"/>
      <c r="M90" s="39" t="s">
        <v>46</v>
      </c>
      <c r="N90" s="26">
        <v>46256</v>
      </c>
      <c r="O90" s="20" t="s">
        <v>327</v>
      </c>
      <c r="P90" s="26">
        <v>46256</v>
      </c>
      <c r="Q90" s="29">
        <f t="shared" ca="1" si="4"/>
        <v>2</v>
      </c>
      <c r="R90" s="23" t="str">
        <f t="shared" ca="1" si="5"/>
        <v/>
      </c>
      <c r="S90" s="17"/>
      <c r="T90" s="32" t="s">
        <v>328</v>
      </c>
    </row>
    <row r="91" spans="1:20">
      <c r="A91" s="23" t="str">
        <f t="shared" si="3"/>
        <v>DEF-0085</v>
      </c>
      <c r="B91" s="47">
        <v>46254</v>
      </c>
      <c r="C91" s="39"/>
      <c r="D91" s="39" t="s">
        <v>194</v>
      </c>
      <c r="E91" s="39" t="s">
        <v>49</v>
      </c>
      <c r="F91" s="39" t="s">
        <v>284</v>
      </c>
      <c r="G91" s="20"/>
      <c r="H91" s="39" t="s">
        <v>50</v>
      </c>
      <c r="I91" s="44" t="s">
        <v>290</v>
      </c>
      <c r="J91" s="39" t="s">
        <v>44</v>
      </c>
      <c r="K91" s="39" t="s">
        <v>51</v>
      </c>
      <c r="L91" s="26"/>
      <c r="M91" s="39" t="s">
        <v>46</v>
      </c>
      <c r="N91" s="26">
        <v>46256</v>
      </c>
      <c r="O91" s="20" t="s">
        <v>327</v>
      </c>
      <c r="P91" s="26">
        <v>46256</v>
      </c>
      <c r="Q91" s="29">
        <f t="shared" ca="1" si="4"/>
        <v>2</v>
      </c>
      <c r="R91" s="23" t="str">
        <f t="shared" ca="1" si="5"/>
        <v/>
      </c>
      <c r="S91" s="17"/>
      <c r="T91" s="32"/>
    </row>
    <row r="92" spans="1:20">
      <c r="A92" s="23" t="str">
        <f t="shared" si="3"/>
        <v>DEF-0086</v>
      </c>
      <c r="B92" s="47">
        <v>46254</v>
      </c>
      <c r="C92" s="39"/>
      <c r="D92" s="39" t="s">
        <v>194</v>
      </c>
      <c r="E92" s="39" t="s">
        <v>52</v>
      </c>
      <c r="F92" s="39" t="s">
        <v>291</v>
      </c>
      <c r="G92" s="20"/>
      <c r="H92" s="39" t="s">
        <v>50</v>
      </c>
      <c r="I92" s="44" t="s">
        <v>292</v>
      </c>
      <c r="J92" s="39" t="s">
        <v>44</v>
      </c>
      <c r="K92" s="39" t="s">
        <v>51</v>
      </c>
      <c r="L92" s="26"/>
      <c r="M92" s="39" t="s">
        <v>37</v>
      </c>
      <c r="N92" s="26"/>
      <c r="O92" s="20"/>
      <c r="P92" s="26"/>
      <c r="Q92" s="29">
        <f t="shared" ca="1" si="4"/>
        <v>30</v>
      </c>
      <c r="R92" s="23" t="str">
        <f t="shared" ca="1" si="5"/>
        <v/>
      </c>
      <c r="S92" s="17"/>
      <c r="T92" s="32"/>
    </row>
    <row r="93" spans="1:20">
      <c r="A93" s="23" t="str">
        <f t="shared" si="3"/>
        <v>DEF-0087</v>
      </c>
      <c r="B93" s="47">
        <v>46254</v>
      </c>
      <c r="C93" s="39"/>
      <c r="D93" s="39" t="s">
        <v>194</v>
      </c>
      <c r="E93" s="39" t="s">
        <v>49</v>
      </c>
      <c r="F93" s="39" t="s">
        <v>285</v>
      </c>
      <c r="G93" s="20"/>
      <c r="H93" s="39" t="s">
        <v>50</v>
      </c>
      <c r="I93" s="44" t="s">
        <v>293</v>
      </c>
      <c r="J93" s="39" t="s">
        <v>44</v>
      </c>
      <c r="K93" s="39" t="s">
        <v>51</v>
      </c>
      <c r="L93" s="26"/>
      <c r="M93" s="39" t="s">
        <v>37</v>
      </c>
      <c r="N93" s="26"/>
      <c r="O93" s="20"/>
      <c r="P93" s="26"/>
      <c r="Q93" s="29">
        <f t="shared" ca="1" si="4"/>
        <v>30</v>
      </c>
      <c r="R93" s="23" t="str">
        <f t="shared" ca="1" si="5"/>
        <v/>
      </c>
      <c r="S93" s="17"/>
      <c r="T93" s="32"/>
    </row>
    <row r="94" spans="1:20">
      <c r="A94" s="23" t="str">
        <f t="shared" si="3"/>
        <v>DEF-0088</v>
      </c>
      <c r="B94" s="47">
        <v>46254</v>
      </c>
      <c r="C94" s="39"/>
      <c r="D94" s="39" t="s">
        <v>194</v>
      </c>
      <c r="E94" s="39" t="s">
        <v>49</v>
      </c>
      <c r="F94" s="39" t="s">
        <v>286</v>
      </c>
      <c r="G94" s="20"/>
      <c r="H94" s="39" t="s">
        <v>50</v>
      </c>
      <c r="I94" s="44" t="s">
        <v>294</v>
      </c>
      <c r="J94" s="39" t="s">
        <v>44</v>
      </c>
      <c r="K94" s="39" t="s">
        <v>51</v>
      </c>
      <c r="L94" s="26"/>
      <c r="M94" s="39" t="s">
        <v>46</v>
      </c>
      <c r="N94" s="26">
        <v>46256</v>
      </c>
      <c r="O94" s="20" t="s">
        <v>327</v>
      </c>
      <c r="P94" s="26">
        <v>46256</v>
      </c>
      <c r="Q94" s="29">
        <f t="shared" ca="1" si="4"/>
        <v>2</v>
      </c>
      <c r="R94" s="23" t="str">
        <f t="shared" ca="1" si="5"/>
        <v/>
      </c>
      <c r="S94" s="17"/>
      <c r="T94" s="32"/>
    </row>
    <row r="95" spans="1:20">
      <c r="A95" s="23" t="str">
        <f t="shared" si="3"/>
        <v>DEF-0089</v>
      </c>
      <c r="B95" s="47">
        <v>46254</v>
      </c>
      <c r="C95" s="39"/>
      <c r="D95" s="39" t="s">
        <v>194</v>
      </c>
      <c r="E95" s="39" t="s">
        <v>52</v>
      </c>
      <c r="F95" s="39" t="s">
        <v>287</v>
      </c>
      <c r="G95" s="20"/>
      <c r="H95" s="39" t="s">
        <v>50</v>
      </c>
      <c r="I95" s="44" t="s">
        <v>295</v>
      </c>
      <c r="J95" s="39" t="s">
        <v>44</v>
      </c>
      <c r="K95" s="39" t="s">
        <v>51</v>
      </c>
      <c r="L95" s="26"/>
      <c r="M95" s="39" t="s">
        <v>46</v>
      </c>
      <c r="N95" s="26">
        <v>46256</v>
      </c>
      <c r="O95" s="20" t="s">
        <v>327</v>
      </c>
      <c r="P95" s="26">
        <v>46256</v>
      </c>
      <c r="Q95" s="29">
        <f t="shared" ca="1" si="4"/>
        <v>2</v>
      </c>
      <c r="R95" s="23" t="str">
        <f t="shared" ca="1" si="5"/>
        <v/>
      </c>
      <c r="S95" s="17"/>
      <c r="T95" s="32"/>
    </row>
    <row r="96" spans="1:20">
      <c r="A96" s="23" t="str">
        <f t="shared" si="3"/>
        <v>DEF-0090</v>
      </c>
      <c r="B96" s="47">
        <v>46254</v>
      </c>
      <c r="C96" s="39"/>
      <c r="D96" s="39" t="s">
        <v>194</v>
      </c>
      <c r="E96" s="39" t="s">
        <v>49</v>
      </c>
      <c r="F96" s="39" t="s">
        <v>288</v>
      </c>
      <c r="G96" s="20"/>
      <c r="H96" s="39" t="s">
        <v>50</v>
      </c>
      <c r="I96" s="44" t="s">
        <v>296</v>
      </c>
      <c r="J96" s="39" t="s">
        <v>44</v>
      </c>
      <c r="K96" s="39" t="s">
        <v>51</v>
      </c>
      <c r="L96" s="26"/>
      <c r="M96" s="39" t="s">
        <v>37</v>
      </c>
      <c r="N96" s="26"/>
      <c r="O96" s="20"/>
      <c r="P96" s="26"/>
      <c r="Q96" s="29">
        <f t="shared" ca="1" si="4"/>
        <v>30</v>
      </c>
      <c r="R96" s="23" t="str">
        <f t="shared" ca="1" si="5"/>
        <v/>
      </c>
      <c r="S96" s="17"/>
      <c r="T96" s="32"/>
    </row>
    <row r="97" spans="1:20">
      <c r="A97" s="23" t="str">
        <f t="shared" si="3"/>
        <v>DEF-0091</v>
      </c>
      <c r="B97" s="47">
        <v>46254</v>
      </c>
      <c r="C97" s="39"/>
      <c r="D97" s="39" t="s">
        <v>194</v>
      </c>
      <c r="E97" s="39" t="s">
        <v>49</v>
      </c>
      <c r="F97" s="39" t="s">
        <v>297</v>
      </c>
      <c r="G97" s="20"/>
      <c r="H97" s="39" t="s">
        <v>50</v>
      </c>
      <c r="I97" s="44" t="s">
        <v>296</v>
      </c>
      <c r="J97" s="39" t="s">
        <v>44</v>
      </c>
      <c r="K97" s="39" t="s">
        <v>51</v>
      </c>
      <c r="L97" s="26"/>
      <c r="M97" s="39" t="s">
        <v>37</v>
      </c>
      <c r="N97" s="26"/>
      <c r="O97" s="20"/>
      <c r="P97" s="26"/>
      <c r="Q97" s="29">
        <f t="shared" ca="1" si="4"/>
        <v>30</v>
      </c>
      <c r="R97" s="23" t="str">
        <f t="shared" ca="1" si="5"/>
        <v/>
      </c>
      <c r="S97" s="17"/>
      <c r="T97" s="32"/>
    </row>
    <row r="98" spans="1:20">
      <c r="A98" s="23" t="str">
        <f t="shared" si="3"/>
        <v>DEF-0092</v>
      </c>
      <c r="B98" s="47">
        <v>46254</v>
      </c>
      <c r="C98" s="39"/>
      <c r="D98" s="39" t="s">
        <v>194</v>
      </c>
      <c r="E98" s="39" t="s">
        <v>52</v>
      </c>
      <c r="F98" s="39" t="s">
        <v>262</v>
      </c>
      <c r="G98" s="20"/>
      <c r="H98" s="39" t="s">
        <v>50</v>
      </c>
      <c r="I98" s="44" t="s">
        <v>295</v>
      </c>
      <c r="J98" s="39" t="s">
        <v>44</v>
      </c>
      <c r="K98" s="39" t="s">
        <v>51</v>
      </c>
      <c r="L98" s="26"/>
      <c r="M98" s="39" t="s">
        <v>46</v>
      </c>
      <c r="N98" s="26">
        <v>46256</v>
      </c>
      <c r="O98" s="20" t="s">
        <v>327</v>
      </c>
      <c r="P98" s="26">
        <v>46256</v>
      </c>
      <c r="Q98" s="29">
        <f t="shared" ca="1" si="4"/>
        <v>2</v>
      </c>
      <c r="R98" s="23" t="str">
        <f t="shared" ca="1" si="5"/>
        <v/>
      </c>
      <c r="S98" s="17"/>
      <c r="T98" s="32"/>
    </row>
    <row r="99" spans="1:20">
      <c r="A99" s="23" t="str">
        <f t="shared" si="3"/>
        <v>DEF-0093</v>
      </c>
      <c r="B99" s="47">
        <v>46254</v>
      </c>
      <c r="C99" s="39"/>
      <c r="D99" s="39" t="s">
        <v>194</v>
      </c>
      <c r="E99" s="39" t="s">
        <v>49</v>
      </c>
      <c r="F99" s="39" t="s">
        <v>266</v>
      </c>
      <c r="G99" s="20"/>
      <c r="H99" s="39" t="s">
        <v>50</v>
      </c>
      <c r="I99" s="44" t="s">
        <v>298</v>
      </c>
      <c r="J99" s="39" t="s">
        <v>44</v>
      </c>
      <c r="K99" s="39" t="s">
        <v>51</v>
      </c>
      <c r="L99" s="26"/>
      <c r="M99" s="39" t="s">
        <v>37</v>
      </c>
      <c r="N99" s="26"/>
      <c r="O99" s="20"/>
      <c r="P99" s="26"/>
      <c r="Q99" s="29">
        <f t="shared" ca="1" si="4"/>
        <v>30</v>
      </c>
      <c r="R99" s="23" t="str">
        <f t="shared" ca="1" si="5"/>
        <v/>
      </c>
      <c r="S99" s="17"/>
      <c r="T99" s="32"/>
    </row>
    <row r="100" spans="1:20">
      <c r="A100" s="23" t="str">
        <f t="shared" si="3"/>
        <v>DEF-0094</v>
      </c>
      <c r="B100" s="47">
        <v>46254</v>
      </c>
      <c r="C100" s="39"/>
      <c r="D100" s="39" t="s">
        <v>194</v>
      </c>
      <c r="E100" s="39" t="s">
        <v>52</v>
      </c>
      <c r="F100" s="39" t="s">
        <v>299</v>
      </c>
      <c r="G100" s="20"/>
      <c r="H100" s="39" t="s">
        <v>50</v>
      </c>
      <c r="I100" s="44" t="s">
        <v>300</v>
      </c>
      <c r="J100" s="39" t="s">
        <v>44</v>
      </c>
      <c r="K100" s="39" t="s">
        <v>51</v>
      </c>
      <c r="L100" s="26"/>
      <c r="M100" s="39" t="s">
        <v>46</v>
      </c>
      <c r="N100" s="26">
        <v>46256</v>
      </c>
      <c r="O100" s="20" t="s">
        <v>327</v>
      </c>
      <c r="P100" s="26">
        <v>46256</v>
      </c>
      <c r="Q100" s="29">
        <f t="shared" ca="1" si="4"/>
        <v>2</v>
      </c>
      <c r="R100" s="23" t="str">
        <f t="shared" ca="1" si="5"/>
        <v/>
      </c>
      <c r="S100" s="17"/>
      <c r="T100" s="32"/>
    </row>
    <row r="101" spans="1:20">
      <c r="A101" s="23" t="str">
        <f t="shared" si="3"/>
        <v>DEF-0095</v>
      </c>
      <c r="B101" s="47">
        <v>46254</v>
      </c>
      <c r="C101" s="39"/>
      <c r="D101" s="39" t="s">
        <v>194</v>
      </c>
      <c r="E101" s="39" t="s">
        <v>52</v>
      </c>
      <c r="F101" s="39" t="s">
        <v>301</v>
      </c>
      <c r="G101" s="20"/>
      <c r="H101" s="39" t="s">
        <v>50</v>
      </c>
      <c r="I101" s="44" t="s">
        <v>302</v>
      </c>
      <c r="J101" s="39" t="s">
        <v>44</v>
      </c>
      <c r="K101" s="39" t="s">
        <v>51</v>
      </c>
      <c r="L101" s="26"/>
      <c r="M101" s="39" t="s">
        <v>37</v>
      </c>
      <c r="N101" s="26">
        <v>46256</v>
      </c>
      <c r="O101" s="20" t="s">
        <v>327</v>
      </c>
      <c r="P101" s="26">
        <v>46256</v>
      </c>
      <c r="Q101" s="29">
        <f t="shared" ca="1" si="4"/>
        <v>30</v>
      </c>
      <c r="R101" s="23" t="str">
        <f t="shared" ca="1" si="5"/>
        <v/>
      </c>
      <c r="S101" s="17"/>
      <c r="T101" s="32"/>
    </row>
    <row r="102" spans="1:20">
      <c r="A102" s="23" t="str">
        <f t="shared" si="3"/>
        <v>DEF-0096</v>
      </c>
      <c r="B102" s="47">
        <v>46254</v>
      </c>
      <c r="C102" s="39"/>
      <c r="D102" s="39" t="s">
        <v>194</v>
      </c>
      <c r="E102" s="39" t="s">
        <v>49</v>
      </c>
      <c r="F102" s="39" t="s">
        <v>303</v>
      </c>
      <c r="G102" s="20"/>
      <c r="H102" s="39" t="s">
        <v>50</v>
      </c>
      <c r="I102" s="44" t="s">
        <v>304</v>
      </c>
      <c r="J102" s="39" t="s">
        <v>44</v>
      </c>
      <c r="K102" s="39" t="s">
        <v>51</v>
      </c>
      <c r="L102" s="26"/>
      <c r="M102" s="39" t="s">
        <v>46</v>
      </c>
      <c r="N102" s="26">
        <v>46256</v>
      </c>
      <c r="O102" s="20" t="s">
        <v>327</v>
      </c>
      <c r="P102" s="26">
        <v>46256</v>
      </c>
      <c r="Q102" s="29">
        <f t="shared" ca="1" si="4"/>
        <v>2</v>
      </c>
      <c r="R102" s="23" t="str">
        <f t="shared" ca="1" si="5"/>
        <v/>
      </c>
      <c r="S102" s="17"/>
      <c r="T102" s="32"/>
    </row>
    <row r="103" spans="1:20">
      <c r="A103" s="23" t="str">
        <f t="shared" si="3"/>
        <v>DEF-0097</v>
      </c>
      <c r="B103" s="47">
        <v>46254</v>
      </c>
      <c r="C103" s="39"/>
      <c r="D103" s="39" t="s">
        <v>194</v>
      </c>
      <c r="E103" s="39" t="s">
        <v>52</v>
      </c>
      <c r="F103" s="39" t="s">
        <v>303</v>
      </c>
      <c r="G103" s="20"/>
      <c r="H103" s="39" t="s">
        <v>50</v>
      </c>
      <c r="I103" s="44" t="s">
        <v>305</v>
      </c>
      <c r="J103" s="39" t="s">
        <v>44</v>
      </c>
      <c r="K103" s="39" t="s">
        <v>51</v>
      </c>
      <c r="L103" s="26"/>
      <c r="M103" s="39" t="s">
        <v>37</v>
      </c>
      <c r="N103" s="26"/>
      <c r="O103" s="20"/>
      <c r="P103" s="26"/>
      <c r="Q103" s="29">
        <f t="shared" ca="1" si="4"/>
        <v>30</v>
      </c>
      <c r="R103" s="23" t="str">
        <f t="shared" ca="1" si="5"/>
        <v/>
      </c>
      <c r="S103" s="17"/>
      <c r="T103" s="32"/>
    </row>
    <row r="104" spans="1:20">
      <c r="A104" s="23" t="str">
        <f t="shared" si="3"/>
        <v>DEF-0098</v>
      </c>
      <c r="B104" s="47">
        <v>46254</v>
      </c>
      <c r="C104" s="39"/>
      <c r="D104" s="39" t="s">
        <v>194</v>
      </c>
      <c r="E104" s="39" t="s">
        <v>52</v>
      </c>
      <c r="F104" s="39" t="s">
        <v>303</v>
      </c>
      <c r="G104" s="20"/>
      <c r="H104" s="39" t="s">
        <v>50</v>
      </c>
      <c r="I104" s="44" t="s">
        <v>257</v>
      </c>
      <c r="J104" s="39" t="s">
        <v>44</v>
      </c>
      <c r="K104" s="39" t="s">
        <v>51</v>
      </c>
      <c r="L104" s="26"/>
      <c r="M104" s="39" t="s">
        <v>37</v>
      </c>
      <c r="N104" s="26"/>
      <c r="O104" s="20"/>
      <c r="P104" s="26"/>
      <c r="Q104" s="29">
        <f t="shared" ca="1" si="4"/>
        <v>30</v>
      </c>
      <c r="R104" s="23" t="str">
        <f t="shared" ca="1" si="5"/>
        <v/>
      </c>
      <c r="S104" s="17"/>
      <c r="T104" s="32"/>
    </row>
    <row r="105" spans="1:20">
      <c r="A105" s="23" t="str">
        <f t="shared" si="3"/>
        <v>DEF-0099</v>
      </c>
      <c r="B105" s="47">
        <v>46254</v>
      </c>
      <c r="C105" s="39"/>
      <c r="D105" s="39" t="s">
        <v>194</v>
      </c>
      <c r="E105" s="39" t="s">
        <v>52</v>
      </c>
      <c r="F105" s="39" t="s">
        <v>303</v>
      </c>
      <c r="G105" s="20"/>
      <c r="H105" s="39" t="s">
        <v>50</v>
      </c>
      <c r="I105" s="44" t="s">
        <v>306</v>
      </c>
      <c r="J105" s="39" t="s">
        <v>44</v>
      </c>
      <c r="K105" s="39" t="s">
        <v>51</v>
      </c>
      <c r="L105" s="26"/>
      <c r="M105" s="39" t="s">
        <v>37</v>
      </c>
      <c r="N105" s="26"/>
      <c r="O105" s="20"/>
      <c r="P105" s="26"/>
      <c r="Q105" s="29">
        <f t="shared" ca="1" si="4"/>
        <v>30</v>
      </c>
      <c r="R105" s="23" t="str">
        <f t="shared" ca="1" si="5"/>
        <v/>
      </c>
      <c r="S105" s="17"/>
      <c r="T105" s="32"/>
    </row>
    <row r="106" spans="1:20">
      <c r="A106" s="23" t="str">
        <f t="shared" si="3"/>
        <v>DEF-0100</v>
      </c>
      <c r="B106" s="47">
        <v>46254</v>
      </c>
      <c r="C106" s="39"/>
      <c r="D106" s="39" t="s">
        <v>194</v>
      </c>
      <c r="E106" s="39" t="s">
        <v>49</v>
      </c>
      <c r="F106" s="39" t="s">
        <v>307</v>
      </c>
      <c r="G106" s="20"/>
      <c r="H106" s="39" t="s">
        <v>50</v>
      </c>
      <c r="I106" s="44" t="s">
        <v>308</v>
      </c>
      <c r="J106" s="39" t="s">
        <v>44</v>
      </c>
      <c r="K106" s="39" t="s">
        <v>51</v>
      </c>
      <c r="L106" s="26"/>
      <c r="M106" s="39" t="s">
        <v>37</v>
      </c>
      <c r="N106" s="26"/>
      <c r="O106" s="20"/>
      <c r="P106" s="26"/>
      <c r="Q106" s="29">
        <f t="shared" ca="1" si="4"/>
        <v>30</v>
      </c>
      <c r="R106" s="23" t="str">
        <f t="shared" ca="1" si="5"/>
        <v/>
      </c>
      <c r="S106" s="17"/>
      <c r="T106" s="32"/>
    </row>
    <row r="107" spans="1:20">
      <c r="A107" s="23" t="str">
        <f t="shared" si="3"/>
        <v>DEF-0101</v>
      </c>
      <c r="B107" s="47">
        <v>46254</v>
      </c>
      <c r="C107" s="39"/>
      <c r="D107" s="39" t="s">
        <v>194</v>
      </c>
      <c r="E107" s="39" t="s">
        <v>49</v>
      </c>
      <c r="F107" s="39" t="s">
        <v>309</v>
      </c>
      <c r="G107" s="20"/>
      <c r="H107" s="39" t="s">
        <v>50</v>
      </c>
      <c r="I107" s="44" t="s">
        <v>308</v>
      </c>
      <c r="J107" s="39" t="s">
        <v>44</v>
      </c>
      <c r="K107" s="39" t="s">
        <v>51</v>
      </c>
      <c r="L107" s="26"/>
      <c r="M107" s="39" t="s">
        <v>37</v>
      </c>
      <c r="N107" s="26"/>
      <c r="O107" s="20"/>
      <c r="P107" s="26"/>
      <c r="Q107" s="29">
        <f t="shared" ca="1" si="4"/>
        <v>30</v>
      </c>
      <c r="R107" s="23" t="str">
        <f t="shared" ca="1" si="5"/>
        <v/>
      </c>
      <c r="S107" s="17"/>
      <c r="T107" s="32"/>
    </row>
    <row r="108" spans="1:20">
      <c r="A108" s="23" t="str">
        <f t="shared" si="3"/>
        <v>DEF-0102</v>
      </c>
      <c r="B108" s="47">
        <v>46254</v>
      </c>
      <c r="C108" s="39"/>
      <c r="D108" s="39" t="s">
        <v>194</v>
      </c>
      <c r="E108" s="39" t="s">
        <v>49</v>
      </c>
      <c r="F108" s="39" t="s">
        <v>310</v>
      </c>
      <c r="G108" s="20"/>
      <c r="H108" s="39" t="s">
        <v>50</v>
      </c>
      <c r="I108" s="44" t="s">
        <v>308</v>
      </c>
      <c r="J108" s="39" t="s">
        <v>44</v>
      </c>
      <c r="K108" s="39" t="s">
        <v>51</v>
      </c>
      <c r="L108" s="26"/>
      <c r="M108" s="39" t="s">
        <v>37</v>
      </c>
      <c r="N108" s="26"/>
      <c r="O108" s="20"/>
      <c r="P108" s="26"/>
      <c r="Q108" s="29">
        <f t="shared" ca="1" si="4"/>
        <v>30</v>
      </c>
      <c r="R108" s="23" t="str">
        <f t="shared" ca="1" si="5"/>
        <v/>
      </c>
      <c r="S108" s="17"/>
      <c r="T108" s="32"/>
    </row>
    <row r="109" spans="1:20">
      <c r="A109" s="23" t="str">
        <f t="shared" si="3"/>
        <v>DEF-0103</v>
      </c>
      <c r="B109" s="47">
        <v>46254</v>
      </c>
      <c r="C109" s="39"/>
      <c r="D109" s="39" t="s">
        <v>194</v>
      </c>
      <c r="E109" s="39" t="s">
        <v>49</v>
      </c>
      <c r="F109" s="39" t="s">
        <v>311</v>
      </c>
      <c r="G109" s="20"/>
      <c r="H109" s="39" t="s">
        <v>50</v>
      </c>
      <c r="I109" s="44" t="s">
        <v>308</v>
      </c>
      <c r="J109" s="39" t="s">
        <v>44</v>
      </c>
      <c r="K109" s="39" t="s">
        <v>51</v>
      </c>
      <c r="L109" s="26"/>
      <c r="M109" s="39" t="s">
        <v>37</v>
      </c>
      <c r="N109" s="26"/>
      <c r="O109" s="20"/>
      <c r="P109" s="26"/>
      <c r="Q109" s="29">
        <f t="shared" ca="1" si="4"/>
        <v>30</v>
      </c>
      <c r="R109" s="23" t="str">
        <f t="shared" ca="1" si="5"/>
        <v/>
      </c>
      <c r="S109" s="17"/>
      <c r="T109" s="32"/>
    </row>
    <row r="110" spans="1:20">
      <c r="A110" s="23" t="str">
        <f t="shared" si="3"/>
        <v>DEF-0104</v>
      </c>
      <c r="B110" s="47">
        <v>46254</v>
      </c>
      <c r="C110" s="39"/>
      <c r="D110" s="39" t="s">
        <v>194</v>
      </c>
      <c r="E110" s="39" t="s">
        <v>49</v>
      </c>
      <c r="F110" s="39" t="s">
        <v>312</v>
      </c>
      <c r="G110" s="20"/>
      <c r="H110" s="39" t="s">
        <v>50</v>
      </c>
      <c r="I110" s="44" t="s">
        <v>308</v>
      </c>
      <c r="J110" s="39" t="s">
        <v>44</v>
      </c>
      <c r="K110" s="39" t="s">
        <v>51</v>
      </c>
      <c r="L110" s="26"/>
      <c r="M110" s="39" t="s">
        <v>37</v>
      </c>
      <c r="N110" s="26"/>
      <c r="O110" s="20"/>
      <c r="P110" s="26"/>
      <c r="Q110" s="29">
        <f t="shared" ca="1" si="4"/>
        <v>30</v>
      </c>
      <c r="R110" s="23" t="str">
        <f t="shared" ca="1" si="5"/>
        <v/>
      </c>
      <c r="S110" s="17"/>
      <c r="T110" s="32"/>
    </row>
    <row r="111" spans="1:20">
      <c r="A111" s="23" t="str">
        <f t="shared" si="3"/>
        <v>DEF-0105</v>
      </c>
      <c r="B111" s="47">
        <v>46254</v>
      </c>
      <c r="C111" s="39"/>
      <c r="D111" s="39" t="s">
        <v>194</v>
      </c>
      <c r="E111" s="39" t="s">
        <v>52</v>
      </c>
      <c r="F111" s="39" t="s">
        <v>310</v>
      </c>
      <c r="G111" s="20"/>
      <c r="H111" s="39" t="s">
        <v>50</v>
      </c>
      <c r="I111" s="44" t="s">
        <v>313</v>
      </c>
      <c r="J111" s="39" t="s">
        <v>44</v>
      </c>
      <c r="K111" s="39" t="s">
        <v>51</v>
      </c>
      <c r="L111" s="26"/>
      <c r="M111" s="39" t="s">
        <v>37</v>
      </c>
      <c r="N111" s="26"/>
      <c r="O111" s="20"/>
      <c r="P111" s="26"/>
      <c r="Q111" s="29">
        <f t="shared" ca="1" si="4"/>
        <v>30</v>
      </c>
      <c r="R111" s="23" t="str">
        <f t="shared" ca="1" si="5"/>
        <v/>
      </c>
      <c r="S111" s="17"/>
      <c r="T111" s="32"/>
    </row>
    <row r="112" spans="1:20">
      <c r="A112" s="23" t="str">
        <f t="shared" si="3"/>
        <v>DEF-0106</v>
      </c>
      <c r="B112" s="47">
        <v>46254</v>
      </c>
      <c r="C112" s="39"/>
      <c r="D112" s="39" t="s">
        <v>194</v>
      </c>
      <c r="E112" s="39" t="s">
        <v>52</v>
      </c>
      <c r="F112" s="39" t="s">
        <v>310</v>
      </c>
      <c r="G112" s="20"/>
      <c r="H112" s="39" t="s">
        <v>50</v>
      </c>
      <c r="I112" s="44" t="s">
        <v>314</v>
      </c>
      <c r="J112" s="39" t="s">
        <v>44</v>
      </c>
      <c r="K112" s="39" t="s">
        <v>51</v>
      </c>
      <c r="L112" s="26"/>
      <c r="M112" s="39" t="s">
        <v>37</v>
      </c>
      <c r="N112" s="26"/>
      <c r="O112" s="20"/>
      <c r="P112" s="26"/>
      <c r="Q112" s="29">
        <f t="shared" ca="1" si="4"/>
        <v>30</v>
      </c>
      <c r="R112" s="23" t="str">
        <f t="shared" ca="1" si="5"/>
        <v/>
      </c>
      <c r="S112" s="17"/>
      <c r="T112" s="32"/>
    </row>
    <row r="113" spans="1:20" ht="25">
      <c r="A113" s="23" t="str">
        <f t="shared" si="3"/>
        <v>DEF-0107</v>
      </c>
      <c r="B113" s="47">
        <v>46254</v>
      </c>
      <c r="C113" s="39" t="s">
        <v>160</v>
      </c>
      <c r="D113" s="39" t="s">
        <v>194</v>
      </c>
      <c r="E113" s="39" t="s">
        <v>49</v>
      </c>
      <c r="F113" s="39" t="s">
        <v>315</v>
      </c>
      <c r="G113" s="20"/>
      <c r="H113" s="39" t="s">
        <v>50</v>
      </c>
      <c r="I113" s="44" t="s">
        <v>321</v>
      </c>
      <c r="J113" s="39" t="s">
        <v>44</v>
      </c>
      <c r="K113" s="39" t="s">
        <v>51</v>
      </c>
      <c r="L113" s="26"/>
      <c r="M113" s="39" t="s">
        <v>37</v>
      </c>
      <c r="N113" s="26"/>
      <c r="O113" s="20"/>
      <c r="P113" s="26"/>
      <c r="Q113" s="29">
        <f t="shared" ca="1" si="4"/>
        <v>30</v>
      </c>
      <c r="R113" s="23" t="str">
        <f t="shared" ca="1" si="5"/>
        <v/>
      </c>
      <c r="S113" s="17"/>
      <c r="T113" s="32"/>
    </row>
    <row r="114" spans="1:20" ht="50">
      <c r="A114" s="23" t="str">
        <f t="shared" si="3"/>
        <v>DEF-0108</v>
      </c>
      <c r="B114" s="47">
        <v>46254</v>
      </c>
      <c r="C114" s="39" t="s">
        <v>160</v>
      </c>
      <c r="D114" s="39" t="s">
        <v>194</v>
      </c>
      <c r="E114" s="39" t="s">
        <v>49</v>
      </c>
      <c r="F114" s="39" t="s">
        <v>316</v>
      </c>
      <c r="G114" s="20"/>
      <c r="H114" s="39" t="s">
        <v>50</v>
      </c>
      <c r="I114" s="44" t="s">
        <v>322</v>
      </c>
      <c r="J114" s="39" t="s">
        <v>44</v>
      </c>
      <c r="K114" s="39" t="s">
        <v>51</v>
      </c>
      <c r="L114" s="26"/>
      <c r="M114" s="39" t="s">
        <v>46</v>
      </c>
      <c r="N114" s="26">
        <v>46256</v>
      </c>
      <c r="O114" s="20" t="s">
        <v>327</v>
      </c>
      <c r="P114" s="26">
        <v>46256</v>
      </c>
      <c r="Q114" s="29">
        <f t="shared" ca="1" si="4"/>
        <v>2</v>
      </c>
      <c r="R114" s="23" t="str">
        <f t="shared" ca="1" si="5"/>
        <v/>
      </c>
      <c r="S114" s="17"/>
      <c r="T114" s="32"/>
    </row>
    <row r="115" spans="1:20" ht="25">
      <c r="A115" s="23" t="str">
        <f t="shared" si="3"/>
        <v>DEF-0109</v>
      </c>
      <c r="B115" s="47">
        <v>46254</v>
      </c>
      <c r="C115" s="39" t="s">
        <v>160</v>
      </c>
      <c r="D115" s="39" t="s">
        <v>194</v>
      </c>
      <c r="E115" s="39" t="s">
        <v>49</v>
      </c>
      <c r="F115" s="39" t="s">
        <v>317</v>
      </c>
      <c r="G115" s="20"/>
      <c r="H115" s="39" t="s">
        <v>50</v>
      </c>
      <c r="I115" s="44" t="s">
        <v>323</v>
      </c>
      <c r="J115" s="39" t="s">
        <v>44</v>
      </c>
      <c r="K115" s="39" t="s">
        <v>51</v>
      </c>
      <c r="L115" s="26"/>
      <c r="M115" s="39" t="s">
        <v>37</v>
      </c>
      <c r="N115" s="26"/>
      <c r="O115" s="20"/>
      <c r="P115" s="26"/>
      <c r="Q115" s="29">
        <f t="shared" ca="1" si="4"/>
        <v>30</v>
      </c>
      <c r="R115" s="23" t="str">
        <f t="shared" ca="1" si="5"/>
        <v/>
      </c>
      <c r="S115" s="17"/>
      <c r="T115" s="32"/>
    </row>
    <row r="116" spans="1:20">
      <c r="A116" s="23" t="str">
        <f t="shared" si="3"/>
        <v>DEF-0110</v>
      </c>
      <c r="B116" s="47">
        <v>46254</v>
      </c>
      <c r="C116" s="39" t="s">
        <v>160</v>
      </c>
      <c r="D116" s="39" t="s">
        <v>194</v>
      </c>
      <c r="E116" s="39" t="s">
        <v>49</v>
      </c>
      <c r="F116" s="39" t="s">
        <v>318</v>
      </c>
      <c r="G116" s="20"/>
      <c r="H116" s="39" t="s">
        <v>50</v>
      </c>
      <c r="I116" s="44" t="s">
        <v>324</v>
      </c>
      <c r="J116" s="39" t="s">
        <v>44</v>
      </c>
      <c r="K116" s="39" t="s">
        <v>51</v>
      </c>
      <c r="L116" s="26"/>
      <c r="M116" s="39" t="s">
        <v>46</v>
      </c>
      <c r="N116" s="26">
        <v>46256</v>
      </c>
      <c r="O116" s="20" t="s">
        <v>327</v>
      </c>
      <c r="P116" s="26"/>
      <c r="Q116" s="29">
        <f t="shared" ca="1" si="4"/>
        <v>2</v>
      </c>
      <c r="R116" s="23" t="str">
        <f t="shared" ca="1" si="5"/>
        <v/>
      </c>
      <c r="S116" s="17"/>
      <c r="T116" s="32"/>
    </row>
    <row r="117" spans="1:20">
      <c r="A117" s="23" t="str">
        <f t="shared" si="3"/>
        <v>DEF-0111</v>
      </c>
      <c r="B117" s="47">
        <v>46254</v>
      </c>
      <c r="C117" s="39" t="s">
        <v>160</v>
      </c>
      <c r="D117" s="39" t="s">
        <v>194</v>
      </c>
      <c r="E117" s="39" t="s">
        <v>49</v>
      </c>
      <c r="F117" s="39" t="s">
        <v>319</v>
      </c>
      <c r="G117" s="20"/>
      <c r="H117" s="39" t="s">
        <v>50</v>
      </c>
      <c r="I117" s="44" t="s">
        <v>325</v>
      </c>
      <c r="J117" s="39" t="s">
        <v>44</v>
      </c>
      <c r="K117" s="39" t="s">
        <v>51</v>
      </c>
      <c r="L117" s="26"/>
      <c r="M117" s="39" t="s">
        <v>46</v>
      </c>
      <c r="N117" s="26">
        <v>46256</v>
      </c>
      <c r="O117" s="20" t="s">
        <v>327</v>
      </c>
      <c r="P117" s="26"/>
      <c r="Q117" s="29">
        <f t="shared" ca="1" si="4"/>
        <v>2</v>
      </c>
      <c r="R117" s="23" t="str">
        <f t="shared" ca="1" si="5"/>
        <v/>
      </c>
      <c r="S117" s="17"/>
      <c r="T117" s="32"/>
    </row>
    <row r="118" spans="1:20">
      <c r="A118" s="23" t="str">
        <f t="shared" si="3"/>
        <v>DEF-0112</v>
      </c>
      <c r="B118" s="47">
        <v>46254</v>
      </c>
      <c r="C118" s="39" t="s">
        <v>160</v>
      </c>
      <c r="D118" s="39" t="s">
        <v>194</v>
      </c>
      <c r="E118" s="39" t="s">
        <v>49</v>
      </c>
      <c r="F118" s="39" t="s">
        <v>320</v>
      </c>
      <c r="G118" s="20"/>
      <c r="H118" s="39" t="s">
        <v>50</v>
      </c>
      <c r="I118" s="44" t="s">
        <v>326</v>
      </c>
      <c r="J118" s="39" t="s">
        <v>44</v>
      </c>
      <c r="K118" s="39" t="s">
        <v>51</v>
      </c>
      <c r="L118" s="26"/>
      <c r="M118" s="39" t="s">
        <v>46</v>
      </c>
      <c r="N118" s="26">
        <v>46256</v>
      </c>
      <c r="O118" s="20" t="s">
        <v>327</v>
      </c>
      <c r="P118" s="26">
        <v>46256</v>
      </c>
      <c r="Q118" s="29">
        <f t="shared" ca="1" si="4"/>
        <v>2</v>
      </c>
      <c r="R118" s="23" t="str">
        <f t="shared" ca="1" si="5"/>
        <v/>
      </c>
      <c r="S118" s="17"/>
      <c r="T118" s="32"/>
    </row>
    <row r="119" spans="1:20">
      <c r="A119" s="23" t="str">
        <f t="shared" si="3"/>
        <v>DEF-0113</v>
      </c>
      <c r="B119" s="47">
        <v>46254</v>
      </c>
      <c r="C119" s="39" t="s">
        <v>160</v>
      </c>
      <c r="D119" s="39" t="s">
        <v>194</v>
      </c>
      <c r="E119" s="39" t="s">
        <v>49</v>
      </c>
      <c r="F119" s="39" t="s">
        <v>317</v>
      </c>
      <c r="G119" s="20"/>
      <c r="H119" s="39" t="s">
        <v>50</v>
      </c>
      <c r="I119" s="44" t="s">
        <v>326</v>
      </c>
      <c r="J119" s="39" t="s">
        <v>44</v>
      </c>
      <c r="K119" s="39" t="s">
        <v>51</v>
      </c>
      <c r="L119" s="26"/>
      <c r="M119" s="39" t="s">
        <v>46</v>
      </c>
      <c r="N119" s="26">
        <v>46256</v>
      </c>
      <c r="O119" s="20" t="s">
        <v>327</v>
      </c>
      <c r="P119" s="26">
        <v>46256</v>
      </c>
      <c r="Q119" s="29">
        <f t="shared" ca="1" si="4"/>
        <v>2</v>
      </c>
      <c r="R119" s="23" t="str">
        <f t="shared" ca="1" si="5"/>
        <v/>
      </c>
      <c r="S119" s="17"/>
      <c r="T119" s="32"/>
    </row>
    <row r="120" spans="1:20">
      <c r="A120" s="23" t="str">
        <f t="shared" si="3"/>
        <v>DEF-0114</v>
      </c>
      <c r="B120" s="47">
        <v>46254</v>
      </c>
      <c r="C120" s="39"/>
      <c r="D120" s="39"/>
      <c r="E120" s="39" t="s">
        <v>49</v>
      </c>
      <c r="F120" s="39" t="s">
        <v>329</v>
      </c>
      <c r="G120" s="20"/>
      <c r="H120" s="39" t="s">
        <v>50</v>
      </c>
      <c r="I120" s="44" t="s">
        <v>330</v>
      </c>
      <c r="J120" s="39" t="s">
        <v>44</v>
      </c>
      <c r="K120" s="39" t="s">
        <v>51</v>
      </c>
      <c r="L120" s="26"/>
      <c r="M120" s="39" t="s">
        <v>37</v>
      </c>
      <c r="N120" s="26"/>
      <c r="O120" s="20"/>
      <c r="P120" s="26"/>
      <c r="Q120" s="29">
        <f t="shared" ca="1" si="4"/>
        <v>30</v>
      </c>
      <c r="R120" s="23" t="str">
        <f t="shared" ca="1" si="5"/>
        <v/>
      </c>
      <c r="S120" s="17"/>
      <c r="T120" s="32"/>
    </row>
    <row r="121" spans="1:20">
      <c r="A121" s="23" t="str">
        <f t="shared" si="3"/>
        <v>DEF-0115</v>
      </c>
      <c r="B121" s="47">
        <v>46254</v>
      </c>
      <c r="C121" s="39"/>
      <c r="D121" s="39"/>
      <c r="E121" s="39" t="s">
        <v>49</v>
      </c>
      <c r="F121" s="39" t="s">
        <v>317</v>
      </c>
      <c r="G121" s="20"/>
      <c r="H121" s="39" t="s">
        <v>50</v>
      </c>
      <c r="I121" s="44" t="s">
        <v>330</v>
      </c>
      <c r="J121" s="39" t="s">
        <v>44</v>
      </c>
      <c r="K121" s="39" t="s">
        <v>51</v>
      </c>
      <c r="L121" s="26"/>
      <c r="M121" s="39" t="s">
        <v>37</v>
      </c>
      <c r="N121" s="26"/>
      <c r="O121" s="20"/>
      <c r="P121" s="26"/>
      <c r="Q121" s="29">
        <f t="shared" ca="1" si="4"/>
        <v>30</v>
      </c>
      <c r="R121" s="23" t="str">
        <f t="shared" ca="1" si="5"/>
        <v/>
      </c>
      <c r="S121" s="17"/>
      <c r="T121" s="32"/>
    </row>
    <row r="122" spans="1:20">
      <c r="A122" s="23" t="str">
        <f t="shared" si="3"/>
        <v>DEF-0116</v>
      </c>
      <c r="B122" s="47">
        <v>46253</v>
      </c>
      <c r="C122" s="39" t="s">
        <v>109</v>
      </c>
      <c r="D122" s="39" t="s">
        <v>253</v>
      </c>
      <c r="E122" s="39" t="s">
        <v>49</v>
      </c>
      <c r="F122" s="39" t="s">
        <v>331</v>
      </c>
      <c r="G122" s="20"/>
      <c r="H122" s="39" t="s">
        <v>50</v>
      </c>
      <c r="I122" s="44" t="s">
        <v>332</v>
      </c>
      <c r="J122" s="39" t="s">
        <v>44</v>
      </c>
      <c r="K122" s="39" t="s">
        <v>51</v>
      </c>
      <c r="L122" s="26"/>
      <c r="M122" s="39" t="s">
        <v>46</v>
      </c>
      <c r="N122" s="26">
        <v>46254</v>
      </c>
      <c r="O122" s="20" t="s">
        <v>327</v>
      </c>
      <c r="P122" s="26">
        <v>46254</v>
      </c>
      <c r="Q122" s="29">
        <f t="shared" ca="1" si="4"/>
        <v>1</v>
      </c>
      <c r="R122" s="23" t="str">
        <f t="shared" ca="1" si="5"/>
        <v/>
      </c>
      <c r="S122" s="17"/>
      <c r="T122" s="32"/>
    </row>
    <row r="123" spans="1:20">
      <c r="A123" s="23" t="str">
        <f t="shared" si="3"/>
        <v>DEF-0117</v>
      </c>
      <c r="B123" s="47">
        <v>46253</v>
      </c>
      <c r="C123" s="39" t="s">
        <v>190</v>
      </c>
      <c r="D123" s="39" t="s">
        <v>253</v>
      </c>
      <c r="E123" s="39" t="s">
        <v>49</v>
      </c>
      <c r="F123" s="39" t="s">
        <v>333</v>
      </c>
      <c r="G123" s="20"/>
      <c r="H123" s="39" t="s">
        <v>50</v>
      </c>
      <c r="I123" s="39" t="s">
        <v>334</v>
      </c>
      <c r="J123" s="39" t="s">
        <v>44</v>
      </c>
      <c r="K123" s="39" t="s">
        <v>51</v>
      </c>
      <c r="L123" s="26"/>
      <c r="M123" s="39" t="s">
        <v>46</v>
      </c>
      <c r="N123" s="26">
        <v>46254</v>
      </c>
      <c r="O123" s="20" t="s">
        <v>327</v>
      </c>
      <c r="P123" s="26"/>
      <c r="Q123" s="29">
        <f t="shared" ca="1" si="4"/>
        <v>1</v>
      </c>
      <c r="R123" s="23" t="str">
        <f t="shared" ca="1" si="5"/>
        <v/>
      </c>
      <c r="S123" s="17"/>
      <c r="T123" s="32"/>
    </row>
    <row r="124" spans="1:20">
      <c r="A124" s="23" t="str">
        <f t="shared" si="3"/>
        <v>DEF-0118</v>
      </c>
      <c r="B124" s="47">
        <v>46253</v>
      </c>
      <c r="C124" s="39" t="s">
        <v>190</v>
      </c>
      <c r="D124" s="39" t="s">
        <v>253</v>
      </c>
      <c r="E124" s="39" t="s">
        <v>49</v>
      </c>
      <c r="F124" s="39" t="s">
        <v>337</v>
      </c>
      <c r="G124" s="20"/>
      <c r="H124" s="39" t="s">
        <v>56</v>
      </c>
      <c r="I124" s="44" t="s">
        <v>338</v>
      </c>
      <c r="J124" s="39" t="s">
        <v>41</v>
      </c>
      <c r="K124" s="39" t="s">
        <v>54</v>
      </c>
      <c r="L124" s="26"/>
      <c r="M124" s="39" t="s">
        <v>37</v>
      </c>
      <c r="N124" s="26"/>
      <c r="O124" s="20"/>
      <c r="P124" s="26"/>
      <c r="Q124" s="29">
        <f t="shared" ca="1" si="4"/>
        <v>31</v>
      </c>
      <c r="R124" s="23" t="str">
        <f t="shared" ca="1" si="5"/>
        <v/>
      </c>
      <c r="S124" s="17"/>
      <c r="T124" s="32"/>
    </row>
    <row r="125" spans="1:20">
      <c r="A125" s="23" t="str">
        <f t="shared" si="3"/>
        <v>DEF-0119</v>
      </c>
      <c r="B125" s="47">
        <v>46253</v>
      </c>
      <c r="C125" s="39" t="s">
        <v>190</v>
      </c>
      <c r="D125" s="39" t="s">
        <v>253</v>
      </c>
      <c r="E125" s="39" t="s">
        <v>49</v>
      </c>
      <c r="F125" s="39" t="s">
        <v>333</v>
      </c>
      <c r="G125" s="20"/>
      <c r="H125" s="39" t="s">
        <v>67</v>
      </c>
      <c r="I125" s="39" t="s">
        <v>335</v>
      </c>
      <c r="J125" s="39" t="s">
        <v>44</v>
      </c>
      <c r="K125" s="39" t="s">
        <v>51</v>
      </c>
      <c r="L125" s="26"/>
      <c r="M125" s="39" t="s">
        <v>40</v>
      </c>
      <c r="N125" s="26"/>
      <c r="O125" s="20"/>
      <c r="P125" s="26"/>
      <c r="Q125" s="29">
        <f t="shared" ca="1" si="4"/>
        <v>31</v>
      </c>
      <c r="R125" s="23" t="str">
        <f t="shared" ca="1" si="5"/>
        <v/>
      </c>
      <c r="S125" s="17"/>
      <c r="T125" s="32"/>
    </row>
    <row r="126" spans="1:20">
      <c r="A126" s="23" t="str">
        <f t="shared" si="3"/>
        <v>DEF-0120</v>
      </c>
      <c r="B126" s="47">
        <v>46253</v>
      </c>
      <c r="C126" s="39" t="s">
        <v>190</v>
      </c>
      <c r="D126" s="39" t="s">
        <v>253</v>
      </c>
      <c r="E126" s="39" t="s">
        <v>49</v>
      </c>
      <c r="F126" s="39" t="s">
        <v>337</v>
      </c>
      <c r="G126" s="20"/>
      <c r="H126" s="39" t="s">
        <v>50</v>
      </c>
      <c r="I126" s="39" t="s">
        <v>336</v>
      </c>
      <c r="J126" s="39" t="s">
        <v>44</v>
      </c>
      <c r="K126" s="39" t="s">
        <v>51</v>
      </c>
      <c r="L126" s="26"/>
      <c r="M126" s="39" t="s">
        <v>40</v>
      </c>
      <c r="N126" s="26"/>
      <c r="O126" s="20"/>
      <c r="P126" s="26"/>
      <c r="Q126" s="29">
        <f t="shared" ca="1" si="4"/>
        <v>31</v>
      </c>
      <c r="R126" s="23" t="str">
        <f t="shared" ca="1" si="5"/>
        <v/>
      </c>
      <c r="S126" s="17"/>
      <c r="T126" s="32"/>
    </row>
    <row r="127" spans="1:20">
      <c r="A127" s="23" t="str">
        <f t="shared" si="3"/>
        <v>DEF-0121</v>
      </c>
      <c r="B127" s="47">
        <v>46253</v>
      </c>
      <c r="C127" s="39" t="s">
        <v>190</v>
      </c>
      <c r="D127" s="39" t="s">
        <v>253</v>
      </c>
      <c r="E127" s="39" t="s">
        <v>49</v>
      </c>
      <c r="F127" s="39" t="s">
        <v>340</v>
      </c>
      <c r="G127" s="20"/>
      <c r="H127" s="39" t="s">
        <v>50</v>
      </c>
      <c r="I127" s="39" t="s">
        <v>339</v>
      </c>
      <c r="J127" s="39" t="s">
        <v>44</v>
      </c>
      <c r="K127" s="39" t="s">
        <v>51</v>
      </c>
      <c r="L127" s="26"/>
      <c r="M127" s="39" t="s">
        <v>40</v>
      </c>
      <c r="N127" s="26"/>
      <c r="O127" s="20"/>
      <c r="P127" s="26"/>
      <c r="Q127" s="29">
        <f t="shared" ca="1" si="4"/>
        <v>31</v>
      </c>
      <c r="R127" s="23" t="str">
        <f t="shared" ca="1" si="5"/>
        <v/>
      </c>
      <c r="S127" s="17"/>
      <c r="T127" s="32"/>
    </row>
    <row r="128" spans="1:20">
      <c r="A128" s="23" t="str">
        <f t="shared" si="3"/>
        <v>DEF-0122</v>
      </c>
      <c r="B128" s="47">
        <v>46253</v>
      </c>
      <c r="C128" s="39" t="s">
        <v>190</v>
      </c>
      <c r="D128" s="39" t="s">
        <v>253</v>
      </c>
      <c r="E128" s="39" t="s">
        <v>49</v>
      </c>
      <c r="F128" s="39" t="s">
        <v>342</v>
      </c>
      <c r="G128" s="20"/>
      <c r="H128" s="39" t="s">
        <v>50</v>
      </c>
      <c r="I128" s="39" t="s">
        <v>341</v>
      </c>
      <c r="J128" s="39" t="s">
        <v>44</v>
      </c>
      <c r="K128" s="39" t="s">
        <v>51</v>
      </c>
      <c r="L128" s="26"/>
      <c r="M128" s="39" t="s">
        <v>40</v>
      </c>
      <c r="N128" s="26"/>
      <c r="O128" s="20"/>
      <c r="P128" s="26"/>
      <c r="Q128" s="29">
        <f t="shared" ca="1" si="4"/>
        <v>31</v>
      </c>
      <c r="R128" s="23" t="str">
        <f t="shared" ca="1" si="5"/>
        <v/>
      </c>
      <c r="S128" s="17"/>
      <c r="T128" s="32"/>
    </row>
    <row r="129" spans="1:20">
      <c r="A129" s="23" t="str">
        <f t="shared" si="3"/>
        <v>DEF-0123</v>
      </c>
      <c r="B129" s="47">
        <v>46253</v>
      </c>
      <c r="C129" s="39" t="s">
        <v>190</v>
      </c>
      <c r="D129" s="39" t="s">
        <v>253</v>
      </c>
      <c r="E129" s="39" t="s">
        <v>49</v>
      </c>
      <c r="F129" s="39" t="s">
        <v>343</v>
      </c>
      <c r="G129" s="20"/>
      <c r="H129" s="39" t="s">
        <v>50</v>
      </c>
      <c r="I129" s="44" t="s">
        <v>341</v>
      </c>
      <c r="J129" s="39" t="s">
        <v>44</v>
      </c>
      <c r="K129" s="39" t="s">
        <v>51</v>
      </c>
      <c r="L129" s="26"/>
      <c r="M129" s="39" t="s">
        <v>40</v>
      </c>
      <c r="N129" s="26"/>
      <c r="O129" s="20"/>
      <c r="P129" s="26"/>
      <c r="Q129" s="29">
        <f t="shared" ca="1" si="4"/>
        <v>31</v>
      </c>
      <c r="R129" s="23" t="str">
        <f t="shared" ca="1" si="5"/>
        <v/>
      </c>
      <c r="S129" s="17"/>
      <c r="T129" s="32"/>
    </row>
    <row r="130" spans="1:20">
      <c r="A130" s="23" t="str">
        <f t="shared" si="3"/>
        <v>DEF-0124</v>
      </c>
      <c r="B130" s="47">
        <v>46253</v>
      </c>
      <c r="C130" s="39" t="s">
        <v>190</v>
      </c>
      <c r="D130" s="39" t="s">
        <v>253</v>
      </c>
      <c r="E130" s="39" t="s">
        <v>49</v>
      </c>
      <c r="F130" s="44" t="s">
        <v>344</v>
      </c>
      <c r="G130" s="20"/>
      <c r="H130" s="39" t="s">
        <v>50</v>
      </c>
      <c r="I130" s="39" t="s">
        <v>345</v>
      </c>
      <c r="J130" s="39" t="s">
        <v>44</v>
      </c>
      <c r="K130" s="39" t="s">
        <v>51</v>
      </c>
      <c r="L130" s="26"/>
      <c r="M130" s="39" t="s">
        <v>46</v>
      </c>
      <c r="N130" s="26">
        <v>46254</v>
      </c>
      <c r="O130" s="20" t="s">
        <v>327</v>
      </c>
      <c r="P130" s="26"/>
      <c r="Q130" s="29">
        <f t="shared" ca="1" si="4"/>
        <v>1</v>
      </c>
      <c r="R130" s="23" t="str">
        <f t="shared" ca="1" si="5"/>
        <v/>
      </c>
      <c r="S130" s="17"/>
      <c r="T130" s="32"/>
    </row>
    <row r="131" spans="1:20">
      <c r="A131" s="23" t="str">
        <f t="shared" si="3"/>
        <v>DEF-0125</v>
      </c>
      <c r="B131" s="47">
        <v>46253</v>
      </c>
      <c r="C131" s="39" t="s">
        <v>190</v>
      </c>
      <c r="D131" s="39" t="s">
        <v>253</v>
      </c>
      <c r="E131" s="39" t="s">
        <v>49</v>
      </c>
      <c r="F131" s="44" t="s">
        <v>344</v>
      </c>
      <c r="G131" s="20"/>
      <c r="H131" s="39" t="s">
        <v>50</v>
      </c>
      <c r="I131" s="44" t="s">
        <v>346</v>
      </c>
      <c r="J131" s="39" t="s">
        <v>44</v>
      </c>
      <c r="K131" s="39" t="s">
        <v>51</v>
      </c>
      <c r="L131" s="26"/>
      <c r="M131" s="39" t="s">
        <v>37</v>
      </c>
      <c r="N131" s="26"/>
      <c r="O131" s="20"/>
      <c r="P131" s="26"/>
      <c r="Q131" s="29">
        <f t="shared" ca="1" si="4"/>
        <v>31</v>
      </c>
      <c r="R131" s="23" t="str">
        <f t="shared" ca="1" si="5"/>
        <v/>
      </c>
      <c r="S131" s="17"/>
      <c r="T131" s="32"/>
    </row>
    <row r="132" spans="1:20">
      <c r="A132" s="23" t="str">
        <f t="shared" si="3"/>
        <v>DEF-0126</v>
      </c>
      <c r="B132" s="47">
        <v>46253</v>
      </c>
      <c r="C132" s="39" t="s">
        <v>190</v>
      </c>
      <c r="D132" s="39" t="s">
        <v>253</v>
      </c>
      <c r="E132" s="39" t="s">
        <v>49</v>
      </c>
      <c r="F132" s="39" t="s">
        <v>347</v>
      </c>
      <c r="G132" s="20"/>
      <c r="H132" s="39" t="s">
        <v>50</v>
      </c>
      <c r="I132" s="44" t="s">
        <v>348</v>
      </c>
      <c r="J132" s="39" t="s">
        <v>47</v>
      </c>
      <c r="K132" s="39" t="s">
        <v>51</v>
      </c>
      <c r="L132" s="26"/>
      <c r="M132" s="39" t="s">
        <v>37</v>
      </c>
      <c r="N132" s="26"/>
      <c r="O132" s="20"/>
      <c r="P132" s="26"/>
      <c r="Q132" s="29">
        <f t="shared" ca="1" si="4"/>
        <v>31</v>
      </c>
      <c r="R132" s="23" t="str">
        <f t="shared" ca="1" si="5"/>
        <v/>
      </c>
      <c r="S132" s="17"/>
      <c r="T132" s="32"/>
    </row>
    <row r="133" spans="1:20">
      <c r="A133" s="23" t="str">
        <f t="shared" si="3"/>
        <v>DEF-0127</v>
      </c>
      <c r="B133" s="47">
        <v>46256</v>
      </c>
      <c r="C133" s="39" t="s">
        <v>144</v>
      </c>
      <c r="D133" s="39" t="s">
        <v>349</v>
      </c>
      <c r="E133" s="39" t="s">
        <v>49</v>
      </c>
      <c r="F133" s="39" t="s">
        <v>284</v>
      </c>
      <c r="G133" s="20"/>
      <c r="H133" s="39" t="s">
        <v>50</v>
      </c>
      <c r="I133" s="44" t="s">
        <v>350</v>
      </c>
      <c r="J133" s="39" t="s">
        <v>44</v>
      </c>
      <c r="K133" s="39" t="s">
        <v>51</v>
      </c>
      <c r="L133" s="26"/>
      <c r="M133" s="39" t="s">
        <v>46</v>
      </c>
      <c r="N133" s="26">
        <v>46256</v>
      </c>
      <c r="O133" s="20" t="s">
        <v>327</v>
      </c>
      <c r="P133" s="26"/>
      <c r="Q133" s="29">
        <f t="shared" ca="1" si="4"/>
        <v>0</v>
      </c>
      <c r="R133" s="23" t="str">
        <f t="shared" ca="1" si="5"/>
        <v/>
      </c>
      <c r="S133" s="17"/>
      <c r="T133" s="32"/>
    </row>
    <row r="134" spans="1:20">
      <c r="A134" s="23" t="str">
        <f t="shared" si="3"/>
        <v>DEF-0128</v>
      </c>
      <c r="B134" s="47">
        <v>46256</v>
      </c>
      <c r="C134" s="39" t="s">
        <v>144</v>
      </c>
      <c r="D134" s="39" t="s">
        <v>349</v>
      </c>
      <c r="E134" s="39" t="s">
        <v>49</v>
      </c>
      <c r="F134" s="39" t="s">
        <v>284</v>
      </c>
      <c r="G134" s="20"/>
      <c r="H134" s="39" t="s">
        <v>50</v>
      </c>
      <c r="I134" s="44" t="s">
        <v>351</v>
      </c>
      <c r="J134" s="39" t="s">
        <v>44</v>
      </c>
      <c r="K134" s="39" t="s">
        <v>51</v>
      </c>
      <c r="L134" s="26"/>
      <c r="M134" s="39" t="s">
        <v>46</v>
      </c>
      <c r="N134" s="26">
        <v>46256</v>
      </c>
      <c r="O134" s="20" t="s">
        <v>327</v>
      </c>
      <c r="P134" s="26"/>
      <c r="Q134" s="29">
        <f t="shared" ca="1" si="4"/>
        <v>0</v>
      </c>
      <c r="R134" s="23" t="str">
        <f t="shared" ca="1" si="5"/>
        <v/>
      </c>
      <c r="S134" s="17"/>
      <c r="T134" s="32"/>
    </row>
    <row r="135" spans="1:20">
      <c r="A135" s="23" t="str">
        <f t="shared" ref="A135:A198" si="6">IF($I135="","","DEF-"&amp;TEXT(ROW()-6,"0000"))</f>
        <v>DEF-0129</v>
      </c>
      <c r="B135" s="47">
        <v>46256</v>
      </c>
      <c r="C135" s="39" t="s">
        <v>144</v>
      </c>
      <c r="D135" s="39" t="s">
        <v>349</v>
      </c>
      <c r="E135" s="39" t="s">
        <v>49</v>
      </c>
      <c r="F135" s="39" t="s">
        <v>284</v>
      </c>
      <c r="G135" s="20"/>
      <c r="H135" s="39" t="s">
        <v>50</v>
      </c>
      <c r="I135" s="44" t="s">
        <v>352</v>
      </c>
      <c r="J135" s="39" t="s">
        <v>44</v>
      </c>
      <c r="K135" s="39" t="s">
        <v>51</v>
      </c>
      <c r="L135" s="26"/>
      <c r="M135" s="39" t="s">
        <v>46</v>
      </c>
      <c r="N135" s="26">
        <v>46256</v>
      </c>
      <c r="O135" s="20" t="s">
        <v>327</v>
      </c>
      <c r="P135" s="26"/>
      <c r="Q135" s="29">
        <f t="shared" ref="Q135:Q198" ca="1" si="7">IF($B135="","",MAX(0,IF($M135="Closed",IF($N135="",TODAY()-$B135,$N135-$B135),TODAY()-$B135)))</f>
        <v>0</v>
      </c>
      <c r="R135" s="23" t="str">
        <f t="shared" ref="R135:R198" ca="1" si="8">IF(OR($I135="",$L135="",$M135="Closed"),"",IF(TODAY()&gt;$L135,"Yes","No"))</f>
        <v/>
      </c>
      <c r="S135" s="17"/>
      <c r="T135" s="32"/>
    </row>
    <row r="136" spans="1:20">
      <c r="A136" s="23" t="str">
        <f t="shared" si="6"/>
        <v>DEF-0130</v>
      </c>
      <c r="B136" s="47">
        <v>46256</v>
      </c>
      <c r="C136" s="39" t="s">
        <v>144</v>
      </c>
      <c r="D136" s="39" t="s">
        <v>349</v>
      </c>
      <c r="E136" s="39" t="s">
        <v>49</v>
      </c>
      <c r="F136" s="39" t="s">
        <v>284</v>
      </c>
      <c r="G136" s="20"/>
      <c r="H136" s="39" t="s">
        <v>50</v>
      </c>
      <c r="I136" s="44" t="s">
        <v>353</v>
      </c>
      <c r="J136" s="39" t="s">
        <v>44</v>
      </c>
      <c r="K136" s="39" t="s">
        <v>51</v>
      </c>
      <c r="L136" s="26"/>
      <c r="M136" s="39" t="s">
        <v>46</v>
      </c>
      <c r="N136" s="26">
        <v>46256</v>
      </c>
      <c r="O136" s="20" t="s">
        <v>327</v>
      </c>
      <c r="P136" s="26"/>
      <c r="Q136" s="29">
        <f t="shared" ca="1" si="7"/>
        <v>0</v>
      </c>
      <c r="R136" s="23" t="str">
        <f t="shared" ca="1" si="8"/>
        <v/>
      </c>
      <c r="S136" s="17"/>
      <c r="T136" s="32"/>
    </row>
    <row r="137" spans="1:20">
      <c r="A137" s="23" t="str">
        <f t="shared" si="6"/>
        <v>DEF-0131</v>
      </c>
      <c r="B137" s="47">
        <v>46260</v>
      </c>
      <c r="C137" s="39" t="s">
        <v>190</v>
      </c>
      <c r="D137" s="39" t="s">
        <v>196</v>
      </c>
      <c r="E137" s="39" t="s">
        <v>49</v>
      </c>
      <c r="F137" s="39" t="s">
        <v>354</v>
      </c>
      <c r="G137" s="20"/>
      <c r="H137" s="39" t="s">
        <v>50</v>
      </c>
      <c r="I137" s="44" t="s">
        <v>355</v>
      </c>
      <c r="J137" s="39" t="s">
        <v>47</v>
      </c>
      <c r="K137" s="39" t="s">
        <v>51</v>
      </c>
      <c r="L137" s="26"/>
      <c r="M137" s="39" t="s">
        <v>40</v>
      </c>
      <c r="N137" s="26"/>
      <c r="O137" s="20"/>
      <c r="P137" s="26"/>
      <c r="Q137" s="29">
        <f t="shared" ca="1" si="7"/>
        <v>24</v>
      </c>
      <c r="R137" s="23" t="str">
        <f t="shared" ca="1" si="8"/>
        <v/>
      </c>
      <c r="S137" s="17"/>
      <c r="T137" s="32"/>
    </row>
    <row r="138" spans="1:20">
      <c r="A138" s="23" t="str">
        <f t="shared" si="6"/>
        <v>DEF-0132</v>
      </c>
      <c r="B138" s="47">
        <v>46260</v>
      </c>
      <c r="C138" s="39" t="s">
        <v>190</v>
      </c>
      <c r="D138" s="39" t="s">
        <v>196</v>
      </c>
      <c r="E138" s="39" t="s">
        <v>49</v>
      </c>
      <c r="F138" s="39" t="s">
        <v>356</v>
      </c>
      <c r="G138" s="20"/>
      <c r="H138" s="39" t="s">
        <v>50</v>
      </c>
      <c r="I138" s="44" t="s">
        <v>357</v>
      </c>
      <c r="J138" s="39" t="s">
        <v>44</v>
      </c>
      <c r="K138" s="39" t="s">
        <v>51</v>
      </c>
      <c r="L138" s="26"/>
      <c r="M138" s="39" t="s">
        <v>40</v>
      </c>
      <c r="N138" s="26"/>
      <c r="O138" s="20"/>
      <c r="P138" s="26"/>
      <c r="Q138" s="29">
        <f t="shared" ca="1" si="7"/>
        <v>24</v>
      </c>
      <c r="R138" s="23" t="str">
        <f t="shared" ca="1" si="8"/>
        <v/>
      </c>
      <c r="S138" s="17"/>
      <c r="T138" s="32"/>
    </row>
    <row r="139" spans="1:20">
      <c r="A139" s="23" t="str">
        <f t="shared" si="6"/>
        <v>DEF-0133</v>
      </c>
      <c r="B139" s="47">
        <v>46260</v>
      </c>
      <c r="C139" s="39" t="s">
        <v>190</v>
      </c>
      <c r="D139" s="39" t="s">
        <v>139</v>
      </c>
      <c r="E139" s="39" t="s">
        <v>49</v>
      </c>
      <c r="F139" s="39" t="s">
        <v>358</v>
      </c>
      <c r="G139" s="20"/>
      <c r="H139" s="39" t="s">
        <v>50</v>
      </c>
      <c r="I139" s="44" t="s">
        <v>298</v>
      </c>
      <c r="J139" s="39" t="s">
        <v>47</v>
      </c>
      <c r="K139" s="39" t="s">
        <v>51</v>
      </c>
      <c r="L139" s="26"/>
      <c r="M139" s="39" t="s">
        <v>40</v>
      </c>
      <c r="N139" s="26"/>
      <c r="O139" s="20"/>
      <c r="P139" s="26"/>
      <c r="Q139" s="29">
        <f t="shared" ca="1" si="7"/>
        <v>24</v>
      </c>
      <c r="R139" s="23" t="str">
        <f t="shared" ca="1" si="8"/>
        <v/>
      </c>
      <c r="S139" s="17"/>
      <c r="T139" s="32"/>
    </row>
    <row r="140" spans="1:20" ht="25">
      <c r="A140" s="23" t="str">
        <f t="shared" si="6"/>
        <v>DEF-0134</v>
      </c>
      <c r="B140" s="47">
        <v>46260</v>
      </c>
      <c r="C140" s="39" t="s">
        <v>190</v>
      </c>
      <c r="D140" s="39" t="s">
        <v>196</v>
      </c>
      <c r="E140" s="39" t="s">
        <v>49</v>
      </c>
      <c r="F140" s="39" t="s">
        <v>359</v>
      </c>
      <c r="G140" s="20"/>
      <c r="H140" s="39" t="s">
        <v>50</v>
      </c>
      <c r="I140" s="44" t="s">
        <v>360</v>
      </c>
      <c r="J140" s="39" t="s">
        <v>47</v>
      </c>
      <c r="K140" s="39" t="s">
        <v>51</v>
      </c>
      <c r="L140" s="26"/>
      <c r="M140" s="39" t="s">
        <v>40</v>
      </c>
      <c r="N140" s="26"/>
      <c r="O140" s="20"/>
      <c r="P140" s="26"/>
      <c r="Q140" s="29">
        <f t="shared" ca="1" si="7"/>
        <v>24</v>
      </c>
      <c r="R140" s="23" t="str">
        <f t="shared" ca="1" si="8"/>
        <v/>
      </c>
      <c r="S140" s="17"/>
      <c r="T140" s="32"/>
    </row>
    <row r="141" spans="1:20">
      <c r="A141" s="23" t="str">
        <f t="shared" si="6"/>
        <v>DEF-0135</v>
      </c>
      <c r="B141" s="47">
        <v>46260</v>
      </c>
      <c r="C141" s="39" t="s">
        <v>190</v>
      </c>
      <c r="D141" s="39" t="s">
        <v>139</v>
      </c>
      <c r="E141" s="39" t="s">
        <v>49</v>
      </c>
      <c r="F141" s="39" t="s">
        <v>361</v>
      </c>
      <c r="G141" s="20"/>
      <c r="H141" s="39" t="s">
        <v>50</v>
      </c>
      <c r="I141" s="44" t="s">
        <v>362</v>
      </c>
      <c r="J141" s="39" t="s">
        <v>47</v>
      </c>
      <c r="K141" s="39" t="s">
        <v>51</v>
      </c>
      <c r="L141" s="26"/>
      <c r="M141" s="39"/>
      <c r="N141" s="26"/>
      <c r="O141" s="20"/>
      <c r="P141" s="26"/>
      <c r="Q141" s="29">
        <f t="shared" ca="1" si="7"/>
        <v>24</v>
      </c>
      <c r="R141" s="23" t="str">
        <f t="shared" ca="1" si="8"/>
        <v/>
      </c>
      <c r="S141" s="17"/>
      <c r="T141" s="32"/>
    </row>
    <row r="142" spans="1:20">
      <c r="A142" s="23" t="str">
        <f t="shared" si="6"/>
        <v>DEF-0136</v>
      </c>
      <c r="B142" s="47">
        <v>46260</v>
      </c>
      <c r="C142" s="39" t="s">
        <v>190</v>
      </c>
      <c r="D142" s="39" t="s">
        <v>139</v>
      </c>
      <c r="E142" s="39" t="s">
        <v>49</v>
      </c>
      <c r="F142" s="39" t="s">
        <v>363</v>
      </c>
      <c r="G142" s="20"/>
      <c r="H142" s="39" t="s">
        <v>50</v>
      </c>
      <c r="I142" s="44" t="s">
        <v>364</v>
      </c>
      <c r="J142" s="39" t="s">
        <v>47</v>
      </c>
      <c r="K142" s="39" t="s">
        <v>51</v>
      </c>
      <c r="L142" s="26"/>
      <c r="M142" s="39"/>
      <c r="N142" s="26"/>
      <c r="O142" s="20"/>
      <c r="P142" s="26"/>
      <c r="Q142" s="29">
        <f t="shared" ca="1" si="7"/>
        <v>24</v>
      </c>
      <c r="R142" s="23" t="str">
        <f t="shared" ca="1" si="8"/>
        <v/>
      </c>
      <c r="S142" s="17"/>
      <c r="T142" s="32"/>
    </row>
    <row r="143" spans="1:20">
      <c r="A143" s="23" t="str">
        <f t="shared" si="6"/>
        <v>DEF-0137</v>
      </c>
      <c r="B143" s="47">
        <v>46260</v>
      </c>
      <c r="C143" s="39" t="s">
        <v>190</v>
      </c>
      <c r="D143" s="39" t="s">
        <v>139</v>
      </c>
      <c r="E143" s="39" t="s">
        <v>49</v>
      </c>
      <c r="F143" s="39" t="s">
        <v>365</v>
      </c>
      <c r="G143" s="20"/>
      <c r="H143" s="39" t="s">
        <v>50</v>
      </c>
      <c r="I143" s="44" t="s">
        <v>366</v>
      </c>
      <c r="J143" s="39" t="s">
        <v>47</v>
      </c>
      <c r="K143" s="39" t="s">
        <v>51</v>
      </c>
      <c r="L143" s="26"/>
      <c r="M143" s="39"/>
      <c r="N143" s="26"/>
      <c r="O143" s="20"/>
      <c r="P143" s="26"/>
      <c r="Q143" s="29">
        <f t="shared" ca="1" si="7"/>
        <v>24</v>
      </c>
      <c r="R143" s="23" t="str">
        <f t="shared" ca="1" si="8"/>
        <v/>
      </c>
      <c r="S143" s="17"/>
      <c r="T143" s="32"/>
    </row>
    <row r="144" spans="1:20">
      <c r="A144" s="23" t="str">
        <f t="shared" si="6"/>
        <v>DEF-0138</v>
      </c>
      <c r="B144" s="47">
        <v>46260</v>
      </c>
      <c r="C144" s="39" t="s">
        <v>190</v>
      </c>
      <c r="D144" s="39" t="s">
        <v>349</v>
      </c>
      <c r="E144" s="39" t="s">
        <v>49</v>
      </c>
      <c r="F144" s="39" t="s">
        <v>367</v>
      </c>
      <c r="G144" s="20"/>
      <c r="H144" s="39" t="s">
        <v>50</v>
      </c>
      <c r="I144" s="44" t="s">
        <v>368</v>
      </c>
      <c r="J144" s="39" t="s">
        <v>47</v>
      </c>
      <c r="K144" s="39" t="s">
        <v>51</v>
      </c>
      <c r="L144" s="26"/>
      <c r="M144" s="39"/>
      <c r="N144" s="26"/>
      <c r="O144" s="20"/>
      <c r="P144" s="26"/>
      <c r="Q144" s="29">
        <f t="shared" ca="1" si="7"/>
        <v>24</v>
      </c>
      <c r="R144" s="23" t="str">
        <f t="shared" ca="1" si="8"/>
        <v/>
      </c>
      <c r="S144" s="17"/>
      <c r="T144" s="32"/>
    </row>
    <row r="145" spans="1:20" ht="25">
      <c r="A145" s="23" t="str">
        <f t="shared" si="6"/>
        <v>DEF-0139</v>
      </c>
      <c r="B145" s="47">
        <v>46260</v>
      </c>
      <c r="C145" s="39" t="s">
        <v>190</v>
      </c>
      <c r="D145" s="39" t="s">
        <v>139</v>
      </c>
      <c r="E145" s="39" t="s">
        <v>49</v>
      </c>
      <c r="F145" s="39" t="s">
        <v>369</v>
      </c>
      <c r="G145" s="20"/>
      <c r="H145" s="39" t="s">
        <v>50</v>
      </c>
      <c r="I145" s="44" t="s">
        <v>370</v>
      </c>
      <c r="J145" s="39" t="s">
        <v>47</v>
      </c>
      <c r="K145" s="39" t="s">
        <v>51</v>
      </c>
      <c r="L145" s="26"/>
      <c r="M145" s="39"/>
      <c r="N145" s="26"/>
      <c r="O145" s="20"/>
      <c r="P145" s="26"/>
      <c r="Q145" s="29">
        <f t="shared" ca="1" si="7"/>
        <v>24</v>
      </c>
      <c r="R145" s="23" t="str">
        <f t="shared" ca="1" si="8"/>
        <v/>
      </c>
      <c r="S145" s="17"/>
      <c r="T145" s="32"/>
    </row>
    <row r="146" spans="1:20">
      <c r="A146" s="23" t="str">
        <f t="shared" si="6"/>
        <v>DEF-0140</v>
      </c>
      <c r="B146" s="47">
        <v>46260</v>
      </c>
      <c r="C146" s="39" t="s">
        <v>190</v>
      </c>
      <c r="D146" s="39" t="s">
        <v>139</v>
      </c>
      <c r="E146" s="39" t="s">
        <v>49</v>
      </c>
      <c r="F146" s="39" t="s">
        <v>371</v>
      </c>
      <c r="G146" s="20"/>
      <c r="H146" s="39" t="s">
        <v>50</v>
      </c>
      <c r="I146" s="44" t="s">
        <v>372</v>
      </c>
      <c r="J146" s="39" t="s">
        <v>47</v>
      </c>
      <c r="K146" s="39" t="s">
        <v>51</v>
      </c>
      <c r="L146" s="26"/>
      <c r="M146" s="39"/>
      <c r="N146" s="26"/>
      <c r="O146" s="20"/>
      <c r="P146" s="26"/>
      <c r="Q146" s="29">
        <f t="shared" ca="1" si="7"/>
        <v>24</v>
      </c>
      <c r="R146" s="23" t="str">
        <f t="shared" ca="1" si="8"/>
        <v/>
      </c>
      <c r="S146" s="17"/>
      <c r="T146" s="32"/>
    </row>
    <row r="147" spans="1:20" ht="25">
      <c r="A147" s="23" t="str">
        <f t="shared" si="6"/>
        <v>DEF-0141</v>
      </c>
      <c r="B147" s="47">
        <v>46260</v>
      </c>
      <c r="C147" s="39" t="s">
        <v>190</v>
      </c>
      <c r="D147" s="39" t="s">
        <v>139</v>
      </c>
      <c r="E147" s="39" t="s">
        <v>49</v>
      </c>
      <c r="F147" s="39" t="s">
        <v>373</v>
      </c>
      <c r="G147" s="20"/>
      <c r="H147" s="39" t="s">
        <v>50</v>
      </c>
      <c r="I147" s="44" t="s">
        <v>374</v>
      </c>
      <c r="J147" s="39" t="s">
        <v>47</v>
      </c>
      <c r="K147" s="39" t="s">
        <v>51</v>
      </c>
      <c r="L147" s="26"/>
      <c r="M147" s="39"/>
      <c r="N147" s="26"/>
      <c r="O147" s="20"/>
      <c r="P147" s="26"/>
      <c r="Q147" s="29">
        <f t="shared" ca="1" si="7"/>
        <v>24</v>
      </c>
      <c r="R147" s="23" t="str">
        <f t="shared" ca="1" si="8"/>
        <v/>
      </c>
      <c r="S147" s="17"/>
      <c r="T147" s="32"/>
    </row>
    <row r="148" spans="1:20">
      <c r="A148" s="23" t="str">
        <f t="shared" si="6"/>
        <v>DEF-0142</v>
      </c>
      <c r="B148" s="47">
        <v>46260</v>
      </c>
      <c r="C148" s="39" t="s">
        <v>190</v>
      </c>
      <c r="D148" s="39" t="s">
        <v>139</v>
      </c>
      <c r="E148" s="39" t="s">
        <v>49</v>
      </c>
      <c r="F148" s="39" t="s">
        <v>375</v>
      </c>
      <c r="G148" s="20"/>
      <c r="H148" s="39" t="s">
        <v>50</v>
      </c>
      <c r="I148" s="44" t="s">
        <v>376</v>
      </c>
      <c r="J148" s="39" t="s">
        <v>41</v>
      </c>
      <c r="K148" s="39" t="s">
        <v>51</v>
      </c>
      <c r="L148" s="26"/>
      <c r="M148" s="39"/>
      <c r="N148" s="26"/>
      <c r="O148" s="20"/>
      <c r="P148" s="26"/>
      <c r="Q148" s="29">
        <f t="shared" ca="1" si="7"/>
        <v>24</v>
      </c>
      <c r="R148" s="23" t="str">
        <f t="shared" ca="1" si="8"/>
        <v/>
      </c>
      <c r="S148" s="17"/>
      <c r="T148" s="32"/>
    </row>
    <row r="149" spans="1:20" ht="25">
      <c r="A149" s="23" t="str">
        <f t="shared" si="6"/>
        <v>DEF-0143</v>
      </c>
      <c r="B149" s="47">
        <v>46260</v>
      </c>
      <c r="C149" s="39" t="s">
        <v>190</v>
      </c>
      <c r="D149" s="39" t="s">
        <v>139</v>
      </c>
      <c r="E149" s="39" t="s">
        <v>49</v>
      </c>
      <c r="F149" s="39" t="s">
        <v>377</v>
      </c>
      <c r="G149" s="20"/>
      <c r="H149" s="39" t="s">
        <v>50</v>
      </c>
      <c r="I149" s="44" t="s">
        <v>378</v>
      </c>
      <c r="J149" s="39" t="s">
        <v>41</v>
      </c>
      <c r="K149" s="39" t="s">
        <v>51</v>
      </c>
      <c r="L149" s="26"/>
      <c r="M149" s="39"/>
      <c r="N149" s="26"/>
      <c r="O149" s="20"/>
      <c r="P149" s="26"/>
      <c r="Q149" s="29">
        <f t="shared" ca="1" si="7"/>
        <v>24</v>
      </c>
      <c r="R149" s="23" t="str">
        <f t="shared" ca="1" si="8"/>
        <v/>
      </c>
      <c r="S149" s="17"/>
      <c r="T149" s="32"/>
    </row>
    <row r="150" spans="1:20" ht="25">
      <c r="A150" s="23" t="str">
        <f t="shared" si="6"/>
        <v>DEF-0144</v>
      </c>
      <c r="B150" s="47">
        <v>46260</v>
      </c>
      <c r="C150" s="39" t="s">
        <v>190</v>
      </c>
      <c r="D150" s="39" t="s">
        <v>139</v>
      </c>
      <c r="E150" s="39" t="s">
        <v>49</v>
      </c>
      <c r="F150" s="39" t="s">
        <v>369</v>
      </c>
      <c r="G150" s="20"/>
      <c r="H150" s="39" t="s">
        <v>50</v>
      </c>
      <c r="I150" s="44" t="s">
        <v>379</v>
      </c>
      <c r="J150" s="39" t="s">
        <v>44</v>
      </c>
      <c r="K150" s="39" t="s">
        <v>51</v>
      </c>
      <c r="L150" s="26"/>
      <c r="M150" s="39"/>
      <c r="N150" s="26"/>
      <c r="O150" s="20"/>
      <c r="P150" s="26"/>
      <c r="Q150" s="29">
        <f t="shared" ca="1" si="7"/>
        <v>24</v>
      </c>
      <c r="R150" s="23" t="str">
        <f t="shared" ca="1" si="8"/>
        <v/>
      </c>
      <c r="S150" s="17"/>
      <c r="T150" s="32"/>
    </row>
    <row r="151" spans="1:20">
      <c r="A151" s="23" t="str">
        <f t="shared" si="6"/>
        <v>DEF-0145</v>
      </c>
      <c r="B151" s="47">
        <v>46260</v>
      </c>
      <c r="C151" s="39" t="s">
        <v>190</v>
      </c>
      <c r="D151" s="39" t="s">
        <v>139</v>
      </c>
      <c r="E151" s="39" t="s">
        <v>49</v>
      </c>
      <c r="F151" s="39" t="s">
        <v>380</v>
      </c>
      <c r="G151" s="20"/>
      <c r="H151" s="39" t="s">
        <v>50</v>
      </c>
      <c r="I151" s="44" t="s">
        <v>381</v>
      </c>
      <c r="J151" s="39" t="s">
        <v>47</v>
      </c>
      <c r="K151" s="39" t="s">
        <v>51</v>
      </c>
      <c r="L151" s="26"/>
      <c r="M151" s="39"/>
      <c r="N151" s="26"/>
      <c r="O151" s="20"/>
      <c r="P151" s="26"/>
      <c r="Q151" s="29">
        <f t="shared" ca="1" si="7"/>
        <v>24</v>
      </c>
      <c r="R151" s="23" t="str">
        <f t="shared" ca="1" si="8"/>
        <v/>
      </c>
      <c r="S151" s="17"/>
      <c r="T151" s="32"/>
    </row>
    <row r="152" spans="1:20">
      <c r="A152" s="23" t="str">
        <f t="shared" si="6"/>
        <v>DEF-0146</v>
      </c>
      <c r="B152" s="47">
        <v>46260</v>
      </c>
      <c r="C152" s="39" t="s">
        <v>190</v>
      </c>
      <c r="D152" s="39" t="s">
        <v>139</v>
      </c>
      <c r="E152" s="39" t="s">
        <v>49</v>
      </c>
      <c r="F152" s="39" t="s">
        <v>382</v>
      </c>
      <c r="G152" s="20"/>
      <c r="H152" s="39" t="s">
        <v>50</v>
      </c>
      <c r="I152" s="44" t="s">
        <v>381</v>
      </c>
      <c r="J152" s="39" t="s">
        <v>47</v>
      </c>
      <c r="K152" s="39" t="s">
        <v>51</v>
      </c>
      <c r="L152" s="26"/>
      <c r="M152" s="39"/>
      <c r="N152" s="26"/>
      <c r="O152" s="20"/>
      <c r="P152" s="26"/>
      <c r="Q152" s="29">
        <f t="shared" ca="1" si="7"/>
        <v>24</v>
      </c>
      <c r="R152" s="23" t="str">
        <f t="shared" ca="1" si="8"/>
        <v/>
      </c>
      <c r="S152" s="17"/>
      <c r="T152" s="32"/>
    </row>
    <row r="153" spans="1:20">
      <c r="A153" s="23" t="str">
        <f t="shared" si="6"/>
        <v>DEF-0147</v>
      </c>
      <c r="B153" s="47">
        <v>46260</v>
      </c>
      <c r="C153" s="39" t="s">
        <v>190</v>
      </c>
      <c r="D153" s="39" t="s">
        <v>139</v>
      </c>
      <c r="E153" s="39" t="s">
        <v>49</v>
      </c>
      <c r="F153" s="39" t="s">
        <v>383</v>
      </c>
      <c r="G153" s="20"/>
      <c r="H153" s="39" t="s">
        <v>50</v>
      </c>
      <c r="I153" s="44" t="s">
        <v>384</v>
      </c>
      <c r="J153" s="39" t="s">
        <v>47</v>
      </c>
      <c r="K153" s="39" t="s">
        <v>51</v>
      </c>
      <c r="L153" s="26"/>
      <c r="M153" s="39"/>
      <c r="N153" s="26"/>
      <c r="O153" s="20"/>
      <c r="P153" s="26"/>
      <c r="Q153" s="29">
        <f t="shared" ca="1" si="7"/>
        <v>24</v>
      </c>
      <c r="R153" s="23" t="str">
        <f t="shared" ca="1" si="8"/>
        <v/>
      </c>
      <c r="S153" s="17"/>
      <c r="T153" s="32"/>
    </row>
    <row r="154" spans="1:20">
      <c r="A154" s="23" t="str">
        <f t="shared" si="6"/>
        <v>DEF-0148</v>
      </c>
      <c r="B154" s="47">
        <v>46260</v>
      </c>
      <c r="C154" s="39" t="s">
        <v>190</v>
      </c>
      <c r="D154" s="39" t="s">
        <v>196</v>
      </c>
      <c r="E154" s="39" t="s">
        <v>49</v>
      </c>
      <c r="F154" s="39" t="s">
        <v>385</v>
      </c>
      <c r="G154" s="20"/>
      <c r="H154" s="39" t="s">
        <v>50</v>
      </c>
      <c r="I154" s="44" t="s">
        <v>386</v>
      </c>
      <c r="J154" s="39" t="s">
        <v>47</v>
      </c>
      <c r="K154" s="39" t="s">
        <v>51</v>
      </c>
      <c r="L154" s="26"/>
      <c r="M154" s="39"/>
      <c r="N154" s="26"/>
      <c r="O154" s="20"/>
      <c r="P154" s="26"/>
      <c r="Q154" s="29">
        <f t="shared" ca="1" si="7"/>
        <v>24</v>
      </c>
      <c r="R154" s="23" t="str">
        <f t="shared" ca="1" si="8"/>
        <v/>
      </c>
      <c r="S154" s="17"/>
      <c r="T154" s="32"/>
    </row>
    <row r="155" spans="1:20">
      <c r="A155" s="23" t="str">
        <f t="shared" si="6"/>
        <v>DEF-0149</v>
      </c>
      <c r="B155" s="47">
        <v>46260</v>
      </c>
      <c r="C155" s="39" t="s">
        <v>190</v>
      </c>
      <c r="D155" s="39" t="s">
        <v>196</v>
      </c>
      <c r="E155" s="39" t="s">
        <v>49</v>
      </c>
      <c r="F155" s="39" t="s">
        <v>387</v>
      </c>
      <c r="G155" s="20"/>
      <c r="H155" s="39" t="s">
        <v>50</v>
      </c>
      <c r="I155" s="44" t="s">
        <v>388</v>
      </c>
      <c r="J155" s="39" t="s">
        <v>47</v>
      </c>
      <c r="K155" s="39" t="s">
        <v>51</v>
      </c>
      <c r="L155" s="26"/>
      <c r="M155" s="39"/>
      <c r="N155" s="26"/>
      <c r="O155" s="20"/>
      <c r="P155" s="26"/>
      <c r="Q155" s="29">
        <f t="shared" ca="1" si="7"/>
        <v>24</v>
      </c>
      <c r="R155" s="23" t="str">
        <f t="shared" ca="1" si="8"/>
        <v/>
      </c>
      <c r="S155" s="17"/>
      <c r="T155" s="32"/>
    </row>
    <row r="156" spans="1:20" ht="25">
      <c r="A156" s="23" t="str">
        <f t="shared" si="6"/>
        <v>DEF-0150</v>
      </c>
      <c r="B156" s="47">
        <v>46260</v>
      </c>
      <c r="C156" s="39" t="s">
        <v>190</v>
      </c>
      <c r="D156" s="39" t="s">
        <v>196</v>
      </c>
      <c r="E156" s="39" t="s">
        <v>49</v>
      </c>
      <c r="F156" s="39" t="s">
        <v>389</v>
      </c>
      <c r="G156" s="20"/>
      <c r="H156" s="39" t="s">
        <v>50</v>
      </c>
      <c r="I156" s="44" t="s">
        <v>390</v>
      </c>
      <c r="J156" s="39" t="s">
        <v>47</v>
      </c>
      <c r="K156" s="39" t="s">
        <v>51</v>
      </c>
      <c r="L156" s="26"/>
      <c r="M156" s="39"/>
      <c r="N156" s="26"/>
      <c r="O156" s="20"/>
      <c r="P156" s="26"/>
      <c r="Q156" s="29">
        <f t="shared" ca="1" si="7"/>
        <v>24</v>
      </c>
      <c r="R156" s="23" t="str">
        <f t="shared" ca="1" si="8"/>
        <v/>
      </c>
      <c r="S156" s="17"/>
      <c r="T156" s="32"/>
    </row>
    <row r="157" spans="1:20" ht="25">
      <c r="A157" s="23" t="str">
        <f t="shared" si="6"/>
        <v>DEF-0151</v>
      </c>
      <c r="B157" s="47">
        <v>46260</v>
      </c>
      <c r="C157" s="39" t="s">
        <v>190</v>
      </c>
      <c r="D157" s="39" t="s">
        <v>194</v>
      </c>
      <c r="E157" s="39" t="s">
        <v>49</v>
      </c>
      <c r="F157" s="39" t="s">
        <v>391</v>
      </c>
      <c r="G157" s="20"/>
      <c r="H157" s="39" t="s">
        <v>50</v>
      </c>
      <c r="I157" s="44" t="s">
        <v>392</v>
      </c>
      <c r="J157" s="39" t="s">
        <v>47</v>
      </c>
      <c r="K157" s="39" t="s">
        <v>51</v>
      </c>
      <c r="L157" s="26"/>
      <c r="M157" s="39"/>
      <c r="N157" s="26"/>
      <c r="O157" s="20"/>
      <c r="P157" s="26"/>
      <c r="Q157" s="29">
        <f t="shared" ca="1" si="7"/>
        <v>24</v>
      </c>
      <c r="R157" s="23" t="str">
        <f t="shared" ca="1" si="8"/>
        <v/>
      </c>
      <c r="S157" s="17"/>
      <c r="T157" s="32"/>
    </row>
    <row r="158" spans="1:20" ht="25">
      <c r="A158" s="23" t="str">
        <f t="shared" si="6"/>
        <v>DEF-0152</v>
      </c>
      <c r="B158" s="47">
        <v>46260</v>
      </c>
      <c r="C158" s="39" t="s">
        <v>190</v>
      </c>
      <c r="D158" s="39" t="s">
        <v>139</v>
      </c>
      <c r="E158" s="39" t="s">
        <v>49</v>
      </c>
      <c r="F158" s="39" t="s">
        <v>393</v>
      </c>
      <c r="G158" s="20"/>
      <c r="H158" s="39" t="s">
        <v>50</v>
      </c>
      <c r="I158" s="44" t="s">
        <v>394</v>
      </c>
      <c r="J158" s="39" t="s">
        <v>47</v>
      </c>
      <c r="K158" s="39" t="s">
        <v>51</v>
      </c>
      <c r="L158" s="26"/>
      <c r="M158" s="39"/>
      <c r="N158" s="26"/>
      <c r="O158" s="20"/>
      <c r="P158" s="26"/>
      <c r="Q158" s="29">
        <f t="shared" ca="1" si="7"/>
        <v>24</v>
      </c>
      <c r="R158" s="23" t="str">
        <f t="shared" ca="1" si="8"/>
        <v/>
      </c>
      <c r="S158" s="17"/>
      <c r="T158" s="32"/>
    </row>
    <row r="159" spans="1:20">
      <c r="A159" s="23" t="str">
        <f t="shared" si="6"/>
        <v>DEF-0153</v>
      </c>
      <c r="B159" s="47">
        <v>46260</v>
      </c>
      <c r="C159" s="39" t="s">
        <v>190</v>
      </c>
      <c r="D159" s="39" t="s">
        <v>139</v>
      </c>
      <c r="E159" s="39" t="s">
        <v>49</v>
      </c>
      <c r="F159" s="39" t="s">
        <v>395</v>
      </c>
      <c r="G159" s="20"/>
      <c r="H159" s="39" t="s">
        <v>50</v>
      </c>
      <c r="I159" s="44" t="s">
        <v>396</v>
      </c>
      <c r="J159" s="39" t="s">
        <v>47</v>
      </c>
      <c r="K159" s="39" t="s">
        <v>51</v>
      </c>
      <c r="L159" s="26"/>
      <c r="M159" s="39"/>
      <c r="N159" s="26"/>
      <c r="O159" s="20"/>
      <c r="P159" s="26"/>
      <c r="Q159" s="29">
        <f t="shared" ca="1" si="7"/>
        <v>24</v>
      </c>
      <c r="R159" s="23" t="str">
        <f t="shared" ca="1" si="8"/>
        <v/>
      </c>
      <c r="S159" s="17"/>
      <c r="T159" s="32"/>
    </row>
    <row r="160" spans="1:20">
      <c r="A160" s="23" t="str">
        <f t="shared" si="6"/>
        <v>DEF-0154</v>
      </c>
      <c r="B160" s="47">
        <v>46260</v>
      </c>
      <c r="C160" s="39" t="s">
        <v>190</v>
      </c>
      <c r="D160" s="39" t="s">
        <v>139</v>
      </c>
      <c r="E160" s="39" t="s">
        <v>49</v>
      </c>
      <c r="F160" s="39" t="s">
        <v>397</v>
      </c>
      <c r="G160" s="20"/>
      <c r="H160" s="39" t="s">
        <v>50</v>
      </c>
      <c r="I160" s="44" t="s">
        <v>398</v>
      </c>
      <c r="J160" s="39" t="s">
        <v>47</v>
      </c>
      <c r="K160" s="39" t="s">
        <v>51</v>
      </c>
      <c r="L160" s="26"/>
      <c r="M160" s="39"/>
      <c r="N160" s="26"/>
      <c r="O160" s="20"/>
      <c r="P160" s="26"/>
      <c r="Q160" s="29">
        <f t="shared" ca="1" si="7"/>
        <v>24</v>
      </c>
      <c r="R160" s="23" t="str">
        <f t="shared" ca="1" si="8"/>
        <v/>
      </c>
      <c r="S160" s="17"/>
      <c r="T160" s="32"/>
    </row>
    <row r="161" spans="1:20">
      <c r="A161" s="23" t="str">
        <f t="shared" si="6"/>
        <v>DEF-0155</v>
      </c>
      <c r="B161" s="47">
        <v>46260</v>
      </c>
      <c r="C161" s="39" t="s">
        <v>190</v>
      </c>
      <c r="D161" s="39" t="s">
        <v>139</v>
      </c>
      <c r="E161" s="39" t="s">
        <v>49</v>
      </c>
      <c r="F161" s="39" t="s">
        <v>399</v>
      </c>
      <c r="G161" s="20"/>
      <c r="H161" s="39" t="s">
        <v>50</v>
      </c>
      <c r="I161" s="44" t="s">
        <v>400</v>
      </c>
      <c r="J161" s="39" t="s">
        <v>44</v>
      </c>
      <c r="K161" s="39" t="s">
        <v>51</v>
      </c>
      <c r="L161" s="26"/>
      <c r="M161" s="39"/>
      <c r="N161" s="26"/>
      <c r="O161" s="20"/>
      <c r="P161" s="26"/>
      <c r="Q161" s="29">
        <f t="shared" ca="1" si="7"/>
        <v>24</v>
      </c>
      <c r="R161" s="23" t="str">
        <f t="shared" ca="1" si="8"/>
        <v/>
      </c>
      <c r="S161" s="17"/>
      <c r="T161" s="32"/>
    </row>
    <row r="162" spans="1:20">
      <c r="A162" s="23" t="str">
        <f t="shared" si="6"/>
        <v>DEF-0156</v>
      </c>
      <c r="B162" s="47">
        <v>46260</v>
      </c>
      <c r="C162" s="39" t="s">
        <v>190</v>
      </c>
      <c r="D162" s="39" t="s">
        <v>139</v>
      </c>
      <c r="E162" s="39" t="s">
        <v>49</v>
      </c>
      <c r="F162" s="39" t="s">
        <v>371</v>
      </c>
      <c r="G162" s="20"/>
      <c r="H162" s="39" t="s">
        <v>50</v>
      </c>
      <c r="I162" s="44" t="s">
        <v>401</v>
      </c>
      <c r="J162" s="39" t="s">
        <v>44</v>
      </c>
      <c r="K162" s="39" t="s">
        <v>51</v>
      </c>
      <c r="L162" s="26"/>
      <c r="M162" s="39"/>
      <c r="N162" s="26"/>
      <c r="O162" s="20"/>
      <c r="P162" s="26"/>
      <c r="Q162" s="29">
        <f t="shared" ca="1" si="7"/>
        <v>24</v>
      </c>
      <c r="R162" s="23" t="str">
        <f t="shared" ca="1" si="8"/>
        <v/>
      </c>
      <c r="S162" s="17"/>
      <c r="T162" s="32"/>
    </row>
    <row r="163" spans="1:20" ht="25">
      <c r="A163" s="23" t="str">
        <f t="shared" si="6"/>
        <v>DEF-0157</v>
      </c>
      <c r="B163" s="47">
        <v>46270</v>
      </c>
      <c r="C163" s="39" t="s">
        <v>212</v>
      </c>
      <c r="D163" s="39"/>
      <c r="E163" s="39" t="s">
        <v>49</v>
      </c>
      <c r="F163" s="39" t="s">
        <v>402</v>
      </c>
      <c r="G163" s="20"/>
      <c r="H163" s="39" t="s">
        <v>67</v>
      </c>
      <c r="I163" s="44" t="s">
        <v>407</v>
      </c>
      <c r="J163" s="39" t="s">
        <v>44</v>
      </c>
      <c r="K163" s="39" t="s">
        <v>51</v>
      </c>
      <c r="L163" s="26"/>
      <c r="M163" s="39" t="s">
        <v>46</v>
      </c>
      <c r="N163" s="26">
        <v>46270</v>
      </c>
      <c r="O163" s="20" t="s">
        <v>5</v>
      </c>
      <c r="P163" s="26">
        <v>46270</v>
      </c>
      <c r="Q163" s="29">
        <f t="shared" ca="1" si="7"/>
        <v>0</v>
      </c>
      <c r="R163" s="23" t="str">
        <f t="shared" ca="1" si="8"/>
        <v/>
      </c>
      <c r="S163" s="17"/>
      <c r="T163" s="32"/>
    </row>
    <row r="164" spans="1:20" ht="37.5">
      <c r="A164" s="23" t="str">
        <f t="shared" si="6"/>
        <v>DEF-0158</v>
      </c>
      <c r="B164" s="47">
        <v>46270</v>
      </c>
      <c r="C164" s="39" t="s">
        <v>405</v>
      </c>
      <c r="D164" s="39"/>
      <c r="E164" s="39" t="s">
        <v>49</v>
      </c>
      <c r="F164" s="39" t="s">
        <v>403</v>
      </c>
      <c r="G164" s="20"/>
      <c r="H164" s="39" t="s">
        <v>70</v>
      </c>
      <c r="I164" s="44" t="s">
        <v>408</v>
      </c>
      <c r="J164" s="39" t="s">
        <v>44</v>
      </c>
      <c r="K164" s="39" t="s">
        <v>51</v>
      </c>
      <c r="L164" s="26"/>
      <c r="M164" s="39" t="s">
        <v>46</v>
      </c>
      <c r="N164" s="26">
        <v>46270</v>
      </c>
      <c r="O164" s="20" t="s">
        <v>5</v>
      </c>
      <c r="P164" s="26">
        <v>46270</v>
      </c>
      <c r="Q164" s="29">
        <f t="shared" ca="1" si="7"/>
        <v>0</v>
      </c>
      <c r="R164" s="23" t="str">
        <f t="shared" ca="1" si="8"/>
        <v/>
      </c>
      <c r="S164" s="17"/>
      <c r="T164" s="32"/>
    </row>
    <row r="165" spans="1:20" ht="25">
      <c r="A165" s="23" t="str">
        <f t="shared" si="6"/>
        <v>DEF-0159</v>
      </c>
      <c r="B165" s="47">
        <v>46270</v>
      </c>
      <c r="C165" s="39" t="s">
        <v>406</v>
      </c>
      <c r="D165" s="39"/>
      <c r="E165" s="39" t="s">
        <v>49</v>
      </c>
      <c r="F165" s="39" t="s">
        <v>404</v>
      </c>
      <c r="G165" s="20"/>
      <c r="H165" s="39" t="s">
        <v>50</v>
      </c>
      <c r="I165" s="44" t="s">
        <v>409</v>
      </c>
      <c r="J165" s="39" t="s">
        <v>44</v>
      </c>
      <c r="K165" s="39" t="s">
        <v>51</v>
      </c>
      <c r="L165" s="26"/>
      <c r="M165" s="39" t="s">
        <v>46</v>
      </c>
      <c r="N165" s="26">
        <v>46270</v>
      </c>
      <c r="O165" s="20" t="s">
        <v>5</v>
      </c>
      <c r="P165" s="26">
        <v>46270</v>
      </c>
      <c r="Q165" s="29">
        <f t="shared" ca="1" si="7"/>
        <v>0</v>
      </c>
      <c r="R165" s="23" t="str">
        <f t="shared" ca="1" si="8"/>
        <v/>
      </c>
      <c r="S165" s="17"/>
      <c r="T165" s="32"/>
    </row>
    <row r="166" spans="1:20">
      <c r="A166" s="23" t="str">
        <f t="shared" si="6"/>
        <v>DEF-0160</v>
      </c>
      <c r="B166" s="47">
        <v>46271</v>
      </c>
      <c r="C166" s="39" t="s">
        <v>191</v>
      </c>
      <c r="D166" s="39" t="s">
        <v>195</v>
      </c>
      <c r="E166" s="39" t="s">
        <v>49</v>
      </c>
      <c r="F166" s="39" t="s">
        <v>410</v>
      </c>
      <c r="G166" s="20"/>
      <c r="H166" s="39" t="s">
        <v>50</v>
      </c>
      <c r="I166" s="44" t="s">
        <v>419</v>
      </c>
      <c r="J166" s="39" t="s">
        <v>44</v>
      </c>
      <c r="K166" s="39" t="s">
        <v>51</v>
      </c>
      <c r="L166" s="26"/>
      <c r="M166" s="39" t="s">
        <v>40</v>
      </c>
      <c r="N166" s="26"/>
      <c r="O166" s="20" t="s">
        <v>5</v>
      </c>
      <c r="P166" s="26"/>
      <c r="Q166" s="29">
        <f t="shared" ca="1" si="7"/>
        <v>13</v>
      </c>
      <c r="R166" s="23" t="str">
        <f t="shared" ca="1" si="8"/>
        <v/>
      </c>
      <c r="S166" s="17"/>
      <c r="T166" s="32"/>
    </row>
    <row r="167" spans="1:20">
      <c r="A167" s="23" t="str">
        <f t="shared" si="6"/>
        <v>DEF-0161</v>
      </c>
      <c r="B167" s="47">
        <v>46271</v>
      </c>
      <c r="C167" s="39" t="s">
        <v>160</v>
      </c>
      <c r="D167" s="39" t="s">
        <v>160</v>
      </c>
      <c r="E167" s="39" t="s">
        <v>49</v>
      </c>
      <c r="F167" s="39" t="s">
        <v>411</v>
      </c>
      <c r="G167" s="20"/>
      <c r="H167" s="39" t="s">
        <v>50</v>
      </c>
      <c r="I167" s="44" t="s">
        <v>418</v>
      </c>
      <c r="J167" s="39" t="s">
        <v>44</v>
      </c>
      <c r="K167" s="39" t="s">
        <v>51</v>
      </c>
      <c r="L167" s="26"/>
      <c r="M167" s="39" t="s">
        <v>40</v>
      </c>
      <c r="N167" s="26"/>
      <c r="O167" s="20" t="s">
        <v>5</v>
      </c>
      <c r="P167" s="26"/>
      <c r="Q167" s="29">
        <f t="shared" ca="1" si="7"/>
        <v>13</v>
      </c>
      <c r="R167" s="23" t="str">
        <f t="shared" ca="1" si="8"/>
        <v/>
      </c>
      <c r="S167" s="17"/>
      <c r="T167" s="32"/>
    </row>
    <row r="168" spans="1:20">
      <c r="A168" s="23" t="str">
        <f t="shared" si="6"/>
        <v>DEF-0162</v>
      </c>
      <c r="B168" s="47">
        <v>46271</v>
      </c>
      <c r="C168" s="39" t="s">
        <v>191</v>
      </c>
      <c r="D168" s="39" t="s">
        <v>195</v>
      </c>
      <c r="E168" s="39" t="s">
        <v>49</v>
      </c>
      <c r="F168" s="39" t="s">
        <v>412</v>
      </c>
      <c r="G168" s="20"/>
      <c r="H168" s="39" t="s">
        <v>50</v>
      </c>
      <c r="I168" s="44" t="s">
        <v>417</v>
      </c>
      <c r="J168" s="39" t="s">
        <v>44</v>
      </c>
      <c r="K168" s="39" t="s">
        <v>51</v>
      </c>
      <c r="L168" s="26"/>
      <c r="M168" s="39" t="s">
        <v>40</v>
      </c>
      <c r="N168" s="26"/>
      <c r="O168" s="20" t="s">
        <v>5</v>
      </c>
      <c r="P168" s="26"/>
      <c r="Q168" s="29">
        <f t="shared" ca="1" si="7"/>
        <v>13</v>
      </c>
      <c r="R168" s="23" t="str">
        <f t="shared" ca="1" si="8"/>
        <v/>
      </c>
      <c r="S168" s="17"/>
      <c r="T168" s="32"/>
    </row>
    <row r="169" spans="1:20">
      <c r="A169" s="23" t="str">
        <f t="shared" si="6"/>
        <v>DEF-0163</v>
      </c>
      <c r="B169" s="47">
        <v>46271</v>
      </c>
      <c r="C169" s="39" t="s">
        <v>191</v>
      </c>
      <c r="D169" s="39" t="s">
        <v>195</v>
      </c>
      <c r="E169" s="39" t="s">
        <v>49</v>
      </c>
      <c r="F169" s="39" t="s">
        <v>413</v>
      </c>
      <c r="G169" s="20"/>
      <c r="H169" s="39" t="s">
        <v>50</v>
      </c>
      <c r="I169" s="44" t="s">
        <v>416</v>
      </c>
      <c r="J169" s="39" t="s">
        <v>44</v>
      </c>
      <c r="K169" s="39" t="s">
        <v>51</v>
      </c>
      <c r="L169" s="26"/>
      <c r="M169" s="39" t="s">
        <v>40</v>
      </c>
      <c r="N169" s="26"/>
      <c r="O169" s="20" t="s">
        <v>5</v>
      </c>
      <c r="P169" s="26"/>
      <c r="Q169" s="29">
        <f t="shared" ca="1" si="7"/>
        <v>13</v>
      </c>
      <c r="R169" s="23" t="str">
        <f t="shared" ca="1" si="8"/>
        <v/>
      </c>
      <c r="S169" s="17"/>
      <c r="T169" s="32"/>
    </row>
    <row r="170" spans="1:20">
      <c r="A170" s="23" t="str">
        <f t="shared" si="6"/>
        <v>DEF-0164</v>
      </c>
      <c r="B170" s="47">
        <v>46271</v>
      </c>
      <c r="C170" s="39" t="s">
        <v>191</v>
      </c>
      <c r="D170" s="39" t="s">
        <v>195</v>
      </c>
      <c r="E170" s="39" t="s">
        <v>49</v>
      </c>
      <c r="F170" s="39" t="s">
        <v>414</v>
      </c>
      <c r="G170" s="20"/>
      <c r="H170" s="39" t="s">
        <v>50</v>
      </c>
      <c r="I170" s="44" t="s">
        <v>415</v>
      </c>
      <c r="J170" s="39" t="s">
        <v>44</v>
      </c>
      <c r="K170" s="39" t="s">
        <v>51</v>
      </c>
      <c r="L170" s="26"/>
      <c r="M170" s="39" t="s">
        <v>40</v>
      </c>
      <c r="N170" s="26"/>
      <c r="O170" s="20" t="s">
        <v>5</v>
      </c>
      <c r="P170" s="26"/>
      <c r="Q170" s="29">
        <f t="shared" ca="1" si="7"/>
        <v>13</v>
      </c>
      <c r="R170" s="23" t="str">
        <f t="shared" ca="1" si="8"/>
        <v/>
      </c>
      <c r="S170" s="17"/>
      <c r="T170" s="32"/>
    </row>
    <row r="171" spans="1:20">
      <c r="A171" s="23" t="str">
        <f t="shared" si="6"/>
        <v>DEF-0165</v>
      </c>
      <c r="B171" s="47">
        <v>46271</v>
      </c>
      <c r="C171" s="39" t="s">
        <v>191</v>
      </c>
      <c r="D171" s="39" t="s">
        <v>195</v>
      </c>
      <c r="E171" s="39" t="s">
        <v>49</v>
      </c>
      <c r="F171" s="39" t="s">
        <v>420</v>
      </c>
      <c r="G171" s="20"/>
      <c r="H171" s="39" t="s">
        <v>50</v>
      </c>
      <c r="I171" s="44" t="s">
        <v>432</v>
      </c>
      <c r="J171" s="39" t="s">
        <v>44</v>
      </c>
      <c r="K171" s="39" t="s">
        <v>51</v>
      </c>
      <c r="L171" s="26"/>
      <c r="M171" s="39" t="s">
        <v>40</v>
      </c>
      <c r="N171" s="26"/>
      <c r="O171" s="20" t="s">
        <v>5</v>
      </c>
      <c r="P171" s="26"/>
      <c r="Q171" s="29">
        <f t="shared" ca="1" si="7"/>
        <v>13</v>
      </c>
      <c r="R171" s="23" t="str">
        <f t="shared" ca="1" si="8"/>
        <v/>
      </c>
      <c r="S171" s="17"/>
      <c r="T171" s="32"/>
    </row>
    <row r="172" spans="1:20">
      <c r="A172" s="23" t="str">
        <f t="shared" si="6"/>
        <v>DEF-0166</v>
      </c>
      <c r="B172" s="47">
        <v>46271</v>
      </c>
      <c r="C172" s="39" t="s">
        <v>160</v>
      </c>
      <c r="D172" s="39" t="s">
        <v>160</v>
      </c>
      <c r="E172" s="39" t="s">
        <v>49</v>
      </c>
      <c r="F172" s="39" t="s">
        <v>421</v>
      </c>
      <c r="G172" s="20"/>
      <c r="H172" s="39" t="s">
        <v>50</v>
      </c>
      <c r="I172" s="44" t="s">
        <v>433</v>
      </c>
      <c r="J172" s="39" t="s">
        <v>44</v>
      </c>
      <c r="K172" s="39" t="s">
        <v>51</v>
      </c>
      <c r="L172" s="26"/>
      <c r="M172" s="39" t="s">
        <v>40</v>
      </c>
      <c r="N172" s="26"/>
      <c r="O172" s="20" t="s">
        <v>5</v>
      </c>
      <c r="P172" s="26"/>
      <c r="Q172" s="29">
        <f t="shared" ca="1" si="7"/>
        <v>13</v>
      </c>
      <c r="R172" s="23" t="str">
        <f t="shared" ca="1" si="8"/>
        <v/>
      </c>
      <c r="S172" s="17"/>
      <c r="T172" s="32"/>
    </row>
    <row r="173" spans="1:20">
      <c r="A173" s="23" t="str">
        <f t="shared" si="6"/>
        <v>DEF-0167</v>
      </c>
      <c r="B173" s="47">
        <v>46271</v>
      </c>
      <c r="C173" s="39" t="s">
        <v>191</v>
      </c>
      <c r="D173" s="39" t="s">
        <v>195</v>
      </c>
      <c r="E173" s="39" t="s">
        <v>49</v>
      </c>
      <c r="F173" s="39" t="s">
        <v>422</v>
      </c>
      <c r="G173" s="20"/>
      <c r="H173" s="39" t="s">
        <v>50</v>
      </c>
      <c r="I173" s="44" t="s">
        <v>434</v>
      </c>
      <c r="J173" s="39" t="s">
        <v>44</v>
      </c>
      <c r="K173" s="39" t="s">
        <v>51</v>
      </c>
      <c r="L173" s="26"/>
      <c r="M173" s="39" t="s">
        <v>40</v>
      </c>
      <c r="N173" s="26"/>
      <c r="O173" s="20" t="s">
        <v>5</v>
      </c>
      <c r="P173" s="26"/>
      <c r="Q173" s="29">
        <f t="shared" ca="1" si="7"/>
        <v>13</v>
      </c>
      <c r="R173" s="23" t="str">
        <f t="shared" ca="1" si="8"/>
        <v/>
      </c>
      <c r="S173" s="17"/>
      <c r="T173" s="32"/>
    </row>
    <row r="174" spans="1:20">
      <c r="A174" s="23" t="str">
        <f t="shared" si="6"/>
        <v>DEF-0168</v>
      </c>
      <c r="B174" s="47">
        <v>46271</v>
      </c>
      <c r="C174" s="39" t="s">
        <v>191</v>
      </c>
      <c r="D174" s="39" t="s">
        <v>195</v>
      </c>
      <c r="E174" s="39" t="s">
        <v>49</v>
      </c>
      <c r="F174" s="39" t="s">
        <v>423</v>
      </c>
      <c r="G174" s="20"/>
      <c r="H174" s="39" t="s">
        <v>50</v>
      </c>
      <c r="I174" s="44" t="s">
        <v>435</v>
      </c>
      <c r="J174" s="39" t="s">
        <v>44</v>
      </c>
      <c r="K174" s="39" t="s">
        <v>51</v>
      </c>
      <c r="L174" s="26"/>
      <c r="M174" s="39" t="s">
        <v>40</v>
      </c>
      <c r="N174" s="26"/>
      <c r="O174" s="20" t="s">
        <v>5</v>
      </c>
      <c r="P174" s="26"/>
      <c r="Q174" s="29">
        <f t="shared" ca="1" si="7"/>
        <v>13</v>
      </c>
      <c r="R174" s="23" t="str">
        <f t="shared" ca="1" si="8"/>
        <v/>
      </c>
      <c r="S174" s="17"/>
      <c r="T174" s="32"/>
    </row>
    <row r="175" spans="1:20">
      <c r="A175" s="23" t="str">
        <f t="shared" si="6"/>
        <v>DEF-0169</v>
      </c>
      <c r="B175" s="47">
        <v>46271</v>
      </c>
      <c r="C175" s="39" t="s">
        <v>160</v>
      </c>
      <c r="D175" s="39" t="s">
        <v>160</v>
      </c>
      <c r="E175" s="39" t="s">
        <v>49</v>
      </c>
      <c r="F175" s="39" t="s">
        <v>424</v>
      </c>
      <c r="G175" s="20"/>
      <c r="H175" s="39" t="s">
        <v>50</v>
      </c>
      <c r="I175" s="44" t="s">
        <v>436</v>
      </c>
      <c r="J175" s="39" t="s">
        <v>44</v>
      </c>
      <c r="K175" s="39" t="s">
        <v>51</v>
      </c>
      <c r="L175" s="26"/>
      <c r="M175" s="39" t="s">
        <v>40</v>
      </c>
      <c r="N175" s="26"/>
      <c r="O175" s="20" t="s">
        <v>5</v>
      </c>
      <c r="P175" s="26"/>
      <c r="Q175" s="29">
        <f t="shared" ca="1" si="7"/>
        <v>13</v>
      </c>
      <c r="R175" s="23" t="str">
        <f t="shared" ca="1" si="8"/>
        <v/>
      </c>
      <c r="S175" s="17"/>
      <c r="T175" s="32"/>
    </row>
    <row r="176" spans="1:20">
      <c r="A176" s="23" t="str">
        <f t="shared" si="6"/>
        <v>DEF-0170</v>
      </c>
      <c r="B176" s="47">
        <v>46271</v>
      </c>
      <c r="C176" s="39" t="s">
        <v>191</v>
      </c>
      <c r="D176" s="39" t="s">
        <v>195</v>
      </c>
      <c r="E176" s="39" t="s">
        <v>49</v>
      </c>
      <c r="F176" s="39" t="s">
        <v>425</v>
      </c>
      <c r="G176" s="20"/>
      <c r="H176" s="39" t="s">
        <v>50</v>
      </c>
      <c r="I176" s="44" t="s">
        <v>437</v>
      </c>
      <c r="J176" s="39" t="s">
        <v>44</v>
      </c>
      <c r="K176" s="39" t="s">
        <v>51</v>
      </c>
      <c r="L176" s="26"/>
      <c r="M176" s="39" t="s">
        <v>40</v>
      </c>
      <c r="N176" s="26"/>
      <c r="O176" s="20" t="s">
        <v>5</v>
      </c>
      <c r="P176" s="26"/>
      <c r="Q176" s="29">
        <f t="shared" ca="1" si="7"/>
        <v>13</v>
      </c>
      <c r="R176" s="23" t="str">
        <f t="shared" ca="1" si="8"/>
        <v/>
      </c>
      <c r="S176" s="17"/>
      <c r="T176" s="32"/>
    </row>
    <row r="177" spans="1:20">
      <c r="A177" s="23" t="str">
        <f t="shared" si="6"/>
        <v>DEF-0171</v>
      </c>
      <c r="B177" s="47">
        <v>46271</v>
      </c>
      <c r="C177" s="39" t="s">
        <v>191</v>
      </c>
      <c r="D177" s="39" t="s">
        <v>195</v>
      </c>
      <c r="E177" s="39" t="s">
        <v>49</v>
      </c>
      <c r="F177" s="39" t="s">
        <v>426</v>
      </c>
      <c r="G177" s="20"/>
      <c r="H177" s="39" t="s">
        <v>50</v>
      </c>
      <c r="I177" s="44" t="s">
        <v>438</v>
      </c>
      <c r="J177" s="39" t="s">
        <v>44</v>
      </c>
      <c r="K177" s="39" t="s">
        <v>51</v>
      </c>
      <c r="L177" s="26"/>
      <c r="M177" s="39" t="s">
        <v>40</v>
      </c>
      <c r="N177" s="26"/>
      <c r="O177" s="20" t="s">
        <v>5</v>
      </c>
      <c r="P177" s="26"/>
      <c r="Q177" s="29">
        <f t="shared" ca="1" si="7"/>
        <v>13</v>
      </c>
      <c r="R177" s="23" t="str">
        <f t="shared" ca="1" si="8"/>
        <v/>
      </c>
      <c r="S177" s="17"/>
      <c r="T177" s="32"/>
    </row>
    <row r="178" spans="1:20" ht="25">
      <c r="A178" s="23" t="str">
        <f t="shared" si="6"/>
        <v>DEF-0172</v>
      </c>
      <c r="B178" s="47">
        <v>46271</v>
      </c>
      <c r="C178" s="39"/>
      <c r="D178" s="39" t="s">
        <v>160</v>
      </c>
      <c r="E178" s="39" t="s">
        <v>49</v>
      </c>
      <c r="F178" s="39" t="s">
        <v>427</v>
      </c>
      <c r="G178" s="20"/>
      <c r="H178" s="39" t="s">
        <v>50</v>
      </c>
      <c r="I178" s="44" t="s">
        <v>439</v>
      </c>
      <c r="J178" s="39" t="s">
        <v>44</v>
      </c>
      <c r="K178" s="39" t="s">
        <v>51</v>
      </c>
      <c r="L178" s="26"/>
      <c r="M178" s="39" t="s">
        <v>40</v>
      </c>
      <c r="N178" s="26"/>
      <c r="O178" s="20" t="s">
        <v>5</v>
      </c>
      <c r="P178" s="26"/>
      <c r="Q178" s="29">
        <f t="shared" ca="1" si="7"/>
        <v>13</v>
      </c>
      <c r="R178" s="23" t="str">
        <f t="shared" ca="1" si="8"/>
        <v/>
      </c>
      <c r="S178" s="17"/>
      <c r="T178" s="32"/>
    </row>
    <row r="179" spans="1:20" ht="25">
      <c r="A179" s="23" t="str">
        <f t="shared" si="6"/>
        <v>DEF-0173</v>
      </c>
      <c r="B179" s="47">
        <v>46271</v>
      </c>
      <c r="C179" s="39" t="s">
        <v>191</v>
      </c>
      <c r="D179" s="39" t="s">
        <v>195</v>
      </c>
      <c r="E179" s="39" t="s">
        <v>49</v>
      </c>
      <c r="F179" s="39" t="s">
        <v>428</v>
      </c>
      <c r="G179" s="20"/>
      <c r="H179" s="39" t="s">
        <v>50</v>
      </c>
      <c r="I179" s="44" t="s">
        <v>446</v>
      </c>
      <c r="J179" s="39" t="s">
        <v>44</v>
      </c>
      <c r="K179" s="39" t="s">
        <v>51</v>
      </c>
      <c r="L179" s="26"/>
      <c r="M179" s="39" t="s">
        <v>40</v>
      </c>
      <c r="N179" s="26"/>
      <c r="O179" s="20" t="s">
        <v>5</v>
      </c>
      <c r="P179" s="26"/>
      <c r="Q179" s="29">
        <f t="shared" ca="1" si="7"/>
        <v>13</v>
      </c>
      <c r="R179" s="23" t="str">
        <f t="shared" ca="1" si="8"/>
        <v/>
      </c>
      <c r="S179" s="17"/>
      <c r="T179" s="32"/>
    </row>
    <row r="180" spans="1:20">
      <c r="A180" s="23" t="str">
        <f t="shared" si="6"/>
        <v>DEF-0174</v>
      </c>
      <c r="B180" s="47">
        <v>46271</v>
      </c>
      <c r="C180" s="39" t="s">
        <v>160</v>
      </c>
      <c r="D180" s="39" t="s">
        <v>160</v>
      </c>
      <c r="E180" s="39" t="s">
        <v>49</v>
      </c>
      <c r="F180" s="39" t="s">
        <v>429</v>
      </c>
      <c r="G180" s="20"/>
      <c r="H180" s="39" t="s">
        <v>50</v>
      </c>
      <c r="I180" s="44" t="s">
        <v>416</v>
      </c>
      <c r="J180" s="39" t="s">
        <v>44</v>
      </c>
      <c r="K180" s="39" t="s">
        <v>51</v>
      </c>
      <c r="L180" s="26"/>
      <c r="M180" s="39" t="s">
        <v>40</v>
      </c>
      <c r="N180" s="26"/>
      <c r="O180" s="20" t="s">
        <v>5</v>
      </c>
      <c r="P180" s="26"/>
      <c r="Q180" s="29">
        <f t="shared" ca="1" si="7"/>
        <v>13</v>
      </c>
      <c r="R180" s="23" t="str">
        <f t="shared" ca="1" si="8"/>
        <v/>
      </c>
      <c r="S180" s="17"/>
      <c r="T180" s="32"/>
    </row>
    <row r="181" spans="1:20">
      <c r="A181" s="23" t="str">
        <f t="shared" si="6"/>
        <v>DEF-0175</v>
      </c>
      <c r="B181" s="47">
        <v>46271</v>
      </c>
      <c r="C181" s="39" t="s">
        <v>191</v>
      </c>
      <c r="D181" s="39" t="s">
        <v>195</v>
      </c>
      <c r="E181" s="39" t="s">
        <v>49</v>
      </c>
      <c r="F181" s="39" t="s">
        <v>430</v>
      </c>
      <c r="G181" s="20"/>
      <c r="H181" s="39" t="s">
        <v>50</v>
      </c>
      <c r="I181" s="44" t="s">
        <v>434</v>
      </c>
      <c r="J181" s="39" t="s">
        <v>44</v>
      </c>
      <c r="K181" s="39" t="s">
        <v>51</v>
      </c>
      <c r="L181" s="26"/>
      <c r="M181" s="39" t="s">
        <v>40</v>
      </c>
      <c r="N181" s="26"/>
      <c r="O181" s="20" t="s">
        <v>5</v>
      </c>
      <c r="P181" s="26"/>
      <c r="Q181" s="29">
        <f t="shared" ca="1" si="7"/>
        <v>13</v>
      </c>
      <c r="R181" s="23" t="str">
        <f t="shared" ca="1" si="8"/>
        <v/>
      </c>
      <c r="S181" s="17"/>
      <c r="T181" s="32"/>
    </row>
    <row r="182" spans="1:20" ht="25">
      <c r="A182" s="23" t="str">
        <f t="shared" si="6"/>
        <v>DEF-0176</v>
      </c>
      <c r="B182" s="47">
        <v>46271</v>
      </c>
      <c r="C182" s="39" t="s">
        <v>191</v>
      </c>
      <c r="D182" s="39" t="s">
        <v>195</v>
      </c>
      <c r="E182" s="39" t="s">
        <v>49</v>
      </c>
      <c r="F182" s="39" t="s">
        <v>431</v>
      </c>
      <c r="G182" s="20"/>
      <c r="H182" s="39" t="s">
        <v>50</v>
      </c>
      <c r="I182" s="44" t="s">
        <v>440</v>
      </c>
      <c r="J182" s="39" t="s">
        <v>44</v>
      </c>
      <c r="K182" s="39" t="s">
        <v>51</v>
      </c>
      <c r="L182" s="26"/>
      <c r="M182" s="39" t="s">
        <v>40</v>
      </c>
      <c r="N182" s="26"/>
      <c r="O182" s="20" t="s">
        <v>5</v>
      </c>
      <c r="P182" s="26"/>
      <c r="Q182" s="29">
        <f t="shared" ca="1" si="7"/>
        <v>13</v>
      </c>
      <c r="R182" s="23" t="str">
        <f t="shared" ca="1" si="8"/>
        <v/>
      </c>
      <c r="S182" s="17"/>
      <c r="T182" s="32"/>
    </row>
    <row r="183" spans="1:20">
      <c r="A183" s="23" t="str">
        <f t="shared" si="6"/>
        <v>DEF-0177</v>
      </c>
      <c r="B183" s="47">
        <v>46271</v>
      </c>
      <c r="C183" s="39" t="s">
        <v>445</v>
      </c>
      <c r="D183" s="39" t="s">
        <v>194</v>
      </c>
      <c r="E183" s="39" t="s">
        <v>49</v>
      </c>
      <c r="F183" s="39" t="s">
        <v>441</v>
      </c>
      <c r="G183" s="20"/>
      <c r="H183" s="39" t="s">
        <v>50</v>
      </c>
      <c r="I183" s="44" t="s">
        <v>447</v>
      </c>
      <c r="J183" s="39" t="s">
        <v>44</v>
      </c>
      <c r="K183" s="39" t="s">
        <v>51</v>
      </c>
      <c r="L183" s="26"/>
      <c r="M183" s="39" t="s">
        <v>40</v>
      </c>
      <c r="N183" s="26"/>
      <c r="O183" s="20" t="s">
        <v>5</v>
      </c>
      <c r="P183" s="26"/>
      <c r="Q183" s="29">
        <f t="shared" ca="1" si="7"/>
        <v>13</v>
      </c>
      <c r="R183" s="23" t="str">
        <f t="shared" ca="1" si="8"/>
        <v/>
      </c>
      <c r="S183" s="17"/>
      <c r="T183" s="32"/>
    </row>
    <row r="184" spans="1:20">
      <c r="A184" s="23" t="str">
        <f t="shared" si="6"/>
        <v>DEF-0178</v>
      </c>
      <c r="B184" s="47">
        <v>46271</v>
      </c>
      <c r="C184" s="39" t="s">
        <v>445</v>
      </c>
      <c r="D184" s="39" t="s">
        <v>139</v>
      </c>
      <c r="E184" s="39" t="s">
        <v>49</v>
      </c>
      <c r="F184" s="39" t="s">
        <v>442</v>
      </c>
      <c r="G184" s="20"/>
      <c r="H184" s="39" t="s">
        <v>50</v>
      </c>
      <c r="I184" s="44" t="s">
        <v>448</v>
      </c>
      <c r="J184" s="39" t="s">
        <v>44</v>
      </c>
      <c r="K184" s="39" t="s">
        <v>51</v>
      </c>
      <c r="L184" s="26"/>
      <c r="M184" s="39" t="s">
        <v>40</v>
      </c>
      <c r="N184" s="26"/>
      <c r="O184" s="20" t="s">
        <v>5</v>
      </c>
      <c r="P184" s="26"/>
      <c r="Q184" s="29">
        <f t="shared" ca="1" si="7"/>
        <v>13</v>
      </c>
      <c r="R184" s="23" t="str">
        <f t="shared" ca="1" si="8"/>
        <v/>
      </c>
      <c r="S184" s="17"/>
      <c r="T184" s="32"/>
    </row>
    <row r="185" spans="1:20">
      <c r="A185" s="23" t="str">
        <f t="shared" si="6"/>
        <v>DEF-0179</v>
      </c>
      <c r="B185" s="47">
        <v>46271</v>
      </c>
      <c r="C185" s="39" t="s">
        <v>445</v>
      </c>
      <c r="D185" s="39" t="s">
        <v>139</v>
      </c>
      <c r="E185" s="39" t="s">
        <v>49</v>
      </c>
      <c r="F185" s="39" t="s">
        <v>443</v>
      </c>
      <c r="G185" s="20"/>
      <c r="H185" s="39" t="s">
        <v>50</v>
      </c>
      <c r="I185" s="44" t="s">
        <v>449</v>
      </c>
      <c r="J185" s="39" t="s">
        <v>44</v>
      </c>
      <c r="K185" s="39" t="s">
        <v>51</v>
      </c>
      <c r="L185" s="26"/>
      <c r="M185" s="39" t="s">
        <v>40</v>
      </c>
      <c r="N185" s="26"/>
      <c r="O185" s="20" t="s">
        <v>5</v>
      </c>
      <c r="P185" s="26"/>
      <c r="Q185" s="29">
        <f t="shared" ca="1" si="7"/>
        <v>13</v>
      </c>
      <c r="R185" s="23" t="str">
        <f t="shared" ca="1" si="8"/>
        <v/>
      </c>
      <c r="S185" s="17"/>
      <c r="T185" s="32"/>
    </row>
    <row r="186" spans="1:20" ht="50">
      <c r="A186" s="23" t="str">
        <f t="shared" si="6"/>
        <v>DEF-0180</v>
      </c>
      <c r="B186" s="47">
        <v>46271</v>
      </c>
      <c r="C186" s="39" t="s">
        <v>445</v>
      </c>
      <c r="D186" s="39" t="s">
        <v>139</v>
      </c>
      <c r="E186" s="39" t="s">
        <v>49</v>
      </c>
      <c r="F186" s="39" t="s">
        <v>444</v>
      </c>
      <c r="G186" s="20"/>
      <c r="H186" s="39" t="s">
        <v>50</v>
      </c>
      <c r="I186" s="44" t="s">
        <v>450</v>
      </c>
      <c r="J186" s="39" t="s">
        <v>44</v>
      </c>
      <c r="K186" s="39" t="s">
        <v>51</v>
      </c>
      <c r="L186" s="26"/>
      <c r="M186" s="39" t="s">
        <v>40</v>
      </c>
      <c r="N186" s="26"/>
      <c r="O186" s="20" t="s">
        <v>5</v>
      </c>
      <c r="P186" s="26"/>
      <c r="Q186" s="29">
        <f t="shared" ca="1" si="7"/>
        <v>13</v>
      </c>
      <c r="R186" s="23" t="str">
        <f t="shared" ca="1" si="8"/>
        <v/>
      </c>
      <c r="S186" s="17"/>
      <c r="T186" s="32"/>
    </row>
    <row r="187" spans="1:20">
      <c r="A187" s="23" t="str">
        <f t="shared" si="6"/>
        <v>DEF-0181</v>
      </c>
      <c r="B187" s="47">
        <v>46272</v>
      </c>
      <c r="C187" s="39" t="s">
        <v>451</v>
      </c>
      <c r="D187" s="39"/>
      <c r="E187" s="39" t="s">
        <v>49</v>
      </c>
      <c r="F187" s="39" t="s">
        <v>452</v>
      </c>
      <c r="G187" s="20"/>
      <c r="H187" s="39" t="s">
        <v>53</v>
      </c>
      <c r="I187" s="44" t="s">
        <v>457</v>
      </c>
      <c r="J187" s="39" t="s">
        <v>44</v>
      </c>
      <c r="K187" s="39" t="s">
        <v>51</v>
      </c>
      <c r="L187" s="26"/>
      <c r="M187" s="39" t="s">
        <v>46</v>
      </c>
      <c r="N187" s="26">
        <v>46272</v>
      </c>
      <c r="O187" s="20" t="s">
        <v>5</v>
      </c>
      <c r="P187" s="26">
        <v>46272</v>
      </c>
      <c r="Q187" s="29">
        <f t="shared" ca="1" si="7"/>
        <v>0</v>
      </c>
      <c r="R187" s="23" t="str">
        <f t="shared" ca="1" si="8"/>
        <v/>
      </c>
      <c r="S187" s="17"/>
      <c r="T187" s="32"/>
    </row>
    <row r="188" spans="1:20" ht="25">
      <c r="A188" s="23" t="str">
        <f t="shared" si="6"/>
        <v>DEF-0182</v>
      </c>
      <c r="B188" s="47">
        <v>46272</v>
      </c>
      <c r="C188" s="39" t="s">
        <v>451</v>
      </c>
      <c r="D188" s="39"/>
      <c r="E188" s="39" t="s">
        <v>49</v>
      </c>
      <c r="F188" s="39" t="s">
        <v>453</v>
      </c>
      <c r="G188" s="20"/>
      <c r="H188" s="39" t="s">
        <v>53</v>
      </c>
      <c r="I188" s="44" t="s">
        <v>458</v>
      </c>
      <c r="J188" s="39" t="s">
        <v>44</v>
      </c>
      <c r="K188" s="39" t="s">
        <v>51</v>
      </c>
      <c r="L188" s="26"/>
      <c r="M188" s="39" t="s">
        <v>46</v>
      </c>
      <c r="N188" s="26">
        <v>46272</v>
      </c>
      <c r="O188" s="20" t="s">
        <v>5</v>
      </c>
      <c r="P188" s="26">
        <v>46272</v>
      </c>
      <c r="Q188" s="29">
        <f t="shared" ca="1" si="7"/>
        <v>0</v>
      </c>
      <c r="R188" s="23" t="str">
        <f t="shared" ca="1" si="8"/>
        <v/>
      </c>
      <c r="S188" s="17"/>
      <c r="T188" s="32"/>
    </row>
    <row r="189" spans="1:20">
      <c r="A189" s="23" t="str">
        <f t="shared" si="6"/>
        <v>DEF-0183</v>
      </c>
      <c r="B189" s="47">
        <v>46272</v>
      </c>
      <c r="C189" s="39" t="s">
        <v>451</v>
      </c>
      <c r="D189" s="39"/>
      <c r="E189" s="39" t="s">
        <v>49</v>
      </c>
      <c r="F189" s="39" t="s">
        <v>454</v>
      </c>
      <c r="G189" s="20"/>
      <c r="H189" s="39" t="s">
        <v>53</v>
      </c>
      <c r="I189" s="44" t="s">
        <v>459</v>
      </c>
      <c r="J189" s="39" t="s">
        <v>44</v>
      </c>
      <c r="K189" s="39" t="s">
        <v>51</v>
      </c>
      <c r="L189" s="26"/>
      <c r="M189" s="39" t="s">
        <v>46</v>
      </c>
      <c r="N189" s="26">
        <v>46272</v>
      </c>
      <c r="O189" s="20" t="s">
        <v>5</v>
      </c>
      <c r="P189" s="26">
        <v>46272</v>
      </c>
      <c r="Q189" s="29">
        <f t="shared" ca="1" si="7"/>
        <v>0</v>
      </c>
      <c r="R189" s="23" t="str">
        <f t="shared" ca="1" si="8"/>
        <v/>
      </c>
      <c r="S189" s="17"/>
      <c r="T189" s="32"/>
    </row>
    <row r="190" spans="1:20">
      <c r="A190" s="23" t="str">
        <f t="shared" si="6"/>
        <v>DEF-0184</v>
      </c>
      <c r="B190" s="47">
        <v>46272</v>
      </c>
      <c r="C190" s="39" t="s">
        <v>451</v>
      </c>
      <c r="D190" s="39"/>
      <c r="E190" s="39" t="s">
        <v>49</v>
      </c>
      <c r="F190" s="39" t="s">
        <v>455</v>
      </c>
      <c r="G190" s="20"/>
      <c r="H190" s="39" t="s">
        <v>53</v>
      </c>
      <c r="I190" s="44" t="s">
        <v>460</v>
      </c>
      <c r="J190" s="39" t="s">
        <v>44</v>
      </c>
      <c r="K190" s="39" t="s">
        <v>51</v>
      </c>
      <c r="L190" s="26"/>
      <c r="M190" s="39" t="s">
        <v>46</v>
      </c>
      <c r="N190" s="26">
        <v>46272</v>
      </c>
      <c r="O190" s="20" t="s">
        <v>5</v>
      </c>
      <c r="P190" s="26">
        <v>46272</v>
      </c>
      <c r="Q190" s="29">
        <f t="shared" ca="1" si="7"/>
        <v>0</v>
      </c>
      <c r="R190" s="23" t="str">
        <f t="shared" ca="1" si="8"/>
        <v/>
      </c>
      <c r="S190" s="17"/>
      <c r="T190" s="32"/>
    </row>
    <row r="191" spans="1:20" ht="25">
      <c r="A191" s="23" t="str">
        <f t="shared" si="6"/>
        <v>DEF-0185</v>
      </c>
      <c r="B191" s="47">
        <v>46272</v>
      </c>
      <c r="C191" s="39" t="s">
        <v>451</v>
      </c>
      <c r="D191" s="39"/>
      <c r="E191" s="39" t="s">
        <v>49</v>
      </c>
      <c r="F191" s="39" t="s">
        <v>456</v>
      </c>
      <c r="G191" s="20"/>
      <c r="H191" s="39" t="s">
        <v>53</v>
      </c>
      <c r="I191" s="44" t="s">
        <v>461</v>
      </c>
      <c r="J191" s="39" t="s">
        <v>44</v>
      </c>
      <c r="K191" s="39" t="s">
        <v>51</v>
      </c>
      <c r="L191" s="26"/>
      <c r="M191" s="39" t="s">
        <v>46</v>
      </c>
      <c r="N191" s="26">
        <v>46272</v>
      </c>
      <c r="O191" s="20" t="s">
        <v>5</v>
      </c>
      <c r="P191" s="26">
        <v>46272</v>
      </c>
      <c r="Q191" s="29">
        <f t="shared" ca="1" si="7"/>
        <v>0</v>
      </c>
      <c r="R191" s="23" t="str">
        <f t="shared" ca="1" si="8"/>
        <v/>
      </c>
      <c r="S191" s="17"/>
      <c r="T191" s="32"/>
    </row>
    <row r="192" spans="1:20">
      <c r="A192" s="23" t="str">
        <f t="shared" si="6"/>
        <v>DEF-0186</v>
      </c>
      <c r="B192" s="47">
        <v>46270</v>
      </c>
      <c r="C192" s="39" t="s">
        <v>160</v>
      </c>
      <c r="D192" s="39" t="s">
        <v>160</v>
      </c>
      <c r="E192" s="39" t="s">
        <v>49</v>
      </c>
      <c r="F192" s="39" t="s">
        <v>462</v>
      </c>
      <c r="G192" s="20"/>
      <c r="H192" s="39" t="s">
        <v>50</v>
      </c>
      <c r="I192" s="44" t="s">
        <v>471</v>
      </c>
      <c r="J192" s="39" t="s">
        <v>44</v>
      </c>
      <c r="K192" s="39" t="s">
        <v>51</v>
      </c>
      <c r="L192" s="26"/>
      <c r="M192" s="39" t="s">
        <v>46</v>
      </c>
      <c r="N192" s="26">
        <v>46270</v>
      </c>
      <c r="O192" s="20" t="s">
        <v>5</v>
      </c>
      <c r="P192" s="26">
        <v>46273</v>
      </c>
      <c r="Q192" s="29">
        <f t="shared" ca="1" si="7"/>
        <v>0</v>
      </c>
      <c r="R192" s="23" t="str">
        <f t="shared" ca="1" si="8"/>
        <v/>
      </c>
      <c r="S192" s="17"/>
      <c r="T192" s="32"/>
    </row>
    <row r="193" spans="1:20">
      <c r="A193" s="23" t="str">
        <f t="shared" si="6"/>
        <v>DEF-0187</v>
      </c>
      <c r="B193" s="47">
        <v>46270</v>
      </c>
      <c r="C193" s="39" t="s">
        <v>160</v>
      </c>
      <c r="D193" s="39" t="s">
        <v>160</v>
      </c>
      <c r="E193" s="39" t="s">
        <v>49</v>
      </c>
      <c r="F193" s="39" t="s">
        <v>463</v>
      </c>
      <c r="G193" s="20"/>
      <c r="H193" s="39" t="s">
        <v>50</v>
      </c>
      <c r="I193" s="44" t="s">
        <v>472</v>
      </c>
      <c r="J193" s="39" t="s">
        <v>44</v>
      </c>
      <c r="K193" s="39" t="s">
        <v>51</v>
      </c>
      <c r="L193" s="26"/>
      <c r="M193" s="39"/>
      <c r="N193" s="26"/>
      <c r="O193" s="20"/>
      <c r="P193" s="26"/>
      <c r="Q193" s="29">
        <f t="shared" ca="1" si="7"/>
        <v>14</v>
      </c>
      <c r="R193" s="23" t="str">
        <f t="shared" ca="1" si="8"/>
        <v/>
      </c>
      <c r="S193" s="17"/>
      <c r="T193" s="32"/>
    </row>
    <row r="194" spans="1:20">
      <c r="A194" s="23" t="str">
        <f t="shared" si="6"/>
        <v>DEF-0188</v>
      </c>
      <c r="B194" s="47">
        <v>46270</v>
      </c>
      <c r="C194" s="39" t="s">
        <v>160</v>
      </c>
      <c r="D194" s="39" t="s">
        <v>160</v>
      </c>
      <c r="E194" s="39" t="s">
        <v>49</v>
      </c>
      <c r="F194" s="39" t="s">
        <v>464</v>
      </c>
      <c r="G194" s="20"/>
      <c r="H194" s="39" t="s">
        <v>50</v>
      </c>
      <c r="I194" s="44" t="s">
        <v>473</v>
      </c>
      <c r="J194" s="39" t="s">
        <v>44</v>
      </c>
      <c r="K194" s="39" t="s">
        <v>51</v>
      </c>
      <c r="L194" s="26"/>
      <c r="M194" s="39"/>
      <c r="N194" s="26"/>
      <c r="O194" s="20"/>
      <c r="P194" s="26"/>
      <c r="Q194" s="29">
        <f t="shared" ca="1" si="7"/>
        <v>14</v>
      </c>
      <c r="R194" s="23" t="str">
        <f t="shared" ca="1" si="8"/>
        <v/>
      </c>
      <c r="S194" s="17"/>
      <c r="T194" s="32"/>
    </row>
    <row r="195" spans="1:20">
      <c r="A195" s="23" t="str">
        <f t="shared" si="6"/>
        <v>DEF-0189</v>
      </c>
      <c r="B195" s="47">
        <v>46270</v>
      </c>
      <c r="C195" s="39" t="s">
        <v>160</v>
      </c>
      <c r="D195" s="39" t="s">
        <v>160</v>
      </c>
      <c r="E195" s="39" t="s">
        <v>49</v>
      </c>
      <c r="F195" s="39" t="s">
        <v>465</v>
      </c>
      <c r="G195" s="20"/>
      <c r="H195" s="39" t="s">
        <v>50</v>
      </c>
      <c r="I195" s="44" t="s">
        <v>474</v>
      </c>
      <c r="J195" s="39" t="s">
        <v>44</v>
      </c>
      <c r="K195" s="39" t="s">
        <v>51</v>
      </c>
      <c r="L195" s="26"/>
      <c r="M195" s="39"/>
      <c r="N195" s="26"/>
      <c r="O195" s="20"/>
      <c r="P195" s="26"/>
      <c r="Q195" s="29">
        <f t="shared" ca="1" si="7"/>
        <v>14</v>
      </c>
      <c r="R195" s="23" t="str">
        <f t="shared" ca="1" si="8"/>
        <v/>
      </c>
      <c r="S195" s="17"/>
      <c r="T195" s="32"/>
    </row>
    <row r="196" spans="1:20">
      <c r="A196" s="23" t="str">
        <f t="shared" si="6"/>
        <v>DEF-0190</v>
      </c>
      <c r="B196" s="47">
        <v>46270</v>
      </c>
      <c r="C196" s="39" t="s">
        <v>160</v>
      </c>
      <c r="D196" s="39" t="s">
        <v>160</v>
      </c>
      <c r="E196" s="39" t="s">
        <v>49</v>
      </c>
      <c r="F196" s="39" t="s">
        <v>466</v>
      </c>
      <c r="G196" s="20"/>
      <c r="H196" s="39" t="s">
        <v>50</v>
      </c>
      <c r="I196" s="44" t="s">
        <v>475</v>
      </c>
      <c r="J196" s="39" t="s">
        <v>44</v>
      </c>
      <c r="K196" s="39" t="s">
        <v>51</v>
      </c>
      <c r="L196" s="26"/>
      <c r="M196" s="39"/>
      <c r="N196" s="26"/>
      <c r="O196" s="20"/>
      <c r="P196" s="26"/>
      <c r="Q196" s="29">
        <f t="shared" ca="1" si="7"/>
        <v>14</v>
      </c>
      <c r="R196" s="23" t="str">
        <f t="shared" ca="1" si="8"/>
        <v/>
      </c>
      <c r="S196" s="17"/>
      <c r="T196" s="32"/>
    </row>
    <row r="197" spans="1:20">
      <c r="A197" s="23" t="str">
        <f t="shared" si="6"/>
        <v>DEF-0191</v>
      </c>
      <c r="B197" s="47">
        <v>46270</v>
      </c>
      <c r="C197" s="39" t="s">
        <v>160</v>
      </c>
      <c r="D197" s="39" t="s">
        <v>160</v>
      </c>
      <c r="E197" s="39" t="s">
        <v>49</v>
      </c>
      <c r="F197" s="39" t="s">
        <v>467</v>
      </c>
      <c r="G197" s="20"/>
      <c r="H197" s="39" t="s">
        <v>50</v>
      </c>
      <c r="I197" s="44" t="s">
        <v>475</v>
      </c>
      <c r="J197" s="39" t="s">
        <v>44</v>
      </c>
      <c r="K197" s="39" t="s">
        <v>51</v>
      </c>
      <c r="L197" s="26"/>
      <c r="M197" s="39"/>
      <c r="N197" s="26"/>
      <c r="O197" s="20"/>
      <c r="P197" s="26"/>
      <c r="Q197" s="29">
        <f t="shared" ca="1" si="7"/>
        <v>14</v>
      </c>
      <c r="R197" s="23" t="str">
        <f t="shared" ca="1" si="8"/>
        <v/>
      </c>
      <c r="S197" s="17"/>
      <c r="T197" s="32"/>
    </row>
    <row r="198" spans="1:20">
      <c r="A198" s="23" t="str">
        <f t="shared" si="6"/>
        <v>DEF-0192</v>
      </c>
      <c r="B198" s="47">
        <v>46270</v>
      </c>
      <c r="C198" s="39" t="s">
        <v>160</v>
      </c>
      <c r="D198" s="39" t="s">
        <v>160</v>
      </c>
      <c r="E198" s="39" t="s">
        <v>49</v>
      </c>
      <c r="F198" s="39" t="s">
        <v>468</v>
      </c>
      <c r="G198" s="20"/>
      <c r="H198" s="39" t="s">
        <v>50</v>
      </c>
      <c r="I198" s="44" t="s">
        <v>476</v>
      </c>
      <c r="J198" s="39" t="s">
        <v>44</v>
      </c>
      <c r="K198" s="39" t="s">
        <v>51</v>
      </c>
      <c r="L198" s="26"/>
      <c r="M198" s="39" t="s">
        <v>46</v>
      </c>
      <c r="N198" s="26">
        <v>46270</v>
      </c>
      <c r="O198" s="20" t="s">
        <v>5</v>
      </c>
      <c r="P198" s="26">
        <v>46273</v>
      </c>
      <c r="Q198" s="29">
        <f t="shared" ca="1" si="7"/>
        <v>0</v>
      </c>
      <c r="R198" s="23" t="str">
        <f t="shared" ca="1" si="8"/>
        <v/>
      </c>
      <c r="S198" s="17"/>
      <c r="T198" s="32"/>
    </row>
    <row r="199" spans="1:20">
      <c r="A199" s="23" t="str">
        <f t="shared" ref="A199:A262" si="9">IF($I199="","","DEF-"&amp;TEXT(ROW()-6,"0000"))</f>
        <v>DEF-0193</v>
      </c>
      <c r="B199" s="47">
        <v>46270</v>
      </c>
      <c r="C199" s="39" t="s">
        <v>160</v>
      </c>
      <c r="D199" s="39" t="s">
        <v>160</v>
      </c>
      <c r="E199" s="39" t="s">
        <v>49</v>
      </c>
      <c r="F199" s="39" t="s">
        <v>469</v>
      </c>
      <c r="G199" s="20"/>
      <c r="H199" s="39" t="s">
        <v>50</v>
      </c>
      <c r="I199" s="44" t="s">
        <v>476</v>
      </c>
      <c r="J199" s="39" t="s">
        <v>44</v>
      </c>
      <c r="K199" s="39" t="s">
        <v>51</v>
      </c>
      <c r="L199" s="26"/>
      <c r="M199" s="39" t="s">
        <v>46</v>
      </c>
      <c r="N199" s="26">
        <v>46270</v>
      </c>
      <c r="O199" s="20" t="s">
        <v>5</v>
      </c>
      <c r="P199" s="26">
        <v>46273</v>
      </c>
      <c r="Q199" s="29">
        <f t="shared" ref="Q199:Q262" ca="1" si="10">IF($B199="","",MAX(0,IF($M199="Closed",IF($N199="",TODAY()-$B199,$N199-$B199),TODAY()-$B199)))</f>
        <v>0</v>
      </c>
      <c r="R199" s="23" t="str">
        <f t="shared" ref="R199:R262" ca="1" si="11">IF(OR($I199="",$L199="",$M199="Closed"),"",IF(TODAY()&gt;$L199,"Yes","No"))</f>
        <v/>
      </c>
      <c r="S199" s="17"/>
      <c r="T199" s="32"/>
    </row>
    <row r="200" spans="1:20">
      <c r="A200" s="23" t="str">
        <f t="shared" si="9"/>
        <v>DEF-0194</v>
      </c>
      <c r="B200" s="47">
        <v>46270</v>
      </c>
      <c r="C200" s="39" t="s">
        <v>160</v>
      </c>
      <c r="D200" s="39" t="s">
        <v>160</v>
      </c>
      <c r="E200" s="39" t="s">
        <v>49</v>
      </c>
      <c r="F200" s="39" t="s">
        <v>470</v>
      </c>
      <c r="G200" s="20"/>
      <c r="H200" s="39" t="s">
        <v>50</v>
      </c>
      <c r="I200" s="44" t="s">
        <v>476</v>
      </c>
      <c r="J200" s="39" t="s">
        <v>44</v>
      </c>
      <c r="K200" s="39" t="s">
        <v>51</v>
      </c>
      <c r="L200" s="26"/>
      <c r="M200" s="39" t="s">
        <v>46</v>
      </c>
      <c r="N200" s="26">
        <v>46270</v>
      </c>
      <c r="O200" s="20" t="s">
        <v>5</v>
      </c>
      <c r="P200" s="26">
        <v>46273</v>
      </c>
      <c r="Q200" s="29">
        <f t="shared" ca="1" si="10"/>
        <v>0</v>
      </c>
      <c r="R200" s="23" t="str">
        <f t="shared" ca="1" si="11"/>
        <v/>
      </c>
      <c r="S200" s="17"/>
      <c r="T200" s="32"/>
    </row>
    <row r="201" spans="1:20" ht="50">
      <c r="A201" s="23" t="str">
        <f t="shared" si="9"/>
        <v>DEF-0195</v>
      </c>
      <c r="B201" s="47">
        <v>46276</v>
      </c>
      <c r="C201" s="39" t="s">
        <v>489</v>
      </c>
      <c r="D201" s="39" t="s">
        <v>160</v>
      </c>
      <c r="E201" s="39" t="s">
        <v>49</v>
      </c>
      <c r="F201" s="39" t="s">
        <v>477</v>
      </c>
      <c r="G201" s="20"/>
      <c r="H201" s="39" t="s">
        <v>50</v>
      </c>
      <c r="I201" s="44" t="s">
        <v>490</v>
      </c>
      <c r="J201" s="39" t="s">
        <v>44</v>
      </c>
      <c r="K201" s="39" t="s">
        <v>51</v>
      </c>
      <c r="L201" s="26"/>
      <c r="M201" s="39"/>
      <c r="N201" s="26"/>
      <c r="O201" s="20" t="s">
        <v>5</v>
      </c>
      <c r="P201" s="26"/>
      <c r="Q201" s="29">
        <f t="shared" ca="1" si="10"/>
        <v>8</v>
      </c>
      <c r="R201" s="23" t="str">
        <f t="shared" ca="1" si="11"/>
        <v/>
      </c>
      <c r="S201" s="17"/>
      <c r="T201" s="32"/>
    </row>
    <row r="202" spans="1:20" ht="50">
      <c r="A202" s="23" t="str">
        <f t="shared" si="9"/>
        <v>DEF-0196</v>
      </c>
      <c r="B202" s="47">
        <v>46276</v>
      </c>
      <c r="C202" s="39" t="s">
        <v>489</v>
      </c>
      <c r="D202" s="39" t="s">
        <v>160</v>
      </c>
      <c r="E202" s="39" t="s">
        <v>49</v>
      </c>
      <c r="F202" s="39" t="s">
        <v>478</v>
      </c>
      <c r="G202" s="20"/>
      <c r="H202" s="39" t="s">
        <v>50</v>
      </c>
      <c r="I202" s="44" t="s">
        <v>491</v>
      </c>
      <c r="J202" s="39" t="s">
        <v>44</v>
      </c>
      <c r="K202" s="39" t="s">
        <v>51</v>
      </c>
      <c r="L202" s="26"/>
      <c r="M202" s="39"/>
      <c r="N202" s="26"/>
      <c r="O202" s="20" t="s">
        <v>5</v>
      </c>
      <c r="P202" s="26"/>
      <c r="Q202" s="29">
        <f t="shared" ca="1" si="10"/>
        <v>8</v>
      </c>
      <c r="R202" s="23" t="str">
        <f t="shared" ca="1" si="11"/>
        <v/>
      </c>
      <c r="S202" s="17"/>
      <c r="T202" s="32"/>
    </row>
    <row r="203" spans="1:20">
      <c r="A203" s="23" t="str">
        <f t="shared" si="9"/>
        <v>DEF-0197</v>
      </c>
      <c r="B203" s="47">
        <v>46276</v>
      </c>
      <c r="C203" s="39" t="s">
        <v>489</v>
      </c>
      <c r="D203" s="39" t="s">
        <v>160</v>
      </c>
      <c r="E203" s="39" t="s">
        <v>49</v>
      </c>
      <c r="F203" s="39" t="s">
        <v>479</v>
      </c>
      <c r="G203" s="20"/>
      <c r="H203" s="39" t="s">
        <v>50</v>
      </c>
      <c r="I203" s="44" t="s">
        <v>492</v>
      </c>
      <c r="J203" s="39" t="s">
        <v>44</v>
      </c>
      <c r="K203" s="39" t="s">
        <v>51</v>
      </c>
      <c r="L203" s="26"/>
      <c r="M203" s="39"/>
      <c r="N203" s="26"/>
      <c r="O203" s="20" t="s">
        <v>5</v>
      </c>
      <c r="P203" s="26"/>
      <c r="Q203" s="29">
        <f t="shared" ca="1" si="10"/>
        <v>8</v>
      </c>
      <c r="R203" s="23" t="str">
        <f t="shared" ca="1" si="11"/>
        <v/>
      </c>
      <c r="S203" s="17"/>
      <c r="T203" s="32"/>
    </row>
    <row r="204" spans="1:20" ht="37.5">
      <c r="A204" s="23" t="str">
        <f t="shared" si="9"/>
        <v>DEF-0198</v>
      </c>
      <c r="B204" s="47">
        <v>46276</v>
      </c>
      <c r="C204" s="39" t="s">
        <v>489</v>
      </c>
      <c r="D204" s="39" t="s">
        <v>160</v>
      </c>
      <c r="E204" s="39" t="s">
        <v>49</v>
      </c>
      <c r="F204" s="39" t="s">
        <v>480</v>
      </c>
      <c r="G204" s="20"/>
      <c r="H204" s="39" t="s">
        <v>50</v>
      </c>
      <c r="I204" s="44" t="s">
        <v>493</v>
      </c>
      <c r="J204" s="39" t="s">
        <v>44</v>
      </c>
      <c r="K204" s="39" t="s">
        <v>51</v>
      </c>
      <c r="L204" s="26"/>
      <c r="M204" s="39"/>
      <c r="N204" s="26"/>
      <c r="O204" s="20" t="s">
        <v>5</v>
      </c>
      <c r="P204" s="26"/>
      <c r="Q204" s="29">
        <f t="shared" ca="1" si="10"/>
        <v>8</v>
      </c>
      <c r="R204" s="23" t="str">
        <f t="shared" ca="1" si="11"/>
        <v/>
      </c>
      <c r="S204" s="17"/>
      <c r="T204" s="32"/>
    </row>
    <row r="205" spans="1:20">
      <c r="A205" s="23" t="str">
        <f t="shared" si="9"/>
        <v>DEF-0199</v>
      </c>
      <c r="B205" s="47">
        <v>46276</v>
      </c>
      <c r="C205" s="39" t="s">
        <v>489</v>
      </c>
      <c r="D205" s="39" t="s">
        <v>160</v>
      </c>
      <c r="E205" s="39" t="s">
        <v>49</v>
      </c>
      <c r="F205" s="39" t="s">
        <v>481</v>
      </c>
      <c r="G205" s="20"/>
      <c r="H205" s="39" t="s">
        <v>50</v>
      </c>
      <c r="I205" s="44" t="s">
        <v>494</v>
      </c>
      <c r="J205" s="39" t="s">
        <v>44</v>
      </c>
      <c r="K205" s="39" t="s">
        <v>51</v>
      </c>
      <c r="L205" s="26"/>
      <c r="M205" s="39"/>
      <c r="N205" s="26"/>
      <c r="O205" s="20" t="s">
        <v>5</v>
      </c>
      <c r="P205" s="26"/>
      <c r="Q205" s="29">
        <f t="shared" ca="1" si="10"/>
        <v>8</v>
      </c>
      <c r="R205" s="23" t="str">
        <f t="shared" ca="1" si="11"/>
        <v/>
      </c>
      <c r="S205" s="17"/>
      <c r="T205" s="32"/>
    </row>
    <row r="206" spans="1:20">
      <c r="A206" s="23" t="str">
        <f t="shared" si="9"/>
        <v>DEF-0200</v>
      </c>
      <c r="B206" s="47">
        <v>46276</v>
      </c>
      <c r="C206" s="39" t="s">
        <v>489</v>
      </c>
      <c r="D206" s="39" t="s">
        <v>160</v>
      </c>
      <c r="E206" s="39" t="s">
        <v>49</v>
      </c>
      <c r="F206" s="39" t="s">
        <v>482</v>
      </c>
      <c r="G206" s="20"/>
      <c r="H206" s="39" t="s">
        <v>50</v>
      </c>
      <c r="I206" s="44" t="s">
        <v>494</v>
      </c>
      <c r="J206" s="39" t="s">
        <v>44</v>
      </c>
      <c r="K206" s="39" t="s">
        <v>51</v>
      </c>
      <c r="L206" s="26"/>
      <c r="M206" s="39"/>
      <c r="N206" s="26"/>
      <c r="O206" s="20" t="s">
        <v>5</v>
      </c>
      <c r="P206" s="26"/>
      <c r="Q206" s="29">
        <f t="shared" ca="1" si="10"/>
        <v>8</v>
      </c>
      <c r="R206" s="23" t="str">
        <f t="shared" ca="1" si="11"/>
        <v/>
      </c>
      <c r="S206" s="17"/>
      <c r="T206" s="32"/>
    </row>
    <row r="207" spans="1:20">
      <c r="A207" s="23" t="str">
        <f t="shared" si="9"/>
        <v>DEF-0201</v>
      </c>
      <c r="B207" s="47">
        <v>46276</v>
      </c>
      <c r="C207" s="39" t="s">
        <v>489</v>
      </c>
      <c r="D207" s="39" t="s">
        <v>160</v>
      </c>
      <c r="E207" s="39" t="s">
        <v>49</v>
      </c>
      <c r="F207" s="39" t="s">
        <v>483</v>
      </c>
      <c r="G207" s="20"/>
      <c r="H207" s="39" t="s">
        <v>50</v>
      </c>
      <c r="I207" s="44" t="s">
        <v>494</v>
      </c>
      <c r="J207" s="39" t="s">
        <v>44</v>
      </c>
      <c r="K207" s="39" t="s">
        <v>51</v>
      </c>
      <c r="L207" s="26"/>
      <c r="M207" s="39"/>
      <c r="N207" s="26"/>
      <c r="O207" s="20" t="s">
        <v>5</v>
      </c>
      <c r="P207" s="26"/>
      <c r="Q207" s="29">
        <f t="shared" ca="1" si="10"/>
        <v>8</v>
      </c>
      <c r="R207" s="23" t="str">
        <f t="shared" ca="1" si="11"/>
        <v/>
      </c>
      <c r="S207" s="17"/>
      <c r="T207" s="32"/>
    </row>
    <row r="208" spans="1:20" ht="25">
      <c r="A208" s="23" t="str">
        <f t="shared" si="9"/>
        <v>DEF-0202</v>
      </c>
      <c r="B208" s="47">
        <v>46276</v>
      </c>
      <c r="C208" s="39" t="s">
        <v>489</v>
      </c>
      <c r="D208" s="39" t="s">
        <v>160</v>
      </c>
      <c r="E208" s="39" t="s">
        <v>49</v>
      </c>
      <c r="F208" s="39" t="s">
        <v>480</v>
      </c>
      <c r="G208" s="20"/>
      <c r="H208" s="39" t="s">
        <v>50</v>
      </c>
      <c r="I208" s="44" t="s">
        <v>497</v>
      </c>
      <c r="J208" s="39" t="s">
        <v>44</v>
      </c>
      <c r="K208" s="39" t="s">
        <v>51</v>
      </c>
      <c r="L208" s="26"/>
      <c r="M208" s="39"/>
      <c r="N208" s="26"/>
      <c r="O208" s="20" t="s">
        <v>5</v>
      </c>
      <c r="P208" s="26"/>
      <c r="Q208" s="29">
        <f t="shared" ca="1" si="10"/>
        <v>8</v>
      </c>
      <c r="R208" s="23" t="str">
        <f t="shared" ca="1" si="11"/>
        <v/>
      </c>
      <c r="S208" s="17"/>
      <c r="T208" s="32"/>
    </row>
    <row r="209" spans="1:20" ht="37.5">
      <c r="A209" s="23" t="str">
        <f t="shared" si="9"/>
        <v>DEF-0203</v>
      </c>
      <c r="B209" s="47">
        <v>46276</v>
      </c>
      <c r="C209" s="39" t="s">
        <v>489</v>
      </c>
      <c r="D209" s="39" t="s">
        <v>160</v>
      </c>
      <c r="E209" s="39" t="s">
        <v>49</v>
      </c>
      <c r="F209" s="39" t="s">
        <v>484</v>
      </c>
      <c r="G209" s="20"/>
      <c r="H209" s="39" t="s">
        <v>50</v>
      </c>
      <c r="I209" s="44" t="s">
        <v>496</v>
      </c>
      <c r="J209" s="39" t="s">
        <v>44</v>
      </c>
      <c r="K209" s="39" t="s">
        <v>51</v>
      </c>
      <c r="L209" s="26"/>
      <c r="M209" s="39"/>
      <c r="N209" s="26"/>
      <c r="O209" s="20" t="s">
        <v>5</v>
      </c>
      <c r="P209" s="26"/>
      <c r="Q209" s="29">
        <f t="shared" ca="1" si="10"/>
        <v>8</v>
      </c>
      <c r="R209" s="23" t="str">
        <f t="shared" ca="1" si="11"/>
        <v/>
      </c>
      <c r="S209" s="17"/>
      <c r="T209" s="32"/>
    </row>
    <row r="210" spans="1:20" ht="37.5">
      <c r="A210" s="23" t="str">
        <f t="shared" si="9"/>
        <v>DEF-0204</v>
      </c>
      <c r="B210" s="47">
        <v>46276</v>
      </c>
      <c r="C210" s="39" t="s">
        <v>489</v>
      </c>
      <c r="D210" s="39" t="s">
        <v>160</v>
      </c>
      <c r="E210" s="39" t="s">
        <v>49</v>
      </c>
      <c r="F210" s="39" t="s">
        <v>485</v>
      </c>
      <c r="G210" s="20"/>
      <c r="H210" s="39" t="s">
        <v>50</v>
      </c>
      <c r="I210" s="44" t="s">
        <v>495</v>
      </c>
      <c r="J210" s="39" t="s">
        <v>44</v>
      </c>
      <c r="K210" s="39" t="s">
        <v>51</v>
      </c>
      <c r="L210" s="26"/>
      <c r="M210" s="39"/>
      <c r="N210" s="26"/>
      <c r="O210" s="20" t="s">
        <v>5</v>
      </c>
      <c r="P210" s="26"/>
      <c r="Q210" s="29">
        <f t="shared" ca="1" si="10"/>
        <v>8</v>
      </c>
      <c r="R210" s="23" t="str">
        <f t="shared" ca="1" si="11"/>
        <v/>
      </c>
      <c r="S210" s="17"/>
      <c r="T210" s="32"/>
    </row>
    <row r="211" spans="1:20" ht="50">
      <c r="A211" s="23" t="str">
        <f t="shared" si="9"/>
        <v>DEF-0205</v>
      </c>
      <c r="B211" s="47">
        <v>46276</v>
      </c>
      <c r="C211" s="39" t="s">
        <v>489</v>
      </c>
      <c r="D211" s="39" t="s">
        <v>160</v>
      </c>
      <c r="E211" s="39" t="s">
        <v>49</v>
      </c>
      <c r="F211" s="39" t="s">
        <v>486</v>
      </c>
      <c r="G211" s="20"/>
      <c r="H211" s="39" t="s">
        <v>50</v>
      </c>
      <c r="I211" s="44" t="s">
        <v>498</v>
      </c>
      <c r="J211" s="39" t="s">
        <v>44</v>
      </c>
      <c r="K211" s="39" t="s">
        <v>51</v>
      </c>
      <c r="L211" s="26"/>
      <c r="M211" s="39"/>
      <c r="N211" s="26"/>
      <c r="O211" s="20" t="s">
        <v>5</v>
      </c>
      <c r="P211" s="26"/>
      <c r="Q211" s="29">
        <f t="shared" ca="1" si="10"/>
        <v>8</v>
      </c>
      <c r="R211" s="23" t="str">
        <f t="shared" ca="1" si="11"/>
        <v/>
      </c>
      <c r="S211" s="17"/>
      <c r="T211" s="32"/>
    </row>
    <row r="212" spans="1:20" ht="112.5">
      <c r="A212" s="23" t="str">
        <f t="shared" si="9"/>
        <v>DEF-0206</v>
      </c>
      <c r="B212" s="47">
        <v>46276</v>
      </c>
      <c r="C212" s="39" t="s">
        <v>489</v>
      </c>
      <c r="D212" s="39" t="s">
        <v>160</v>
      </c>
      <c r="E212" s="39" t="s">
        <v>49</v>
      </c>
      <c r="F212" s="39" t="s">
        <v>487</v>
      </c>
      <c r="G212" s="20"/>
      <c r="H212" s="39" t="s">
        <v>50</v>
      </c>
      <c r="I212" s="44" t="s">
        <v>499</v>
      </c>
      <c r="J212" s="39" t="s">
        <v>44</v>
      </c>
      <c r="K212" s="39" t="s">
        <v>51</v>
      </c>
      <c r="L212" s="26"/>
      <c r="M212" s="39"/>
      <c r="N212" s="26"/>
      <c r="O212" s="20" t="s">
        <v>5</v>
      </c>
      <c r="P212" s="26"/>
      <c r="Q212" s="29">
        <f t="shared" ca="1" si="10"/>
        <v>8</v>
      </c>
      <c r="R212" s="23" t="str">
        <f t="shared" ca="1" si="11"/>
        <v/>
      </c>
      <c r="S212" s="17"/>
      <c r="T212" s="32"/>
    </row>
    <row r="213" spans="1:20" ht="75">
      <c r="A213" s="23" t="str">
        <f t="shared" si="9"/>
        <v>DEF-0207</v>
      </c>
      <c r="B213" s="47">
        <v>46276</v>
      </c>
      <c r="C213" s="39" t="s">
        <v>489</v>
      </c>
      <c r="D213" s="39" t="s">
        <v>160</v>
      </c>
      <c r="E213" s="39" t="s">
        <v>49</v>
      </c>
      <c r="F213" s="39" t="s">
        <v>488</v>
      </c>
      <c r="G213" s="20"/>
      <c r="H213" s="39" t="s">
        <v>50</v>
      </c>
      <c r="I213" s="44" t="s">
        <v>500</v>
      </c>
      <c r="J213" s="39" t="s">
        <v>44</v>
      </c>
      <c r="K213" s="39" t="s">
        <v>51</v>
      </c>
      <c r="L213" s="26"/>
      <c r="M213" s="39"/>
      <c r="N213" s="26"/>
      <c r="O213" s="20" t="s">
        <v>5</v>
      </c>
      <c r="P213" s="26"/>
      <c r="Q213" s="29">
        <f t="shared" ca="1" si="10"/>
        <v>8</v>
      </c>
      <c r="R213" s="23" t="str">
        <f t="shared" ca="1" si="11"/>
        <v/>
      </c>
      <c r="S213" s="17"/>
      <c r="T213" s="32"/>
    </row>
    <row r="214" spans="1:20" ht="39">
      <c r="A214" s="49" t="str">
        <f t="shared" si="9"/>
        <v>DEF-0208</v>
      </c>
      <c r="B214" s="50">
        <v>46278</v>
      </c>
      <c r="C214" s="51" t="s">
        <v>501</v>
      </c>
      <c r="D214" s="51" t="s">
        <v>160</v>
      </c>
      <c r="E214" s="51" t="s">
        <v>49</v>
      </c>
      <c r="F214" s="51" t="s">
        <v>502</v>
      </c>
      <c r="G214" s="52"/>
      <c r="H214" s="51" t="s">
        <v>50</v>
      </c>
      <c r="I214" s="53" t="s">
        <v>503</v>
      </c>
      <c r="J214" s="51" t="s">
        <v>44</v>
      </c>
      <c r="K214" s="51" t="s">
        <v>51</v>
      </c>
      <c r="L214" s="54"/>
      <c r="M214" s="51" t="s">
        <v>37</v>
      </c>
      <c r="N214" s="54"/>
      <c r="O214" s="52"/>
      <c r="P214" s="54"/>
      <c r="Q214" s="55">
        <f t="shared" ca="1" si="10"/>
        <v>6</v>
      </c>
      <c r="R214" s="49" t="str">
        <f t="shared" ca="1" si="11"/>
        <v/>
      </c>
      <c r="S214" s="56"/>
      <c r="T214" s="57"/>
    </row>
    <row r="215" spans="1:20" ht="52">
      <c r="A215" s="49" t="str">
        <f t="shared" si="9"/>
        <v>DEF-0209</v>
      </c>
      <c r="B215" s="50">
        <v>46278</v>
      </c>
      <c r="C215" s="51" t="s">
        <v>501</v>
      </c>
      <c r="D215" s="51" t="s">
        <v>160</v>
      </c>
      <c r="E215" s="51" t="s">
        <v>49</v>
      </c>
      <c r="F215" s="51" t="s">
        <v>504</v>
      </c>
      <c r="G215" s="52"/>
      <c r="H215" s="51" t="s">
        <v>50</v>
      </c>
      <c r="I215" s="53" t="s">
        <v>505</v>
      </c>
      <c r="J215" s="51" t="s">
        <v>44</v>
      </c>
      <c r="K215" s="51" t="s">
        <v>51</v>
      </c>
      <c r="L215" s="54"/>
      <c r="M215" s="51" t="s">
        <v>37</v>
      </c>
      <c r="N215" s="54"/>
      <c r="O215" s="52"/>
      <c r="P215" s="54"/>
      <c r="Q215" s="55">
        <f t="shared" ca="1" si="10"/>
        <v>6</v>
      </c>
      <c r="R215" s="49" t="str">
        <f t="shared" ca="1" si="11"/>
        <v/>
      </c>
      <c r="S215" s="56"/>
      <c r="T215" s="57"/>
    </row>
    <row r="216" spans="1:20">
      <c r="A216" s="49" t="str">
        <f t="shared" si="9"/>
        <v>DEF-0210</v>
      </c>
      <c r="B216" s="50">
        <v>46279</v>
      </c>
      <c r="C216" s="51" t="s">
        <v>501</v>
      </c>
      <c r="D216" s="51" t="s">
        <v>160</v>
      </c>
      <c r="E216" s="51" t="s">
        <v>49</v>
      </c>
      <c r="F216" s="51" t="s">
        <v>506</v>
      </c>
      <c r="G216" s="52"/>
      <c r="H216" s="51" t="s">
        <v>50</v>
      </c>
      <c r="I216" s="53" t="s">
        <v>507</v>
      </c>
      <c r="J216" s="51" t="s">
        <v>44</v>
      </c>
      <c r="K216" s="51" t="s">
        <v>51</v>
      </c>
      <c r="L216" s="54"/>
      <c r="M216" s="51" t="s">
        <v>37</v>
      </c>
      <c r="N216" s="54"/>
      <c r="O216" s="52"/>
      <c r="P216" s="54"/>
      <c r="Q216" s="55">
        <f t="shared" ca="1" si="10"/>
        <v>5</v>
      </c>
      <c r="R216" s="49" t="str">
        <f t="shared" ca="1" si="11"/>
        <v/>
      </c>
      <c r="S216" s="56"/>
      <c r="T216" s="57"/>
    </row>
    <row r="217" spans="1:20" ht="26">
      <c r="A217" s="49" t="str">
        <f t="shared" si="9"/>
        <v>DEF-0211</v>
      </c>
      <c r="B217" s="50">
        <v>46279</v>
      </c>
      <c r="C217" s="51" t="s">
        <v>501</v>
      </c>
      <c r="D217" s="51" t="s">
        <v>160</v>
      </c>
      <c r="E217" s="51" t="s">
        <v>49</v>
      </c>
      <c r="F217" s="51" t="s">
        <v>508</v>
      </c>
      <c r="G217" s="52"/>
      <c r="H217" s="51" t="s">
        <v>50</v>
      </c>
      <c r="I217" s="53" t="s">
        <v>509</v>
      </c>
      <c r="J217" s="51" t="s">
        <v>44</v>
      </c>
      <c r="K217" s="51" t="s">
        <v>51</v>
      </c>
      <c r="L217" s="54"/>
      <c r="M217" s="51" t="s">
        <v>37</v>
      </c>
      <c r="N217" s="54"/>
      <c r="O217" s="52"/>
      <c r="P217" s="54"/>
      <c r="Q217" s="55">
        <f t="shared" ca="1" si="10"/>
        <v>5</v>
      </c>
      <c r="R217" s="49" t="str">
        <f t="shared" ca="1" si="11"/>
        <v/>
      </c>
      <c r="S217" s="56"/>
      <c r="T217" s="57"/>
    </row>
    <row r="218" spans="1:20" ht="26">
      <c r="A218" s="49" t="str">
        <f t="shared" si="9"/>
        <v>DEF-0212</v>
      </c>
      <c r="B218" s="50">
        <v>46279</v>
      </c>
      <c r="C218" s="51" t="s">
        <v>501</v>
      </c>
      <c r="D218" s="51" t="s">
        <v>160</v>
      </c>
      <c r="E218" s="51" t="s">
        <v>49</v>
      </c>
      <c r="F218" s="51" t="s">
        <v>510</v>
      </c>
      <c r="G218" s="52"/>
      <c r="H218" s="51" t="s">
        <v>50</v>
      </c>
      <c r="I218" s="53" t="s">
        <v>511</v>
      </c>
      <c r="J218" s="51" t="s">
        <v>44</v>
      </c>
      <c r="K218" s="51" t="s">
        <v>51</v>
      </c>
      <c r="L218" s="54"/>
      <c r="M218" s="51" t="s">
        <v>40</v>
      </c>
      <c r="N218" s="54"/>
      <c r="O218" s="52"/>
      <c r="P218" s="54"/>
      <c r="Q218" s="55">
        <f t="shared" ca="1" si="10"/>
        <v>5</v>
      </c>
      <c r="R218" s="49" t="str">
        <f t="shared" ca="1" si="11"/>
        <v/>
      </c>
      <c r="S218" s="56"/>
      <c r="T218" s="57" t="s">
        <v>525</v>
      </c>
    </row>
    <row r="219" spans="1:20">
      <c r="A219" s="49" t="str">
        <f t="shared" si="9"/>
        <v>DEF-0213</v>
      </c>
      <c r="B219" s="50">
        <v>46279</v>
      </c>
      <c r="C219" s="51" t="s">
        <v>501</v>
      </c>
      <c r="D219" s="51" t="s">
        <v>160</v>
      </c>
      <c r="E219" s="51" t="s">
        <v>49</v>
      </c>
      <c r="F219" s="51" t="s">
        <v>512</v>
      </c>
      <c r="G219" s="52"/>
      <c r="H219" s="51" t="s">
        <v>50</v>
      </c>
      <c r="I219" s="53" t="s">
        <v>507</v>
      </c>
      <c r="J219" s="51" t="s">
        <v>44</v>
      </c>
      <c r="K219" s="51" t="s">
        <v>51</v>
      </c>
      <c r="L219" s="54"/>
      <c r="M219" s="51" t="s">
        <v>37</v>
      </c>
      <c r="N219" s="54"/>
      <c r="O219" s="52"/>
      <c r="P219" s="54"/>
      <c r="Q219" s="55">
        <f t="shared" ca="1" si="10"/>
        <v>5</v>
      </c>
      <c r="R219" s="49" t="str">
        <f t="shared" ca="1" si="11"/>
        <v/>
      </c>
      <c r="S219" s="56"/>
    </row>
    <row r="220" spans="1:20" ht="26">
      <c r="A220" s="49" t="str">
        <f t="shared" si="9"/>
        <v>DEF-0214</v>
      </c>
      <c r="B220" s="50">
        <v>46279</v>
      </c>
      <c r="C220" s="51" t="s">
        <v>501</v>
      </c>
      <c r="D220" s="51" t="s">
        <v>160</v>
      </c>
      <c r="E220" s="51" t="s">
        <v>49</v>
      </c>
      <c r="F220" s="51" t="s">
        <v>513</v>
      </c>
      <c r="G220" s="52"/>
      <c r="H220" s="51" t="s">
        <v>50</v>
      </c>
      <c r="I220" s="53" t="s">
        <v>514</v>
      </c>
      <c r="J220" s="51" t="s">
        <v>44</v>
      </c>
      <c r="K220" s="51" t="s">
        <v>51</v>
      </c>
      <c r="L220" s="54"/>
      <c r="M220" s="51" t="s">
        <v>37</v>
      </c>
      <c r="N220" s="54"/>
      <c r="O220" s="52"/>
      <c r="P220" s="54"/>
      <c r="Q220" s="55">
        <f t="shared" ca="1" si="10"/>
        <v>5</v>
      </c>
      <c r="R220" s="49" t="str">
        <f t="shared" ca="1" si="11"/>
        <v/>
      </c>
      <c r="S220" s="56"/>
      <c r="T220" s="57"/>
    </row>
    <row r="221" spans="1:20" ht="26">
      <c r="A221" s="49" t="str">
        <f t="shared" si="9"/>
        <v>DEF-0215</v>
      </c>
      <c r="B221" s="50">
        <v>46279</v>
      </c>
      <c r="C221" s="51" t="s">
        <v>501</v>
      </c>
      <c r="D221" s="51" t="s">
        <v>160</v>
      </c>
      <c r="E221" s="51" t="s">
        <v>49</v>
      </c>
      <c r="F221" s="51" t="s">
        <v>515</v>
      </c>
      <c r="G221" s="52"/>
      <c r="H221" s="51" t="s">
        <v>50</v>
      </c>
      <c r="I221" s="53" t="s">
        <v>516</v>
      </c>
      <c r="J221" s="51" t="s">
        <v>44</v>
      </c>
      <c r="K221" s="51" t="s">
        <v>51</v>
      </c>
      <c r="L221" s="54"/>
      <c r="M221" s="51" t="s">
        <v>37</v>
      </c>
      <c r="N221" s="54"/>
      <c r="O221" s="52"/>
      <c r="P221" s="54"/>
      <c r="Q221" s="55">
        <f t="shared" ca="1" si="10"/>
        <v>5</v>
      </c>
      <c r="R221" s="49" t="str">
        <f t="shared" ca="1" si="11"/>
        <v/>
      </c>
      <c r="S221" s="56"/>
      <c r="T221" s="57"/>
    </row>
    <row r="222" spans="1:20">
      <c r="A222" s="49" t="str">
        <f t="shared" si="9"/>
        <v>DEF-0216</v>
      </c>
      <c r="B222" s="50">
        <v>46279</v>
      </c>
      <c r="C222" s="51" t="s">
        <v>501</v>
      </c>
      <c r="D222" s="51" t="s">
        <v>160</v>
      </c>
      <c r="E222" s="51" t="s">
        <v>49</v>
      </c>
      <c r="F222" s="51" t="s">
        <v>517</v>
      </c>
      <c r="G222" s="52"/>
      <c r="H222" s="51" t="s">
        <v>50</v>
      </c>
      <c r="I222" s="53" t="s">
        <v>518</v>
      </c>
      <c r="J222" s="51" t="s">
        <v>44</v>
      </c>
      <c r="K222" s="51" t="s">
        <v>51</v>
      </c>
      <c r="L222" s="54"/>
      <c r="M222" s="51" t="s">
        <v>37</v>
      </c>
      <c r="N222" s="54"/>
      <c r="O222" s="52"/>
      <c r="P222" s="54"/>
      <c r="Q222" s="55">
        <f t="shared" ca="1" si="10"/>
        <v>5</v>
      </c>
      <c r="R222" s="49" t="str">
        <f t="shared" ca="1" si="11"/>
        <v/>
      </c>
      <c r="S222" s="56"/>
      <c r="T222" s="57"/>
    </row>
    <row r="223" spans="1:20" ht="39">
      <c r="A223" s="49" t="str">
        <f t="shared" si="9"/>
        <v>DEF-0217</v>
      </c>
      <c r="B223" s="50">
        <v>46279</v>
      </c>
      <c r="C223" s="51" t="s">
        <v>501</v>
      </c>
      <c r="D223" s="51" t="s">
        <v>160</v>
      </c>
      <c r="E223" s="51" t="s">
        <v>49</v>
      </c>
      <c r="F223" s="51" t="s">
        <v>519</v>
      </c>
      <c r="G223" s="52"/>
      <c r="H223" s="51" t="s">
        <v>50</v>
      </c>
      <c r="I223" s="53" t="s">
        <v>520</v>
      </c>
      <c r="J223" s="51" t="s">
        <v>44</v>
      </c>
      <c r="K223" s="51" t="s">
        <v>51</v>
      </c>
      <c r="L223" s="54"/>
      <c r="M223" s="51" t="s">
        <v>37</v>
      </c>
      <c r="N223" s="54"/>
      <c r="O223" s="52"/>
      <c r="P223" s="54"/>
      <c r="Q223" s="55">
        <f t="shared" ca="1" si="10"/>
        <v>5</v>
      </c>
      <c r="R223" s="49" t="str">
        <f t="shared" ca="1" si="11"/>
        <v/>
      </c>
      <c r="S223" s="56"/>
      <c r="T223" s="57"/>
    </row>
    <row r="224" spans="1:20" ht="26">
      <c r="A224" s="49" t="str">
        <f t="shared" si="9"/>
        <v>DEF-0218</v>
      </c>
      <c r="B224" s="50">
        <v>46278</v>
      </c>
      <c r="C224" s="51" t="s">
        <v>501</v>
      </c>
      <c r="D224" s="51" t="s">
        <v>160</v>
      </c>
      <c r="E224" s="51" t="s">
        <v>49</v>
      </c>
      <c r="F224" s="51" t="s">
        <v>521</v>
      </c>
      <c r="G224" s="52"/>
      <c r="H224" s="51" t="s">
        <v>50</v>
      </c>
      <c r="I224" s="53" t="s">
        <v>522</v>
      </c>
      <c r="J224" s="51" t="s">
        <v>44</v>
      </c>
      <c r="K224" s="51" t="s">
        <v>51</v>
      </c>
      <c r="L224" s="54"/>
      <c r="M224" s="51" t="s">
        <v>37</v>
      </c>
      <c r="N224" s="54"/>
      <c r="O224" s="52"/>
      <c r="P224" s="54"/>
      <c r="Q224" s="55">
        <f t="shared" ca="1" si="10"/>
        <v>6</v>
      </c>
      <c r="R224" s="49" t="str">
        <f t="shared" ca="1" si="11"/>
        <v/>
      </c>
      <c r="S224" s="56"/>
      <c r="T224" s="57"/>
    </row>
    <row r="225" spans="1:20" ht="26">
      <c r="A225" s="49" t="str">
        <f t="shared" si="9"/>
        <v>DEF-0219</v>
      </c>
      <c r="B225" s="50">
        <v>46278</v>
      </c>
      <c r="C225" s="51" t="s">
        <v>501</v>
      </c>
      <c r="D225" s="51" t="s">
        <v>160</v>
      </c>
      <c r="E225" s="51" t="s">
        <v>49</v>
      </c>
      <c r="F225" s="51" t="s">
        <v>523</v>
      </c>
      <c r="G225" s="52"/>
      <c r="H225" s="51" t="s">
        <v>50</v>
      </c>
      <c r="I225" s="53" t="s">
        <v>524</v>
      </c>
      <c r="J225" s="51" t="s">
        <v>44</v>
      </c>
      <c r="K225" s="51" t="s">
        <v>51</v>
      </c>
      <c r="L225" s="54"/>
      <c r="M225" s="51" t="s">
        <v>37</v>
      </c>
      <c r="N225" s="54"/>
      <c r="O225" s="52"/>
      <c r="P225" s="54"/>
      <c r="Q225" s="55">
        <f t="shared" ca="1" si="10"/>
        <v>6</v>
      </c>
      <c r="R225" s="49" t="str">
        <f t="shared" ca="1" si="11"/>
        <v/>
      </c>
      <c r="S225" s="56"/>
      <c r="T225" s="57"/>
    </row>
    <row r="226" spans="1:20">
      <c r="A226" s="23" t="s">
        <v>526</v>
      </c>
      <c r="B226" s="47">
        <v>46280</v>
      </c>
      <c r="C226" s="39" t="s">
        <v>527</v>
      </c>
      <c r="D226" s="39" t="s">
        <v>160</v>
      </c>
      <c r="E226" s="39" t="s">
        <v>49</v>
      </c>
      <c r="F226" s="39" t="s">
        <v>528</v>
      </c>
      <c r="G226" s="20"/>
      <c r="H226" s="39" t="s">
        <v>50</v>
      </c>
      <c r="I226" s="44" t="s">
        <v>529</v>
      </c>
      <c r="J226" s="39" t="s">
        <v>44</v>
      </c>
      <c r="K226" s="39" t="s">
        <v>51</v>
      </c>
      <c r="L226" s="26"/>
      <c r="M226" s="39" t="s">
        <v>46</v>
      </c>
      <c r="N226" s="26">
        <v>46280</v>
      </c>
      <c r="O226" s="20" t="s">
        <v>5</v>
      </c>
      <c r="P226" s="26">
        <v>46280</v>
      </c>
      <c r="Q226" s="29"/>
      <c r="R226" s="23"/>
      <c r="S226" s="17"/>
      <c r="T226" s="32"/>
    </row>
    <row r="227" spans="1:20">
      <c r="A227" s="23" t="s">
        <v>530</v>
      </c>
      <c r="B227" s="47">
        <v>46280</v>
      </c>
      <c r="C227" s="39" t="s">
        <v>527</v>
      </c>
      <c r="D227" s="39" t="s">
        <v>160</v>
      </c>
      <c r="E227" s="39" t="s">
        <v>49</v>
      </c>
      <c r="F227" s="39" t="s">
        <v>528</v>
      </c>
      <c r="G227" s="20"/>
      <c r="H227" s="39" t="s">
        <v>50</v>
      </c>
      <c r="I227" s="44" t="s">
        <v>531</v>
      </c>
      <c r="J227" s="39" t="s">
        <v>44</v>
      </c>
      <c r="K227" s="39" t="s">
        <v>51</v>
      </c>
      <c r="L227" s="26"/>
      <c r="M227" s="39" t="s">
        <v>46</v>
      </c>
      <c r="N227" s="26">
        <v>46280</v>
      </c>
      <c r="O227" s="20" t="s">
        <v>5</v>
      </c>
      <c r="P227" s="26">
        <v>46280</v>
      </c>
      <c r="Q227" s="29"/>
      <c r="R227" s="23"/>
      <c r="S227" s="17"/>
      <c r="T227" s="32"/>
    </row>
    <row r="228" spans="1:20">
      <c r="A228" s="23" t="s">
        <v>532</v>
      </c>
      <c r="B228" s="47">
        <v>46280</v>
      </c>
      <c r="C228" s="39" t="s">
        <v>527</v>
      </c>
      <c r="D228" s="39" t="s">
        <v>160</v>
      </c>
      <c r="E228" s="39" t="s">
        <v>49</v>
      </c>
      <c r="F228" s="39" t="s">
        <v>533</v>
      </c>
      <c r="G228" s="20"/>
      <c r="H228" s="39" t="s">
        <v>50</v>
      </c>
      <c r="I228" s="44" t="s">
        <v>534</v>
      </c>
      <c r="J228" s="39" t="s">
        <v>44</v>
      </c>
      <c r="K228" s="39" t="s">
        <v>51</v>
      </c>
      <c r="L228" s="26"/>
      <c r="M228" s="39" t="s">
        <v>46</v>
      </c>
      <c r="N228" s="26">
        <v>46280</v>
      </c>
      <c r="O228" s="20" t="s">
        <v>5</v>
      </c>
      <c r="P228" s="26">
        <v>46280</v>
      </c>
      <c r="Q228" s="29"/>
      <c r="R228" s="23"/>
      <c r="S228" s="17"/>
      <c r="T228" s="32"/>
    </row>
    <row r="229" spans="1:20">
      <c r="A229" s="23" t="s">
        <v>535</v>
      </c>
      <c r="B229" s="47">
        <v>46278</v>
      </c>
      <c r="C229" s="39" t="s">
        <v>501</v>
      </c>
      <c r="D229" s="39" t="s">
        <v>160</v>
      </c>
      <c r="E229" s="39" t="s">
        <v>49</v>
      </c>
      <c r="F229" s="39" t="s">
        <v>536</v>
      </c>
      <c r="G229" s="20"/>
      <c r="H229" s="39" t="s">
        <v>56</v>
      </c>
      <c r="I229" s="44" t="s">
        <v>537</v>
      </c>
      <c r="J229" s="39" t="s">
        <v>44</v>
      </c>
      <c r="K229" s="39" t="s">
        <v>51</v>
      </c>
      <c r="L229" s="26"/>
      <c r="M229" s="39" t="s">
        <v>37</v>
      </c>
      <c r="N229" s="26"/>
      <c r="O229" s="20"/>
      <c r="P229" s="26"/>
      <c r="Q229" s="29"/>
      <c r="R229" s="23"/>
      <c r="S229" s="17"/>
      <c r="T229" s="32"/>
    </row>
    <row r="230" spans="1:20">
      <c r="A230" s="23" t="str">
        <f t="shared" si="9"/>
        <v/>
      </c>
      <c r="B230" s="47">
        <v>46292</v>
      </c>
      <c r="C230" s="39" t="inlineStr">
        <is>
          <t xml:space="preserve">Drain Tank 1 (29151)</t>
        </is>
      </c>
      <c r="D230" s="39" t="inlineStr">
        <is>
          <t xml:space="preserve">DT-29151</t>
        </is>
      </c>
      <c r="E230" s="39" t="inlineStr">
        <is>
          <t xml:space="preserve">Electrical</t>
        </is>
      </c>
      <c r="F230" s="39" t="inlineStr">
        <is>
          <t xml:space="preserve">TANK1-1-PWK-1</t>
        </is>
      </c>
      <c r="G230" s="20" t="inlineStr">
        <is>
          <t xml:space="preserve">YCQE-PS-048 (2026-09-27)</t>
        </is>
      </c>
      <c r="H230" s="39" t="inlineStr">
        <is>
          <t xml:space="preserve">Installation</t>
        </is>
      </c>
      <c r="I230" s="44" t="inlineStr">
        <is>
          <t xml:space="preserve">Needs tray grommet where cable exits tray.</t>
        </is>
      </c>
      <c r="J230" s="39" t="inlineStr">
        <is>
          <t xml:space="preserve">Medium</t>
        </is>
      </c>
      <c r="K230" s="39" t="inlineStr">
        <is>
          <t xml:space="preserve">Construction</t>
        </is>
      </c>
      <c r="L230" s="26"/>
      <c r="M230" s="39" t="inlineStr">
        <is>
          <t xml:space="preserve">Open</t>
        </is>
      </c>
      <c r="N230" s="26"/>
      <c r="O230" s="20"/>
      <c r="P230" s="26"/>
      <c r="Q230" s="29" t="str">
        <f t="shared" ca="1" si="10"/>
        <v/>
      </c>
      <c r="R230" s="23" t="str">
        <f t="shared" ca="1" si="11"/>
        <v/>
      </c>
      <c r="S230" s="17"/>
      <c r="T230" s="32" t="inlineStr">
        <is>
          <t xml:space="preserve">Punched by Murtesa / Liam. Punchlist category C. Tank 1 tag (not in cable schedule); -1 suffix added to match TANK2 format.</t>
        </is>
      </c>
    </row>
    <row r="231" spans="1:20">
      <c r="A231" s="23" t="str">
        <f t="shared" si="9"/>
        <v/>
      </c>
      <c r="B231" s="47">
        <v>46292</v>
      </c>
      <c r="C231" s="39" t="inlineStr">
        <is>
          <t xml:space="preserve">Drain Tank 1 (29151)</t>
        </is>
      </c>
      <c r="D231" s="39" t="inlineStr">
        <is>
          <t xml:space="preserve">DT-29151</t>
        </is>
      </c>
      <c r="E231" s="39" t="inlineStr">
        <is>
          <t xml:space="preserve">Electrical</t>
        </is>
      </c>
      <c r="F231" s="39" t="inlineStr">
        <is>
          <t xml:space="preserve">29151-ET-HC4102-1-PWK-1</t>
        </is>
      </c>
      <c r="G231" s="20" t="inlineStr">
        <is>
          <t xml:space="preserve">YCQE-PS-048 (2026-09-27)</t>
        </is>
      </c>
      <c r="H231" s="39" t="inlineStr">
        <is>
          <t xml:space="preserve">Installation</t>
        </is>
      </c>
      <c r="I231" s="44" t="inlineStr">
        <is>
          <t xml:space="preserve">Missing GRL on power cable.</t>
        </is>
      </c>
      <c r="J231" s="39" t="inlineStr">
        <is>
          <t xml:space="preserve">Medium</t>
        </is>
      </c>
      <c r="K231" s="39" t="inlineStr">
        <is>
          <t xml:space="preserve">Construction</t>
        </is>
      </c>
      <c r="L231" s="26"/>
      <c r="M231" s="39" t="inlineStr">
        <is>
          <t xml:space="preserve">Open</t>
        </is>
      </c>
      <c r="N231" s="26"/>
      <c r="O231" s="20"/>
      <c r="P231" s="26"/>
      <c r="Q231" s="29" t="str">
        <f t="shared" ca="1" si="10"/>
        <v/>
      </c>
      <c r="R231" s="23" t="str">
        <f t="shared" ca="1" si="11"/>
        <v/>
      </c>
      <c r="S231" s="17"/>
      <c r="T231" s="32" t="inlineStr">
        <is>
          <t xml:space="preserve">Punched by Murtesa / Liam. Punchlist tag expanded per 29151-65H-102-01 (29151-HTP-001).</t>
        </is>
      </c>
    </row>
    <row r="232" spans="1:20">
      <c r="A232" s="23" t="str">
        <f t="shared" si="9"/>
        <v/>
      </c>
      <c r="B232" s="47">
        <v>46292</v>
      </c>
      <c r="C232" s="39" t="inlineStr">
        <is>
          <t xml:space="preserve">Drain Tank 1 (29151)</t>
        </is>
      </c>
      <c r="D232" s="39" t="inlineStr">
        <is>
          <t xml:space="preserve">DT-29151</t>
        </is>
      </c>
      <c r="E232" s="39" t="inlineStr">
        <is>
          <t xml:space="preserve">Electrical</t>
        </is>
      </c>
      <c r="F232" s="39" t="inlineStr">
        <is>
          <t xml:space="preserve">29151-ET-FG4102-1-PWK-1</t>
        </is>
      </c>
      <c r="G232" s="20" t="inlineStr">
        <is>
          <t xml:space="preserve">YCQE-PS-048 (2026-09-27)</t>
        </is>
      </c>
      <c r="H232" s="39" t="inlineStr">
        <is>
          <t xml:space="preserve">Installation</t>
        </is>
      </c>
      <c r="I232" s="44" t="inlineStr">
        <is>
          <t xml:space="preserve">Needs tray grommet where cable exits tray.</t>
        </is>
      </c>
      <c r="J232" s="39" t="inlineStr">
        <is>
          <t xml:space="preserve">Medium</t>
        </is>
      </c>
      <c r="K232" s="39" t="inlineStr">
        <is>
          <t xml:space="preserve">Construction</t>
        </is>
      </c>
      <c r="L232" s="26"/>
      <c r="M232" s="39" t="inlineStr">
        <is>
          <t xml:space="preserve">Open</t>
        </is>
      </c>
      <c r="N232" s="26"/>
      <c r="O232" s="20"/>
      <c r="P232" s="26"/>
      <c r="Q232" s="29" t="str">
        <f t="shared" ca="1" si="10"/>
        <v/>
      </c>
      <c r="R232" s="23" t="str">
        <f t="shared" ca="1" si="11"/>
        <v/>
      </c>
      <c r="S232" s="17"/>
      <c r="T232" s="32" t="inlineStr">
        <is>
          <t xml:space="preserve">Punched by Murtesa / Liam. Punchlist tag expanded per 29151-65H-102-01 (29151-HTP-001).</t>
        </is>
      </c>
    </row>
    <row r="233" spans="1:20">
      <c r="A233" s="23" t="str">
        <f t="shared" si="9"/>
        <v/>
      </c>
      <c r="B233" s="47">
        <v>46292</v>
      </c>
      <c r="C233" s="39" t="inlineStr">
        <is>
          <t xml:space="preserve">Drain Tank 1 (29151)</t>
        </is>
      </c>
      <c r="D233" s="39" t="inlineStr">
        <is>
          <t xml:space="preserve">DT-29151</t>
        </is>
      </c>
      <c r="E233" s="39" t="inlineStr">
        <is>
          <t xml:space="preserve">Electrical</t>
        </is>
      </c>
      <c r="F233" s="39" t="inlineStr">
        <is>
          <t xml:space="preserve">29151-ET-DR4100-1-PWK-1</t>
        </is>
      </c>
      <c r="G233" s="20" t="inlineStr">
        <is>
          <t xml:space="preserve">YCQE-PS-048 (2026-09-27)</t>
        </is>
      </c>
      <c r="H233" s="39" t="inlineStr">
        <is>
          <t xml:space="preserve">Installation</t>
        </is>
      </c>
      <c r="I233" s="44" t="inlineStr">
        <is>
          <t xml:space="preserve">Incorrect heat trace installed; should be 43 W/m HT.</t>
        </is>
      </c>
      <c r="J233" s="39" t="inlineStr">
        <is>
          <t xml:space="preserve">Medium</t>
        </is>
      </c>
      <c r="K233" s="39" t="inlineStr">
        <is>
          <t xml:space="preserve">Construction</t>
        </is>
      </c>
      <c r="L233" s="26"/>
      <c r="M233" s="39" t="inlineStr">
        <is>
          <t xml:space="preserve">Open</t>
        </is>
      </c>
      <c r="N233" s="26"/>
      <c r="O233" s="20"/>
      <c r="P233" s="26"/>
      <c r="Q233" s="29" t="str">
        <f t="shared" ca="1" si="10"/>
        <v/>
      </c>
      <c r="R233" s="23" t="str">
        <f t="shared" ca="1" si="11"/>
        <v/>
      </c>
      <c r="S233" s="17"/>
      <c r="T233" s="32" t="inlineStr">
        <is>
          <t xml:space="preserve">Punched by Murtesa / Liam. Punchlist tag expanded per 29151-65H-102-01 (29151-HTP-001).</t>
        </is>
      </c>
    </row>
    <row r="234" spans="1:20">
      <c r="A234" s="23" t="str">
        <f t="shared" si="9"/>
        <v/>
      </c>
      <c r="B234" s="47">
        <v>46292</v>
      </c>
      <c r="C234" s="39" t="inlineStr">
        <is>
          <t xml:space="preserve">Drain Tank 1 (29151)</t>
        </is>
      </c>
      <c r="D234" s="39" t="inlineStr">
        <is>
          <t xml:space="preserve">DT-29151</t>
        </is>
      </c>
      <c r="E234" s="39" t="inlineStr">
        <is>
          <t xml:space="preserve">Electrical</t>
        </is>
      </c>
      <c r="F234" s="39" t="inlineStr">
        <is>
          <t xml:space="preserve">29203-ET-HC5008-1-PWK-1</t>
        </is>
      </c>
      <c r="G234" s="20" t="inlineStr">
        <is>
          <t xml:space="preserve">YCQE-PS-048 (2026-09-27)</t>
        </is>
      </c>
      <c r="H234" s="39" t="inlineStr">
        <is>
          <t xml:space="preserve">Installation</t>
        </is>
      </c>
      <c r="I234" s="44" t="inlineStr">
        <is>
          <t xml:space="preserve">Incorrect cable installed; should be #6 AWG.</t>
        </is>
      </c>
      <c r="J234" s="39" t="inlineStr">
        <is>
          <t xml:space="preserve">Medium</t>
        </is>
      </c>
      <c r="K234" s="39" t="inlineStr">
        <is>
          <t xml:space="preserve">Construction</t>
        </is>
      </c>
      <c r="L234" s="26"/>
      <c r="M234" s="39" t="inlineStr">
        <is>
          <t xml:space="preserve">Open</t>
        </is>
      </c>
      <c r="N234" s="26"/>
      <c r="O234" s="20"/>
      <c r="P234" s="26"/>
      <c r="Q234" s="29" t="str">
        <f t="shared" ca="1" si="10"/>
        <v/>
      </c>
      <c r="R234" s="23" t="str">
        <f t="shared" ca="1" si="11"/>
        <v/>
      </c>
      <c r="S234" s="17"/>
      <c r="T234" s="32" t="inlineStr">
        <is>
          <t xml:space="preserve">Punched by Murtesa / Liam. Punchlist tag expanded per 29151-65H-102-01 (29151-HTP-001).</t>
        </is>
      </c>
    </row>
    <row r="235" spans="1:20">
      <c r="A235" s="23" t="str">
        <f t="shared" si="9"/>
        <v/>
      </c>
      <c r="B235" s="47">
        <v>46292</v>
      </c>
      <c r="C235" s="39" t="inlineStr">
        <is>
          <t xml:space="preserve">Drain Tank 1 (29151)</t>
        </is>
      </c>
      <c r="D235" s="39" t="inlineStr">
        <is>
          <t xml:space="preserve">DT-29151</t>
        </is>
      </c>
      <c r="E235" s="39" t="inlineStr">
        <is>
          <t xml:space="preserve">Electrical</t>
        </is>
      </c>
      <c r="F235" s="39" t="inlineStr">
        <is>
          <t xml:space="preserve">29203-ET-PE5002-2-PWK-1 / 29203-ET-PE5002-2-R-1</t>
        </is>
      </c>
      <c r="G235" s="20" t="inlineStr">
        <is>
          <t xml:space="preserve">YCQE-PS-048 (2026-09-27)</t>
        </is>
      </c>
      <c r="H235" s="39" t="inlineStr">
        <is>
          <t xml:space="preserve">Installation</t>
        </is>
      </c>
      <c r="I235" s="44" t="inlineStr">
        <is>
          <t xml:space="preserve">Incorrect location of RTD according to ISO.</t>
        </is>
      </c>
      <c r="J235" s="39" t="inlineStr">
        <is>
          <t xml:space="preserve">Medium</t>
        </is>
      </c>
      <c r="K235" s="39" t="inlineStr">
        <is>
          <t xml:space="preserve">Construction</t>
        </is>
      </c>
      <c r="L235" s="26"/>
      <c r="M235" s="39" t="inlineStr">
        <is>
          <t xml:space="preserve">Open</t>
        </is>
      </c>
      <c r="N235" s="26"/>
      <c r="O235" s="20"/>
      <c r="P235" s="26"/>
      <c r="Q235" s="29" t="str">
        <f t="shared" ca="1" si="10"/>
        <v/>
      </c>
      <c r="R235" s="23" t="str">
        <f t="shared" ca="1" si="11"/>
        <v/>
      </c>
      <c r="S235" s="17"/>
      <c r="T235" s="32" t="inlineStr">
        <is>
          <t xml:space="preserve">Punched by Murtesa / Liam. Punchlist tag expanded per 29151-65H-102-01 (29151-HTP-001).</t>
        </is>
      </c>
    </row>
    <row r="236" spans="1:20">
      <c r="A236" s="23" t="str">
        <f t="shared" si="9"/>
        <v/>
      </c>
      <c r="B236" s="47">
        <v>46292</v>
      </c>
      <c r="C236" s="39" t="inlineStr">
        <is>
          <t xml:space="preserve">Drain Tank 1 (29151)</t>
        </is>
      </c>
      <c r="D236" s="39" t="inlineStr">
        <is>
          <t xml:space="preserve">DT-29151</t>
        </is>
      </c>
      <c r="E236" s="39" t="inlineStr">
        <is>
          <t xml:space="preserve">Electrical</t>
        </is>
      </c>
      <c r="F236" s="39" t="inlineStr">
        <is>
          <t xml:space="preserve">TANK1-5-PWK-1</t>
        </is>
      </c>
      <c r="G236" s="20" t="inlineStr">
        <is>
          <t xml:space="preserve">YCQE-PS-048 (2026-09-27)</t>
        </is>
      </c>
      <c r="H236" s="39" t="inlineStr">
        <is>
          <t xml:space="preserve">Installation</t>
        </is>
      </c>
      <c r="I236" s="44" t="inlineStr">
        <is>
          <t xml:space="preserve">Missing HT termination kit.</t>
        </is>
      </c>
      <c r="J236" s="39" t="inlineStr">
        <is>
          <t xml:space="preserve">Medium</t>
        </is>
      </c>
      <c r="K236" s="39" t="inlineStr">
        <is>
          <t xml:space="preserve">Construction</t>
        </is>
      </c>
      <c r="L236" s="26"/>
      <c r="M236" s="39" t="inlineStr">
        <is>
          <t xml:space="preserve">Open</t>
        </is>
      </c>
      <c r="N236" s="26"/>
      <c r="O236" s="20"/>
      <c r="P236" s="26"/>
      <c r="Q236" s="29" t="str">
        <f t="shared" ca="1" si="10"/>
        <v/>
      </c>
      <c r="R236" s="23" t="str">
        <f t="shared" ca="1" si="11"/>
        <v/>
      </c>
      <c r="S236" s="17"/>
      <c r="T236" s="32" t="inlineStr">
        <is>
          <t xml:space="preserve">Punched by Murtesa / Liam. Tank 1 tag (not in cable schedule); -1 suffix added to match TANK2 format.</t>
        </is>
      </c>
    </row>
    <row r="237" spans="1:20">
      <c r="A237" s="23" t="str">
        <f t="shared" si="9"/>
        <v/>
      </c>
      <c r="B237" s="47">
        <v>46292</v>
      </c>
      <c r="C237" s="39" t="inlineStr">
        <is>
          <t xml:space="preserve">Drain Tank 1 (29151)</t>
        </is>
      </c>
      <c r="D237" s="39" t="inlineStr">
        <is>
          <t xml:space="preserve">DT-29151</t>
        </is>
      </c>
      <c r="E237" s="39" t="inlineStr">
        <is>
          <t xml:space="preserve">Electrical</t>
        </is>
      </c>
      <c r="F237" s="39" t="inlineStr">
        <is>
          <t xml:space="preserve">29151-ET-MT0002-1-PWK-3</t>
        </is>
      </c>
      <c r="G237" s="20" t="inlineStr">
        <is>
          <t xml:space="preserve">YCQE-PS-048 (2026-09-27)</t>
        </is>
      </c>
      <c r="H237" s="39" t="inlineStr">
        <is>
          <t xml:space="preserve">Installation</t>
        </is>
      </c>
      <c r="I237" s="44" t="inlineStr">
        <is>
          <t xml:space="preserve">Missing GRL on PWK-3; PWK under vessel needs support.</t>
        </is>
      </c>
      <c r="J237" s="39" t="inlineStr">
        <is>
          <t xml:space="preserve">Medium</t>
        </is>
      </c>
      <c r="K237" s="39" t="inlineStr">
        <is>
          <t xml:space="preserve">Construction</t>
        </is>
      </c>
      <c r="L237" s="26"/>
      <c r="M237" s="39" t="inlineStr">
        <is>
          <t xml:space="preserve">Open</t>
        </is>
      </c>
      <c r="N237" s="26"/>
      <c r="O237" s="20"/>
      <c r="P237" s="26"/>
      <c r="Q237" s="29" t="str">
        <f t="shared" ca="1" si="10"/>
        <v/>
      </c>
      <c r="R237" s="23" t="str">
        <f t="shared" ca="1" si="11"/>
        <v/>
      </c>
      <c r="S237" s="17"/>
      <c r="T237" s="32" t="inlineStr">
        <is>
          <t xml:space="preserve">Punched by Murtesa / Liam. Punchlist tag expanded per 29151-65H-102-01 (29151-HTP-001).</t>
        </is>
      </c>
    </row>
    <row r="238" spans="1:20">
      <c r="A238" s="23" t="str">
        <f t="shared" si="9"/>
        <v/>
      </c>
      <c r="B238" s="47">
        <v>46292</v>
      </c>
      <c r="C238" s="39" t="inlineStr">
        <is>
          <t xml:space="preserve">Drain Tank 1 (29151)</t>
        </is>
      </c>
      <c r="D238" s="39" t="inlineStr">
        <is>
          <t xml:space="preserve">DT-29151</t>
        </is>
      </c>
      <c r="E238" s="39" t="inlineStr">
        <is>
          <t xml:space="preserve">Electrical</t>
        </is>
      </c>
      <c r="F238" s="39" t="inlineStr">
        <is>
          <t xml:space="preserve">29151-ET-PG4100-1-PWK-1</t>
        </is>
      </c>
      <c r="G238" s="20" t="inlineStr">
        <is>
          <t xml:space="preserve">YCQE-PS-048 (2026-09-27)</t>
        </is>
      </c>
      <c r="H238" s="39" t="inlineStr">
        <is>
          <t xml:space="preserve">Installation</t>
        </is>
      </c>
      <c r="I238" s="44" t="inlineStr">
        <is>
          <t xml:space="preserve">Missing GRL on power cable.</t>
        </is>
      </c>
      <c r="J238" s="39" t="inlineStr">
        <is>
          <t xml:space="preserve">Medium</t>
        </is>
      </c>
      <c r="K238" s="39" t="inlineStr">
        <is>
          <t xml:space="preserve">Construction</t>
        </is>
      </c>
      <c r="L238" s="26"/>
      <c r="M238" s="39" t="inlineStr">
        <is>
          <t xml:space="preserve">Open</t>
        </is>
      </c>
      <c r="N238" s="26"/>
      <c r="O238" s="20"/>
      <c r="P238" s="26"/>
      <c r="Q238" s="29" t="str">
        <f t="shared" ca="1" si="10"/>
        <v/>
      </c>
      <c r="R238" s="23" t="str">
        <f t="shared" ca="1" si="11"/>
        <v/>
      </c>
      <c r="S238" s="17"/>
      <c r="T238" s="32" t="inlineStr">
        <is>
          <t xml:space="preserve">Punched by Murtesa / Liam. Punchlist tag expanded per 29151-65H-102-01 (29151-HTP-001).</t>
        </is>
      </c>
    </row>
    <row r="239" spans="1:20">
      <c r="A239" s="23" t="str">
        <f t="shared" si="9"/>
        <v/>
      </c>
      <c r="B239" s="47">
        <v>46292</v>
      </c>
      <c r="C239" s="39" t="inlineStr">
        <is>
          <t xml:space="preserve">Drain Tank 1 (29151)</t>
        </is>
      </c>
      <c r="D239" s="39" t="inlineStr">
        <is>
          <t xml:space="preserve">DT-29151</t>
        </is>
      </c>
      <c r="E239" s="39" t="inlineStr">
        <is>
          <t xml:space="preserve">Electrical</t>
        </is>
      </c>
      <c r="F239" s="39" t="inlineStr">
        <is>
          <t xml:space="preserve">TANK1-3-R-1</t>
        </is>
      </c>
      <c r="G239" s="20" t="inlineStr">
        <is>
          <t xml:space="preserve">YCQE-PS-048 (2026-09-27)</t>
        </is>
      </c>
      <c r="H239" s="39" t="inlineStr">
        <is>
          <t xml:space="preserve">Installation</t>
        </is>
      </c>
      <c r="I239" s="44" t="inlineStr">
        <is>
          <t xml:space="preserve">Boot too short in device.</t>
        </is>
      </c>
      <c r="J239" s="39" t="inlineStr">
        <is>
          <t xml:space="preserve">Medium</t>
        </is>
      </c>
      <c r="K239" s="39" t="inlineStr">
        <is>
          <t xml:space="preserve">Construction</t>
        </is>
      </c>
      <c r="L239" s="26"/>
      <c r="M239" s="39" t="inlineStr">
        <is>
          <t xml:space="preserve">Open</t>
        </is>
      </c>
      <c r="N239" s="26"/>
      <c r="O239" s="20"/>
      <c r="P239" s="26"/>
      <c r="Q239" s="29" t="str">
        <f t="shared" ca="1" si="10"/>
        <v/>
      </c>
      <c r="R239" s="23" t="str">
        <f t="shared" ca="1" si="11"/>
        <v/>
      </c>
      <c r="S239" s="17"/>
      <c r="T239" s="32" t="inlineStr">
        <is>
          <t xml:space="preserve">Punched by Murtesa / Liam. Tank 1 tag (not in cable schedule); as written.</t>
        </is>
      </c>
    </row>
    <row r="240" spans="1:20">
      <c r="A240" s="23" t="str">
        <f t="shared" si="9"/>
        <v/>
      </c>
      <c r="B240" s="47">
        <v>46294</v>
      </c>
      <c r="C240" s="39" t="inlineStr">
        <is>
          <t xml:space="preserve">29103-WPM-101/102</t>
        </is>
      </c>
      <c r="D240" s="39" t="inlineStr">
        <is>
          <t xml:space="preserve">K1B-600V-EHT</t>
        </is>
      </c>
      <c r="E240" s="39" t="inlineStr">
        <is>
          <t xml:space="preserve">Electrical</t>
        </is>
      </c>
      <c r="F240" s="39" t="inlineStr">
        <is>
          <t xml:space="preserve">29103-ET-PE1102-1-PWK-1</t>
        </is>
      </c>
      <c r="G240" s="20" t="inlineStr">
        <is>
          <t xml:space="preserve">YCQE-PS-048 Internal (2026-09-29); YCQE-E&amp;I-113</t>
        </is>
      </c>
      <c r="H240" s="39" t="inlineStr">
        <is>
          <t xml:space="preserve">Installation</t>
        </is>
      </c>
      <c r="I240" s="44" t="inlineStr">
        <is>
          <t xml:space="preserve">No core markers / cable tags; not terminated; no GRL on HT connector.</t>
        </is>
      </c>
      <c r="J240" s="39" t="inlineStr">
        <is>
          <t xml:space="preserve">Medium</t>
        </is>
      </c>
      <c r="K240" s="39" t="inlineStr">
        <is>
          <t xml:space="preserve">Construction</t>
        </is>
      </c>
      <c r="L240" s="26"/>
      <c r="M240" s="39" t="inlineStr">
        <is>
          <t xml:space="preserve">Open</t>
        </is>
      </c>
      <c r="N240" s="26"/>
      <c r="O240" s="20"/>
      <c r="P240" s="26"/>
      <c r="Q240" s="29" t="str">
        <f t="shared" ca="1" si="10"/>
        <v/>
      </c>
      <c r="R240" s="23" t="str">
        <f t="shared" ca="1" si="11"/>
        <v/>
      </c>
      <c r="S240" s="17"/>
      <c r="T240" s="32" t="inlineStr">
        <is>
          <t xml:space="preserve">Punched by Murtesa / Liam. Combined: punchlist item + small power ITR remarks.</t>
        </is>
      </c>
    </row>
    <row r="241" spans="1:20">
      <c r="A241" s="23" t="str">
        <f t="shared" si="9"/>
        <v/>
      </c>
      <c r="B241" s="47">
        <v>46294</v>
      </c>
      <c r="C241" s="39" t="inlineStr">
        <is>
          <t xml:space="preserve">29103-WPM-101/102</t>
        </is>
      </c>
      <c r="D241" s="39" t="inlineStr">
        <is>
          <t xml:space="preserve">K1B-600V-EHT</t>
        </is>
      </c>
      <c r="E241" s="39" t="inlineStr">
        <is>
          <t xml:space="preserve">Electrical</t>
        </is>
      </c>
      <c r="F241" s="39" t="inlineStr">
        <is>
          <t xml:space="preserve">29103-ET-PE1201-1-PWK-1</t>
        </is>
      </c>
      <c r="G241" s="20" t="inlineStr">
        <is>
          <t xml:space="preserve">YCQE-PS-048 Internal (2026-09-29); YCQE-E&amp;I-113</t>
        </is>
      </c>
      <c r="H241" s="39" t="inlineStr">
        <is>
          <t xml:space="preserve">Installation</t>
        </is>
      </c>
      <c r="I241" s="44" t="inlineStr">
        <is>
          <t xml:space="preserve">Cable tag upside down.</t>
        </is>
      </c>
      <c r="J241" s="39" t="inlineStr">
        <is>
          <t xml:space="preserve">Medium</t>
        </is>
      </c>
      <c r="K241" s="39" t="inlineStr">
        <is>
          <t xml:space="preserve">Construction</t>
        </is>
      </c>
      <c r="L241" s="26"/>
      <c r="M241" s="39" t="inlineStr">
        <is>
          <t xml:space="preserve">Open</t>
        </is>
      </c>
      <c r="N241" s="26"/>
      <c r="O241" s="20"/>
      <c r="P241" s="26"/>
      <c r="Q241" s="29" t="str">
        <f t="shared" ca="1" si="10"/>
        <v/>
      </c>
      <c r="R241" s="23" t="str">
        <f t="shared" ca="1" si="11"/>
        <v/>
      </c>
      <c r="S241" s="17"/>
      <c r="T241" s="32" t="inlineStr">
        <is>
          <t xml:space="preserve">Punched by Murtesa / Liam. Combined: punchlist item + small power ITR remarks.</t>
        </is>
      </c>
    </row>
    <row r="242" spans="1:20">
      <c r="A242" s="23" t="str">
        <f t="shared" si="9"/>
        <v/>
      </c>
      <c r="B242" s="47">
        <v>46294</v>
      </c>
      <c r="C242" s="39" t="inlineStr">
        <is>
          <t xml:space="preserve">29103-WPM-101/102</t>
        </is>
      </c>
      <c r="D242" s="39" t="inlineStr">
        <is>
          <t xml:space="preserve">K1B-600V-EHT</t>
        </is>
      </c>
      <c r="E242" s="39" t="inlineStr">
        <is>
          <t xml:space="preserve">Electrical</t>
        </is>
      </c>
      <c r="F242" s="39" t="inlineStr">
        <is>
          <t xml:space="preserve">29103-ET-P1204-2-PWK-1</t>
        </is>
      </c>
      <c r="G242" s="20" t="inlineStr">
        <is>
          <t xml:space="preserve">YCQE-PS-048 Internal (2026-09-29); YCQE-E&amp;I-113</t>
        </is>
      </c>
      <c r="H242" s="39" t="inlineStr">
        <is>
          <t xml:space="preserve">Installation</t>
        </is>
      </c>
      <c r="I242" s="44" t="inlineStr">
        <is>
          <t xml:space="preserve">Missing cable tag; check service loop on HT cold lead.</t>
        </is>
      </c>
      <c r="J242" s="39" t="inlineStr">
        <is>
          <t xml:space="preserve">Medium</t>
        </is>
      </c>
      <c r="K242" s="39" t="inlineStr">
        <is>
          <t xml:space="preserve">Construction</t>
        </is>
      </c>
      <c r="L242" s="26"/>
      <c r="M242" s="39" t="inlineStr">
        <is>
          <t xml:space="preserve">Open</t>
        </is>
      </c>
      <c r="N242" s="26"/>
      <c r="O242" s="20"/>
      <c r="P242" s="26"/>
      <c r="Q242" s="29" t="str">
        <f t="shared" ca="1" si="10"/>
        <v/>
      </c>
      <c r="R242" s="23" t="str">
        <f t="shared" ca="1" si="11"/>
        <v/>
      </c>
      <c r="S242" s="17"/>
      <c r="T242" s="32" t="inlineStr">
        <is>
          <t xml:space="preserve">Punched by Murtesa / Liam. Combined: punchlist item + small power ITR remarks.</t>
        </is>
      </c>
    </row>
    <row r="243" spans="1:20">
      <c r="A243" s="23" t="str">
        <f t="shared" si="9"/>
        <v/>
      </c>
      <c r="B243" s="47">
        <v>46294</v>
      </c>
      <c r="C243" s="39" t="inlineStr">
        <is>
          <t xml:space="preserve">29103-WPM-101/102</t>
        </is>
      </c>
      <c r="D243" s="39" t="inlineStr">
        <is>
          <t xml:space="preserve">K1B-600V-EHT</t>
        </is>
      </c>
      <c r="E243" s="39" t="inlineStr">
        <is>
          <t xml:space="preserve">Electrical</t>
        </is>
      </c>
      <c r="F243" s="39" t="inlineStr">
        <is>
          <t xml:space="preserve">29103-ET-PG1201-2-PWK-1</t>
        </is>
      </c>
      <c r="G243" s="20" t="inlineStr">
        <is>
          <t xml:space="preserve">YCQE-PS-048 Internal (2026-09-29)</t>
        </is>
      </c>
      <c r="H243" s="39" t="inlineStr">
        <is>
          <t xml:space="preserve">Installation</t>
        </is>
      </c>
      <c r="I243" s="44" t="inlineStr">
        <is>
          <t xml:space="preserve">Missing power kit.</t>
        </is>
      </c>
      <c r="J243" s="39" t="inlineStr">
        <is>
          <t xml:space="preserve">Medium</t>
        </is>
      </c>
      <c r="K243" s="39" t="inlineStr">
        <is>
          <t xml:space="preserve">Construction</t>
        </is>
      </c>
      <c r="L243" s="26"/>
      <c r="M243" s="39" t="inlineStr">
        <is>
          <t xml:space="preserve">Open</t>
        </is>
      </c>
      <c r="N243" s="26"/>
      <c r="O243" s="20"/>
      <c r="P243" s="26"/>
      <c r="Q243" s="29" t="str">
        <f t="shared" ca="1" si="10"/>
        <v/>
      </c>
      <c r="R243" s="23" t="str">
        <f t="shared" ca="1" si="11"/>
        <v/>
      </c>
      <c r="S243" s="17"/>
      <c r="T243" s="32" t="inlineStr">
        <is>
          <t xml:space="preserve">Punched by Murtesa / Liam.</t>
        </is>
      </c>
    </row>
    <row r="244" spans="1:20">
      <c r="A244" s="23" t="str">
        <f t="shared" si="9"/>
        <v/>
      </c>
      <c r="B244" s="47">
        <v>46294</v>
      </c>
      <c r="C244" s="39" t="inlineStr">
        <is>
          <t xml:space="preserve">29103-WPM-101/102</t>
        </is>
      </c>
      <c r="D244" s="39" t="inlineStr">
        <is>
          <t xml:space="preserve">K1B-600V-EHT</t>
        </is>
      </c>
      <c r="E244" s="39" t="inlineStr">
        <is>
          <t xml:space="preserve">Electrical</t>
        </is>
      </c>
      <c r="F244" s="39" t="inlineStr">
        <is>
          <t xml:space="preserve">29103-ET-PE1802-1-PWK-1</t>
        </is>
      </c>
      <c r="G244" s="20" t="inlineStr">
        <is>
          <t xml:space="preserve">YCQE-PS-048 Internal (2026-09-29); YCQE-E&amp;I-113</t>
        </is>
      </c>
      <c r="H244" s="39" t="inlineStr">
        <is>
          <t xml:space="preserve">Installation</t>
        </is>
      </c>
      <c r="I244" s="44" t="inlineStr">
        <is>
          <t xml:space="preserve">Needs core markers; cable tag upside down.</t>
        </is>
      </c>
      <c r="J244" s="39" t="inlineStr">
        <is>
          <t xml:space="preserve">Medium</t>
        </is>
      </c>
      <c r="K244" s="39" t="inlineStr">
        <is>
          <t xml:space="preserve">Construction</t>
        </is>
      </c>
      <c r="L244" s="26"/>
      <c r="M244" s="39" t="inlineStr">
        <is>
          <t xml:space="preserve">Open</t>
        </is>
      </c>
      <c r="N244" s="26"/>
      <c r="O244" s="20"/>
      <c r="P244" s="26"/>
      <c r="Q244" s="29" t="str">
        <f t="shared" ca="1" si="10"/>
        <v/>
      </c>
      <c r="R244" s="23" t="str">
        <f t="shared" ca="1" si="11"/>
        <v/>
      </c>
      <c r="S244" s="17"/>
      <c r="T244" s="32" t="inlineStr">
        <is>
          <t xml:space="preserve">Punched by Murtesa / Liam. Combined: punchlist item + small power ITR remarks.</t>
        </is>
      </c>
    </row>
    <row r="245" spans="1:20">
      <c r="A245" s="23" t="str">
        <f t="shared" si="9"/>
        <v/>
      </c>
      <c r="B245" s="47">
        <v>46294</v>
      </c>
      <c r="C245" s="39" t="inlineStr">
        <is>
          <t xml:space="preserve">29103-WPM-101/102</t>
        </is>
      </c>
      <c r="D245" s="39" t="inlineStr">
        <is>
          <t xml:space="preserve">K1B-600V-EHT</t>
        </is>
      </c>
      <c r="E245" s="39" t="inlineStr">
        <is>
          <t xml:space="preserve">Electrical</t>
        </is>
      </c>
      <c r="F245" s="39" t="inlineStr">
        <is>
          <t xml:space="preserve">29103-ET-ST1103-1-PWK-1</t>
        </is>
      </c>
      <c r="G245" s="20" t="inlineStr">
        <is>
          <t xml:space="preserve">YCQE-PS-048 Internal (2026-09-29)</t>
        </is>
      </c>
      <c r="H245" s="39" t="inlineStr">
        <is>
          <t xml:space="preserve">Installation</t>
        </is>
      </c>
      <c r="I245" s="44" t="inlineStr">
        <is>
          <t xml:space="preserve">No power cable.</t>
        </is>
      </c>
      <c r="J245" s="39" t="inlineStr">
        <is>
          <t xml:space="preserve">Medium</t>
        </is>
      </c>
      <c r="K245" s="39" t="inlineStr">
        <is>
          <t xml:space="preserve">Construction</t>
        </is>
      </c>
      <c r="L245" s="26"/>
      <c r="M245" s="39" t="inlineStr">
        <is>
          <t xml:space="preserve">Open</t>
        </is>
      </c>
      <c r="N245" s="26"/>
      <c r="O245" s="20"/>
      <c r="P245" s="26"/>
      <c r="Q245" s="29" t="str">
        <f t="shared" ca="1" si="10"/>
        <v/>
      </c>
      <c r="R245" s="23" t="str">
        <f t="shared" ca="1" si="11"/>
        <v/>
      </c>
      <c r="S245" s="17"/>
      <c r="T245" s="32" t="inlineStr">
        <is>
          <t xml:space="preserve">Punched by Murtesa / Liam.</t>
        </is>
      </c>
    </row>
    <row r="246" spans="1:20">
      <c r="A246" s="23" t="str">
        <f t="shared" si="9"/>
        <v/>
      </c>
      <c r="B246" s="47">
        <v>46294</v>
      </c>
      <c r="C246" s="39" t="inlineStr">
        <is>
          <t xml:space="preserve">29103-WPM-101/102</t>
        </is>
      </c>
      <c r="D246" s="39" t="inlineStr">
        <is>
          <t xml:space="preserve">K1B-600V-EHT</t>
        </is>
      </c>
      <c r="E246" s="39" t="inlineStr">
        <is>
          <t xml:space="preserve">Electrical</t>
        </is>
      </c>
      <c r="F246" s="39" t="inlineStr">
        <is>
          <t xml:space="preserve">29103-ET-FG1203-1-PWK-1</t>
        </is>
      </c>
      <c r="G246" s="20" t="inlineStr">
        <is>
          <t xml:space="preserve">YCQE-PS-048 Internal (2026-09-29)</t>
        </is>
      </c>
      <c r="H246" s="39" t="inlineStr">
        <is>
          <t xml:space="preserve">Installation</t>
        </is>
      </c>
      <c r="I246" s="44" t="inlineStr">
        <is>
          <t xml:space="preserve">Needs cable tag on device side.</t>
        </is>
      </c>
      <c r="J246" s="39" t="inlineStr">
        <is>
          <t xml:space="preserve">Medium</t>
        </is>
      </c>
      <c r="K246" s="39" t="inlineStr">
        <is>
          <t xml:space="preserve">Construction</t>
        </is>
      </c>
      <c r="L246" s="26"/>
      <c r="M246" s="39" t="inlineStr">
        <is>
          <t xml:space="preserve">Open</t>
        </is>
      </c>
      <c r="N246" s="26"/>
      <c r="O246" s="20"/>
      <c r="P246" s="26"/>
      <c r="Q246" s="29" t="str">
        <f t="shared" ca="1" si="10"/>
        <v/>
      </c>
      <c r="R246" s="23" t="str">
        <f t="shared" ca="1" si="11"/>
        <v/>
      </c>
      <c r="S246" s="17"/>
      <c r="T246" s="32" t="inlineStr">
        <is>
          <t xml:space="preserve">Punched by Murtesa / Liam.</t>
        </is>
      </c>
    </row>
    <row r="247" spans="1:20">
      <c r="A247" s="23" t="str">
        <f t="shared" si="9"/>
        <v/>
      </c>
      <c r="B247" s="47">
        <v>46294</v>
      </c>
      <c r="C247" s="39" t="inlineStr">
        <is>
          <t xml:space="preserve">29103-WPM-101/102</t>
        </is>
      </c>
      <c r="D247" s="39" t="inlineStr">
        <is>
          <t xml:space="preserve">K1B-600V-EHT</t>
        </is>
      </c>
      <c r="E247" s="39" t="inlineStr">
        <is>
          <t xml:space="preserve">Electrical</t>
        </is>
      </c>
      <c r="F247" s="39" t="inlineStr">
        <is>
          <t xml:space="preserve">29103-ET-PG1101-2-PWK-1</t>
        </is>
      </c>
      <c r="G247" s="20" t="inlineStr">
        <is>
          <t xml:space="preserve">YCQE-PS-048 Internal (2026-09-29)</t>
        </is>
      </c>
      <c r="H247" s="39" t="inlineStr">
        <is>
          <t xml:space="preserve">Installation</t>
        </is>
      </c>
      <c r="I247" s="44" t="inlineStr">
        <is>
          <t xml:space="preserve">Cable pulled; not glanded / terminated.</t>
        </is>
      </c>
      <c r="J247" s="39" t="inlineStr">
        <is>
          <t xml:space="preserve">Medium</t>
        </is>
      </c>
      <c r="K247" s="39" t="inlineStr">
        <is>
          <t xml:space="preserve">Construction</t>
        </is>
      </c>
      <c r="L247" s="26"/>
      <c r="M247" s="39" t="inlineStr">
        <is>
          <t xml:space="preserve">Open</t>
        </is>
      </c>
      <c r="N247" s="26"/>
      <c r="O247" s="20"/>
      <c r="P247" s="26"/>
      <c r="Q247" s="29" t="str">
        <f t="shared" ca="1" si="10"/>
        <v/>
      </c>
      <c r="R247" s="23" t="str">
        <f t="shared" ca="1" si="11"/>
        <v/>
      </c>
      <c r="S247" s="17"/>
      <c r="T247" s="32" t="inlineStr">
        <is>
          <t xml:space="preserve">Punched by Murtesa / Liam.</t>
        </is>
      </c>
    </row>
    <row r="248" spans="1:20">
      <c r="A248" s="23" t="str">
        <f t="shared" si="9"/>
        <v/>
      </c>
      <c r="B248" s="47">
        <v>46294</v>
      </c>
      <c r="C248" s="39" t="inlineStr">
        <is>
          <t xml:space="preserve">29103-WPM-101/102</t>
        </is>
      </c>
      <c r="D248" s="39" t="inlineStr">
        <is>
          <t xml:space="preserve">K1B-600V-EHT</t>
        </is>
      </c>
      <c r="E248" s="39" t="inlineStr">
        <is>
          <t xml:space="preserve">Electrical</t>
        </is>
      </c>
      <c r="F248" s="39" t="inlineStr">
        <is>
          <t xml:space="preserve">29103-ET-FG1105-1-PWK-1</t>
        </is>
      </c>
      <c r="G248" s="20" t="inlineStr">
        <is>
          <t xml:space="preserve">YCQE-PS-048 Internal (2026-09-29)</t>
        </is>
      </c>
      <c r="H248" s="39" t="inlineStr">
        <is>
          <t xml:space="preserve">Installation</t>
        </is>
      </c>
      <c r="I248" s="44" t="inlineStr">
        <is>
          <t xml:space="preserve">Needs device tag at ambient box.</t>
        </is>
      </c>
      <c r="J248" s="39" t="inlineStr">
        <is>
          <t xml:space="preserve">Medium</t>
        </is>
      </c>
      <c r="K248" s="39" t="inlineStr">
        <is>
          <t xml:space="preserve">Construction</t>
        </is>
      </c>
      <c r="L248" s="26"/>
      <c r="M248" s="39" t="inlineStr">
        <is>
          <t xml:space="preserve">Open</t>
        </is>
      </c>
      <c r="N248" s="26"/>
      <c r="O248" s="20"/>
      <c r="P248" s="26"/>
      <c r="Q248" s="29" t="str">
        <f t="shared" ca="1" si="10"/>
        <v/>
      </c>
      <c r="R248" s="23" t="str">
        <f t="shared" ca="1" si="11"/>
        <v/>
      </c>
      <c r="S248" s="17"/>
      <c r="T248" s="32" t="inlineStr">
        <is>
          <t xml:space="preserve">Punched by Murtesa / Liam.</t>
        </is>
      </c>
    </row>
    <row r="249" spans="1:20">
      <c r="A249" s="23" t="str">
        <f t="shared" si="9"/>
        <v/>
      </c>
      <c r="B249" s="47">
        <v>46294</v>
      </c>
      <c r="C249" s="39" t="inlineStr">
        <is>
          <t xml:space="preserve">29103-WPM-101/102</t>
        </is>
      </c>
      <c r="D249" s="39" t="inlineStr">
        <is>
          <t xml:space="preserve">K1B-600V-EHT</t>
        </is>
      </c>
      <c r="E249" s="39" t="inlineStr">
        <is>
          <t xml:space="preserve">Electrical</t>
        </is>
      </c>
      <c r="F249" s="39" t="inlineStr">
        <is>
          <t xml:space="preserve">29103-ET-PE1101-2-PWK-1</t>
        </is>
      </c>
      <c r="G249" s="20" t="inlineStr">
        <is>
          <t xml:space="preserve">YCQE-PS-048 Internal (2026-09-29)</t>
        </is>
      </c>
      <c r="H249" s="39" t="inlineStr">
        <is>
          <t xml:space="preserve">Installation</t>
        </is>
      </c>
      <c r="I249" s="44" t="inlineStr">
        <is>
          <t xml:space="preserve">Not terminated.</t>
        </is>
      </c>
      <c r="J249" s="39" t="inlineStr">
        <is>
          <t xml:space="preserve">Medium</t>
        </is>
      </c>
      <c r="K249" s="39" t="inlineStr">
        <is>
          <t xml:space="preserve">Construction</t>
        </is>
      </c>
      <c r="L249" s="26"/>
      <c r="M249" s="39" t="inlineStr">
        <is>
          <t xml:space="preserve">Open</t>
        </is>
      </c>
      <c r="N249" s="26"/>
      <c r="O249" s="20"/>
      <c r="P249" s="26"/>
      <c r="Q249" s="29" t="str">
        <f t="shared" ca="1" si="10"/>
        <v/>
      </c>
      <c r="R249" s="23" t="str">
        <f t="shared" ca="1" si="11"/>
        <v/>
      </c>
      <c r="S249" s="17"/>
      <c r="T249" s="32" t="inlineStr">
        <is>
          <t xml:space="preserve">Punched by Murtesa / Liam.</t>
        </is>
      </c>
    </row>
    <row r="250" spans="1:20">
      <c r="A250" s="23" t="str">
        <f t="shared" si="9"/>
        <v/>
      </c>
      <c r="B250" s="47">
        <v>46294</v>
      </c>
      <c r="C250" s="39" t="inlineStr">
        <is>
          <t xml:space="preserve">29103-WPM-101/102</t>
        </is>
      </c>
      <c r="D250" s="39" t="inlineStr">
        <is>
          <t xml:space="preserve">K1B-600V-EHT</t>
        </is>
      </c>
      <c r="E250" s="39" t="inlineStr">
        <is>
          <t xml:space="preserve">Electrical</t>
        </is>
      </c>
      <c r="F250" s="39" t="inlineStr">
        <is>
          <t xml:space="preserve">29103-ET-PE1101-1-PWK-1</t>
        </is>
      </c>
      <c r="G250" s="20" t="inlineStr">
        <is>
          <t xml:space="preserve">YCQE-PS-048 Internal (2026-09-29)</t>
        </is>
      </c>
      <c r="H250" s="39" t="inlineStr">
        <is>
          <t xml:space="preserve">Installation</t>
        </is>
      </c>
      <c r="I250" s="44" t="inlineStr">
        <is>
          <t xml:space="preserve">Not terminated.</t>
        </is>
      </c>
      <c r="J250" s="39" t="inlineStr">
        <is>
          <t xml:space="preserve">Medium</t>
        </is>
      </c>
      <c r="K250" s="39" t="inlineStr">
        <is>
          <t xml:space="preserve">Construction</t>
        </is>
      </c>
      <c r="L250" s="26"/>
      <c r="M250" s="39" t="inlineStr">
        <is>
          <t xml:space="preserve">Open</t>
        </is>
      </c>
      <c r="N250" s="26"/>
      <c r="O250" s="20"/>
      <c r="P250" s="26"/>
      <c r="Q250" s="29" t="str">
        <f t="shared" ca="1" si="10"/>
        <v/>
      </c>
      <c r="R250" s="23" t="str">
        <f t="shared" ca="1" si="11"/>
        <v/>
      </c>
      <c r="S250" s="17"/>
      <c r="T250" s="32" t="inlineStr">
        <is>
          <t xml:space="preserve">Punched by Murtesa / Liam. Note: small power ITR for this cable (Sept 28) shows all items initialed with no remarks - verify.</t>
        </is>
      </c>
    </row>
    <row r="251" spans="1:20">
      <c r="A251" s="23" t="str">
        <f t="shared" si="9"/>
        <v/>
      </c>
      <c r="B251" s="47">
        <v>46294</v>
      </c>
      <c r="C251" s="39" t="inlineStr">
        <is>
          <t xml:space="preserve">29103-WPM-101/102</t>
        </is>
      </c>
      <c r="D251" s="39" t="inlineStr">
        <is>
          <t xml:space="preserve">K1B-600V-EHT</t>
        </is>
      </c>
      <c r="E251" s="39" t="inlineStr">
        <is>
          <t xml:space="preserve">Electrical</t>
        </is>
      </c>
      <c r="F251" s="39" t="inlineStr">
        <is>
          <t xml:space="preserve">29103-ET-P1201-1-PWK-1</t>
        </is>
      </c>
      <c r="G251" s="20" t="inlineStr">
        <is>
          <t xml:space="preserve">YCQE-PS-048 Internal (2026-09-29); YCQE-E&amp;I-113</t>
        </is>
      </c>
      <c r="H251" s="39" t="inlineStr">
        <is>
          <t xml:space="preserve">Installation</t>
        </is>
      </c>
      <c r="I251" s="44" t="inlineStr">
        <is>
          <t xml:space="preserve">Core markers missing; not terminated.</t>
        </is>
      </c>
      <c r="J251" s="39" t="inlineStr">
        <is>
          <t xml:space="preserve">Medium</t>
        </is>
      </c>
      <c r="K251" s="39" t="inlineStr">
        <is>
          <t xml:space="preserve">Construction</t>
        </is>
      </c>
      <c r="L251" s="26"/>
      <c r="M251" s="39" t="inlineStr">
        <is>
          <t xml:space="preserve">Open</t>
        </is>
      </c>
      <c r="N251" s="26"/>
      <c r="O251" s="20"/>
      <c r="P251" s="26"/>
      <c r="Q251" s="29" t="str">
        <f t="shared" ca="1" si="10"/>
        <v/>
      </c>
      <c r="R251" s="23" t="str">
        <f t="shared" ca="1" si="11"/>
        <v/>
      </c>
      <c r="S251" s="17"/>
      <c r="T251" s="32" t="inlineStr">
        <is>
          <t xml:space="preserve">Punched by Murtesa / Liam. Combined: punchlist item + small power ITR remarks.</t>
        </is>
      </c>
    </row>
    <row r="252" spans="1:20">
      <c r="A252" s="23" t="str">
        <f t="shared" si="9"/>
        <v/>
      </c>
      <c r="B252" s="47">
        <v>46294</v>
      </c>
      <c r="C252" s="39" t="inlineStr">
        <is>
          <t xml:space="preserve">29103-WPM-101/102</t>
        </is>
      </c>
      <c r="D252" s="39" t="inlineStr">
        <is>
          <t xml:space="preserve">K1B-600V-EHT</t>
        </is>
      </c>
      <c r="E252" s="39" t="inlineStr">
        <is>
          <t xml:space="preserve">Electrical</t>
        </is>
      </c>
      <c r="F252" s="39" t="inlineStr">
        <is>
          <t xml:space="preserve">29103-ET-ST1001-1-PWK-1</t>
        </is>
      </c>
      <c r="G252" s="20" t="inlineStr">
        <is>
          <t xml:space="preserve">YCQE-PS-048 Internal (2026-09-29)</t>
        </is>
      </c>
      <c r="H252" s="39" t="inlineStr">
        <is>
          <t xml:space="preserve">Installation</t>
        </is>
      </c>
      <c r="I252" s="44" t="inlineStr">
        <is>
          <t xml:space="preserve">MI needs glanding; no power cable.</t>
        </is>
      </c>
      <c r="J252" s="39" t="inlineStr">
        <is>
          <t xml:space="preserve">Medium</t>
        </is>
      </c>
      <c r="K252" s="39" t="inlineStr">
        <is>
          <t xml:space="preserve">Construction</t>
        </is>
      </c>
      <c r="L252" s="26"/>
      <c r="M252" s="39" t="inlineStr">
        <is>
          <t xml:space="preserve">Open</t>
        </is>
      </c>
      <c r="N252" s="26"/>
      <c r="O252" s="20"/>
      <c r="P252" s="26"/>
      <c r="Q252" s="29" t="str">
        <f t="shared" ca="1" si="10"/>
        <v/>
      </c>
      <c r="R252" s="23" t="str">
        <f t="shared" ca="1" si="11"/>
        <v/>
      </c>
      <c r="S252" s="17"/>
      <c r="T252" s="32" t="inlineStr">
        <is>
          <t xml:space="preserve">Punched by Murtesa / Liam.</t>
        </is>
      </c>
    </row>
    <row r="253" spans="1:20">
      <c r="A253" s="23" t="str">
        <f t="shared" si="9"/>
        <v/>
      </c>
      <c r="B253" s="47">
        <v>46294</v>
      </c>
      <c r="C253" s="39" t="inlineStr">
        <is>
          <t xml:space="preserve">29103-WPM-101/102</t>
        </is>
      </c>
      <c r="D253" s="39" t="inlineStr">
        <is>
          <t xml:space="preserve">K1B-600V-EHT</t>
        </is>
      </c>
      <c r="E253" s="39" t="inlineStr">
        <is>
          <t xml:space="preserve">Electrical</t>
        </is>
      </c>
      <c r="F253" s="39" t="inlineStr">
        <is>
          <t xml:space="preserve">29103-ET-P1104-2-PWK-1</t>
        </is>
      </c>
      <c r="G253" s="20" t="inlineStr">
        <is>
          <t xml:space="preserve">YCQE-PS-048 Internal (2026-09-29); YCQE-E&amp;I-113</t>
        </is>
      </c>
      <c r="H253" s="39" t="inlineStr">
        <is>
          <t xml:space="preserve">Installation</t>
        </is>
      </c>
      <c r="I253" s="44" t="inlineStr">
        <is>
          <t xml:space="preserve">Missing cable tags both sides.</t>
        </is>
      </c>
      <c r="J253" s="39" t="inlineStr">
        <is>
          <t xml:space="preserve">Medium</t>
        </is>
      </c>
      <c r="K253" s="39" t="inlineStr">
        <is>
          <t xml:space="preserve">Construction</t>
        </is>
      </c>
      <c r="L253" s="26"/>
      <c r="M253" s="39" t="inlineStr">
        <is>
          <t xml:space="preserve">Open</t>
        </is>
      </c>
      <c r="N253" s="26"/>
      <c r="O253" s="20"/>
      <c r="P253" s="26"/>
      <c r="Q253" s="29" t="str">
        <f t="shared" ca="1" si="10"/>
        <v/>
      </c>
      <c r="R253" s="23" t="str">
        <f t="shared" ca="1" si="11"/>
        <v/>
      </c>
      <c r="S253" s="17"/>
      <c r="T253" s="32" t="inlineStr">
        <is>
          <t xml:space="preserve">Punched by Murtesa / Liam. Combined with small power ITR (scan read PE1104-2; cable schedule 29103-65H-102-01 confirms P1104-2).</t>
        </is>
      </c>
    </row>
    <row r="254" spans="1:20">
      <c r="A254" s="23" t="str">
        <f t="shared" si="9"/>
        <v/>
      </c>
      <c r="B254" s="47">
        <v>46294</v>
      </c>
      <c r="C254" s="39" t="inlineStr">
        <is>
          <t xml:space="preserve">29103-WPM-101/102</t>
        </is>
      </c>
      <c r="D254" s="39" t="inlineStr">
        <is>
          <t xml:space="preserve">K1B-600V-EHT</t>
        </is>
      </c>
      <c r="E254" s="39" t="inlineStr">
        <is>
          <t xml:space="preserve">Electrical</t>
        </is>
      </c>
      <c r="F254" s="39" t="inlineStr">
        <is>
          <t xml:space="preserve">29103-ET-PG1101-1-PWK-1</t>
        </is>
      </c>
      <c r="G254" s="20" t="inlineStr">
        <is>
          <t xml:space="preserve">YCQE-PS-048 Internal (2026-09-29); YCQE-E&amp;I-113</t>
        </is>
      </c>
      <c r="H254" s="39" t="inlineStr">
        <is>
          <t xml:space="preserve">Installation</t>
        </is>
      </c>
      <c r="I254" s="44" t="inlineStr">
        <is>
          <t xml:space="preserve">Missing core markers on power cable.</t>
        </is>
      </c>
      <c r="J254" s="39" t="inlineStr">
        <is>
          <t xml:space="preserve">Medium</t>
        </is>
      </c>
      <c r="K254" s="39" t="inlineStr">
        <is>
          <t xml:space="preserve">Construction</t>
        </is>
      </c>
      <c r="L254" s="26"/>
      <c r="M254" s="39" t="inlineStr">
        <is>
          <t xml:space="preserve">Open</t>
        </is>
      </c>
      <c r="N254" s="26"/>
      <c r="O254" s="20"/>
      <c r="P254" s="26"/>
      <c r="Q254" s="29" t="str">
        <f t="shared" ca="1" si="10"/>
        <v/>
      </c>
      <c r="R254" s="23" t="str">
        <f t="shared" ca="1" si="11"/>
        <v/>
      </c>
      <c r="S254" s="17"/>
      <c r="T254" s="32" t="inlineStr">
        <is>
          <t xml:space="preserve">Punched by Murtesa / Liam. Combined: punchlist item + small power ITR remarks.</t>
        </is>
      </c>
    </row>
    <row r="255" spans="1:20">
      <c r="A255" s="23" t="str">
        <f t="shared" si="9"/>
        <v/>
      </c>
      <c r="B255" s="47">
        <v>46294</v>
      </c>
      <c r="C255" s="39" t="inlineStr">
        <is>
          <t xml:space="preserve">29103-WPM-101/102</t>
        </is>
      </c>
      <c r="D255" s="39" t="inlineStr">
        <is>
          <t xml:space="preserve">K1B-600V-EHT</t>
        </is>
      </c>
      <c r="E255" s="39" t="inlineStr">
        <is>
          <t xml:space="preserve">Electrical</t>
        </is>
      </c>
      <c r="F255" s="39" t="inlineStr">
        <is>
          <t xml:space="preserve">29103-ET-P1101-1-PWK-1</t>
        </is>
      </c>
      <c r="G255" s="20" t="inlineStr">
        <is>
          <t xml:space="preserve">YCQE-E&amp;I-113</t>
        </is>
      </c>
      <c r="H255" s="39" t="inlineStr">
        <is>
          <t xml:space="preserve">Installation</t>
        </is>
      </c>
      <c r="I255" s="44" t="inlineStr">
        <is>
          <t xml:space="preserve">Cable is pulled and glanded; not terminated.</t>
        </is>
      </c>
      <c r="J255" s="39" t="inlineStr">
        <is>
          <t xml:space="preserve">Medium</t>
        </is>
      </c>
      <c r="K255" s="39" t="inlineStr">
        <is>
          <t xml:space="preserve">Construction</t>
        </is>
      </c>
      <c r="L255" s="26"/>
      <c r="M255" s="39" t="inlineStr">
        <is>
          <t xml:space="preserve">Open</t>
        </is>
      </c>
      <c r="N255" s="26"/>
      <c r="O255" s="20"/>
      <c r="P255" s="26"/>
      <c r="Q255" s="29" t="str">
        <f t="shared" ca="1" si="10"/>
        <v/>
      </c>
      <c r="R255" s="23" t="str">
        <f t="shared" ca="1" si="11"/>
        <v/>
      </c>
      <c r="S255" s="17"/>
      <c r="T255" s="32" t="inlineStr">
        <is>
          <t xml:space="preserve">From small power ITR remarks (Sept 29); not on punchlist.</t>
        </is>
      </c>
    </row>
    <row r="256" spans="1:20">
      <c r="A256" s="23" t="str">
        <f t="shared" si="9"/>
        <v/>
      </c>
      <c r="B256" s="47">
        <v>46246</v>
      </c>
      <c r="C256" s="39" t="inlineStr">
        <is>
          <t xml:space="preserve">29103-WPM-102</t>
        </is>
      </c>
      <c r="D256" s="39" t="inlineStr">
        <is>
          <t xml:space="preserve">K1B-600V-EHT</t>
        </is>
      </c>
      <c r="E256" s="39" t="inlineStr">
        <is>
          <t xml:space="preserve">Electrical</t>
        </is>
      </c>
      <c r="F256" s="39" t="inlineStr">
        <is>
          <t xml:space="preserve">29103-ET-PE1402-1-1</t>
        </is>
      </c>
      <c r="G256" s="20" t="inlineStr">
        <is>
          <t xml:space="preserve">YCQE-EHT-003 (2026-08-12); YCQE-EHT-QF-13.1</t>
        </is>
      </c>
      <c r="H256" s="39" t="inlineStr">
        <is>
          <t xml:space="preserve">Testing</t>
        </is>
      </c>
      <c r="I256" s="44" t="inlineStr">
        <is>
          <t xml:space="preserve">Pre-insulation megger FAILED (0.0 MOhm @ 500 VDC); trace not released for insulation. Temp tags - EHT and RTD need SS tags.</t>
        </is>
      </c>
      <c r="J256" s="39" t="inlineStr">
        <is>
          <t xml:space="preserve">High</t>
        </is>
      </c>
      <c r="K256" s="39" t="inlineStr">
        <is>
          <t xml:space="preserve">Construction</t>
        </is>
      </c>
      <c r="L256" s="26"/>
      <c r="M256" s="39" t="inlineStr">
        <is>
          <t xml:space="preserve">Open</t>
        </is>
      </c>
      <c r="N256" s="26"/>
      <c r="O256" s="20"/>
      <c r="P256" s="26"/>
      <c r="Q256" s="29" t="str">
        <f t="shared" ca="1" si="10"/>
        <v/>
      </c>
      <c r="R256" s="23" t="str">
        <f t="shared" ca="1" si="11"/>
        <v/>
      </c>
      <c r="S256" s="17"/>
      <c r="T256" s="32" t="inlineStr">
        <is>
          <t xml:space="preserve">From EHT-003 by Robert Dixon 2026/08/12. MI continuity 44.9 Ohm. Panel 29103-HTP-003 CB-33.</t>
        </is>
      </c>
    </row>
    <row r="257" spans="1:20">
      <c r="A257" s="23" t="str">
        <f t="shared" si="9"/>
        <v/>
      </c>
      <c r="B257" s="47"/>
      <c r="C257" s="39"/>
      <c r="D257" s="39"/>
      <c r="E257" s="39"/>
      <c r="F257" s="39"/>
      <c r="G257" s="20"/>
      <c r="H257" s="39"/>
      <c r="I257" s="44"/>
      <c r="J257" s="39"/>
      <c r="K257" s="39"/>
      <c r="L257" s="26"/>
      <c r="M257" s="39"/>
      <c r="N257" s="26"/>
      <c r="O257" s="20"/>
      <c r="P257" s="26"/>
      <c r="Q257" s="29" t="str">
        <f t="shared" ca="1" si="10"/>
        <v/>
      </c>
      <c r="R257" s="23" t="str">
        <f t="shared" ca="1" si="11"/>
        <v/>
      </c>
      <c r="S257" s="17"/>
      <c r="T257" s="32"/>
    </row>
    <row r="258" spans="1:20">
      <c r="A258" s="23" t="str">
        <f t="shared" si="9"/>
        <v/>
      </c>
      <c r="B258" s="47"/>
      <c r="C258" s="39"/>
      <c r="D258" s="39"/>
      <c r="E258" s="39"/>
      <c r="F258" s="39"/>
      <c r="G258" s="20"/>
      <c r="H258" s="39"/>
      <c r="I258" s="44"/>
      <c r="J258" s="39"/>
      <c r="K258" s="39"/>
      <c r="L258" s="26"/>
      <c r="M258" s="39"/>
      <c r="N258" s="26"/>
      <c r="O258" s="20"/>
      <c r="P258" s="26"/>
      <c r="Q258" s="29" t="str">
        <f t="shared" ca="1" si="10"/>
        <v/>
      </c>
      <c r="R258" s="23" t="str">
        <f t="shared" ca="1" si="11"/>
        <v/>
      </c>
      <c r="S258" s="17"/>
      <c r="T258" s="32"/>
    </row>
    <row r="259" spans="1:20">
      <c r="A259" s="23" t="str">
        <f t="shared" si="9"/>
        <v/>
      </c>
      <c r="B259" s="47"/>
      <c r="C259" s="39"/>
      <c r="D259" s="39"/>
      <c r="E259" s="39"/>
      <c r="F259" s="39"/>
      <c r="G259" s="20"/>
      <c r="H259" s="39"/>
      <c r="I259" s="44"/>
      <c r="J259" s="39"/>
      <c r="K259" s="39"/>
      <c r="L259" s="26"/>
      <c r="M259" s="39"/>
      <c r="N259" s="26"/>
      <c r="O259" s="20"/>
      <c r="P259" s="26"/>
      <c r="Q259" s="29" t="str">
        <f t="shared" ca="1" si="10"/>
        <v/>
      </c>
      <c r="R259" s="23" t="str">
        <f t="shared" ca="1" si="11"/>
        <v/>
      </c>
      <c r="S259" s="17"/>
      <c r="T259" s="32"/>
    </row>
    <row r="260" spans="1:20">
      <c r="A260" s="23" t="str">
        <f t="shared" si="9"/>
        <v/>
      </c>
      <c r="B260" s="47"/>
      <c r="C260" s="39"/>
      <c r="D260" s="39"/>
      <c r="E260" s="39"/>
      <c r="F260" s="39"/>
      <c r="G260" s="20"/>
      <c r="H260" s="39"/>
      <c r="I260" s="44"/>
      <c r="J260" s="39"/>
      <c r="K260" s="39"/>
      <c r="L260" s="26"/>
      <c r="M260" s="39"/>
      <c r="N260" s="26"/>
      <c r="O260" s="20"/>
      <c r="P260" s="26"/>
      <c r="Q260" s="29" t="str">
        <f t="shared" ca="1" si="10"/>
        <v/>
      </c>
      <c r="R260" s="23" t="str">
        <f t="shared" ca="1" si="11"/>
        <v/>
      </c>
      <c r="S260" s="17"/>
      <c r="T260" s="32"/>
    </row>
    <row r="261" spans="1:20">
      <c r="A261" s="23" t="str">
        <f t="shared" si="9"/>
        <v/>
      </c>
      <c r="B261" s="47"/>
      <c r="C261" s="39"/>
      <c r="D261" s="39"/>
      <c r="E261" s="39"/>
      <c r="F261" s="39"/>
      <c r="G261" s="20"/>
      <c r="H261" s="39"/>
      <c r="I261" s="44"/>
      <c r="J261" s="39"/>
      <c r="K261" s="39"/>
      <c r="L261" s="26"/>
      <c r="M261" s="39"/>
      <c r="N261" s="26"/>
      <c r="O261" s="20"/>
      <c r="P261" s="26"/>
      <c r="Q261" s="29" t="str">
        <f t="shared" ca="1" si="10"/>
        <v/>
      </c>
      <c r="R261" s="23" t="str">
        <f t="shared" ca="1" si="11"/>
        <v/>
      </c>
      <c r="S261" s="17"/>
      <c r="T261" s="32"/>
    </row>
    <row r="262" spans="1:20">
      <c r="A262" s="23" t="str">
        <f t="shared" si="9"/>
        <v/>
      </c>
      <c r="B262" s="47"/>
      <c r="C262" s="39"/>
      <c r="D262" s="39"/>
      <c r="E262" s="39"/>
      <c r="F262" s="39"/>
      <c r="G262" s="20"/>
      <c r="H262" s="39"/>
      <c r="I262" s="44"/>
      <c r="J262" s="39"/>
      <c r="K262" s="39"/>
      <c r="L262" s="26"/>
      <c r="M262" s="39"/>
      <c r="N262" s="26"/>
      <c r="O262" s="20"/>
      <c r="P262" s="26"/>
      <c r="Q262" s="29" t="str">
        <f t="shared" ca="1" si="10"/>
        <v/>
      </c>
      <c r="R262" s="23" t="str">
        <f t="shared" ca="1" si="11"/>
        <v/>
      </c>
      <c r="S262" s="17"/>
      <c r="T262" s="32"/>
    </row>
    <row r="263" spans="1:20">
      <c r="A263" s="23" t="str">
        <f t="shared" ref="A263:A326" si="12">IF($I263="","","DEF-"&amp;TEXT(ROW()-6,"0000"))</f>
        <v/>
      </c>
      <c r="B263" s="47"/>
      <c r="C263" s="39"/>
      <c r="D263" s="39"/>
      <c r="E263" s="39"/>
      <c r="F263" s="39"/>
      <c r="G263" s="20"/>
      <c r="H263" s="39"/>
      <c r="I263" s="44"/>
      <c r="J263" s="39"/>
      <c r="K263" s="39"/>
      <c r="L263" s="26"/>
      <c r="M263" s="39"/>
      <c r="N263" s="26"/>
      <c r="O263" s="20"/>
      <c r="P263" s="26"/>
      <c r="Q263" s="29" t="str">
        <f t="shared" ref="Q263:Q326" ca="1" si="13">IF($B263="","",MAX(0,IF($M263="Closed",IF($N263="",TODAY()-$B263,$N263-$B263),TODAY()-$B263)))</f>
        <v/>
      </c>
      <c r="R263" s="23" t="str">
        <f t="shared" ref="R263:R326" ca="1" si="14">IF(OR($I263="",$L263="",$M263="Closed"),"",IF(TODAY()&gt;$L263,"Yes","No"))</f>
        <v/>
      </c>
      <c r="S263" s="17"/>
      <c r="T263" s="32"/>
    </row>
    <row r="264" spans="1:20">
      <c r="A264" s="23" t="str">
        <f t="shared" si="12"/>
        <v/>
      </c>
      <c r="B264" s="47"/>
      <c r="C264" s="39"/>
      <c r="D264" s="39"/>
      <c r="E264" s="39"/>
      <c r="F264" s="39"/>
      <c r="G264" s="20"/>
      <c r="H264" s="39"/>
      <c r="I264" s="44"/>
      <c r="J264" s="39"/>
      <c r="K264" s="39"/>
      <c r="L264" s="26"/>
      <c r="M264" s="39"/>
      <c r="N264" s="26"/>
      <c r="O264" s="20"/>
      <c r="P264" s="26"/>
      <c r="Q264" s="29" t="str">
        <f t="shared" ca="1" si="13"/>
        <v/>
      </c>
      <c r="R264" s="23" t="str">
        <f t="shared" ca="1" si="14"/>
        <v/>
      </c>
      <c r="S264" s="17"/>
      <c r="T264" s="32"/>
    </row>
    <row r="265" spans="1:20">
      <c r="A265" s="23" t="str">
        <f t="shared" si="12"/>
        <v/>
      </c>
      <c r="B265" s="47"/>
      <c r="C265" s="39"/>
      <c r="D265" s="39"/>
      <c r="E265" s="39"/>
      <c r="F265" s="39"/>
      <c r="G265" s="20"/>
      <c r="H265" s="39"/>
      <c r="I265" s="44"/>
      <c r="J265" s="39"/>
      <c r="K265" s="39"/>
      <c r="L265" s="26"/>
      <c r="M265" s="39"/>
      <c r="N265" s="26"/>
      <c r="O265" s="20"/>
      <c r="P265" s="26"/>
      <c r="Q265" s="29" t="str">
        <f t="shared" ca="1" si="13"/>
        <v/>
      </c>
      <c r="R265" s="23" t="str">
        <f t="shared" ca="1" si="14"/>
        <v/>
      </c>
      <c r="S265" s="17"/>
      <c r="T265" s="32"/>
    </row>
    <row r="266" spans="1:20">
      <c r="A266" s="23" t="str">
        <f t="shared" si="12"/>
        <v/>
      </c>
      <c r="B266" s="47"/>
      <c r="C266" s="39"/>
      <c r="D266" s="39"/>
      <c r="E266" s="39"/>
      <c r="F266" s="39"/>
      <c r="G266" s="20"/>
      <c r="H266" s="39"/>
      <c r="I266" s="44"/>
      <c r="J266" s="39"/>
      <c r="K266" s="39"/>
      <c r="L266" s="26"/>
      <c r="M266" s="39"/>
      <c r="N266" s="26"/>
      <c r="O266" s="20"/>
      <c r="P266" s="26"/>
      <c r="Q266" s="29" t="str">
        <f t="shared" ca="1" si="13"/>
        <v/>
      </c>
      <c r="R266" s="23" t="str">
        <f t="shared" ca="1" si="14"/>
        <v/>
      </c>
      <c r="S266" s="17"/>
      <c r="T266" s="32"/>
    </row>
    <row r="267" spans="1:20">
      <c r="A267" s="23" t="str">
        <f t="shared" si="12"/>
        <v/>
      </c>
      <c r="B267" s="47"/>
      <c r="C267" s="39"/>
      <c r="D267" s="39"/>
      <c r="E267" s="39"/>
      <c r="F267" s="39"/>
      <c r="G267" s="20"/>
      <c r="H267" s="39"/>
      <c r="I267" s="44"/>
      <c r="J267" s="39"/>
      <c r="K267" s="39"/>
      <c r="L267" s="26"/>
      <c r="M267" s="39"/>
      <c r="N267" s="26"/>
      <c r="O267" s="20"/>
      <c r="P267" s="26"/>
      <c r="Q267" s="29" t="str">
        <f t="shared" ca="1" si="13"/>
        <v/>
      </c>
      <c r="R267" s="23" t="str">
        <f t="shared" ca="1" si="14"/>
        <v/>
      </c>
      <c r="S267" s="17"/>
      <c r="T267" s="32"/>
    </row>
    <row r="268" spans="1:20">
      <c r="A268" s="23" t="str">
        <f t="shared" si="12"/>
        <v/>
      </c>
      <c r="B268" s="47"/>
      <c r="C268" s="39"/>
      <c r="D268" s="39"/>
      <c r="E268" s="39"/>
      <c r="F268" s="39"/>
      <c r="G268" s="20"/>
      <c r="H268" s="39"/>
      <c r="I268" s="44"/>
      <c r="J268" s="39"/>
      <c r="K268" s="39"/>
      <c r="L268" s="26"/>
      <c r="M268" s="39"/>
      <c r="N268" s="26"/>
      <c r="O268" s="20"/>
      <c r="P268" s="26"/>
      <c r="Q268" s="29" t="str">
        <f t="shared" ca="1" si="13"/>
        <v/>
      </c>
      <c r="R268" s="23" t="str">
        <f t="shared" ca="1" si="14"/>
        <v/>
      </c>
      <c r="S268" s="17"/>
      <c r="T268" s="32"/>
    </row>
    <row r="269" spans="1:20">
      <c r="A269" s="23" t="str">
        <f t="shared" si="12"/>
        <v/>
      </c>
      <c r="B269" s="47"/>
      <c r="C269" s="39"/>
      <c r="D269" s="39"/>
      <c r="E269" s="39"/>
      <c r="F269" s="39"/>
      <c r="G269" s="20"/>
      <c r="H269" s="39"/>
      <c r="I269" s="44"/>
      <c r="J269" s="39"/>
      <c r="K269" s="39"/>
      <c r="L269" s="26"/>
      <c r="M269" s="39"/>
      <c r="N269" s="26"/>
      <c r="O269" s="20"/>
      <c r="P269" s="26"/>
      <c r="Q269" s="29" t="str">
        <f t="shared" ca="1" si="13"/>
        <v/>
      </c>
      <c r="R269" s="23" t="str">
        <f t="shared" ca="1" si="14"/>
        <v/>
      </c>
      <c r="S269" s="17"/>
      <c r="T269" s="32"/>
    </row>
    <row r="270" spans="1:20">
      <c r="A270" s="23" t="str">
        <f t="shared" si="12"/>
        <v/>
      </c>
      <c r="B270" s="47"/>
      <c r="C270" s="39"/>
      <c r="D270" s="39"/>
      <c r="E270" s="39"/>
      <c r="F270" s="39"/>
      <c r="G270" s="20"/>
      <c r="H270" s="39"/>
      <c r="I270" s="44"/>
      <c r="J270" s="39"/>
      <c r="K270" s="39"/>
      <c r="L270" s="26"/>
      <c r="M270" s="39"/>
      <c r="N270" s="26"/>
      <c r="O270" s="20"/>
      <c r="P270" s="26"/>
      <c r="Q270" s="29" t="str">
        <f t="shared" ca="1" si="13"/>
        <v/>
      </c>
      <c r="R270" s="23" t="str">
        <f t="shared" ca="1" si="14"/>
        <v/>
      </c>
      <c r="S270" s="17"/>
      <c r="T270" s="32"/>
    </row>
    <row r="271" spans="1:20">
      <c r="A271" s="23" t="str">
        <f t="shared" si="12"/>
        <v/>
      </c>
      <c r="B271" s="47"/>
      <c r="C271" s="39"/>
      <c r="D271" s="39"/>
      <c r="E271" s="39"/>
      <c r="F271" s="39"/>
      <c r="G271" s="20"/>
      <c r="H271" s="39"/>
      <c r="I271" s="44"/>
      <c r="J271" s="39"/>
      <c r="K271" s="39"/>
      <c r="L271" s="26"/>
      <c r="M271" s="39"/>
      <c r="N271" s="26"/>
      <c r="O271" s="20"/>
      <c r="P271" s="26"/>
      <c r="Q271" s="29" t="str">
        <f t="shared" ca="1" si="13"/>
        <v/>
      </c>
      <c r="R271" s="23" t="str">
        <f t="shared" ca="1" si="14"/>
        <v/>
      </c>
      <c r="S271" s="17"/>
      <c r="T271" s="32"/>
    </row>
    <row r="272" spans="1:20">
      <c r="A272" s="23" t="str">
        <f t="shared" si="12"/>
        <v/>
      </c>
      <c r="B272" s="47"/>
      <c r="C272" s="39"/>
      <c r="D272" s="39"/>
      <c r="E272" s="39"/>
      <c r="F272" s="39"/>
      <c r="G272" s="20"/>
      <c r="H272" s="39"/>
      <c r="I272" s="44"/>
      <c r="J272" s="39"/>
      <c r="K272" s="39"/>
      <c r="L272" s="26"/>
      <c r="M272" s="39"/>
      <c r="N272" s="26"/>
      <c r="O272" s="20"/>
      <c r="P272" s="26"/>
      <c r="Q272" s="29" t="str">
        <f t="shared" ca="1" si="13"/>
        <v/>
      </c>
      <c r="R272" s="23" t="str">
        <f t="shared" ca="1" si="14"/>
        <v/>
      </c>
      <c r="S272" s="17"/>
      <c r="T272" s="32"/>
    </row>
    <row r="273" spans="1:20">
      <c r="A273" s="23" t="str">
        <f t="shared" si="12"/>
        <v/>
      </c>
      <c r="B273" s="47"/>
      <c r="C273" s="39"/>
      <c r="D273" s="39"/>
      <c r="E273" s="39"/>
      <c r="F273" s="39"/>
      <c r="G273" s="20"/>
      <c r="H273" s="39"/>
      <c r="I273" s="44"/>
      <c r="J273" s="39"/>
      <c r="K273" s="39"/>
      <c r="L273" s="26"/>
      <c r="M273" s="39"/>
      <c r="N273" s="26"/>
      <c r="O273" s="20"/>
      <c r="P273" s="26"/>
      <c r="Q273" s="29" t="str">
        <f t="shared" ca="1" si="13"/>
        <v/>
      </c>
      <c r="R273" s="23" t="str">
        <f t="shared" ca="1" si="14"/>
        <v/>
      </c>
      <c r="S273" s="17"/>
      <c r="T273" s="32"/>
    </row>
    <row r="274" spans="1:20">
      <c r="A274" s="23" t="str">
        <f t="shared" si="12"/>
        <v/>
      </c>
      <c r="B274" s="47"/>
      <c r="C274" s="39"/>
      <c r="D274" s="39"/>
      <c r="E274" s="39"/>
      <c r="F274" s="39"/>
      <c r="G274" s="20"/>
      <c r="H274" s="39"/>
      <c r="I274" s="44"/>
      <c r="J274" s="39"/>
      <c r="K274" s="39"/>
      <c r="L274" s="26"/>
      <c r="M274" s="39"/>
      <c r="N274" s="26"/>
      <c r="O274" s="20"/>
      <c r="P274" s="26"/>
      <c r="Q274" s="29" t="str">
        <f t="shared" ca="1" si="13"/>
        <v/>
      </c>
      <c r="R274" s="23" t="str">
        <f t="shared" ca="1" si="14"/>
        <v/>
      </c>
      <c r="S274" s="17"/>
      <c r="T274" s="32"/>
    </row>
    <row r="275" spans="1:20">
      <c r="A275" s="23" t="str">
        <f t="shared" si="12"/>
        <v/>
      </c>
      <c r="B275" s="47"/>
      <c r="C275" s="39"/>
      <c r="D275" s="39"/>
      <c r="E275" s="39"/>
      <c r="F275" s="39"/>
      <c r="G275" s="20"/>
      <c r="H275" s="39"/>
      <c r="I275" s="44"/>
      <c r="J275" s="39"/>
      <c r="K275" s="39"/>
      <c r="L275" s="26"/>
      <c r="M275" s="39"/>
      <c r="N275" s="26"/>
      <c r="O275" s="20"/>
      <c r="P275" s="26"/>
      <c r="Q275" s="29" t="str">
        <f t="shared" ca="1" si="13"/>
        <v/>
      </c>
      <c r="R275" s="23" t="str">
        <f t="shared" ca="1" si="14"/>
        <v/>
      </c>
      <c r="S275" s="17"/>
      <c r="T275" s="32"/>
    </row>
    <row r="276" spans="1:20">
      <c r="A276" s="23" t="str">
        <f t="shared" si="12"/>
        <v/>
      </c>
      <c r="B276" s="47"/>
      <c r="C276" s="39"/>
      <c r="D276" s="39"/>
      <c r="E276" s="39"/>
      <c r="F276" s="39"/>
      <c r="G276" s="20"/>
      <c r="H276" s="39"/>
      <c r="I276" s="44"/>
      <c r="J276" s="39"/>
      <c r="K276" s="39"/>
      <c r="L276" s="26"/>
      <c r="M276" s="39"/>
      <c r="N276" s="26"/>
      <c r="O276" s="20"/>
      <c r="P276" s="26"/>
      <c r="Q276" s="29" t="str">
        <f t="shared" ca="1" si="13"/>
        <v/>
      </c>
      <c r="R276" s="23" t="str">
        <f t="shared" ca="1" si="14"/>
        <v/>
      </c>
      <c r="S276" s="17"/>
      <c r="T276" s="32"/>
    </row>
    <row r="277" spans="1:20">
      <c r="A277" s="23" t="str">
        <f t="shared" si="12"/>
        <v/>
      </c>
      <c r="B277" s="47"/>
      <c r="C277" s="39"/>
      <c r="D277" s="39"/>
      <c r="E277" s="39"/>
      <c r="F277" s="39"/>
      <c r="G277" s="20"/>
      <c r="H277" s="39"/>
      <c r="I277" s="44"/>
      <c r="J277" s="39"/>
      <c r="K277" s="39"/>
      <c r="L277" s="26"/>
      <c r="M277" s="39"/>
      <c r="N277" s="26"/>
      <c r="O277" s="20"/>
      <c r="P277" s="26"/>
      <c r="Q277" s="29" t="str">
        <f t="shared" ca="1" si="13"/>
        <v/>
      </c>
      <c r="R277" s="23" t="str">
        <f t="shared" ca="1" si="14"/>
        <v/>
      </c>
      <c r="S277" s="17"/>
      <c r="T277" s="32"/>
    </row>
    <row r="278" spans="1:20">
      <c r="A278" s="23" t="str">
        <f t="shared" si="12"/>
        <v/>
      </c>
      <c r="B278" s="47"/>
      <c r="C278" s="39"/>
      <c r="D278" s="39"/>
      <c r="E278" s="39"/>
      <c r="F278" s="39"/>
      <c r="G278" s="20"/>
      <c r="H278" s="39"/>
      <c r="I278" s="44"/>
      <c r="J278" s="39"/>
      <c r="K278" s="39"/>
      <c r="L278" s="26"/>
      <c r="M278" s="39"/>
      <c r="N278" s="26"/>
      <c r="O278" s="20"/>
      <c r="P278" s="26"/>
      <c r="Q278" s="29" t="str">
        <f t="shared" ca="1" si="13"/>
        <v/>
      </c>
      <c r="R278" s="23" t="str">
        <f t="shared" ca="1" si="14"/>
        <v/>
      </c>
      <c r="S278" s="17"/>
      <c r="T278" s="32"/>
    </row>
    <row r="279" spans="1:20">
      <c r="A279" s="23" t="str">
        <f t="shared" si="12"/>
        <v/>
      </c>
      <c r="B279" s="47"/>
      <c r="C279" s="39"/>
      <c r="D279" s="39"/>
      <c r="E279" s="39"/>
      <c r="F279" s="39"/>
      <c r="G279" s="20"/>
      <c r="H279" s="39"/>
      <c r="I279" s="44"/>
      <c r="J279" s="39"/>
      <c r="K279" s="39"/>
      <c r="L279" s="26"/>
      <c r="M279" s="39"/>
      <c r="N279" s="26"/>
      <c r="O279" s="20"/>
      <c r="P279" s="26"/>
      <c r="Q279" s="29" t="str">
        <f t="shared" ca="1" si="13"/>
        <v/>
      </c>
      <c r="R279" s="23" t="str">
        <f t="shared" ca="1" si="14"/>
        <v/>
      </c>
      <c r="S279" s="17"/>
      <c r="T279" s="32"/>
    </row>
    <row r="280" spans="1:20">
      <c r="A280" s="23" t="str">
        <f t="shared" si="12"/>
        <v/>
      </c>
      <c r="B280" s="47"/>
      <c r="C280" s="39"/>
      <c r="D280" s="39"/>
      <c r="E280" s="39"/>
      <c r="F280" s="39"/>
      <c r="G280" s="20"/>
      <c r="H280" s="39"/>
      <c r="I280" s="44"/>
      <c r="J280" s="39"/>
      <c r="K280" s="39"/>
      <c r="L280" s="26"/>
      <c r="M280" s="39"/>
      <c r="N280" s="26"/>
      <c r="O280" s="20"/>
      <c r="P280" s="26"/>
      <c r="Q280" s="29" t="str">
        <f t="shared" ca="1" si="13"/>
        <v/>
      </c>
      <c r="R280" s="23" t="str">
        <f t="shared" ca="1" si="14"/>
        <v/>
      </c>
      <c r="S280" s="17"/>
      <c r="T280" s="32"/>
    </row>
    <row r="281" spans="1:20">
      <c r="A281" s="23" t="str">
        <f t="shared" si="12"/>
        <v/>
      </c>
      <c r="B281" s="47"/>
      <c r="C281" s="39"/>
      <c r="D281" s="39"/>
      <c r="E281" s="39"/>
      <c r="F281" s="39"/>
      <c r="G281" s="20"/>
      <c r="H281" s="39"/>
      <c r="I281" s="44"/>
      <c r="J281" s="39"/>
      <c r="K281" s="39"/>
      <c r="L281" s="26"/>
      <c r="M281" s="39"/>
      <c r="N281" s="26"/>
      <c r="O281" s="20"/>
      <c r="P281" s="26"/>
      <c r="Q281" s="29" t="str">
        <f t="shared" ca="1" si="13"/>
        <v/>
      </c>
      <c r="R281" s="23" t="str">
        <f t="shared" ca="1" si="14"/>
        <v/>
      </c>
      <c r="S281" s="17"/>
      <c r="T281" s="32"/>
    </row>
    <row r="282" spans="1:20">
      <c r="A282" s="23" t="str">
        <f t="shared" si="12"/>
        <v/>
      </c>
      <c r="B282" s="47"/>
      <c r="C282" s="39"/>
      <c r="D282" s="39"/>
      <c r="E282" s="39"/>
      <c r="F282" s="39"/>
      <c r="G282" s="20"/>
      <c r="H282" s="39"/>
      <c r="I282" s="44"/>
      <c r="J282" s="39"/>
      <c r="K282" s="39"/>
      <c r="L282" s="26"/>
      <c r="M282" s="39"/>
      <c r="N282" s="26"/>
      <c r="O282" s="20"/>
      <c r="P282" s="26"/>
      <c r="Q282" s="29" t="str">
        <f t="shared" ca="1" si="13"/>
        <v/>
      </c>
      <c r="R282" s="23" t="str">
        <f t="shared" ca="1" si="14"/>
        <v/>
      </c>
      <c r="S282" s="17"/>
      <c r="T282" s="32"/>
    </row>
    <row r="283" spans="1:20">
      <c r="A283" s="23" t="str">
        <f t="shared" si="12"/>
        <v/>
      </c>
      <c r="B283" s="47"/>
      <c r="C283" s="39"/>
      <c r="D283" s="39"/>
      <c r="E283" s="39"/>
      <c r="F283" s="39"/>
      <c r="G283" s="20"/>
      <c r="H283" s="39"/>
      <c r="I283" s="44"/>
      <c r="J283" s="39"/>
      <c r="K283" s="39"/>
      <c r="L283" s="26"/>
      <c r="M283" s="39"/>
      <c r="N283" s="26"/>
      <c r="O283" s="20"/>
      <c r="P283" s="26"/>
      <c r="Q283" s="29" t="str">
        <f t="shared" ca="1" si="13"/>
        <v/>
      </c>
      <c r="R283" s="23" t="str">
        <f t="shared" ca="1" si="14"/>
        <v/>
      </c>
      <c r="S283" s="17"/>
      <c r="T283" s="32"/>
    </row>
    <row r="284" spans="1:20">
      <c r="A284" s="23" t="str">
        <f t="shared" si="12"/>
        <v/>
      </c>
      <c r="B284" s="47"/>
      <c r="C284" s="39"/>
      <c r="D284" s="39"/>
      <c r="E284" s="39"/>
      <c r="F284" s="39"/>
      <c r="G284" s="20"/>
      <c r="H284" s="39"/>
      <c r="I284" s="44"/>
      <c r="J284" s="39"/>
      <c r="K284" s="39"/>
      <c r="L284" s="26"/>
      <c r="M284" s="39"/>
      <c r="N284" s="26"/>
      <c r="O284" s="20"/>
      <c r="P284" s="26"/>
      <c r="Q284" s="29" t="str">
        <f t="shared" ca="1" si="13"/>
        <v/>
      </c>
      <c r="R284" s="23" t="str">
        <f t="shared" ca="1" si="14"/>
        <v/>
      </c>
      <c r="S284" s="17"/>
      <c r="T284" s="32"/>
    </row>
    <row r="285" spans="1:20">
      <c r="A285" s="23" t="str">
        <f t="shared" si="12"/>
        <v/>
      </c>
      <c r="B285" s="47"/>
      <c r="C285" s="39"/>
      <c r="D285" s="39"/>
      <c r="E285" s="39"/>
      <c r="F285" s="39"/>
      <c r="G285" s="20"/>
      <c r="H285" s="39"/>
      <c r="I285" s="44"/>
      <c r="J285" s="39"/>
      <c r="K285" s="39"/>
      <c r="L285" s="26"/>
      <c r="M285" s="39"/>
      <c r="N285" s="26"/>
      <c r="O285" s="20"/>
      <c r="P285" s="26"/>
      <c r="Q285" s="29" t="str">
        <f t="shared" ca="1" si="13"/>
        <v/>
      </c>
      <c r="R285" s="23" t="str">
        <f t="shared" ca="1" si="14"/>
        <v/>
      </c>
      <c r="S285" s="17"/>
      <c r="T285" s="32"/>
    </row>
    <row r="286" spans="1:20">
      <c r="A286" s="23" t="str">
        <f t="shared" si="12"/>
        <v/>
      </c>
      <c r="B286" s="47"/>
      <c r="C286" s="39"/>
      <c r="D286" s="39"/>
      <c r="E286" s="39"/>
      <c r="F286" s="39"/>
      <c r="G286" s="20"/>
      <c r="H286" s="39"/>
      <c r="I286" s="44"/>
      <c r="J286" s="39"/>
      <c r="K286" s="39"/>
      <c r="L286" s="26"/>
      <c r="M286" s="39"/>
      <c r="N286" s="26"/>
      <c r="O286" s="20"/>
      <c r="P286" s="26"/>
      <c r="Q286" s="29" t="str">
        <f t="shared" ca="1" si="13"/>
        <v/>
      </c>
      <c r="R286" s="23" t="str">
        <f t="shared" ca="1" si="14"/>
        <v/>
      </c>
      <c r="S286" s="17"/>
      <c r="T286" s="32"/>
    </row>
    <row r="287" spans="1:20">
      <c r="A287" s="23" t="str">
        <f t="shared" si="12"/>
        <v/>
      </c>
      <c r="B287" s="47"/>
      <c r="C287" s="39"/>
      <c r="D287" s="39"/>
      <c r="E287" s="39"/>
      <c r="F287" s="39"/>
      <c r="G287" s="20"/>
      <c r="H287" s="39"/>
      <c r="I287" s="44"/>
      <c r="J287" s="39"/>
      <c r="K287" s="39"/>
      <c r="L287" s="26"/>
      <c r="M287" s="39"/>
      <c r="N287" s="26"/>
      <c r="O287" s="20"/>
      <c r="P287" s="26"/>
      <c r="Q287" s="29" t="str">
        <f t="shared" ca="1" si="13"/>
        <v/>
      </c>
      <c r="R287" s="23" t="str">
        <f t="shared" ca="1" si="14"/>
        <v/>
      </c>
      <c r="S287" s="17"/>
      <c r="T287" s="32"/>
    </row>
    <row r="288" spans="1:20">
      <c r="A288" s="23" t="str">
        <f t="shared" si="12"/>
        <v/>
      </c>
      <c r="B288" s="47"/>
      <c r="C288" s="39"/>
      <c r="D288" s="39"/>
      <c r="E288" s="39"/>
      <c r="F288" s="39"/>
      <c r="G288" s="20"/>
      <c r="H288" s="39"/>
      <c r="I288" s="44"/>
      <c r="J288" s="39"/>
      <c r="K288" s="39"/>
      <c r="L288" s="26"/>
      <c r="M288" s="39"/>
      <c r="N288" s="26"/>
      <c r="O288" s="20"/>
      <c r="P288" s="26"/>
      <c r="Q288" s="29" t="str">
        <f t="shared" ca="1" si="13"/>
        <v/>
      </c>
      <c r="R288" s="23" t="str">
        <f t="shared" ca="1" si="14"/>
        <v/>
      </c>
      <c r="S288" s="17"/>
      <c r="T288" s="32"/>
    </row>
    <row r="289" spans="1:20">
      <c r="A289" s="23" t="str">
        <f t="shared" si="12"/>
        <v/>
      </c>
      <c r="B289" s="47"/>
      <c r="C289" s="39"/>
      <c r="D289" s="39"/>
      <c r="E289" s="39"/>
      <c r="F289" s="39"/>
      <c r="G289" s="20"/>
      <c r="H289" s="39"/>
      <c r="I289" s="44"/>
      <c r="J289" s="39"/>
      <c r="K289" s="39"/>
      <c r="L289" s="26"/>
      <c r="M289" s="39"/>
      <c r="N289" s="26"/>
      <c r="O289" s="20"/>
      <c r="P289" s="26"/>
      <c r="Q289" s="29" t="str">
        <f t="shared" ca="1" si="13"/>
        <v/>
      </c>
      <c r="R289" s="23" t="str">
        <f t="shared" ca="1" si="14"/>
        <v/>
      </c>
      <c r="S289" s="17"/>
      <c r="T289" s="32"/>
    </row>
    <row r="290" spans="1:20">
      <c r="A290" s="23" t="str">
        <f t="shared" si="12"/>
        <v/>
      </c>
      <c r="B290" s="47"/>
      <c r="C290" s="39"/>
      <c r="D290" s="39"/>
      <c r="E290" s="39"/>
      <c r="F290" s="39"/>
      <c r="G290" s="20"/>
      <c r="H290" s="39"/>
      <c r="I290" s="44"/>
      <c r="J290" s="39"/>
      <c r="K290" s="39"/>
      <c r="L290" s="26"/>
      <c r="M290" s="39"/>
      <c r="N290" s="26"/>
      <c r="O290" s="20"/>
      <c r="P290" s="26"/>
      <c r="Q290" s="29" t="str">
        <f t="shared" ca="1" si="13"/>
        <v/>
      </c>
      <c r="R290" s="23" t="str">
        <f t="shared" ca="1" si="14"/>
        <v/>
      </c>
      <c r="S290" s="17"/>
      <c r="T290" s="32"/>
    </row>
    <row r="291" spans="1:20">
      <c r="A291" s="23" t="str">
        <f t="shared" si="12"/>
        <v/>
      </c>
      <c r="B291" s="47"/>
      <c r="C291" s="39"/>
      <c r="D291" s="39"/>
      <c r="E291" s="39"/>
      <c r="F291" s="39"/>
      <c r="G291" s="20"/>
      <c r="H291" s="39"/>
      <c r="I291" s="44"/>
      <c r="J291" s="39"/>
      <c r="K291" s="39"/>
      <c r="L291" s="26"/>
      <c r="M291" s="39"/>
      <c r="N291" s="26"/>
      <c r="O291" s="20"/>
      <c r="P291" s="26"/>
      <c r="Q291" s="29" t="str">
        <f t="shared" ca="1" si="13"/>
        <v/>
      </c>
      <c r="R291" s="23" t="str">
        <f t="shared" ca="1" si="14"/>
        <v/>
      </c>
      <c r="S291" s="17"/>
      <c r="T291" s="32"/>
    </row>
    <row r="292" spans="1:20">
      <c r="A292" s="23" t="str">
        <f t="shared" si="12"/>
        <v/>
      </c>
      <c r="B292" s="47"/>
      <c r="C292" s="39"/>
      <c r="D292" s="39"/>
      <c r="E292" s="39"/>
      <c r="F292" s="39"/>
      <c r="G292" s="20"/>
      <c r="H292" s="39"/>
      <c r="I292" s="44"/>
      <c r="J292" s="39"/>
      <c r="K292" s="39"/>
      <c r="L292" s="26"/>
      <c r="M292" s="39"/>
      <c r="N292" s="26"/>
      <c r="O292" s="20"/>
      <c r="P292" s="26"/>
      <c r="Q292" s="29" t="str">
        <f t="shared" ca="1" si="13"/>
        <v/>
      </c>
      <c r="R292" s="23" t="str">
        <f t="shared" ca="1" si="14"/>
        <v/>
      </c>
      <c r="S292" s="17"/>
      <c r="T292" s="32"/>
    </row>
    <row r="293" spans="1:20">
      <c r="A293" s="23" t="str">
        <f t="shared" si="12"/>
        <v/>
      </c>
      <c r="B293" s="47"/>
      <c r="C293" s="39"/>
      <c r="D293" s="39"/>
      <c r="E293" s="39"/>
      <c r="F293" s="39"/>
      <c r="G293" s="20"/>
      <c r="H293" s="39"/>
      <c r="I293" s="44"/>
      <c r="J293" s="39"/>
      <c r="K293" s="39"/>
      <c r="L293" s="26"/>
      <c r="M293" s="39"/>
      <c r="N293" s="26"/>
      <c r="O293" s="20"/>
      <c r="P293" s="26"/>
      <c r="Q293" s="29" t="str">
        <f t="shared" ca="1" si="13"/>
        <v/>
      </c>
      <c r="R293" s="23" t="str">
        <f t="shared" ca="1" si="14"/>
        <v/>
      </c>
      <c r="S293" s="17"/>
      <c r="T293" s="32"/>
    </row>
    <row r="294" spans="1:20">
      <c r="A294" s="23" t="str">
        <f t="shared" si="12"/>
        <v/>
      </c>
      <c r="B294" s="47"/>
      <c r="C294" s="39"/>
      <c r="D294" s="39"/>
      <c r="E294" s="39"/>
      <c r="F294" s="39"/>
      <c r="G294" s="20"/>
      <c r="H294" s="39"/>
      <c r="I294" s="44"/>
      <c r="J294" s="39"/>
      <c r="K294" s="39"/>
      <c r="L294" s="26"/>
      <c r="M294" s="39"/>
      <c r="N294" s="26"/>
      <c r="O294" s="20"/>
      <c r="P294" s="26"/>
      <c r="Q294" s="29" t="str">
        <f t="shared" ca="1" si="13"/>
        <v/>
      </c>
      <c r="R294" s="23" t="str">
        <f t="shared" ca="1" si="14"/>
        <v/>
      </c>
      <c r="S294" s="17"/>
      <c r="T294" s="32"/>
    </row>
    <row r="295" spans="1:20">
      <c r="A295" s="23" t="str">
        <f t="shared" si="12"/>
        <v/>
      </c>
      <c r="B295" s="47"/>
      <c r="C295" s="39"/>
      <c r="D295" s="39"/>
      <c r="E295" s="39"/>
      <c r="F295" s="39"/>
      <c r="G295" s="20"/>
      <c r="H295" s="39"/>
      <c r="I295" s="44"/>
      <c r="J295" s="39"/>
      <c r="K295" s="39"/>
      <c r="L295" s="26"/>
      <c r="M295" s="39"/>
      <c r="N295" s="26"/>
      <c r="O295" s="20"/>
      <c r="P295" s="26"/>
      <c r="Q295" s="29" t="str">
        <f t="shared" ca="1" si="13"/>
        <v/>
      </c>
      <c r="R295" s="23" t="str">
        <f t="shared" ca="1" si="14"/>
        <v/>
      </c>
      <c r="S295" s="17"/>
      <c r="T295" s="32"/>
    </row>
    <row r="296" spans="1:20">
      <c r="A296" s="23" t="str">
        <f t="shared" si="12"/>
        <v/>
      </c>
      <c r="B296" s="47"/>
      <c r="C296" s="39"/>
      <c r="D296" s="39"/>
      <c r="E296" s="39"/>
      <c r="F296" s="39"/>
      <c r="G296" s="20"/>
      <c r="H296" s="39"/>
      <c r="I296" s="44"/>
      <c r="J296" s="39"/>
      <c r="K296" s="39"/>
      <c r="L296" s="26"/>
      <c r="M296" s="39"/>
      <c r="N296" s="26"/>
      <c r="O296" s="20"/>
      <c r="P296" s="26"/>
      <c r="Q296" s="29" t="str">
        <f t="shared" ca="1" si="13"/>
        <v/>
      </c>
      <c r="R296" s="23" t="str">
        <f t="shared" ca="1" si="14"/>
        <v/>
      </c>
      <c r="S296" s="17"/>
      <c r="T296" s="32"/>
    </row>
    <row r="297" spans="1:20">
      <c r="A297" s="23" t="str">
        <f t="shared" si="12"/>
        <v/>
      </c>
      <c r="B297" s="47"/>
      <c r="C297" s="39"/>
      <c r="D297" s="39"/>
      <c r="E297" s="39"/>
      <c r="F297" s="39"/>
      <c r="G297" s="20"/>
      <c r="H297" s="39"/>
      <c r="I297" s="44"/>
      <c r="J297" s="39"/>
      <c r="K297" s="39"/>
      <c r="L297" s="26"/>
      <c r="M297" s="39"/>
      <c r="N297" s="26"/>
      <c r="O297" s="20"/>
      <c r="P297" s="26"/>
      <c r="Q297" s="29" t="str">
        <f t="shared" ca="1" si="13"/>
        <v/>
      </c>
      <c r="R297" s="23" t="str">
        <f t="shared" ca="1" si="14"/>
        <v/>
      </c>
      <c r="S297" s="17"/>
      <c r="T297" s="32"/>
    </row>
    <row r="298" spans="1:20">
      <c r="A298" s="23" t="str">
        <f t="shared" si="12"/>
        <v/>
      </c>
      <c r="B298" s="47"/>
      <c r="C298" s="39"/>
      <c r="D298" s="39"/>
      <c r="E298" s="39"/>
      <c r="F298" s="39"/>
      <c r="G298" s="20"/>
      <c r="H298" s="39"/>
      <c r="I298" s="44"/>
      <c r="J298" s="39"/>
      <c r="K298" s="39"/>
      <c r="L298" s="26"/>
      <c r="M298" s="39"/>
      <c r="N298" s="26"/>
      <c r="O298" s="20"/>
      <c r="P298" s="26"/>
      <c r="Q298" s="29" t="str">
        <f t="shared" ca="1" si="13"/>
        <v/>
      </c>
      <c r="R298" s="23" t="str">
        <f t="shared" ca="1" si="14"/>
        <v/>
      </c>
      <c r="S298" s="17"/>
      <c r="T298" s="32"/>
    </row>
    <row r="299" spans="1:20">
      <c r="A299" s="23" t="str">
        <f t="shared" si="12"/>
        <v/>
      </c>
      <c r="B299" s="47"/>
      <c r="C299" s="39"/>
      <c r="D299" s="39"/>
      <c r="E299" s="39"/>
      <c r="F299" s="39"/>
      <c r="G299" s="20"/>
      <c r="H299" s="39"/>
      <c r="I299" s="44"/>
      <c r="J299" s="39"/>
      <c r="K299" s="39"/>
      <c r="L299" s="26"/>
      <c r="M299" s="39"/>
      <c r="N299" s="26"/>
      <c r="O299" s="20"/>
      <c r="P299" s="26"/>
      <c r="Q299" s="29" t="str">
        <f t="shared" ca="1" si="13"/>
        <v/>
      </c>
      <c r="R299" s="23" t="str">
        <f t="shared" ca="1" si="14"/>
        <v/>
      </c>
      <c r="S299" s="17"/>
      <c r="T299" s="32"/>
    </row>
    <row r="300" spans="1:20">
      <c r="A300" s="23" t="str">
        <f t="shared" si="12"/>
        <v/>
      </c>
      <c r="B300" s="47"/>
      <c r="C300" s="39"/>
      <c r="D300" s="39"/>
      <c r="E300" s="39"/>
      <c r="F300" s="39"/>
      <c r="G300" s="20"/>
      <c r="H300" s="39"/>
      <c r="I300" s="44"/>
      <c r="J300" s="39"/>
      <c r="K300" s="39"/>
      <c r="L300" s="26"/>
      <c r="M300" s="39"/>
      <c r="N300" s="26"/>
      <c r="O300" s="20"/>
      <c r="P300" s="26"/>
      <c r="Q300" s="29" t="str">
        <f t="shared" ca="1" si="13"/>
        <v/>
      </c>
      <c r="R300" s="23" t="str">
        <f t="shared" ca="1" si="14"/>
        <v/>
      </c>
      <c r="S300" s="17"/>
      <c r="T300" s="32"/>
    </row>
    <row r="301" spans="1:20">
      <c r="A301" s="23" t="str">
        <f t="shared" si="12"/>
        <v/>
      </c>
      <c r="B301" s="47"/>
      <c r="C301" s="39"/>
      <c r="D301" s="39"/>
      <c r="E301" s="39"/>
      <c r="F301" s="39"/>
      <c r="G301" s="20"/>
      <c r="H301" s="39"/>
      <c r="I301" s="44"/>
      <c r="J301" s="39"/>
      <c r="K301" s="39"/>
      <c r="L301" s="26"/>
      <c r="M301" s="39"/>
      <c r="N301" s="26"/>
      <c r="O301" s="20"/>
      <c r="P301" s="26"/>
      <c r="Q301" s="29" t="str">
        <f t="shared" ca="1" si="13"/>
        <v/>
      </c>
      <c r="R301" s="23" t="str">
        <f t="shared" ca="1" si="14"/>
        <v/>
      </c>
      <c r="S301" s="17"/>
      <c r="T301" s="32"/>
    </row>
    <row r="302" spans="1:20">
      <c r="A302" s="23" t="str">
        <f t="shared" si="12"/>
        <v/>
      </c>
      <c r="B302" s="47"/>
      <c r="C302" s="39"/>
      <c r="D302" s="39"/>
      <c r="E302" s="39"/>
      <c r="F302" s="39"/>
      <c r="G302" s="20"/>
      <c r="H302" s="39"/>
      <c r="I302" s="44"/>
      <c r="J302" s="39"/>
      <c r="K302" s="39"/>
      <c r="L302" s="26"/>
      <c r="M302" s="39"/>
      <c r="N302" s="26"/>
      <c r="O302" s="20"/>
      <c r="P302" s="26"/>
      <c r="Q302" s="29" t="str">
        <f t="shared" ca="1" si="13"/>
        <v/>
      </c>
      <c r="R302" s="23" t="str">
        <f t="shared" ca="1" si="14"/>
        <v/>
      </c>
      <c r="S302" s="17"/>
      <c r="T302" s="32"/>
    </row>
    <row r="303" spans="1:20">
      <c r="A303" s="23" t="str">
        <f t="shared" si="12"/>
        <v/>
      </c>
      <c r="B303" s="47"/>
      <c r="C303" s="39"/>
      <c r="D303" s="39"/>
      <c r="E303" s="39"/>
      <c r="F303" s="39"/>
      <c r="G303" s="20"/>
      <c r="H303" s="39"/>
      <c r="I303" s="44"/>
      <c r="J303" s="39"/>
      <c r="K303" s="39"/>
      <c r="L303" s="26"/>
      <c r="M303" s="39"/>
      <c r="N303" s="26"/>
      <c r="O303" s="20"/>
      <c r="P303" s="26"/>
      <c r="Q303" s="29" t="str">
        <f t="shared" ca="1" si="13"/>
        <v/>
      </c>
      <c r="R303" s="23" t="str">
        <f t="shared" ca="1" si="14"/>
        <v/>
      </c>
      <c r="S303" s="17"/>
      <c r="T303" s="32"/>
    </row>
    <row r="304" spans="1:20">
      <c r="A304" s="23" t="str">
        <f t="shared" si="12"/>
        <v/>
      </c>
      <c r="B304" s="47"/>
      <c r="C304" s="39"/>
      <c r="D304" s="39"/>
      <c r="E304" s="39"/>
      <c r="F304" s="39"/>
      <c r="G304" s="20"/>
      <c r="H304" s="39"/>
      <c r="I304" s="44"/>
      <c r="J304" s="39"/>
      <c r="K304" s="39"/>
      <c r="L304" s="26"/>
      <c r="M304" s="39"/>
      <c r="N304" s="26"/>
      <c r="O304" s="20"/>
      <c r="P304" s="26"/>
      <c r="Q304" s="29" t="str">
        <f t="shared" ca="1" si="13"/>
        <v/>
      </c>
      <c r="R304" s="23" t="str">
        <f t="shared" ca="1" si="14"/>
        <v/>
      </c>
      <c r="S304" s="17"/>
      <c r="T304" s="32"/>
    </row>
    <row r="305" spans="1:20">
      <c r="A305" s="23" t="str">
        <f t="shared" si="12"/>
        <v/>
      </c>
      <c r="B305" s="47"/>
      <c r="C305" s="39"/>
      <c r="D305" s="39"/>
      <c r="E305" s="39"/>
      <c r="F305" s="39"/>
      <c r="G305" s="20"/>
      <c r="H305" s="39"/>
      <c r="I305" s="44"/>
      <c r="J305" s="39"/>
      <c r="K305" s="39"/>
      <c r="L305" s="26"/>
      <c r="M305" s="39"/>
      <c r="N305" s="26"/>
      <c r="O305" s="20"/>
      <c r="P305" s="26"/>
      <c r="Q305" s="29" t="str">
        <f t="shared" ca="1" si="13"/>
        <v/>
      </c>
      <c r="R305" s="23" t="str">
        <f t="shared" ca="1" si="14"/>
        <v/>
      </c>
      <c r="S305" s="17"/>
      <c r="T305" s="32"/>
    </row>
    <row r="306" spans="1:20">
      <c r="A306" s="23" t="str">
        <f t="shared" si="12"/>
        <v/>
      </c>
      <c r="B306" s="47"/>
      <c r="C306" s="39"/>
      <c r="D306" s="39"/>
      <c r="E306" s="39"/>
      <c r="F306" s="39"/>
      <c r="G306" s="20"/>
      <c r="H306" s="39"/>
      <c r="I306" s="44"/>
      <c r="J306" s="39"/>
      <c r="K306" s="39"/>
      <c r="L306" s="26"/>
      <c r="M306" s="39"/>
      <c r="N306" s="26"/>
      <c r="O306" s="20"/>
      <c r="P306" s="26"/>
      <c r="Q306" s="29" t="str">
        <f t="shared" ca="1" si="13"/>
        <v/>
      </c>
      <c r="R306" s="23" t="str">
        <f t="shared" ca="1" si="14"/>
        <v/>
      </c>
      <c r="S306" s="17"/>
      <c r="T306" s="32"/>
    </row>
    <row r="307" spans="1:20">
      <c r="A307" s="23" t="str">
        <f t="shared" si="12"/>
        <v/>
      </c>
      <c r="B307" s="47"/>
      <c r="C307" s="39"/>
      <c r="D307" s="39"/>
      <c r="E307" s="39"/>
      <c r="F307" s="39"/>
      <c r="G307" s="20"/>
      <c r="H307" s="39"/>
      <c r="I307" s="44"/>
      <c r="J307" s="39"/>
      <c r="K307" s="39"/>
      <c r="L307" s="26"/>
      <c r="M307" s="39"/>
      <c r="N307" s="26"/>
      <c r="O307" s="20"/>
      <c r="P307" s="26"/>
      <c r="Q307" s="29" t="str">
        <f t="shared" ca="1" si="13"/>
        <v/>
      </c>
      <c r="R307" s="23" t="str">
        <f t="shared" ca="1" si="14"/>
        <v/>
      </c>
      <c r="S307" s="17"/>
      <c r="T307" s="32"/>
    </row>
    <row r="308" spans="1:20">
      <c r="A308" s="23" t="str">
        <f t="shared" si="12"/>
        <v/>
      </c>
      <c r="B308" s="47"/>
      <c r="C308" s="39"/>
      <c r="D308" s="39"/>
      <c r="E308" s="39"/>
      <c r="F308" s="39"/>
      <c r="G308" s="20"/>
      <c r="H308" s="39"/>
      <c r="I308" s="44"/>
      <c r="J308" s="39"/>
      <c r="K308" s="39"/>
      <c r="L308" s="26"/>
      <c r="M308" s="39"/>
      <c r="N308" s="26"/>
      <c r="O308" s="20"/>
      <c r="P308" s="26"/>
      <c r="Q308" s="29" t="str">
        <f t="shared" ca="1" si="13"/>
        <v/>
      </c>
      <c r="R308" s="23" t="str">
        <f t="shared" ca="1" si="14"/>
        <v/>
      </c>
      <c r="S308" s="17"/>
      <c r="T308" s="32"/>
    </row>
    <row r="309" spans="1:20">
      <c r="A309" s="23" t="str">
        <f t="shared" si="12"/>
        <v/>
      </c>
      <c r="B309" s="47"/>
      <c r="C309" s="39"/>
      <c r="D309" s="39"/>
      <c r="E309" s="39"/>
      <c r="F309" s="39"/>
      <c r="G309" s="20"/>
      <c r="H309" s="39"/>
      <c r="I309" s="44"/>
      <c r="J309" s="39"/>
      <c r="K309" s="39"/>
      <c r="L309" s="26"/>
      <c r="M309" s="39"/>
      <c r="N309" s="26"/>
      <c r="O309" s="20"/>
      <c r="P309" s="26"/>
      <c r="Q309" s="29" t="str">
        <f t="shared" ca="1" si="13"/>
        <v/>
      </c>
      <c r="R309" s="23" t="str">
        <f t="shared" ca="1" si="14"/>
        <v/>
      </c>
      <c r="S309" s="17"/>
      <c r="T309" s="32"/>
    </row>
    <row r="310" spans="1:20">
      <c r="A310" s="23" t="str">
        <f t="shared" si="12"/>
        <v/>
      </c>
      <c r="B310" s="47"/>
      <c r="C310" s="39"/>
      <c r="D310" s="39"/>
      <c r="E310" s="39"/>
      <c r="F310" s="39"/>
      <c r="G310" s="20"/>
      <c r="H310" s="39"/>
      <c r="I310" s="44"/>
      <c r="J310" s="39"/>
      <c r="K310" s="39"/>
      <c r="L310" s="26"/>
      <c r="M310" s="39"/>
      <c r="N310" s="26"/>
      <c r="O310" s="20"/>
      <c r="P310" s="26"/>
      <c r="Q310" s="29" t="str">
        <f t="shared" ca="1" si="13"/>
        <v/>
      </c>
      <c r="R310" s="23" t="str">
        <f t="shared" ca="1" si="14"/>
        <v/>
      </c>
      <c r="S310" s="17"/>
      <c r="T310" s="32"/>
    </row>
    <row r="311" spans="1:20">
      <c r="A311" s="23" t="str">
        <f t="shared" si="12"/>
        <v/>
      </c>
      <c r="B311" s="47"/>
      <c r="C311" s="39"/>
      <c r="D311" s="39"/>
      <c r="E311" s="39"/>
      <c r="F311" s="39"/>
      <c r="G311" s="20"/>
      <c r="H311" s="39"/>
      <c r="I311" s="44"/>
      <c r="J311" s="39"/>
      <c r="K311" s="39"/>
      <c r="L311" s="26"/>
      <c r="M311" s="39"/>
      <c r="N311" s="26"/>
      <c r="O311" s="20"/>
      <c r="P311" s="26"/>
      <c r="Q311" s="29" t="str">
        <f t="shared" ca="1" si="13"/>
        <v/>
      </c>
      <c r="R311" s="23" t="str">
        <f t="shared" ca="1" si="14"/>
        <v/>
      </c>
      <c r="S311" s="17"/>
      <c r="T311" s="32"/>
    </row>
    <row r="312" spans="1:20">
      <c r="A312" s="23" t="str">
        <f t="shared" si="12"/>
        <v/>
      </c>
      <c r="B312" s="47"/>
      <c r="C312" s="39"/>
      <c r="D312" s="39"/>
      <c r="E312" s="39"/>
      <c r="F312" s="39"/>
      <c r="G312" s="20"/>
      <c r="H312" s="39"/>
      <c r="I312" s="44"/>
      <c r="J312" s="39"/>
      <c r="K312" s="39"/>
      <c r="L312" s="26"/>
      <c r="M312" s="39"/>
      <c r="N312" s="26"/>
      <c r="O312" s="20"/>
      <c r="P312" s="26"/>
      <c r="Q312" s="29" t="str">
        <f t="shared" ca="1" si="13"/>
        <v/>
      </c>
      <c r="R312" s="23" t="str">
        <f t="shared" ca="1" si="14"/>
        <v/>
      </c>
      <c r="S312" s="17"/>
      <c r="T312" s="32"/>
    </row>
    <row r="313" spans="1:20">
      <c r="A313" s="23" t="str">
        <f t="shared" si="12"/>
        <v/>
      </c>
      <c r="B313" s="47"/>
      <c r="C313" s="39"/>
      <c r="D313" s="39"/>
      <c r="E313" s="39"/>
      <c r="F313" s="39"/>
      <c r="G313" s="20"/>
      <c r="H313" s="39"/>
      <c r="I313" s="44"/>
      <c r="J313" s="39"/>
      <c r="K313" s="39"/>
      <c r="L313" s="26"/>
      <c r="M313" s="39"/>
      <c r="N313" s="26"/>
      <c r="O313" s="20"/>
      <c r="P313" s="26"/>
      <c r="Q313" s="29" t="str">
        <f t="shared" ca="1" si="13"/>
        <v/>
      </c>
      <c r="R313" s="23" t="str">
        <f t="shared" ca="1" si="14"/>
        <v/>
      </c>
      <c r="S313" s="17"/>
      <c r="T313" s="32"/>
    </row>
    <row r="314" spans="1:20">
      <c r="A314" s="23" t="str">
        <f t="shared" si="12"/>
        <v/>
      </c>
      <c r="B314" s="47"/>
      <c r="C314" s="39"/>
      <c r="D314" s="39"/>
      <c r="E314" s="39"/>
      <c r="F314" s="39"/>
      <c r="G314" s="20"/>
      <c r="H314" s="39"/>
      <c r="I314" s="44"/>
      <c r="J314" s="39"/>
      <c r="K314" s="39"/>
      <c r="L314" s="26"/>
      <c r="M314" s="39"/>
      <c r="N314" s="26"/>
      <c r="O314" s="20"/>
      <c r="P314" s="26"/>
      <c r="Q314" s="29" t="str">
        <f t="shared" ca="1" si="13"/>
        <v/>
      </c>
      <c r="R314" s="23" t="str">
        <f t="shared" ca="1" si="14"/>
        <v/>
      </c>
      <c r="S314" s="17"/>
      <c r="T314" s="32"/>
    </row>
    <row r="315" spans="1:20">
      <c r="A315" s="23" t="str">
        <f t="shared" si="12"/>
        <v/>
      </c>
      <c r="B315" s="47"/>
      <c r="C315" s="39"/>
      <c r="D315" s="39"/>
      <c r="E315" s="39"/>
      <c r="F315" s="39"/>
      <c r="G315" s="20"/>
      <c r="H315" s="39"/>
      <c r="I315" s="44"/>
      <c r="J315" s="39"/>
      <c r="K315" s="39"/>
      <c r="L315" s="26"/>
      <c r="M315" s="39"/>
      <c r="N315" s="26"/>
      <c r="O315" s="20"/>
      <c r="P315" s="26"/>
      <c r="Q315" s="29" t="str">
        <f t="shared" ca="1" si="13"/>
        <v/>
      </c>
      <c r="R315" s="23" t="str">
        <f t="shared" ca="1" si="14"/>
        <v/>
      </c>
      <c r="S315" s="17"/>
      <c r="T315" s="32"/>
    </row>
    <row r="316" spans="1:20">
      <c r="A316" s="23" t="str">
        <f t="shared" si="12"/>
        <v/>
      </c>
      <c r="B316" s="47"/>
      <c r="C316" s="39"/>
      <c r="D316" s="39"/>
      <c r="E316" s="39"/>
      <c r="F316" s="39"/>
      <c r="G316" s="20"/>
      <c r="H316" s="39"/>
      <c r="I316" s="44"/>
      <c r="J316" s="39"/>
      <c r="K316" s="39"/>
      <c r="L316" s="26"/>
      <c r="M316" s="39"/>
      <c r="N316" s="26"/>
      <c r="O316" s="20"/>
      <c r="P316" s="26"/>
      <c r="Q316" s="29" t="str">
        <f t="shared" ca="1" si="13"/>
        <v/>
      </c>
      <c r="R316" s="23" t="str">
        <f t="shared" ca="1" si="14"/>
        <v/>
      </c>
      <c r="S316" s="17"/>
      <c r="T316" s="32"/>
    </row>
    <row r="317" spans="1:20">
      <c r="A317" s="23" t="str">
        <f t="shared" si="12"/>
        <v/>
      </c>
      <c r="B317" s="47"/>
      <c r="C317" s="39"/>
      <c r="D317" s="39"/>
      <c r="E317" s="39"/>
      <c r="F317" s="39"/>
      <c r="G317" s="20"/>
      <c r="H317" s="39"/>
      <c r="I317" s="44"/>
      <c r="J317" s="39"/>
      <c r="K317" s="39"/>
      <c r="L317" s="26"/>
      <c r="M317" s="39"/>
      <c r="N317" s="26"/>
      <c r="O317" s="20"/>
      <c r="P317" s="26"/>
      <c r="Q317" s="29" t="str">
        <f t="shared" ca="1" si="13"/>
        <v/>
      </c>
      <c r="R317" s="23" t="str">
        <f t="shared" ca="1" si="14"/>
        <v/>
      </c>
      <c r="S317" s="17"/>
      <c r="T317" s="32"/>
    </row>
    <row r="318" spans="1:20">
      <c r="A318" s="23" t="str">
        <f t="shared" si="12"/>
        <v/>
      </c>
      <c r="B318" s="47"/>
      <c r="C318" s="39"/>
      <c r="D318" s="39"/>
      <c r="E318" s="39"/>
      <c r="F318" s="39"/>
      <c r="G318" s="20"/>
      <c r="H318" s="39"/>
      <c r="I318" s="44"/>
      <c r="J318" s="39"/>
      <c r="K318" s="39"/>
      <c r="L318" s="26"/>
      <c r="M318" s="39"/>
      <c r="N318" s="26"/>
      <c r="O318" s="20"/>
      <c r="P318" s="26"/>
      <c r="Q318" s="29" t="str">
        <f t="shared" ca="1" si="13"/>
        <v/>
      </c>
      <c r="R318" s="23" t="str">
        <f t="shared" ca="1" si="14"/>
        <v/>
      </c>
      <c r="S318" s="17"/>
      <c r="T318" s="32"/>
    </row>
    <row r="319" spans="1:20">
      <c r="A319" s="23" t="str">
        <f t="shared" si="12"/>
        <v/>
      </c>
      <c r="B319" s="47"/>
      <c r="C319" s="39"/>
      <c r="D319" s="39"/>
      <c r="E319" s="39"/>
      <c r="F319" s="39"/>
      <c r="G319" s="20"/>
      <c r="H319" s="39"/>
      <c r="I319" s="44"/>
      <c r="J319" s="39"/>
      <c r="K319" s="39"/>
      <c r="L319" s="26"/>
      <c r="M319" s="39"/>
      <c r="N319" s="26"/>
      <c r="O319" s="20"/>
      <c r="P319" s="26"/>
      <c r="Q319" s="29" t="str">
        <f t="shared" ca="1" si="13"/>
        <v/>
      </c>
      <c r="R319" s="23" t="str">
        <f t="shared" ca="1" si="14"/>
        <v/>
      </c>
      <c r="S319" s="17"/>
      <c r="T319" s="32"/>
    </row>
    <row r="320" spans="1:20">
      <c r="A320" s="23" t="str">
        <f t="shared" si="12"/>
        <v/>
      </c>
      <c r="B320" s="47"/>
      <c r="C320" s="39"/>
      <c r="D320" s="39"/>
      <c r="E320" s="39"/>
      <c r="F320" s="39"/>
      <c r="G320" s="20"/>
      <c r="H320" s="39"/>
      <c r="I320" s="44"/>
      <c r="J320" s="39"/>
      <c r="K320" s="39"/>
      <c r="L320" s="26"/>
      <c r="M320" s="39"/>
      <c r="N320" s="26"/>
      <c r="O320" s="20"/>
      <c r="P320" s="26"/>
      <c r="Q320" s="29" t="str">
        <f t="shared" ca="1" si="13"/>
        <v/>
      </c>
      <c r="R320" s="23" t="str">
        <f t="shared" ca="1" si="14"/>
        <v/>
      </c>
      <c r="S320" s="17"/>
      <c r="T320" s="32"/>
    </row>
    <row r="321" spans="1:20">
      <c r="A321" s="23" t="str">
        <f t="shared" si="12"/>
        <v/>
      </c>
      <c r="B321" s="47"/>
      <c r="C321" s="39"/>
      <c r="D321" s="39"/>
      <c r="E321" s="39"/>
      <c r="F321" s="39"/>
      <c r="G321" s="20"/>
      <c r="H321" s="39"/>
      <c r="I321" s="44"/>
      <c r="J321" s="39"/>
      <c r="K321" s="39"/>
      <c r="L321" s="26"/>
      <c r="M321" s="39"/>
      <c r="N321" s="26"/>
      <c r="O321" s="20"/>
      <c r="P321" s="26"/>
      <c r="Q321" s="29" t="str">
        <f t="shared" ca="1" si="13"/>
        <v/>
      </c>
      <c r="R321" s="23" t="str">
        <f t="shared" ca="1" si="14"/>
        <v/>
      </c>
      <c r="S321" s="17"/>
      <c r="T321" s="32"/>
    </row>
    <row r="322" spans="1:20">
      <c r="A322" s="23" t="str">
        <f t="shared" si="12"/>
        <v/>
      </c>
      <c r="B322" s="47"/>
      <c r="C322" s="39"/>
      <c r="D322" s="39"/>
      <c r="E322" s="39"/>
      <c r="F322" s="39"/>
      <c r="G322" s="20"/>
      <c r="H322" s="39"/>
      <c r="I322" s="44"/>
      <c r="J322" s="39"/>
      <c r="K322" s="39"/>
      <c r="L322" s="26"/>
      <c r="M322" s="39"/>
      <c r="N322" s="26"/>
      <c r="O322" s="20"/>
      <c r="P322" s="26"/>
      <c r="Q322" s="29" t="str">
        <f t="shared" ca="1" si="13"/>
        <v/>
      </c>
      <c r="R322" s="23" t="str">
        <f t="shared" ca="1" si="14"/>
        <v/>
      </c>
      <c r="S322" s="17"/>
      <c r="T322" s="32"/>
    </row>
    <row r="323" spans="1:20">
      <c r="A323" s="23" t="str">
        <f t="shared" si="12"/>
        <v/>
      </c>
      <c r="B323" s="47"/>
      <c r="C323" s="39"/>
      <c r="D323" s="39"/>
      <c r="E323" s="39"/>
      <c r="F323" s="39"/>
      <c r="G323" s="20"/>
      <c r="H323" s="39"/>
      <c r="I323" s="44"/>
      <c r="J323" s="39"/>
      <c r="K323" s="39"/>
      <c r="L323" s="26"/>
      <c r="M323" s="39"/>
      <c r="N323" s="26"/>
      <c r="O323" s="20"/>
      <c r="P323" s="26"/>
      <c r="Q323" s="29" t="str">
        <f t="shared" ca="1" si="13"/>
        <v/>
      </c>
      <c r="R323" s="23" t="str">
        <f t="shared" ca="1" si="14"/>
        <v/>
      </c>
      <c r="S323" s="17"/>
      <c r="T323" s="32"/>
    </row>
    <row r="324" spans="1:20">
      <c r="A324" s="23" t="str">
        <f t="shared" si="12"/>
        <v/>
      </c>
      <c r="B324" s="47"/>
      <c r="C324" s="39"/>
      <c r="D324" s="39"/>
      <c r="E324" s="39"/>
      <c r="F324" s="39"/>
      <c r="G324" s="20"/>
      <c r="H324" s="39"/>
      <c r="I324" s="44"/>
      <c r="J324" s="39"/>
      <c r="K324" s="39"/>
      <c r="L324" s="26"/>
      <c r="M324" s="39"/>
      <c r="N324" s="26"/>
      <c r="O324" s="20"/>
      <c r="P324" s="26"/>
      <c r="Q324" s="29" t="str">
        <f t="shared" ca="1" si="13"/>
        <v/>
      </c>
      <c r="R324" s="23" t="str">
        <f t="shared" ca="1" si="14"/>
        <v/>
      </c>
      <c r="S324" s="17"/>
      <c r="T324" s="32"/>
    </row>
    <row r="325" spans="1:20">
      <c r="A325" s="23" t="str">
        <f t="shared" si="12"/>
        <v/>
      </c>
      <c r="B325" s="47"/>
      <c r="C325" s="39"/>
      <c r="D325" s="39"/>
      <c r="E325" s="39"/>
      <c r="F325" s="39"/>
      <c r="G325" s="20"/>
      <c r="H325" s="39"/>
      <c r="I325" s="44"/>
      <c r="J325" s="39"/>
      <c r="K325" s="39"/>
      <c r="L325" s="26"/>
      <c r="M325" s="39"/>
      <c r="N325" s="26"/>
      <c r="O325" s="20"/>
      <c r="P325" s="26"/>
      <c r="Q325" s="29" t="str">
        <f t="shared" ca="1" si="13"/>
        <v/>
      </c>
      <c r="R325" s="23" t="str">
        <f t="shared" ca="1" si="14"/>
        <v/>
      </c>
      <c r="S325" s="17"/>
      <c r="T325" s="32"/>
    </row>
    <row r="326" spans="1:20">
      <c r="A326" s="23" t="str">
        <f t="shared" si="12"/>
        <v/>
      </c>
      <c r="B326" s="47"/>
      <c r="C326" s="39"/>
      <c r="D326" s="39"/>
      <c r="E326" s="39"/>
      <c r="F326" s="39"/>
      <c r="G326" s="20"/>
      <c r="H326" s="39"/>
      <c r="I326" s="44"/>
      <c r="J326" s="39"/>
      <c r="K326" s="39"/>
      <c r="L326" s="26"/>
      <c r="M326" s="39"/>
      <c r="N326" s="26"/>
      <c r="O326" s="20"/>
      <c r="P326" s="26"/>
      <c r="Q326" s="29" t="str">
        <f t="shared" ca="1" si="13"/>
        <v/>
      </c>
      <c r="R326" s="23" t="str">
        <f t="shared" ca="1" si="14"/>
        <v/>
      </c>
      <c r="S326" s="17"/>
      <c r="T326" s="32"/>
    </row>
    <row r="327" spans="1:20">
      <c r="A327" s="23" t="str">
        <f t="shared" ref="A327:A390" si="15">IF($I327="","","DEF-"&amp;TEXT(ROW()-6,"0000"))</f>
        <v/>
      </c>
      <c r="B327" s="47"/>
      <c r="C327" s="39"/>
      <c r="D327" s="39"/>
      <c r="E327" s="39"/>
      <c r="F327" s="39"/>
      <c r="G327" s="20"/>
      <c r="H327" s="39"/>
      <c r="I327" s="44"/>
      <c r="J327" s="39"/>
      <c r="K327" s="39"/>
      <c r="L327" s="26"/>
      <c r="M327" s="39"/>
      <c r="N327" s="26"/>
      <c r="O327" s="20"/>
      <c r="P327" s="26"/>
      <c r="Q327" s="29" t="str">
        <f t="shared" ref="Q327:Q390" ca="1" si="16">IF($B327="","",MAX(0,IF($M327="Closed",IF($N327="",TODAY()-$B327,$N327-$B327),TODAY()-$B327)))</f>
        <v/>
      </c>
      <c r="R327" s="23" t="str">
        <f t="shared" ref="R327:R390" ca="1" si="17">IF(OR($I327="",$L327="",$M327="Closed"),"",IF(TODAY()&gt;$L327,"Yes","No"))</f>
        <v/>
      </c>
      <c r="S327" s="17"/>
      <c r="T327" s="32"/>
    </row>
    <row r="328" spans="1:20">
      <c r="A328" s="23" t="str">
        <f t="shared" si="15"/>
        <v/>
      </c>
      <c r="B328" s="47"/>
      <c r="C328" s="39"/>
      <c r="D328" s="39"/>
      <c r="E328" s="39"/>
      <c r="F328" s="39"/>
      <c r="G328" s="20"/>
      <c r="H328" s="39"/>
      <c r="I328" s="44"/>
      <c r="J328" s="39"/>
      <c r="K328" s="39"/>
      <c r="L328" s="26"/>
      <c r="M328" s="39"/>
      <c r="N328" s="26"/>
      <c r="O328" s="20"/>
      <c r="P328" s="26"/>
      <c r="Q328" s="29" t="str">
        <f t="shared" ca="1" si="16"/>
        <v/>
      </c>
      <c r="R328" s="23" t="str">
        <f t="shared" ca="1" si="17"/>
        <v/>
      </c>
      <c r="S328" s="17"/>
      <c r="T328" s="32"/>
    </row>
    <row r="329" spans="1:20">
      <c r="A329" s="23" t="str">
        <f t="shared" si="15"/>
        <v/>
      </c>
      <c r="B329" s="47"/>
      <c r="C329" s="39"/>
      <c r="D329" s="39"/>
      <c r="E329" s="39"/>
      <c r="F329" s="39"/>
      <c r="G329" s="20"/>
      <c r="H329" s="39"/>
      <c r="I329" s="44"/>
      <c r="J329" s="39"/>
      <c r="K329" s="39"/>
      <c r="L329" s="26"/>
      <c r="M329" s="39"/>
      <c r="N329" s="26"/>
      <c r="O329" s="20"/>
      <c r="P329" s="26"/>
      <c r="Q329" s="29" t="str">
        <f t="shared" ca="1" si="16"/>
        <v/>
      </c>
      <c r="R329" s="23" t="str">
        <f t="shared" ca="1" si="17"/>
        <v/>
      </c>
      <c r="S329" s="17"/>
      <c r="T329" s="32"/>
    </row>
    <row r="330" spans="1:20">
      <c r="A330" s="23" t="str">
        <f t="shared" si="15"/>
        <v/>
      </c>
      <c r="B330" s="47"/>
      <c r="C330" s="39"/>
      <c r="D330" s="39"/>
      <c r="E330" s="39"/>
      <c r="F330" s="39"/>
      <c r="G330" s="20"/>
      <c r="H330" s="39"/>
      <c r="I330" s="44"/>
      <c r="J330" s="39"/>
      <c r="K330" s="39"/>
      <c r="L330" s="26"/>
      <c r="M330" s="39"/>
      <c r="N330" s="26"/>
      <c r="O330" s="20"/>
      <c r="P330" s="26"/>
      <c r="Q330" s="29" t="str">
        <f t="shared" ca="1" si="16"/>
        <v/>
      </c>
      <c r="R330" s="23" t="str">
        <f t="shared" ca="1" si="17"/>
        <v/>
      </c>
      <c r="S330" s="17"/>
      <c r="T330" s="32"/>
    </row>
    <row r="331" spans="1:20">
      <c r="A331" s="23" t="str">
        <f t="shared" si="15"/>
        <v/>
      </c>
      <c r="B331" s="47"/>
      <c r="C331" s="39"/>
      <c r="D331" s="39"/>
      <c r="E331" s="39"/>
      <c r="F331" s="39"/>
      <c r="G331" s="20"/>
      <c r="H331" s="39"/>
      <c r="I331" s="44"/>
      <c r="J331" s="39"/>
      <c r="K331" s="39"/>
      <c r="L331" s="26"/>
      <c r="M331" s="39"/>
      <c r="N331" s="26"/>
      <c r="O331" s="20"/>
      <c r="P331" s="26"/>
      <c r="Q331" s="29" t="str">
        <f t="shared" ca="1" si="16"/>
        <v/>
      </c>
      <c r="R331" s="23" t="str">
        <f t="shared" ca="1" si="17"/>
        <v/>
      </c>
      <c r="S331" s="17"/>
      <c r="T331" s="32"/>
    </row>
    <row r="332" spans="1:20">
      <c r="A332" s="23" t="str">
        <f t="shared" si="15"/>
        <v/>
      </c>
      <c r="B332" s="47"/>
      <c r="C332" s="39"/>
      <c r="D332" s="39"/>
      <c r="E332" s="39"/>
      <c r="F332" s="39"/>
      <c r="G332" s="20"/>
      <c r="H332" s="39"/>
      <c r="I332" s="44"/>
      <c r="J332" s="39"/>
      <c r="K332" s="39"/>
      <c r="L332" s="26"/>
      <c r="M332" s="39"/>
      <c r="N332" s="26"/>
      <c r="O332" s="20"/>
      <c r="P332" s="26"/>
      <c r="Q332" s="29" t="str">
        <f t="shared" ca="1" si="16"/>
        <v/>
      </c>
      <c r="R332" s="23" t="str">
        <f t="shared" ca="1" si="17"/>
        <v/>
      </c>
      <c r="S332" s="17"/>
      <c r="T332" s="32"/>
    </row>
    <row r="333" spans="1:20">
      <c r="A333" s="23" t="str">
        <f t="shared" si="15"/>
        <v/>
      </c>
      <c r="B333" s="47"/>
      <c r="C333" s="39"/>
      <c r="D333" s="39"/>
      <c r="E333" s="39"/>
      <c r="F333" s="39"/>
      <c r="G333" s="20"/>
      <c r="H333" s="39"/>
      <c r="I333" s="44"/>
      <c r="J333" s="39"/>
      <c r="K333" s="39"/>
      <c r="L333" s="26"/>
      <c r="M333" s="39"/>
      <c r="N333" s="26"/>
      <c r="O333" s="20"/>
      <c r="P333" s="26"/>
      <c r="Q333" s="29" t="str">
        <f t="shared" ca="1" si="16"/>
        <v/>
      </c>
      <c r="R333" s="23" t="str">
        <f t="shared" ca="1" si="17"/>
        <v/>
      </c>
      <c r="S333" s="17"/>
      <c r="T333" s="32"/>
    </row>
    <row r="334" spans="1:20">
      <c r="A334" s="23" t="str">
        <f t="shared" si="15"/>
        <v/>
      </c>
      <c r="B334" s="47"/>
      <c r="C334" s="39"/>
      <c r="D334" s="39"/>
      <c r="E334" s="39"/>
      <c r="F334" s="39"/>
      <c r="G334" s="20"/>
      <c r="H334" s="39"/>
      <c r="I334" s="44"/>
      <c r="J334" s="39"/>
      <c r="K334" s="39"/>
      <c r="L334" s="26"/>
      <c r="M334" s="39"/>
      <c r="N334" s="26"/>
      <c r="O334" s="20"/>
      <c r="P334" s="26"/>
      <c r="Q334" s="29" t="str">
        <f t="shared" ca="1" si="16"/>
        <v/>
      </c>
      <c r="R334" s="23" t="str">
        <f t="shared" ca="1" si="17"/>
        <v/>
      </c>
      <c r="S334" s="17"/>
      <c r="T334" s="32"/>
    </row>
    <row r="335" spans="1:20">
      <c r="A335" s="23" t="str">
        <f t="shared" si="15"/>
        <v/>
      </c>
      <c r="B335" s="47"/>
      <c r="C335" s="39"/>
      <c r="D335" s="39"/>
      <c r="E335" s="39"/>
      <c r="F335" s="39"/>
      <c r="G335" s="20"/>
      <c r="H335" s="39"/>
      <c r="I335" s="44"/>
      <c r="J335" s="39"/>
      <c r="K335" s="39"/>
      <c r="L335" s="26"/>
      <c r="M335" s="39"/>
      <c r="N335" s="26"/>
      <c r="O335" s="20"/>
      <c r="P335" s="26"/>
      <c r="Q335" s="29" t="str">
        <f t="shared" ca="1" si="16"/>
        <v/>
      </c>
      <c r="R335" s="23" t="str">
        <f t="shared" ca="1" si="17"/>
        <v/>
      </c>
      <c r="S335" s="17"/>
      <c r="T335" s="32"/>
    </row>
    <row r="336" spans="1:20">
      <c r="A336" s="23" t="str">
        <f t="shared" si="15"/>
        <v/>
      </c>
      <c r="B336" s="47"/>
      <c r="C336" s="39"/>
      <c r="D336" s="39"/>
      <c r="E336" s="39"/>
      <c r="F336" s="39"/>
      <c r="G336" s="20"/>
      <c r="H336" s="39"/>
      <c r="I336" s="44"/>
      <c r="J336" s="39"/>
      <c r="K336" s="39"/>
      <c r="L336" s="26"/>
      <c r="M336" s="39"/>
      <c r="N336" s="26"/>
      <c r="O336" s="20"/>
      <c r="P336" s="26"/>
      <c r="Q336" s="29" t="str">
        <f t="shared" ca="1" si="16"/>
        <v/>
      </c>
      <c r="R336" s="23" t="str">
        <f t="shared" ca="1" si="17"/>
        <v/>
      </c>
      <c r="S336" s="17"/>
      <c r="T336" s="32"/>
    </row>
    <row r="337" spans="1:20">
      <c r="A337" s="23" t="str">
        <f t="shared" si="15"/>
        <v/>
      </c>
      <c r="B337" s="47"/>
      <c r="C337" s="39"/>
      <c r="D337" s="39"/>
      <c r="E337" s="39"/>
      <c r="F337" s="39"/>
      <c r="G337" s="20"/>
      <c r="H337" s="39"/>
      <c r="I337" s="44"/>
      <c r="J337" s="39"/>
      <c r="K337" s="39"/>
      <c r="L337" s="26"/>
      <c r="M337" s="39"/>
      <c r="N337" s="26"/>
      <c r="O337" s="20"/>
      <c r="P337" s="26"/>
      <c r="Q337" s="29" t="str">
        <f t="shared" ca="1" si="16"/>
        <v/>
      </c>
      <c r="R337" s="23" t="str">
        <f t="shared" ca="1" si="17"/>
        <v/>
      </c>
      <c r="S337" s="17"/>
      <c r="T337" s="32"/>
    </row>
    <row r="338" spans="1:20">
      <c r="A338" s="23" t="str">
        <f t="shared" si="15"/>
        <v/>
      </c>
      <c r="B338" s="47"/>
      <c r="C338" s="39"/>
      <c r="D338" s="39"/>
      <c r="E338" s="39"/>
      <c r="F338" s="39"/>
      <c r="G338" s="20"/>
      <c r="H338" s="39"/>
      <c r="I338" s="44"/>
      <c r="J338" s="39"/>
      <c r="K338" s="39"/>
      <c r="L338" s="26"/>
      <c r="M338" s="39"/>
      <c r="N338" s="26"/>
      <c r="O338" s="20"/>
      <c r="P338" s="26"/>
      <c r="Q338" s="29" t="str">
        <f t="shared" ca="1" si="16"/>
        <v/>
      </c>
      <c r="R338" s="23" t="str">
        <f t="shared" ca="1" si="17"/>
        <v/>
      </c>
      <c r="S338" s="17"/>
      <c r="T338" s="32"/>
    </row>
    <row r="339" spans="1:20">
      <c r="A339" s="23" t="str">
        <f t="shared" si="15"/>
        <v/>
      </c>
      <c r="B339" s="47"/>
      <c r="C339" s="39"/>
      <c r="D339" s="39"/>
      <c r="E339" s="39"/>
      <c r="F339" s="39"/>
      <c r="G339" s="20"/>
      <c r="H339" s="39"/>
      <c r="I339" s="44"/>
      <c r="J339" s="39"/>
      <c r="K339" s="39"/>
      <c r="L339" s="26"/>
      <c r="M339" s="39"/>
      <c r="N339" s="26"/>
      <c r="O339" s="20"/>
      <c r="P339" s="26"/>
      <c r="Q339" s="29" t="str">
        <f t="shared" ca="1" si="16"/>
        <v/>
      </c>
      <c r="R339" s="23" t="str">
        <f t="shared" ca="1" si="17"/>
        <v/>
      </c>
      <c r="S339" s="17"/>
      <c r="T339" s="32"/>
    </row>
    <row r="340" spans="1:20">
      <c r="A340" s="23" t="str">
        <f t="shared" si="15"/>
        <v/>
      </c>
      <c r="B340" s="47"/>
      <c r="C340" s="39"/>
      <c r="D340" s="39"/>
      <c r="E340" s="39"/>
      <c r="F340" s="39"/>
      <c r="G340" s="20"/>
      <c r="H340" s="39"/>
      <c r="I340" s="44"/>
      <c r="J340" s="39"/>
      <c r="K340" s="39"/>
      <c r="L340" s="26"/>
      <c r="M340" s="39"/>
      <c r="N340" s="26"/>
      <c r="O340" s="20"/>
      <c r="P340" s="26"/>
      <c r="Q340" s="29" t="str">
        <f t="shared" ca="1" si="16"/>
        <v/>
      </c>
      <c r="R340" s="23" t="str">
        <f t="shared" ca="1" si="17"/>
        <v/>
      </c>
      <c r="S340" s="17"/>
      <c r="T340" s="32"/>
    </row>
    <row r="341" spans="1:20">
      <c r="A341" s="23" t="str">
        <f t="shared" si="15"/>
        <v/>
      </c>
      <c r="B341" s="47"/>
      <c r="C341" s="39"/>
      <c r="D341" s="39"/>
      <c r="E341" s="39"/>
      <c r="F341" s="39"/>
      <c r="G341" s="20"/>
      <c r="H341" s="39"/>
      <c r="I341" s="44"/>
      <c r="J341" s="39"/>
      <c r="K341" s="39"/>
      <c r="L341" s="26"/>
      <c r="M341" s="39"/>
      <c r="N341" s="26"/>
      <c r="O341" s="20"/>
      <c r="P341" s="26"/>
      <c r="Q341" s="29" t="str">
        <f t="shared" ca="1" si="16"/>
        <v/>
      </c>
      <c r="R341" s="23" t="str">
        <f t="shared" ca="1" si="17"/>
        <v/>
      </c>
      <c r="S341" s="17"/>
      <c r="T341" s="32"/>
    </row>
    <row r="342" spans="1:20">
      <c r="A342" s="23" t="str">
        <f t="shared" si="15"/>
        <v/>
      </c>
      <c r="B342" s="47"/>
      <c r="C342" s="39"/>
      <c r="D342" s="39"/>
      <c r="E342" s="39"/>
      <c r="F342" s="39"/>
      <c r="G342" s="20"/>
      <c r="H342" s="39"/>
      <c r="I342" s="44"/>
      <c r="J342" s="39"/>
      <c r="K342" s="39"/>
      <c r="L342" s="26"/>
      <c r="M342" s="39"/>
      <c r="N342" s="26"/>
      <c r="O342" s="20"/>
      <c r="P342" s="26"/>
      <c r="Q342" s="29" t="str">
        <f t="shared" ca="1" si="16"/>
        <v/>
      </c>
      <c r="R342" s="23" t="str">
        <f t="shared" ca="1" si="17"/>
        <v/>
      </c>
      <c r="S342" s="17"/>
      <c r="T342" s="32"/>
    </row>
    <row r="343" spans="1:20">
      <c r="A343" s="23" t="str">
        <f t="shared" si="15"/>
        <v/>
      </c>
      <c r="B343" s="47"/>
      <c r="C343" s="39"/>
      <c r="D343" s="39"/>
      <c r="E343" s="39"/>
      <c r="F343" s="39"/>
      <c r="G343" s="20"/>
      <c r="H343" s="39"/>
      <c r="I343" s="44"/>
      <c r="J343" s="39"/>
      <c r="K343" s="39"/>
      <c r="L343" s="26"/>
      <c r="M343" s="39"/>
      <c r="N343" s="26"/>
      <c r="O343" s="20"/>
      <c r="P343" s="26"/>
      <c r="Q343" s="29" t="str">
        <f t="shared" ca="1" si="16"/>
        <v/>
      </c>
      <c r="R343" s="23" t="str">
        <f t="shared" ca="1" si="17"/>
        <v/>
      </c>
      <c r="S343" s="17"/>
      <c r="T343" s="32"/>
    </row>
    <row r="344" spans="1:20">
      <c r="A344" s="23" t="str">
        <f t="shared" si="15"/>
        <v/>
      </c>
      <c r="B344" s="47"/>
      <c r="C344" s="39"/>
      <c r="D344" s="39"/>
      <c r="E344" s="39"/>
      <c r="F344" s="39"/>
      <c r="G344" s="20"/>
      <c r="H344" s="39"/>
      <c r="I344" s="44"/>
      <c r="J344" s="39"/>
      <c r="K344" s="39"/>
      <c r="L344" s="26"/>
      <c r="M344" s="39"/>
      <c r="N344" s="26"/>
      <c r="O344" s="20"/>
      <c r="P344" s="26"/>
      <c r="Q344" s="29" t="str">
        <f t="shared" ca="1" si="16"/>
        <v/>
      </c>
      <c r="R344" s="23" t="str">
        <f t="shared" ca="1" si="17"/>
        <v/>
      </c>
      <c r="S344" s="17"/>
      <c r="T344" s="32"/>
    </row>
    <row r="345" spans="1:20">
      <c r="A345" s="23" t="str">
        <f t="shared" si="15"/>
        <v/>
      </c>
      <c r="B345" s="47"/>
      <c r="C345" s="39"/>
      <c r="D345" s="39"/>
      <c r="E345" s="39"/>
      <c r="F345" s="39"/>
      <c r="G345" s="20"/>
      <c r="H345" s="39"/>
      <c r="I345" s="44"/>
      <c r="J345" s="39"/>
      <c r="K345" s="39"/>
      <c r="L345" s="26"/>
      <c r="M345" s="39"/>
      <c r="N345" s="26"/>
      <c r="O345" s="20"/>
      <c r="P345" s="26"/>
      <c r="Q345" s="29" t="str">
        <f t="shared" ca="1" si="16"/>
        <v/>
      </c>
      <c r="R345" s="23" t="str">
        <f t="shared" ca="1" si="17"/>
        <v/>
      </c>
      <c r="S345" s="17"/>
      <c r="T345" s="32"/>
    </row>
    <row r="346" spans="1:20">
      <c r="A346" s="23" t="str">
        <f t="shared" si="15"/>
        <v/>
      </c>
      <c r="B346" s="47"/>
      <c r="C346" s="39"/>
      <c r="D346" s="39"/>
      <c r="E346" s="39"/>
      <c r="F346" s="39"/>
      <c r="G346" s="20"/>
      <c r="H346" s="39"/>
      <c r="I346" s="44"/>
      <c r="J346" s="39"/>
      <c r="K346" s="39"/>
      <c r="L346" s="26"/>
      <c r="M346" s="39"/>
      <c r="N346" s="26"/>
      <c r="O346" s="20"/>
      <c r="P346" s="26"/>
      <c r="Q346" s="29" t="str">
        <f t="shared" ca="1" si="16"/>
        <v/>
      </c>
      <c r="R346" s="23" t="str">
        <f t="shared" ca="1" si="17"/>
        <v/>
      </c>
      <c r="S346" s="17"/>
      <c r="T346" s="32"/>
    </row>
    <row r="347" spans="1:20">
      <c r="A347" s="23" t="str">
        <f t="shared" si="15"/>
        <v/>
      </c>
      <c r="B347" s="47"/>
      <c r="C347" s="39"/>
      <c r="D347" s="39"/>
      <c r="E347" s="39"/>
      <c r="F347" s="39"/>
      <c r="G347" s="20"/>
      <c r="H347" s="39"/>
      <c r="I347" s="44"/>
      <c r="J347" s="39"/>
      <c r="K347" s="39"/>
      <c r="L347" s="26"/>
      <c r="M347" s="39"/>
      <c r="N347" s="26"/>
      <c r="O347" s="20"/>
      <c r="P347" s="26"/>
      <c r="Q347" s="29" t="str">
        <f t="shared" ca="1" si="16"/>
        <v/>
      </c>
      <c r="R347" s="23" t="str">
        <f t="shared" ca="1" si="17"/>
        <v/>
      </c>
      <c r="S347" s="17"/>
      <c r="T347" s="32"/>
    </row>
    <row r="348" spans="1:20">
      <c r="A348" s="23" t="str">
        <f t="shared" si="15"/>
        <v/>
      </c>
      <c r="B348" s="47"/>
      <c r="C348" s="39"/>
      <c r="D348" s="39"/>
      <c r="E348" s="39"/>
      <c r="F348" s="39"/>
      <c r="G348" s="20"/>
      <c r="H348" s="39"/>
      <c r="I348" s="44"/>
      <c r="J348" s="39"/>
      <c r="K348" s="39"/>
      <c r="L348" s="26"/>
      <c r="M348" s="39"/>
      <c r="N348" s="26"/>
      <c r="O348" s="20"/>
      <c r="P348" s="26"/>
      <c r="Q348" s="29" t="str">
        <f t="shared" ca="1" si="16"/>
        <v/>
      </c>
      <c r="R348" s="23" t="str">
        <f t="shared" ca="1" si="17"/>
        <v/>
      </c>
      <c r="S348" s="17"/>
      <c r="T348" s="32"/>
    </row>
    <row r="349" spans="1:20">
      <c r="A349" s="23" t="str">
        <f t="shared" si="15"/>
        <v/>
      </c>
      <c r="B349" s="47"/>
      <c r="C349" s="39"/>
      <c r="D349" s="39"/>
      <c r="E349" s="39"/>
      <c r="F349" s="39"/>
      <c r="G349" s="20"/>
      <c r="H349" s="39"/>
      <c r="I349" s="44"/>
      <c r="J349" s="39"/>
      <c r="K349" s="39"/>
      <c r="L349" s="26"/>
      <c r="M349" s="39"/>
      <c r="N349" s="26"/>
      <c r="O349" s="20"/>
      <c r="P349" s="26"/>
      <c r="Q349" s="29" t="str">
        <f t="shared" ca="1" si="16"/>
        <v/>
      </c>
      <c r="R349" s="23" t="str">
        <f t="shared" ca="1" si="17"/>
        <v/>
      </c>
      <c r="S349" s="17"/>
      <c r="T349" s="32"/>
    </row>
    <row r="350" spans="1:20">
      <c r="A350" s="23" t="str">
        <f t="shared" si="15"/>
        <v/>
      </c>
      <c r="B350" s="47"/>
      <c r="C350" s="39"/>
      <c r="D350" s="39"/>
      <c r="E350" s="39"/>
      <c r="F350" s="39"/>
      <c r="G350" s="20"/>
      <c r="H350" s="39"/>
      <c r="I350" s="44"/>
      <c r="J350" s="39"/>
      <c r="K350" s="39"/>
      <c r="L350" s="26"/>
      <c r="M350" s="39"/>
      <c r="N350" s="26"/>
      <c r="O350" s="20"/>
      <c r="P350" s="26"/>
      <c r="Q350" s="29" t="str">
        <f t="shared" ca="1" si="16"/>
        <v/>
      </c>
      <c r="R350" s="23" t="str">
        <f t="shared" ca="1" si="17"/>
        <v/>
      </c>
      <c r="S350" s="17"/>
      <c r="T350" s="32"/>
    </row>
    <row r="351" spans="1:20">
      <c r="A351" s="23" t="str">
        <f t="shared" si="15"/>
        <v/>
      </c>
      <c r="B351" s="47"/>
      <c r="C351" s="39"/>
      <c r="D351" s="39"/>
      <c r="E351" s="39"/>
      <c r="F351" s="39"/>
      <c r="G351" s="20"/>
      <c r="H351" s="39"/>
      <c r="I351" s="44"/>
      <c r="J351" s="39"/>
      <c r="K351" s="39"/>
      <c r="L351" s="26"/>
      <c r="M351" s="39"/>
      <c r="N351" s="26"/>
      <c r="O351" s="20"/>
      <c r="P351" s="26"/>
      <c r="Q351" s="29" t="str">
        <f t="shared" ca="1" si="16"/>
        <v/>
      </c>
      <c r="R351" s="23" t="str">
        <f t="shared" ca="1" si="17"/>
        <v/>
      </c>
      <c r="S351" s="17"/>
      <c r="T351" s="32"/>
    </row>
    <row r="352" spans="1:20">
      <c r="A352" s="23" t="str">
        <f t="shared" si="15"/>
        <v/>
      </c>
      <c r="B352" s="47"/>
      <c r="C352" s="39"/>
      <c r="D352" s="39"/>
      <c r="E352" s="39"/>
      <c r="F352" s="39"/>
      <c r="G352" s="20"/>
      <c r="H352" s="39"/>
      <c r="I352" s="44"/>
      <c r="J352" s="39"/>
      <c r="K352" s="39"/>
      <c r="L352" s="26"/>
      <c r="M352" s="39"/>
      <c r="N352" s="26"/>
      <c r="O352" s="20"/>
      <c r="P352" s="26"/>
      <c r="Q352" s="29" t="str">
        <f t="shared" ca="1" si="16"/>
        <v/>
      </c>
      <c r="R352" s="23" t="str">
        <f t="shared" ca="1" si="17"/>
        <v/>
      </c>
      <c r="S352" s="17"/>
      <c r="T352" s="32"/>
    </row>
    <row r="353" spans="1:20">
      <c r="A353" s="23" t="str">
        <f t="shared" si="15"/>
        <v/>
      </c>
      <c r="B353" s="47"/>
      <c r="C353" s="39"/>
      <c r="D353" s="39"/>
      <c r="E353" s="39"/>
      <c r="F353" s="39"/>
      <c r="G353" s="20"/>
      <c r="H353" s="39"/>
      <c r="I353" s="44"/>
      <c r="J353" s="39"/>
      <c r="K353" s="39"/>
      <c r="L353" s="26"/>
      <c r="M353" s="39"/>
      <c r="N353" s="26"/>
      <c r="O353" s="20"/>
      <c r="P353" s="26"/>
      <c r="Q353" s="29" t="str">
        <f t="shared" ca="1" si="16"/>
        <v/>
      </c>
      <c r="R353" s="23" t="str">
        <f t="shared" ca="1" si="17"/>
        <v/>
      </c>
      <c r="S353" s="17"/>
      <c r="T353" s="32"/>
    </row>
    <row r="354" spans="1:20">
      <c r="A354" s="23" t="str">
        <f t="shared" si="15"/>
        <v/>
      </c>
      <c r="B354" s="47"/>
      <c r="C354" s="39"/>
      <c r="D354" s="39"/>
      <c r="E354" s="39"/>
      <c r="F354" s="39"/>
      <c r="G354" s="20"/>
      <c r="H354" s="39"/>
      <c r="I354" s="44"/>
      <c r="J354" s="39"/>
      <c r="K354" s="39"/>
      <c r="L354" s="26"/>
      <c r="M354" s="39"/>
      <c r="N354" s="26"/>
      <c r="O354" s="20"/>
      <c r="P354" s="26"/>
      <c r="Q354" s="29" t="str">
        <f t="shared" ca="1" si="16"/>
        <v/>
      </c>
      <c r="R354" s="23" t="str">
        <f t="shared" ca="1" si="17"/>
        <v/>
      </c>
      <c r="S354" s="17"/>
      <c r="T354" s="32"/>
    </row>
    <row r="355" spans="1:20">
      <c r="A355" s="23" t="str">
        <f t="shared" si="15"/>
        <v/>
      </c>
      <c r="B355" s="47"/>
      <c r="C355" s="39"/>
      <c r="D355" s="39"/>
      <c r="E355" s="39"/>
      <c r="F355" s="39"/>
      <c r="G355" s="20"/>
      <c r="H355" s="39"/>
      <c r="I355" s="44"/>
      <c r="J355" s="39"/>
      <c r="K355" s="39"/>
      <c r="L355" s="26"/>
      <c r="M355" s="39"/>
      <c r="N355" s="26"/>
      <c r="O355" s="20"/>
      <c r="P355" s="26"/>
      <c r="Q355" s="29" t="str">
        <f t="shared" ca="1" si="16"/>
        <v/>
      </c>
      <c r="R355" s="23" t="str">
        <f t="shared" ca="1" si="17"/>
        <v/>
      </c>
      <c r="S355" s="17"/>
      <c r="T355" s="32"/>
    </row>
    <row r="356" spans="1:20">
      <c r="A356" s="23" t="str">
        <f t="shared" si="15"/>
        <v/>
      </c>
      <c r="B356" s="47"/>
      <c r="C356" s="39"/>
      <c r="D356" s="39"/>
      <c r="E356" s="39"/>
      <c r="F356" s="39"/>
      <c r="G356" s="20"/>
      <c r="H356" s="39"/>
      <c r="I356" s="44"/>
      <c r="J356" s="39"/>
      <c r="K356" s="39"/>
      <c r="L356" s="26"/>
      <c r="M356" s="39"/>
      <c r="N356" s="26"/>
      <c r="O356" s="20"/>
      <c r="P356" s="26"/>
      <c r="Q356" s="29" t="str">
        <f t="shared" ca="1" si="16"/>
        <v/>
      </c>
      <c r="R356" s="23" t="str">
        <f t="shared" ca="1" si="17"/>
        <v/>
      </c>
      <c r="S356" s="17"/>
      <c r="T356" s="32"/>
    </row>
    <row r="357" spans="1:20">
      <c r="A357" s="23" t="str">
        <f t="shared" si="15"/>
        <v/>
      </c>
      <c r="B357" s="47"/>
      <c r="C357" s="39"/>
      <c r="D357" s="39"/>
      <c r="E357" s="39"/>
      <c r="F357" s="39"/>
      <c r="G357" s="20"/>
      <c r="H357" s="39"/>
      <c r="I357" s="44"/>
      <c r="J357" s="39"/>
      <c r="K357" s="39"/>
      <c r="L357" s="26"/>
      <c r="M357" s="39"/>
      <c r="N357" s="26"/>
      <c r="O357" s="20"/>
      <c r="P357" s="26"/>
      <c r="Q357" s="29" t="str">
        <f t="shared" ca="1" si="16"/>
        <v/>
      </c>
      <c r="R357" s="23" t="str">
        <f t="shared" ca="1" si="17"/>
        <v/>
      </c>
      <c r="S357" s="17"/>
      <c r="T357" s="32"/>
    </row>
    <row r="358" spans="1:20">
      <c r="A358" s="23" t="str">
        <f t="shared" si="15"/>
        <v/>
      </c>
      <c r="B358" s="47"/>
      <c r="C358" s="39"/>
      <c r="D358" s="39"/>
      <c r="E358" s="39"/>
      <c r="F358" s="39"/>
      <c r="G358" s="20"/>
      <c r="H358" s="39"/>
      <c r="I358" s="44"/>
      <c r="J358" s="39"/>
      <c r="K358" s="39"/>
      <c r="L358" s="26"/>
      <c r="M358" s="39"/>
      <c r="N358" s="26"/>
      <c r="O358" s="20"/>
      <c r="P358" s="26"/>
      <c r="Q358" s="29" t="str">
        <f t="shared" ca="1" si="16"/>
        <v/>
      </c>
      <c r="R358" s="23" t="str">
        <f t="shared" ca="1" si="17"/>
        <v/>
      </c>
      <c r="S358" s="17"/>
      <c r="T358" s="32"/>
    </row>
    <row r="359" spans="1:20">
      <c r="A359" s="23" t="str">
        <f t="shared" si="15"/>
        <v/>
      </c>
      <c r="B359" s="47"/>
      <c r="C359" s="39"/>
      <c r="D359" s="39"/>
      <c r="E359" s="39"/>
      <c r="F359" s="39"/>
      <c r="G359" s="20"/>
      <c r="H359" s="39"/>
      <c r="I359" s="44"/>
      <c r="J359" s="39"/>
      <c r="K359" s="39"/>
      <c r="L359" s="26"/>
      <c r="M359" s="39"/>
      <c r="N359" s="26"/>
      <c r="O359" s="20"/>
      <c r="P359" s="26"/>
      <c r="Q359" s="29" t="str">
        <f t="shared" ca="1" si="16"/>
        <v/>
      </c>
      <c r="R359" s="23" t="str">
        <f t="shared" ca="1" si="17"/>
        <v/>
      </c>
      <c r="S359" s="17"/>
      <c r="T359" s="32"/>
    </row>
    <row r="360" spans="1:20">
      <c r="A360" s="23" t="str">
        <f t="shared" si="15"/>
        <v/>
      </c>
      <c r="B360" s="47"/>
      <c r="C360" s="39"/>
      <c r="D360" s="39"/>
      <c r="E360" s="39"/>
      <c r="F360" s="39"/>
      <c r="G360" s="20"/>
      <c r="H360" s="39"/>
      <c r="I360" s="44"/>
      <c r="J360" s="39"/>
      <c r="K360" s="39"/>
      <c r="L360" s="26"/>
      <c r="M360" s="39"/>
      <c r="N360" s="26"/>
      <c r="O360" s="20"/>
      <c r="P360" s="26"/>
      <c r="Q360" s="29" t="str">
        <f t="shared" ca="1" si="16"/>
        <v/>
      </c>
      <c r="R360" s="23" t="str">
        <f t="shared" ca="1" si="17"/>
        <v/>
      </c>
      <c r="S360" s="17"/>
      <c r="T360" s="32"/>
    </row>
    <row r="361" spans="1:20">
      <c r="A361" s="23" t="str">
        <f t="shared" si="15"/>
        <v/>
      </c>
      <c r="B361" s="47"/>
      <c r="C361" s="39"/>
      <c r="D361" s="39"/>
      <c r="E361" s="39"/>
      <c r="F361" s="39"/>
      <c r="G361" s="20"/>
      <c r="H361" s="39"/>
      <c r="I361" s="44"/>
      <c r="J361" s="39"/>
      <c r="K361" s="39"/>
      <c r="L361" s="26"/>
      <c r="M361" s="39"/>
      <c r="N361" s="26"/>
      <c r="O361" s="20"/>
      <c r="P361" s="26"/>
      <c r="Q361" s="29" t="str">
        <f t="shared" ca="1" si="16"/>
        <v/>
      </c>
      <c r="R361" s="23" t="str">
        <f t="shared" ca="1" si="17"/>
        <v/>
      </c>
      <c r="S361" s="17"/>
      <c r="T361" s="32"/>
    </row>
    <row r="362" spans="1:20">
      <c r="A362" s="23" t="str">
        <f t="shared" si="15"/>
        <v/>
      </c>
      <c r="B362" s="47"/>
      <c r="C362" s="39"/>
      <c r="D362" s="39"/>
      <c r="E362" s="39"/>
      <c r="F362" s="39"/>
      <c r="G362" s="20"/>
      <c r="H362" s="39"/>
      <c r="I362" s="44"/>
      <c r="J362" s="39"/>
      <c r="K362" s="39"/>
      <c r="L362" s="26"/>
      <c r="M362" s="39"/>
      <c r="N362" s="26"/>
      <c r="O362" s="20"/>
      <c r="P362" s="26"/>
      <c r="Q362" s="29" t="str">
        <f t="shared" ca="1" si="16"/>
        <v/>
      </c>
      <c r="R362" s="23" t="str">
        <f t="shared" ca="1" si="17"/>
        <v/>
      </c>
      <c r="S362" s="17"/>
      <c r="T362" s="32"/>
    </row>
    <row r="363" spans="1:20">
      <c r="A363" s="23" t="str">
        <f t="shared" si="15"/>
        <v/>
      </c>
      <c r="B363" s="47"/>
      <c r="C363" s="39"/>
      <c r="D363" s="39"/>
      <c r="E363" s="39"/>
      <c r="F363" s="39"/>
      <c r="G363" s="20"/>
      <c r="H363" s="39"/>
      <c r="I363" s="44"/>
      <c r="J363" s="39"/>
      <c r="K363" s="39"/>
      <c r="L363" s="26"/>
      <c r="M363" s="39"/>
      <c r="N363" s="26"/>
      <c r="O363" s="20"/>
      <c r="P363" s="26"/>
      <c r="Q363" s="29" t="str">
        <f t="shared" ca="1" si="16"/>
        <v/>
      </c>
      <c r="R363" s="23" t="str">
        <f t="shared" ca="1" si="17"/>
        <v/>
      </c>
      <c r="S363" s="17"/>
      <c r="T363" s="32"/>
    </row>
    <row r="364" spans="1:20">
      <c r="A364" s="23" t="str">
        <f t="shared" si="15"/>
        <v/>
      </c>
      <c r="B364" s="47"/>
      <c r="C364" s="39"/>
      <c r="D364" s="39"/>
      <c r="E364" s="39"/>
      <c r="F364" s="39"/>
      <c r="G364" s="20"/>
      <c r="H364" s="39"/>
      <c r="I364" s="44"/>
      <c r="J364" s="39"/>
      <c r="K364" s="39"/>
      <c r="L364" s="26"/>
      <c r="M364" s="39"/>
      <c r="N364" s="26"/>
      <c r="O364" s="20"/>
      <c r="P364" s="26"/>
      <c r="Q364" s="29" t="str">
        <f t="shared" ca="1" si="16"/>
        <v/>
      </c>
      <c r="R364" s="23" t="str">
        <f t="shared" ca="1" si="17"/>
        <v/>
      </c>
      <c r="S364" s="17"/>
      <c r="T364" s="32"/>
    </row>
    <row r="365" spans="1:20">
      <c r="A365" s="23" t="str">
        <f t="shared" si="15"/>
        <v/>
      </c>
      <c r="B365" s="47"/>
      <c r="C365" s="39"/>
      <c r="D365" s="39"/>
      <c r="E365" s="39"/>
      <c r="F365" s="39"/>
      <c r="G365" s="20"/>
      <c r="H365" s="39"/>
      <c r="I365" s="44"/>
      <c r="J365" s="39"/>
      <c r="K365" s="39"/>
      <c r="L365" s="26"/>
      <c r="M365" s="39"/>
      <c r="N365" s="26"/>
      <c r="O365" s="20"/>
      <c r="P365" s="26"/>
      <c r="Q365" s="29" t="str">
        <f t="shared" ca="1" si="16"/>
        <v/>
      </c>
      <c r="R365" s="23" t="str">
        <f t="shared" ca="1" si="17"/>
        <v/>
      </c>
      <c r="S365" s="17"/>
      <c r="T365" s="32"/>
    </row>
    <row r="366" spans="1:20">
      <c r="A366" s="23" t="str">
        <f t="shared" si="15"/>
        <v/>
      </c>
      <c r="B366" s="47"/>
      <c r="C366" s="39"/>
      <c r="D366" s="39"/>
      <c r="E366" s="39"/>
      <c r="F366" s="39"/>
      <c r="G366" s="20"/>
      <c r="H366" s="39"/>
      <c r="I366" s="44"/>
      <c r="J366" s="39"/>
      <c r="K366" s="39"/>
      <c r="L366" s="26"/>
      <c r="M366" s="39"/>
      <c r="N366" s="26"/>
      <c r="O366" s="20"/>
      <c r="P366" s="26"/>
      <c r="Q366" s="29" t="str">
        <f t="shared" ca="1" si="16"/>
        <v/>
      </c>
      <c r="R366" s="23" t="str">
        <f t="shared" ca="1" si="17"/>
        <v/>
      </c>
      <c r="S366" s="17"/>
      <c r="T366" s="32"/>
    </row>
    <row r="367" spans="1:20">
      <c r="A367" s="23" t="str">
        <f t="shared" si="15"/>
        <v/>
      </c>
      <c r="B367" s="47"/>
      <c r="C367" s="39"/>
      <c r="D367" s="39"/>
      <c r="E367" s="39"/>
      <c r="F367" s="39"/>
      <c r="G367" s="20"/>
      <c r="H367" s="39"/>
      <c r="I367" s="44"/>
      <c r="J367" s="39"/>
      <c r="K367" s="39"/>
      <c r="L367" s="26"/>
      <c r="M367" s="39"/>
      <c r="N367" s="26"/>
      <c r="O367" s="20"/>
      <c r="P367" s="26"/>
      <c r="Q367" s="29" t="str">
        <f t="shared" ca="1" si="16"/>
        <v/>
      </c>
      <c r="R367" s="23" t="str">
        <f t="shared" ca="1" si="17"/>
        <v/>
      </c>
      <c r="S367" s="17"/>
      <c r="T367" s="32"/>
    </row>
    <row r="368" spans="1:20">
      <c r="A368" s="23" t="str">
        <f t="shared" si="15"/>
        <v/>
      </c>
      <c r="B368" s="47"/>
      <c r="C368" s="39"/>
      <c r="D368" s="39"/>
      <c r="E368" s="39"/>
      <c r="F368" s="39"/>
      <c r="G368" s="20"/>
      <c r="H368" s="39"/>
      <c r="I368" s="44"/>
      <c r="J368" s="39"/>
      <c r="K368" s="39"/>
      <c r="L368" s="26"/>
      <c r="M368" s="39"/>
      <c r="N368" s="26"/>
      <c r="O368" s="20"/>
      <c r="P368" s="26"/>
      <c r="Q368" s="29" t="str">
        <f t="shared" ca="1" si="16"/>
        <v/>
      </c>
      <c r="R368" s="23" t="str">
        <f t="shared" ca="1" si="17"/>
        <v/>
      </c>
      <c r="S368" s="17"/>
      <c r="T368" s="32"/>
    </row>
    <row r="369" spans="1:20">
      <c r="A369" s="23" t="str">
        <f t="shared" si="15"/>
        <v/>
      </c>
      <c r="B369" s="47"/>
      <c r="C369" s="39"/>
      <c r="D369" s="39"/>
      <c r="E369" s="39"/>
      <c r="F369" s="39"/>
      <c r="G369" s="20"/>
      <c r="H369" s="39"/>
      <c r="I369" s="44"/>
      <c r="J369" s="39"/>
      <c r="K369" s="39"/>
      <c r="L369" s="26"/>
      <c r="M369" s="39"/>
      <c r="N369" s="26"/>
      <c r="O369" s="20"/>
      <c r="P369" s="26"/>
      <c r="Q369" s="29" t="str">
        <f t="shared" ca="1" si="16"/>
        <v/>
      </c>
      <c r="R369" s="23" t="str">
        <f t="shared" ca="1" si="17"/>
        <v/>
      </c>
      <c r="S369" s="17"/>
      <c r="T369" s="32"/>
    </row>
    <row r="370" spans="1:20">
      <c r="A370" s="23" t="str">
        <f t="shared" si="15"/>
        <v/>
      </c>
      <c r="B370" s="47"/>
      <c r="C370" s="39"/>
      <c r="D370" s="39"/>
      <c r="E370" s="39"/>
      <c r="F370" s="39"/>
      <c r="G370" s="20"/>
      <c r="H370" s="39"/>
      <c r="I370" s="44"/>
      <c r="J370" s="39"/>
      <c r="K370" s="39"/>
      <c r="L370" s="26"/>
      <c r="M370" s="39"/>
      <c r="N370" s="26"/>
      <c r="O370" s="20"/>
      <c r="P370" s="26"/>
      <c r="Q370" s="29" t="str">
        <f t="shared" ca="1" si="16"/>
        <v/>
      </c>
      <c r="R370" s="23" t="str">
        <f t="shared" ca="1" si="17"/>
        <v/>
      </c>
      <c r="S370" s="17"/>
      <c r="T370" s="32"/>
    </row>
    <row r="371" spans="1:20">
      <c r="A371" s="23" t="str">
        <f t="shared" si="15"/>
        <v/>
      </c>
      <c r="B371" s="47"/>
      <c r="C371" s="39"/>
      <c r="D371" s="39"/>
      <c r="E371" s="39"/>
      <c r="F371" s="39"/>
      <c r="G371" s="20"/>
      <c r="H371" s="39"/>
      <c r="I371" s="44"/>
      <c r="J371" s="39"/>
      <c r="K371" s="39"/>
      <c r="L371" s="26"/>
      <c r="M371" s="39"/>
      <c r="N371" s="26"/>
      <c r="O371" s="20"/>
      <c r="P371" s="26"/>
      <c r="Q371" s="29" t="str">
        <f t="shared" ca="1" si="16"/>
        <v/>
      </c>
      <c r="R371" s="23" t="str">
        <f t="shared" ca="1" si="17"/>
        <v/>
      </c>
      <c r="S371" s="17"/>
      <c r="T371" s="32"/>
    </row>
    <row r="372" spans="1:20">
      <c r="A372" s="23" t="str">
        <f t="shared" si="15"/>
        <v/>
      </c>
      <c r="B372" s="47"/>
      <c r="C372" s="39"/>
      <c r="D372" s="39"/>
      <c r="E372" s="39"/>
      <c r="F372" s="39"/>
      <c r="G372" s="20"/>
      <c r="H372" s="39"/>
      <c r="I372" s="44"/>
      <c r="J372" s="39"/>
      <c r="K372" s="39"/>
      <c r="L372" s="26"/>
      <c r="M372" s="39"/>
      <c r="N372" s="26"/>
      <c r="O372" s="20"/>
      <c r="P372" s="26"/>
      <c r="Q372" s="29" t="str">
        <f t="shared" ca="1" si="16"/>
        <v/>
      </c>
      <c r="R372" s="23" t="str">
        <f t="shared" ca="1" si="17"/>
        <v/>
      </c>
      <c r="S372" s="17"/>
      <c r="T372" s="32"/>
    </row>
    <row r="373" spans="1:20">
      <c r="A373" s="23" t="str">
        <f t="shared" si="15"/>
        <v/>
      </c>
      <c r="B373" s="47"/>
      <c r="C373" s="39"/>
      <c r="D373" s="39"/>
      <c r="E373" s="39"/>
      <c r="F373" s="39"/>
      <c r="G373" s="20"/>
      <c r="H373" s="39"/>
      <c r="I373" s="44"/>
      <c r="J373" s="39"/>
      <c r="K373" s="39"/>
      <c r="L373" s="26"/>
      <c r="M373" s="39"/>
      <c r="N373" s="26"/>
      <c r="O373" s="20"/>
      <c r="P373" s="26"/>
      <c r="Q373" s="29" t="str">
        <f t="shared" ca="1" si="16"/>
        <v/>
      </c>
      <c r="R373" s="23" t="str">
        <f t="shared" ca="1" si="17"/>
        <v/>
      </c>
      <c r="S373" s="17"/>
      <c r="T373" s="32"/>
    </row>
    <row r="374" spans="1:20">
      <c r="A374" s="23" t="str">
        <f t="shared" si="15"/>
        <v/>
      </c>
      <c r="B374" s="47"/>
      <c r="C374" s="39"/>
      <c r="D374" s="39"/>
      <c r="E374" s="39"/>
      <c r="F374" s="39"/>
      <c r="G374" s="20"/>
      <c r="H374" s="39"/>
      <c r="I374" s="44"/>
      <c r="J374" s="39"/>
      <c r="K374" s="39"/>
      <c r="L374" s="26"/>
      <c r="M374" s="39"/>
      <c r="N374" s="26"/>
      <c r="O374" s="20"/>
      <c r="P374" s="26"/>
      <c r="Q374" s="29" t="str">
        <f t="shared" ca="1" si="16"/>
        <v/>
      </c>
      <c r="R374" s="23" t="str">
        <f t="shared" ca="1" si="17"/>
        <v/>
      </c>
      <c r="S374" s="17"/>
      <c r="T374" s="32"/>
    </row>
    <row r="375" spans="1:20">
      <c r="A375" s="23" t="str">
        <f t="shared" si="15"/>
        <v/>
      </c>
      <c r="B375" s="47"/>
      <c r="C375" s="39"/>
      <c r="D375" s="39"/>
      <c r="E375" s="39"/>
      <c r="F375" s="39"/>
      <c r="G375" s="20"/>
      <c r="H375" s="39"/>
      <c r="I375" s="44"/>
      <c r="J375" s="39"/>
      <c r="K375" s="39"/>
      <c r="L375" s="26"/>
      <c r="M375" s="39"/>
      <c r="N375" s="26"/>
      <c r="O375" s="20"/>
      <c r="P375" s="26"/>
      <c r="Q375" s="29" t="str">
        <f t="shared" ca="1" si="16"/>
        <v/>
      </c>
      <c r="R375" s="23" t="str">
        <f t="shared" ca="1" si="17"/>
        <v/>
      </c>
      <c r="S375" s="17"/>
      <c r="T375" s="32"/>
    </row>
    <row r="376" spans="1:20">
      <c r="A376" s="23" t="str">
        <f t="shared" si="15"/>
        <v/>
      </c>
      <c r="B376" s="47"/>
      <c r="C376" s="39"/>
      <c r="D376" s="39"/>
      <c r="E376" s="39"/>
      <c r="F376" s="39"/>
      <c r="G376" s="20"/>
      <c r="H376" s="39"/>
      <c r="I376" s="44"/>
      <c r="J376" s="39"/>
      <c r="K376" s="39"/>
      <c r="L376" s="26"/>
      <c r="M376" s="39"/>
      <c r="N376" s="26"/>
      <c r="O376" s="20"/>
      <c r="P376" s="26"/>
      <c r="Q376" s="29" t="str">
        <f t="shared" ca="1" si="16"/>
        <v/>
      </c>
      <c r="R376" s="23" t="str">
        <f t="shared" ca="1" si="17"/>
        <v/>
      </c>
      <c r="S376" s="17"/>
      <c r="T376" s="32"/>
    </row>
    <row r="377" spans="1:20">
      <c r="A377" s="23" t="str">
        <f t="shared" si="15"/>
        <v/>
      </c>
      <c r="B377" s="47"/>
      <c r="C377" s="39"/>
      <c r="D377" s="39"/>
      <c r="E377" s="39"/>
      <c r="F377" s="39"/>
      <c r="G377" s="20"/>
      <c r="H377" s="39"/>
      <c r="I377" s="44"/>
      <c r="J377" s="39"/>
      <c r="K377" s="39"/>
      <c r="L377" s="26"/>
      <c r="M377" s="39"/>
      <c r="N377" s="26"/>
      <c r="O377" s="20"/>
      <c r="P377" s="26"/>
      <c r="Q377" s="29" t="str">
        <f t="shared" ca="1" si="16"/>
        <v/>
      </c>
      <c r="R377" s="23" t="str">
        <f t="shared" ca="1" si="17"/>
        <v/>
      </c>
      <c r="S377" s="17"/>
      <c r="T377" s="32"/>
    </row>
    <row r="378" spans="1:20">
      <c r="A378" s="23" t="str">
        <f t="shared" si="15"/>
        <v/>
      </c>
      <c r="B378" s="47"/>
      <c r="C378" s="39"/>
      <c r="D378" s="39"/>
      <c r="E378" s="39"/>
      <c r="F378" s="39"/>
      <c r="G378" s="20"/>
      <c r="H378" s="39"/>
      <c r="I378" s="44"/>
      <c r="J378" s="39"/>
      <c r="K378" s="39"/>
      <c r="L378" s="26"/>
      <c r="M378" s="39"/>
      <c r="N378" s="26"/>
      <c r="O378" s="20"/>
      <c r="P378" s="26"/>
      <c r="Q378" s="29" t="str">
        <f t="shared" ca="1" si="16"/>
        <v/>
      </c>
      <c r="R378" s="23" t="str">
        <f t="shared" ca="1" si="17"/>
        <v/>
      </c>
      <c r="S378" s="17"/>
      <c r="T378" s="32"/>
    </row>
    <row r="379" spans="1:20">
      <c r="A379" s="23" t="str">
        <f t="shared" si="15"/>
        <v/>
      </c>
      <c r="B379" s="47"/>
      <c r="C379" s="39"/>
      <c r="D379" s="39"/>
      <c r="E379" s="39"/>
      <c r="F379" s="39"/>
      <c r="G379" s="20"/>
      <c r="H379" s="39"/>
      <c r="I379" s="44"/>
      <c r="J379" s="39"/>
      <c r="K379" s="39"/>
      <c r="L379" s="26"/>
      <c r="M379" s="39"/>
      <c r="N379" s="26"/>
      <c r="O379" s="20"/>
      <c r="P379" s="26"/>
      <c r="Q379" s="29" t="str">
        <f t="shared" ca="1" si="16"/>
        <v/>
      </c>
      <c r="R379" s="23" t="str">
        <f t="shared" ca="1" si="17"/>
        <v/>
      </c>
      <c r="S379" s="17"/>
      <c r="T379" s="32"/>
    </row>
    <row r="380" spans="1:20">
      <c r="A380" s="23" t="str">
        <f t="shared" si="15"/>
        <v/>
      </c>
      <c r="B380" s="47"/>
      <c r="C380" s="39"/>
      <c r="D380" s="39"/>
      <c r="E380" s="39"/>
      <c r="F380" s="39"/>
      <c r="G380" s="20"/>
      <c r="H380" s="39"/>
      <c r="I380" s="44"/>
      <c r="J380" s="39"/>
      <c r="K380" s="39"/>
      <c r="L380" s="26"/>
      <c r="M380" s="39"/>
      <c r="N380" s="26"/>
      <c r="O380" s="20"/>
      <c r="P380" s="26"/>
      <c r="Q380" s="29" t="str">
        <f t="shared" ca="1" si="16"/>
        <v/>
      </c>
      <c r="R380" s="23" t="str">
        <f t="shared" ca="1" si="17"/>
        <v/>
      </c>
      <c r="S380" s="17"/>
      <c r="T380" s="32"/>
    </row>
    <row r="381" spans="1:20">
      <c r="A381" s="23" t="str">
        <f t="shared" si="15"/>
        <v/>
      </c>
      <c r="B381" s="47"/>
      <c r="C381" s="39"/>
      <c r="D381" s="39"/>
      <c r="E381" s="39"/>
      <c r="F381" s="39"/>
      <c r="G381" s="20"/>
      <c r="H381" s="39"/>
      <c r="I381" s="44"/>
      <c r="J381" s="39"/>
      <c r="K381" s="39"/>
      <c r="L381" s="26"/>
      <c r="M381" s="39"/>
      <c r="N381" s="26"/>
      <c r="O381" s="20"/>
      <c r="P381" s="26"/>
      <c r="Q381" s="29" t="str">
        <f t="shared" ca="1" si="16"/>
        <v/>
      </c>
      <c r="R381" s="23" t="str">
        <f t="shared" ca="1" si="17"/>
        <v/>
      </c>
      <c r="S381" s="17"/>
      <c r="T381" s="32"/>
    </row>
    <row r="382" spans="1:20">
      <c r="A382" s="23" t="str">
        <f t="shared" si="15"/>
        <v/>
      </c>
      <c r="B382" s="47"/>
      <c r="C382" s="39"/>
      <c r="D382" s="39"/>
      <c r="E382" s="39"/>
      <c r="F382" s="39"/>
      <c r="G382" s="20"/>
      <c r="H382" s="39"/>
      <c r="I382" s="44"/>
      <c r="J382" s="39"/>
      <c r="K382" s="39"/>
      <c r="L382" s="26"/>
      <c r="M382" s="39"/>
      <c r="N382" s="26"/>
      <c r="O382" s="20"/>
      <c r="P382" s="26"/>
      <c r="Q382" s="29" t="str">
        <f t="shared" ca="1" si="16"/>
        <v/>
      </c>
      <c r="R382" s="23" t="str">
        <f t="shared" ca="1" si="17"/>
        <v/>
      </c>
      <c r="S382" s="17"/>
      <c r="T382" s="32"/>
    </row>
    <row r="383" spans="1:20">
      <c r="A383" s="23" t="str">
        <f t="shared" si="15"/>
        <v/>
      </c>
      <c r="B383" s="47"/>
      <c r="C383" s="39"/>
      <c r="D383" s="39"/>
      <c r="E383" s="39"/>
      <c r="F383" s="39"/>
      <c r="G383" s="20"/>
      <c r="H383" s="39"/>
      <c r="I383" s="44"/>
      <c r="J383" s="39"/>
      <c r="K383" s="39"/>
      <c r="L383" s="26"/>
      <c r="M383" s="39"/>
      <c r="N383" s="26"/>
      <c r="O383" s="20"/>
      <c r="P383" s="26"/>
      <c r="Q383" s="29" t="str">
        <f t="shared" ca="1" si="16"/>
        <v/>
      </c>
      <c r="R383" s="23" t="str">
        <f t="shared" ca="1" si="17"/>
        <v/>
      </c>
      <c r="S383" s="17"/>
      <c r="T383" s="32"/>
    </row>
    <row r="384" spans="1:20">
      <c r="A384" s="23" t="str">
        <f t="shared" si="15"/>
        <v/>
      </c>
      <c r="B384" s="47"/>
      <c r="C384" s="39"/>
      <c r="D384" s="39"/>
      <c r="E384" s="39"/>
      <c r="F384" s="39"/>
      <c r="G384" s="20"/>
      <c r="H384" s="39"/>
      <c r="I384" s="44"/>
      <c r="J384" s="39"/>
      <c r="K384" s="39"/>
      <c r="L384" s="26"/>
      <c r="M384" s="39"/>
      <c r="N384" s="26"/>
      <c r="O384" s="20"/>
      <c r="P384" s="26"/>
      <c r="Q384" s="29" t="str">
        <f t="shared" ca="1" si="16"/>
        <v/>
      </c>
      <c r="R384" s="23" t="str">
        <f t="shared" ca="1" si="17"/>
        <v/>
      </c>
      <c r="S384" s="17"/>
      <c r="T384" s="32"/>
    </row>
    <row r="385" spans="1:20">
      <c r="A385" s="23" t="str">
        <f t="shared" si="15"/>
        <v/>
      </c>
      <c r="B385" s="47"/>
      <c r="C385" s="39"/>
      <c r="D385" s="39"/>
      <c r="E385" s="39"/>
      <c r="F385" s="39"/>
      <c r="G385" s="20"/>
      <c r="H385" s="39"/>
      <c r="I385" s="44"/>
      <c r="J385" s="39"/>
      <c r="K385" s="39"/>
      <c r="L385" s="26"/>
      <c r="M385" s="39"/>
      <c r="N385" s="26"/>
      <c r="O385" s="20"/>
      <c r="P385" s="26"/>
      <c r="Q385" s="29" t="str">
        <f t="shared" ca="1" si="16"/>
        <v/>
      </c>
      <c r="R385" s="23" t="str">
        <f t="shared" ca="1" si="17"/>
        <v/>
      </c>
      <c r="S385" s="17"/>
      <c r="T385" s="32"/>
    </row>
    <row r="386" spans="1:20">
      <c r="A386" s="23" t="str">
        <f t="shared" si="15"/>
        <v/>
      </c>
      <c r="B386" s="47"/>
      <c r="C386" s="39"/>
      <c r="D386" s="39"/>
      <c r="E386" s="39"/>
      <c r="F386" s="39"/>
      <c r="G386" s="20"/>
      <c r="H386" s="39"/>
      <c r="I386" s="44"/>
      <c r="J386" s="39"/>
      <c r="K386" s="39"/>
      <c r="L386" s="26"/>
      <c r="M386" s="39"/>
      <c r="N386" s="26"/>
      <c r="O386" s="20"/>
      <c r="P386" s="26"/>
      <c r="Q386" s="29" t="str">
        <f t="shared" ca="1" si="16"/>
        <v/>
      </c>
      <c r="R386" s="23" t="str">
        <f t="shared" ca="1" si="17"/>
        <v/>
      </c>
      <c r="S386" s="17"/>
      <c r="T386" s="32"/>
    </row>
    <row r="387" spans="1:20">
      <c r="A387" s="23" t="str">
        <f t="shared" si="15"/>
        <v/>
      </c>
      <c r="B387" s="47"/>
      <c r="C387" s="39"/>
      <c r="D387" s="39"/>
      <c r="E387" s="39"/>
      <c r="F387" s="39"/>
      <c r="G387" s="20"/>
      <c r="H387" s="39"/>
      <c r="I387" s="44"/>
      <c r="J387" s="39"/>
      <c r="K387" s="39"/>
      <c r="L387" s="26"/>
      <c r="M387" s="39"/>
      <c r="N387" s="26"/>
      <c r="O387" s="20"/>
      <c r="P387" s="26"/>
      <c r="Q387" s="29" t="str">
        <f t="shared" ca="1" si="16"/>
        <v/>
      </c>
      <c r="R387" s="23" t="str">
        <f t="shared" ca="1" si="17"/>
        <v/>
      </c>
      <c r="S387" s="17"/>
      <c r="T387" s="32"/>
    </row>
    <row r="388" spans="1:20">
      <c r="A388" s="23" t="str">
        <f t="shared" si="15"/>
        <v/>
      </c>
      <c r="B388" s="47"/>
      <c r="C388" s="39"/>
      <c r="D388" s="39"/>
      <c r="E388" s="39"/>
      <c r="F388" s="39"/>
      <c r="G388" s="20"/>
      <c r="H388" s="39"/>
      <c r="I388" s="44"/>
      <c r="J388" s="39"/>
      <c r="K388" s="39"/>
      <c r="L388" s="26"/>
      <c r="M388" s="39"/>
      <c r="N388" s="26"/>
      <c r="O388" s="20"/>
      <c r="P388" s="26"/>
      <c r="Q388" s="29" t="str">
        <f t="shared" ca="1" si="16"/>
        <v/>
      </c>
      <c r="R388" s="23" t="str">
        <f t="shared" ca="1" si="17"/>
        <v/>
      </c>
      <c r="S388" s="17"/>
      <c r="T388" s="32"/>
    </row>
    <row r="389" spans="1:20">
      <c r="A389" s="23" t="str">
        <f t="shared" si="15"/>
        <v/>
      </c>
      <c r="B389" s="47"/>
      <c r="C389" s="39"/>
      <c r="D389" s="39"/>
      <c r="E389" s="39"/>
      <c r="F389" s="39"/>
      <c r="G389" s="20"/>
      <c r="H389" s="39"/>
      <c r="I389" s="44"/>
      <c r="J389" s="39"/>
      <c r="K389" s="39"/>
      <c r="L389" s="26"/>
      <c r="M389" s="39"/>
      <c r="N389" s="26"/>
      <c r="O389" s="20"/>
      <c r="P389" s="26"/>
      <c r="Q389" s="29" t="str">
        <f t="shared" ca="1" si="16"/>
        <v/>
      </c>
      <c r="R389" s="23" t="str">
        <f t="shared" ca="1" si="17"/>
        <v/>
      </c>
      <c r="S389" s="17"/>
      <c r="T389" s="32"/>
    </row>
    <row r="390" spans="1:20">
      <c r="A390" s="23" t="str">
        <f t="shared" si="15"/>
        <v/>
      </c>
      <c r="B390" s="47"/>
      <c r="C390" s="39"/>
      <c r="D390" s="39"/>
      <c r="E390" s="39"/>
      <c r="F390" s="39"/>
      <c r="G390" s="20"/>
      <c r="H390" s="39"/>
      <c r="I390" s="44"/>
      <c r="J390" s="39"/>
      <c r="K390" s="39"/>
      <c r="L390" s="26"/>
      <c r="M390" s="39"/>
      <c r="N390" s="26"/>
      <c r="O390" s="20"/>
      <c r="P390" s="26"/>
      <c r="Q390" s="29" t="str">
        <f t="shared" ca="1" si="16"/>
        <v/>
      </c>
      <c r="R390" s="23" t="str">
        <f t="shared" ca="1" si="17"/>
        <v/>
      </c>
      <c r="S390" s="17"/>
      <c r="T390" s="32"/>
    </row>
    <row r="391" spans="1:20">
      <c r="A391" s="23" t="str">
        <f t="shared" ref="A391:A454" si="18">IF($I391="","","DEF-"&amp;TEXT(ROW()-6,"0000"))</f>
        <v/>
      </c>
      <c r="B391" s="47"/>
      <c r="C391" s="39"/>
      <c r="D391" s="39"/>
      <c r="E391" s="39"/>
      <c r="F391" s="39"/>
      <c r="G391" s="20"/>
      <c r="H391" s="39"/>
      <c r="I391" s="44"/>
      <c r="J391" s="39"/>
      <c r="K391" s="39"/>
      <c r="L391" s="26"/>
      <c r="M391" s="39"/>
      <c r="N391" s="26"/>
      <c r="O391" s="20"/>
      <c r="P391" s="26"/>
      <c r="Q391" s="29" t="str">
        <f t="shared" ref="Q391:Q454" ca="1" si="19">IF($B391="","",MAX(0,IF($M391="Closed",IF($N391="",TODAY()-$B391,$N391-$B391),TODAY()-$B391)))</f>
        <v/>
      </c>
      <c r="R391" s="23" t="str">
        <f t="shared" ref="R391:R454" ca="1" si="20">IF(OR($I391="",$L391="",$M391="Closed"),"",IF(TODAY()&gt;$L391,"Yes","No"))</f>
        <v/>
      </c>
      <c r="S391" s="17"/>
      <c r="T391" s="32"/>
    </row>
    <row r="392" spans="1:20">
      <c r="A392" s="23" t="str">
        <f t="shared" si="18"/>
        <v/>
      </c>
      <c r="B392" s="47"/>
      <c r="C392" s="39"/>
      <c r="D392" s="39"/>
      <c r="E392" s="39"/>
      <c r="F392" s="39"/>
      <c r="G392" s="20"/>
      <c r="H392" s="39"/>
      <c r="I392" s="44"/>
      <c r="J392" s="39"/>
      <c r="K392" s="39"/>
      <c r="L392" s="26"/>
      <c r="M392" s="39"/>
      <c r="N392" s="26"/>
      <c r="O392" s="20"/>
      <c r="P392" s="26"/>
      <c r="Q392" s="29" t="str">
        <f t="shared" ca="1" si="19"/>
        <v/>
      </c>
      <c r="R392" s="23" t="str">
        <f t="shared" ca="1" si="20"/>
        <v/>
      </c>
      <c r="S392" s="17"/>
      <c r="T392" s="32"/>
    </row>
    <row r="393" spans="1:20">
      <c r="A393" s="23" t="str">
        <f t="shared" si="18"/>
        <v/>
      </c>
      <c r="B393" s="47"/>
      <c r="C393" s="39"/>
      <c r="D393" s="39"/>
      <c r="E393" s="39"/>
      <c r="F393" s="39"/>
      <c r="G393" s="20"/>
      <c r="H393" s="39"/>
      <c r="I393" s="44"/>
      <c r="J393" s="39"/>
      <c r="K393" s="39"/>
      <c r="L393" s="26"/>
      <c r="M393" s="39"/>
      <c r="N393" s="26"/>
      <c r="O393" s="20"/>
      <c r="P393" s="26"/>
      <c r="Q393" s="29" t="str">
        <f t="shared" ca="1" si="19"/>
        <v/>
      </c>
      <c r="R393" s="23" t="str">
        <f t="shared" ca="1" si="20"/>
        <v/>
      </c>
      <c r="S393" s="17"/>
      <c r="T393" s="32"/>
    </row>
    <row r="394" spans="1:20">
      <c r="A394" s="23" t="str">
        <f t="shared" si="18"/>
        <v/>
      </c>
      <c r="B394" s="47"/>
      <c r="C394" s="39"/>
      <c r="D394" s="39"/>
      <c r="E394" s="39"/>
      <c r="F394" s="39"/>
      <c r="G394" s="20"/>
      <c r="H394" s="39"/>
      <c r="I394" s="44"/>
      <c r="J394" s="39"/>
      <c r="K394" s="39"/>
      <c r="L394" s="26"/>
      <c r="M394" s="39"/>
      <c r="N394" s="26"/>
      <c r="O394" s="20"/>
      <c r="P394" s="26"/>
      <c r="Q394" s="29" t="str">
        <f t="shared" ca="1" si="19"/>
        <v/>
      </c>
      <c r="R394" s="23" t="str">
        <f t="shared" ca="1" si="20"/>
        <v/>
      </c>
      <c r="S394" s="17"/>
      <c r="T394" s="32"/>
    </row>
    <row r="395" spans="1:20">
      <c r="A395" s="23" t="str">
        <f t="shared" si="18"/>
        <v/>
      </c>
      <c r="B395" s="47"/>
      <c r="C395" s="39"/>
      <c r="D395" s="39"/>
      <c r="E395" s="39"/>
      <c r="F395" s="39"/>
      <c r="G395" s="20"/>
      <c r="H395" s="39"/>
      <c r="I395" s="44"/>
      <c r="J395" s="39"/>
      <c r="K395" s="39"/>
      <c r="L395" s="26"/>
      <c r="M395" s="39"/>
      <c r="N395" s="26"/>
      <c r="O395" s="20"/>
      <c r="P395" s="26"/>
      <c r="Q395" s="29" t="str">
        <f t="shared" ca="1" si="19"/>
        <v/>
      </c>
      <c r="R395" s="23" t="str">
        <f t="shared" ca="1" si="20"/>
        <v/>
      </c>
      <c r="S395" s="17"/>
      <c r="T395" s="32"/>
    </row>
    <row r="396" spans="1:20">
      <c r="A396" s="23" t="str">
        <f t="shared" si="18"/>
        <v/>
      </c>
      <c r="B396" s="47"/>
      <c r="C396" s="39"/>
      <c r="D396" s="39"/>
      <c r="E396" s="39"/>
      <c r="F396" s="39"/>
      <c r="G396" s="20"/>
      <c r="H396" s="39"/>
      <c r="I396" s="44"/>
      <c r="J396" s="39"/>
      <c r="K396" s="39"/>
      <c r="L396" s="26"/>
      <c r="M396" s="39"/>
      <c r="N396" s="26"/>
      <c r="O396" s="20"/>
      <c r="P396" s="26"/>
      <c r="Q396" s="29" t="str">
        <f t="shared" ca="1" si="19"/>
        <v/>
      </c>
      <c r="R396" s="23" t="str">
        <f t="shared" ca="1" si="20"/>
        <v/>
      </c>
      <c r="S396" s="17"/>
      <c r="T396" s="32"/>
    </row>
    <row r="397" spans="1:20">
      <c r="A397" s="23" t="str">
        <f t="shared" si="18"/>
        <v/>
      </c>
      <c r="B397" s="47"/>
      <c r="C397" s="39"/>
      <c r="D397" s="39"/>
      <c r="E397" s="39"/>
      <c r="F397" s="39"/>
      <c r="G397" s="20"/>
      <c r="H397" s="39"/>
      <c r="I397" s="44"/>
      <c r="J397" s="39"/>
      <c r="K397" s="39"/>
      <c r="L397" s="26"/>
      <c r="M397" s="39"/>
      <c r="N397" s="26"/>
      <c r="O397" s="20"/>
      <c r="P397" s="26"/>
      <c r="Q397" s="29" t="str">
        <f t="shared" ca="1" si="19"/>
        <v/>
      </c>
      <c r="R397" s="23" t="str">
        <f t="shared" ca="1" si="20"/>
        <v/>
      </c>
      <c r="S397" s="17"/>
      <c r="T397" s="32"/>
    </row>
    <row r="398" spans="1:20">
      <c r="A398" s="23" t="str">
        <f t="shared" si="18"/>
        <v/>
      </c>
      <c r="B398" s="47"/>
      <c r="C398" s="39"/>
      <c r="D398" s="39"/>
      <c r="E398" s="39"/>
      <c r="F398" s="39"/>
      <c r="G398" s="20"/>
      <c r="H398" s="39"/>
      <c r="I398" s="44"/>
      <c r="J398" s="39"/>
      <c r="K398" s="39"/>
      <c r="L398" s="26"/>
      <c r="M398" s="39"/>
      <c r="N398" s="26"/>
      <c r="O398" s="20"/>
      <c r="P398" s="26"/>
      <c r="Q398" s="29" t="str">
        <f t="shared" ca="1" si="19"/>
        <v/>
      </c>
      <c r="R398" s="23" t="str">
        <f t="shared" ca="1" si="20"/>
        <v/>
      </c>
      <c r="S398" s="17"/>
      <c r="T398" s="32"/>
    </row>
    <row r="399" spans="1:20">
      <c r="A399" s="23" t="str">
        <f t="shared" si="18"/>
        <v/>
      </c>
      <c r="B399" s="47"/>
      <c r="C399" s="39"/>
      <c r="D399" s="39"/>
      <c r="E399" s="39"/>
      <c r="F399" s="39"/>
      <c r="G399" s="20"/>
      <c r="H399" s="39"/>
      <c r="I399" s="44"/>
      <c r="J399" s="39"/>
      <c r="K399" s="39"/>
      <c r="L399" s="26"/>
      <c r="M399" s="39"/>
      <c r="N399" s="26"/>
      <c r="O399" s="20"/>
      <c r="P399" s="26"/>
      <c r="Q399" s="29" t="str">
        <f t="shared" ca="1" si="19"/>
        <v/>
      </c>
      <c r="R399" s="23" t="str">
        <f t="shared" ca="1" si="20"/>
        <v/>
      </c>
      <c r="S399" s="17"/>
      <c r="T399" s="32"/>
    </row>
    <row r="400" spans="1:20">
      <c r="A400" s="23" t="str">
        <f t="shared" si="18"/>
        <v/>
      </c>
      <c r="B400" s="47"/>
      <c r="C400" s="39"/>
      <c r="D400" s="39"/>
      <c r="E400" s="39"/>
      <c r="F400" s="39"/>
      <c r="G400" s="20"/>
      <c r="H400" s="39"/>
      <c r="I400" s="44"/>
      <c r="J400" s="39"/>
      <c r="K400" s="39"/>
      <c r="L400" s="26"/>
      <c r="M400" s="39"/>
      <c r="N400" s="26"/>
      <c r="O400" s="20"/>
      <c r="P400" s="26"/>
      <c r="Q400" s="29" t="str">
        <f t="shared" ca="1" si="19"/>
        <v/>
      </c>
      <c r="R400" s="23" t="str">
        <f t="shared" ca="1" si="20"/>
        <v/>
      </c>
      <c r="S400" s="17"/>
      <c r="T400" s="32"/>
    </row>
    <row r="401" spans="1:20">
      <c r="A401" s="23" t="str">
        <f t="shared" si="18"/>
        <v/>
      </c>
      <c r="B401" s="47"/>
      <c r="C401" s="39"/>
      <c r="D401" s="39"/>
      <c r="E401" s="39"/>
      <c r="F401" s="39"/>
      <c r="G401" s="20"/>
      <c r="H401" s="39"/>
      <c r="I401" s="44"/>
      <c r="J401" s="39"/>
      <c r="K401" s="39"/>
      <c r="L401" s="26"/>
      <c r="M401" s="39"/>
      <c r="N401" s="26"/>
      <c r="O401" s="20"/>
      <c r="P401" s="26"/>
      <c r="Q401" s="29" t="str">
        <f t="shared" ca="1" si="19"/>
        <v/>
      </c>
      <c r="R401" s="23" t="str">
        <f t="shared" ca="1" si="20"/>
        <v/>
      </c>
      <c r="S401" s="17"/>
      <c r="T401" s="32"/>
    </row>
    <row r="402" spans="1:20">
      <c r="A402" s="23" t="str">
        <f t="shared" si="18"/>
        <v/>
      </c>
      <c r="B402" s="47"/>
      <c r="C402" s="39"/>
      <c r="D402" s="39"/>
      <c r="E402" s="39"/>
      <c r="F402" s="39"/>
      <c r="G402" s="20"/>
      <c r="H402" s="39"/>
      <c r="I402" s="44"/>
      <c r="J402" s="39"/>
      <c r="K402" s="39"/>
      <c r="L402" s="26"/>
      <c r="M402" s="39"/>
      <c r="N402" s="26"/>
      <c r="O402" s="20"/>
      <c r="P402" s="26"/>
      <c r="Q402" s="29" t="str">
        <f t="shared" ca="1" si="19"/>
        <v/>
      </c>
      <c r="R402" s="23" t="str">
        <f t="shared" ca="1" si="20"/>
        <v/>
      </c>
      <c r="S402" s="17"/>
      <c r="T402" s="32"/>
    </row>
    <row r="403" spans="1:20">
      <c r="A403" s="23" t="str">
        <f t="shared" si="18"/>
        <v/>
      </c>
      <c r="B403" s="47"/>
      <c r="C403" s="39"/>
      <c r="D403" s="39"/>
      <c r="E403" s="39"/>
      <c r="F403" s="39"/>
      <c r="G403" s="20"/>
      <c r="H403" s="39"/>
      <c r="I403" s="44"/>
      <c r="J403" s="39"/>
      <c r="K403" s="39"/>
      <c r="L403" s="26"/>
      <c r="M403" s="39"/>
      <c r="N403" s="26"/>
      <c r="O403" s="20"/>
      <c r="P403" s="26"/>
      <c r="Q403" s="29" t="str">
        <f t="shared" ca="1" si="19"/>
        <v/>
      </c>
      <c r="R403" s="23" t="str">
        <f t="shared" ca="1" si="20"/>
        <v/>
      </c>
      <c r="S403" s="17"/>
      <c r="T403" s="32"/>
    </row>
    <row r="404" spans="1:20">
      <c r="A404" s="23" t="str">
        <f t="shared" si="18"/>
        <v/>
      </c>
      <c r="B404" s="47"/>
      <c r="C404" s="39"/>
      <c r="D404" s="39"/>
      <c r="E404" s="39"/>
      <c r="F404" s="39"/>
      <c r="G404" s="20"/>
      <c r="H404" s="39"/>
      <c r="I404" s="44"/>
      <c r="J404" s="39"/>
      <c r="K404" s="39"/>
      <c r="L404" s="26"/>
      <c r="M404" s="39"/>
      <c r="N404" s="26"/>
      <c r="O404" s="20"/>
      <c r="P404" s="26"/>
      <c r="Q404" s="29" t="str">
        <f t="shared" ca="1" si="19"/>
        <v/>
      </c>
      <c r="R404" s="23" t="str">
        <f t="shared" ca="1" si="20"/>
        <v/>
      </c>
      <c r="S404" s="17"/>
      <c r="T404" s="32"/>
    </row>
    <row r="405" spans="1:20">
      <c r="A405" s="23" t="str">
        <f t="shared" si="18"/>
        <v/>
      </c>
      <c r="B405" s="47"/>
      <c r="C405" s="39"/>
      <c r="D405" s="39"/>
      <c r="E405" s="39"/>
      <c r="F405" s="39"/>
      <c r="G405" s="20"/>
      <c r="H405" s="39"/>
      <c r="I405" s="44"/>
      <c r="J405" s="39"/>
      <c r="K405" s="39"/>
      <c r="L405" s="26"/>
      <c r="M405" s="39"/>
      <c r="N405" s="26"/>
      <c r="O405" s="20"/>
      <c r="P405" s="26"/>
      <c r="Q405" s="29" t="str">
        <f t="shared" ca="1" si="19"/>
        <v/>
      </c>
      <c r="R405" s="23" t="str">
        <f t="shared" ca="1" si="20"/>
        <v/>
      </c>
      <c r="S405" s="17"/>
      <c r="T405" s="32"/>
    </row>
    <row r="406" spans="1:20">
      <c r="A406" s="23" t="str">
        <f t="shared" si="18"/>
        <v/>
      </c>
      <c r="B406" s="47"/>
      <c r="C406" s="39"/>
      <c r="D406" s="39"/>
      <c r="E406" s="39"/>
      <c r="F406" s="39"/>
      <c r="G406" s="20"/>
      <c r="H406" s="39"/>
      <c r="I406" s="44"/>
      <c r="J406" s="39"/>
      <c r="K406" s="39"/>
      <c r="L406" s="26"/>
      <c r="M406" s="39"/>
      <c r="N406" s="26"/>
      <c r="O406" s="20"/>
      <c r="P406" s="26"/>
      <c r="Q406" s="29" t="str">
        <f t="shared" ca="1" si="19"/>
        <v/>
      </c>
      <c r="R406" s="23" t="str">
        <f t="shared" ca="1" si="20"/>
        <v/>
      </c>
      <c r="S406" s="17"/>
      <c r="T406" s="32"/>
    </row>
    <row r="407" spans="1:20">
      <c r="A407" s="23" t="str">
        <f t="shared" si="18"/>
        <v/>
      </c>
      <c r="B407" s="47"/>
      <c r="C407" s="39"/>
      <c r="D407" s="39"/>
      <c r="E407" s="39"/>
      <c r="F407" s="39"/>
      <c r="G407" s="20"/>
      <c r="H407" s="39"/>
      <c r="I407" s="44"/>
      <c r="J407" s="39"/>
      <c r="K407" s="39"/>
      <c r="L407" s="26"/>
      <c r="M407" s="39"/>
      <c r="N407" s="26"/>
      <c r="O407" s="20"/>
      <c r="P407" s="26"/>
      <c r="Q407" s="29" t="str">
        <f t="shared" ca="1" si="19"/>
        <v/>
      </c>
      <c r="R407" s="23" t="str">
        <f t="shared" ca="1" si="20"/>
        <v/>
      </c>
      <c r="S407" s="17"/>
      <c r="T407" s="32"/>
    </row>
    <row r="408" spans="1:20">
      <c r="A408" s="23" t="str">
        <f t="shared" si="18"/>
        <v/>
      </c>
      <c r="B408" s="47"/>
      <c r="C408" s="39"/>
      <c r="D408" s="39"/>
      <c r="E408" s="39"/>
      <c r="F408" s="39"/>
      <c r="G408" s="20"/>
      <c r="H408" s="39"/>
      <c r="I408" s="44"/>
      <c r="J408" s="39"/>
      <c r="K408" s="39"/>
      <c r="L408" s="26"/>
      <c r="M408" s="39"/>
      <c r="N408" s="26"/>
      <c r="O408" s="20"/>
      <c r="P408" s="26"/>
      <c r="Q408" s="29" t="str">
        <f t="shared" ca="1" si="19"/>
        <v/>
      </c>
      <c r="R408" s="23" t="str">
        <f t="shared" ca="1" si="20"/>
        <v/>
      </c>
      <c r="S408" s="17"/>
      <c r="T408" s="32"/>
    </row>
    <row r="409" spans="1:20">
      <c r="A409" s="23" t="str">
        <f t="shared" si="18"/>
        <v/>
      </c>
      <c r="B409" s="47"/>
      <c r="C409" s="39"/>
      <c r="D409" s="39"/>
      <c r="E409" s="39"/>
      <c r="F409" s="39"/>
      <c r="G409" s="20"/>
      <c r="H409" s="39"/>
      <c r="I409" s="44"/>
      <c r="J409" s="39"/>
      <c r="K409" s="39"/>
      <c r="L409" s="26"/>
      <c r="M409" s="39"/>
      <c r="N409" s="26"/>
      <c r="O409" s="20"/>
      <c r="P409" s="26"/>
      <c r="Q409" s="29" t="str">
        <f t="shared" ca="1" si="19"/>
        <v/>
      </c>
      <c r="R409" s="23" t="str">
        <f t="shared" ca="1" si="20"/>
        <v/>
      </c>
      <c r="S409" s="17"/>
      <c r="T409" s="32"/>
    </row>
    <row r="410" spans="1:20">
      <c r="A410" s="23" t="str">
        <f t="shared" si="18"/>
        <v/>
      </c>
      <c r="B410" s="47"/>
      <c r="C410" s="39"/>
      <c r="D410" s="39"/>
      <c r="E410" s="39"/>
      <c r="F410" s="39"/>
      <c r="G410" s="20"/>
      <c r="H410" s="39"/>
      <c r="I410" s="44"/>
      <c r="J410" s="39"/>
      <c r="K410" s="39"/>
      <c r="L410" s="26"/>
      <c r="M410" s="39"/>
      <c r="N410" s="26"/>
      <c r="O410" s="20"/>
      <c r="P410" s="26"/>
      <c r="Q410" s="29" t="str">
        <f t="shared" ca="1" si="19"/>
        <v/>
      </c>
      <c r="R410" s="23" t="str">
        <f t="shared" ca="1" si="20"/>
        <v/>
      </c>
      <c r="S410" s="17"/>
      <c r="T410" s="32"/>
    </row>
    <row r="411" spans="1:20">
      <c r="A411" s="23" t="str">
        <f t="shared" si="18"/>
        <v/>
      </c>
      <c r="B411" s="47"/>
      <c r="C411" s="39"/>
      <c r="D411" s="39"/>
      <c r="E411" s="39"/>
      <c r="F411" s="39"/>
      <c r="G411" s="20"/>
      <c r="H411" s="39"/>
      <c r="I411" s="44"/>
      <c r="J411" s="39"/>
      <c r="K411" s="39"/>
      <c r="L411" s="26"/>
      <c r="M411" s="39"/>
      <c r="N411" s="26"/>
      <c r="O411" s="20"/>
      <c r="P411" s="26"/>
      <c r="Q411" s="29" t="str">
        <f t="shared" ca="1" si="19"/>
        <v/>
      </c>
      <c r="R411" s="23" t="str">
        <f t="shared" ca="1" si="20"/>
        <v/>
      </c>
      <c r="S411" s="17"/>
      <c r="T411" s="32"/>
    </row>
    <row r="412" spans="1:20">
      <c r="A412" s="23" t="str">
        <f t="shared" si="18"/>
        <v/>
      </c>
      <c r="B412" s="47"/>
      <c r="C412" s="39"/>
      <c r="D412" s="39"/>
      <c r="E412" s="39"/>
      <c r="F412" s="39"/>
      <c r="G412" s="20"/>
      <c r="H412" s="39"/>
      <c r="I412" s="44"/>
      <c r="J412" s="39"/>
      <c r="K412" s="39"/>
      <c r="L412" s="26"/>
      <c r="M412" s="39"/>
      <c r="N412" s="26"/>
      <c r="O412" s="20"/>
      <c r="P412" s="26"/>
      <c r="Q412" s="29" t="str">
        <f t="shared" ca="1" si="19"/>
        <v/>
      </c>
      <c r="R412" s="23" t="str">
        <f t="shared" ca="1" si="20"/>
        <v/>
      </c>
      <c r="S412" s="17"/>
      <c r="T412" s="32"/>
    </row>
    <row r="413" spans="1:20">
      <c r="A413" s="23" t="str">
        <f t="shared" si="18"/>
        <v/>
      </c>
      <c r="B413" s="47"/>
      <c r="C413" s="39"/>
      <c r="D413" s="39"/>
      <c r="E413" s="39"/>
      <c r="F413" s="39"/>
      <c r="G413" s="20"/>
      <c r="H413" s="39"/>
      <c r="I413" s="44"/>
      <c r="J413" s="39"/>
      <c r="K413" s="39"/>
      <c r="L413" s="26"/>
      <c r="M413" s="39"/>
      <c r="N413" s="26"/>
      <c r="O413" s="20"/>
      <c r="P413" s="26"/>
      <c r="Q413" s="29" t="str">
        <f t="shared" ca="1" si="19"/>
        <v/>
      </c>
      <c r="R413" s="23" t="str">
        <f t="shared" ca="1" si="20"/>
        <v/>
      </c>
      <c r="S413" s="17"/>
      <c r="T413" s="32"/>
    </row>
    <row r="414" spans="1:20">
      <c r="A414" s="23" t="str">
        <f t="shared" si="18"/>
        <v/>
      </c>
      <c r="B414" s="47"/>
      <c r="C414" s="39"/>
      <c r="D414" s="39"/>
      <c r="E414" s="39"/>
      <c r="F414" s="39"/>
      <c r="G414" s="20"/>
      <c r="H414" s="39"/>
      <c r="I414" s="44"/>
      <c r="J414" s="39"/>
      <c r="K414" s="39"/>
      <c r="L414" s="26"/>
      <c r="M414" s="39"/>
      <c r="N414" s="26"/>
      <c r="O414" s="20"/>
      <c r="P414" s="26"/>
      <c r="Q414" s="29" t="str">
        <f t="shared" ca="1" si="19"/>
        <v/>
      </c>
      <c r="R414" s="23" t="str">
        <f t="shared" ca="1" si="20"/>
        <v/>
      </c>
      <c r="S414" s="17"/>
      <c r="T414" s="32"/>
    </row>
    <row r="415" spans="1:20">
      <c r="A415" s="23" t="str">
        <f t="shared" si="18"/>
        <v/>
      </c>
      <c r="B415" s="47"/>
      <c r="C415" s="39"/>
      <c r="D415" s="39"/>
      <c r="E415" s="39"/>
      <c r="F415" s="39"/>
      <c r="G415" s="20"/>
      <c r="H415" s="39"/>
      <c r="I415" s="44"/>
      <c r="J415" s="39"/>
      <c r="K415" s="39"/>
      <c r="L415" s="26"/>
      <c r="M415" s="39"/>
      <c r="N415" s="26"/>
      <c r="O415" s="20"/>
      <c r="P415" s="26"/>
      <c r="Q415" s="29" t="str">
        <f t="shared" ca="1" si="19"/>
        <v/>
      </c>
      <c r="R415" s="23" t="str">
        <f t="shared" ca="1" si="20"/>
        <v/>
      </c>
      <c r="S415" s="17"/>
      <c r="T415" s="32"/>
    </row>
    <row r="416" spans="1:20">
      <c r="A416" s="23" t="str">
        <f t="shared" si="18"/>
        <v/>
      </c>
      <c r="B416" s="47"/>
      <c r="C416" s="39"/>
      <c r="D416" s="39"/>
      <c r="E416" s="39"/>
      <c r="F416" s="39"/>
      <c r="G416" s="20"/>
      <c r="H416" s="39"/>
      <c r="I416" s="44"/>
      <c r="J416" s="39"/>
      <c r="K416" s="39"/>
      <c r="L416" s="26"/>
      <c r="M416" s="39"/>
      <c r="N416" s="26"/>
      <c r="O416" s="20"/>
      <c r="P416" s="26"/>
      <c r="Q416" s="29" t="str">
        <f t="shared" ca="1" si="19"/>
        <v/>
      </c>
      <c r="R416" s="23" t="str">
        <f t="shared" ca="1" si="20"/>
        <v/>
      </c>
      <c r="S416" s="17"/>
      <c r="T416" s="32"/>
    </row>
    <row r="417" spans="1:20">
      <c r="A417" s="23" t="str">
        <f t="shared" si="18"/>
        <v/>
      </c>
      <c r="B417" s="47"/>
      <c r="C417" s="39"/>
      <c r="D417" s="39"/>
      <c r="E417" s="39"/>
      <c r="F417" s="39"/>
      <c r="G417" s="20"/>
      <c r="H417" s="39"/>
      <c r="I417" s="44"/>
      <c r="J417" s="39"/>
      <c r="K417" s="39"/>
      <c r="L417" s="26"/>
      <c r="M417" s="39"/>
      <c r="N417" s="26"/>
      <c r="O417" s="20"/>
      <c r="P417" s="26"/>
      <c r="Q417" s="29" t="str">
        <f t="shared" ca="1" si="19"/>
        <v/>
      </c>
      <c r="R417" s="23" t="str">
        <f t="shared" ca="1" si="20"/>
        <v/>
      </c>
      <c r="S417" s="17"/>
      <c r="T417" s="32"/>
    </row>
    <row r="418" spans="1:20">
      <c r="A418" s="23" t="str">
        <f t="shared" si="18"/>
        <v/>
      </c>
      <c r="B418" s="47"/>
      <c r="C418" s="39"/>
      <c r="D418" s="39"/>
      <c r="E418" s="39"/>
      <c r="F418" s="39"/>
      <c r="G418" s="20"/>
      <c r="H418" s="39"/>
      <c r="I418" s="44"/>
      <c r="J418" s="39"/>
      <c r="K418" s="39"/>
      <c r="L418" s="26"/>
      <c r="M418" s="39"/>
      <c r="N418" s="26"/>
      <c r="O418" s="20"/>
      <c r="P418" s="26"/>
      <c r="Q418" s="29" t="str">
        <f t="shared" ca="1" si="19"/>
        <v/>
      </c>
      <c r="R418" s="23" t="str">
        <f t="shared" ca="1" si="20"/>
        <v/>
      </c>
      <c r="S418" s="17"/>
      <c r="T418" s="32"/>
    </row>
    <row r="419" spans="1:20">
      <c r="A419" s="23" t="str">
        <f t="shared" si="18"/>
        <v/>
      </c>
      <c r="B419" s="47"/>
      <c r="C419" s="39"/>
      <c r="D419" s="39"/>
      <c r="E419" s="39"/>
      <c r="F419" s="39"/>
      <c r="G419" s="20"/>
      <c r="H419" s="39"/>
      <c r="I419" s="44"/>
      <c r="J419" s="39"/>
      <c r="K419" s="39"/>
      <c r="L419" s="26"/>
      <c r="M419" s="39"/>
      <c r="N419" s="26"/>
      <c r="O419" s="20"/>
      <c r="P419" s="26"/>
      <c r="Q419" s="29" t="str">
        <f t="shared" ca="1" si="19"/>
        <v/>
      </c>
      <c r="R419" s="23" t="str">
        <f t="shared" ca="1" si="20"/>
        <v/>
      </c>
      <c r="S419" s="17"/>
      <c r="T419" s="32"/>
    </row>
    <row r="420" spans="1:20">
      <c r="A420" s="23" t="str">
        <f t="shared" si="18"/>
        <v/>
      </c>
      <c r="B420" s="47"/>
      <c r="C420" s="39"/>
      <c r="D420" s="39"/>
      <c r="E420" s="39"/>
      <c r="F420" s="39"/>
      <c r="G420" s="20"/>
      <c r="H420" s="39"/>
      <c r="I420" s="44"/>
      <c r="J420" s="39"/>
      <c r="K420" s="39"/>
      <c r="L420" s="26"/>
      <c r="M420" s="39"/>
      <c r="N420" s="26"/>
      <c r="O420" s="20"/>
      <c r="P420" s="26"/>
      <c r="Q420" s="29" t="str">
        <f t="shared" ca="1" si="19"/>
        <v/>
      </c>
      <c r="R420" s="23" t="str">
        <f t="shared" ca="1" si="20"/>
        <v/>
      </c>
      <c r="S420" s="17"/>
      <c r="T420" s="32"/>
    </row>
    <row r="421" spans="1:20">
      <c r="A421" s="23" t="str">
        <f t="shared" si="18"/>
        <v/>
      </c>
      <c r="B421" s="47"/>
      <c r="C421" s="39"/>
      <c r="D421" s="39"/>
      <c r="E421" s="39"/>
      <c r="F421" s="39"/>
      <c r="G421" s="20"/>
      <c r="H421" s="39"/>
      <c r="I421" s="44"/>
      <c r="J421" s="39"/>
      <c r="K421" s="39"/>
      <c r="L421" s="26"/>
      <c r="M421" s="39"/>
      <c r="N421" s="26"/>
      <c r="O421" s="20"/>
      <c r="P421" s="26"/>
      <c r="Q421" s="29" t="str">
        <f t="shared" ca="1" si="19"/>
        <v/>
      </c>
      <c r="R421" s="23" t="str">
        <f t="shared" ca="1" si="20"/>
        <v/>
      </c>
      <c r="S421" s="17"/>
      <c r="T421" s="32"/>
    </row>
    <row r="422" spans="1:20">
      <c r="A422" s="23" t="str">
        <f t="shared" si="18"/>
        <v/>
      </c>
      <c r="B422" s="47"/>
      <c r="C422" s="39"/>
      <c r="D422" s="39"/>
      <c r="E422" s="39"/>
      <c r="F422" s="39"/>
      <c r="G422" s="20"/>
      <c r="H422" s="39"/>
      <c r="I422" s="44"/>
      <c r="J422" s="39"/>
      <c r="K422" s="39"/>
      <c r="L422" s="26"/>
      <c r="M422" s="39"/>
      <c r="N422" s="26"/>
      <c r="O422" s="20"/>
      <c r="P422" s="26"/>
      <c r="Q422" s="29" t="str">
        <f t="shared" ca="1" si="19"/>
        <v/>
      </c>
      <c r="R422" s="23" t="str">
        <f t="shared" ca="1" si="20"/>
        <v/>
      </c>
      <c r="S422" s="17"/>
      <c r="T422" s="32"/>
    </row>
    <row r="423" spans="1:20">
      <c r="A423" s="23" t="str">
        <f t="shared" si="18"/>
        <v/>
      </c>
      <c r="B423" s="47"/>
      <c r="C423" s="39"/>
      <c r="D423" s="39"/>
      <c r="E423" s="39"/>
      <c r="F423" s="39"/>
      <c r="G423" s="20"/>
      <c r="H423" s="39"/>
      <c r="I423" s="44"/>
      <c r="J423" s="39"/>
      <c r="K423" s="39"/>
      <c r="L423" s="26"/>
      <c r="M423" s="39"/>
      <c r="N423" s="26"/>
      <c r="O423" s="20"/>
      <c r="P423" s="26"/>
      <c r="Q423" s="29" t="str">
        <f t="shared" ca="1" si="19"/>
        <v/>
      </c>
      <c r="R423" s="23" t="str">
        <f t="shared" ca="1" si="20"/>
        <v/>
      </c>
      <c r="S423" s="17"/>
      <c r="T423" s="32"/>
    </row>
    <row r="424" spans="1:20">
      <c r="A424" s="23" t="str">
        <f t="shared" si="18"/>
        <v/>
      </c>
      <c r="B424" s="47"/>
      <c r="C424" s="39"/>
      <c r="D424" s="39"/>
      <c r="E424" s="39"/>
      <c r="F424" s="39"/>
      <c r="G424" s="20"/>
      <c r="H424" s="39"/>
      <c r="I424" s="44"/>
      <c r="J424" s="39"/>
      <c r="K424" s="39"/>
      <c r="L424" s="26"/>
      <c r="M424" s="39"/>
      <c r="N424" s="26"/>
      <c r="O424" s="20"/>
      <c r="P424" s="26"/>
      <c r="Q424" s="29" t="str">
        <f t="shared" ca="1" si="19"/>
        <v/>
      </c>
      <c r="R424" s="23" t="str">
        <f t="shared" ca="1" si="20"/>
        <v/>
      </c>
      <c r="S424" s="17"/>
      <c r="T424" s="32"/>
    </row>
    <row r="425" spans="1:20">
      <c r="A425" s="23" t="str">
        <f t="shared" si="18"/>
        <v/>
      </c>
      <c r="B425" s="47"/>
      <c r="C425" s="39"/>
      <c r="D425" s="39"/>
      <c r="E425" s="39"/>
      <c r="F425" s="39"/>
      <c r="G425" s="20"/>
      <c r="H425" s="39"/>
      <c r="I425" s="44"/>
      <c r="J425" s="39"/>
      <c r="K425" s="39"/>
      <c r="L425" s="26"/>
      <c r="M425" s="39"/>
      <c r="N425" s="26"/>
      <c r="O425" s="20"/>
      <c r="P425" s="26"/>
      <c r="Q425" s="29" t="str">
        <f t="shared" ca="1" si="19"/>
        <v/>
      </c>
      <c r="R425" s="23" t="str">
        <f t="shared" ca="1" si="20"/>
        <v/>
      </c>
      <c r="S425" s="17"/>
      <c r="T425" s="32"/>
    </row>
    <row r="426" spans="1:20">
      <c r="A426" s="23" t="str">
        <f t="shared" si="18"/>
        <v/>
      </c>
      <c r="B426" s="47"/>
      <c r="C426" s="39"/>
      <c r="D426" s="39"/>
      <c r="E426" s="39"/>
      <c r="F426" s="39"/>
      <c r="G426" s="20"/>
      <c r="H426" s="39"/>
      <c r="I426" s="44"/>
      <c r="J426" s="39"/>
      <c r="K426" s="39"/>
      <c r="L426" s="26"/>
      <c r="M426" s="39"/>
      <c r="N426" s="26"/>
      <c r="O426" s="20"/>
      <c r="P426" s="26"/>
      <c r="Q426" s="29" t="str">
        <f t="shared" ca="1" si="19"/>
        <v/>
      </c>
      <c r="R426" s="23" t="str">
        <f t="shared" ca="1" si="20"/>
        <v/>
      </c>
      <c r="S426" s="17"/>
      <c r="T426" s="32"/>
    </row>
    <row r="427" spans="1:20">
      <c r="A427" s="23" t="str">
        <f t="shared" si="18"/>
        <v/>
      </c>
      <c r="B427" s="47"/>
      <c r="C427" s="39"/>
      <c r="D427" s="39"/>
      <c r="E427" s="39"/>
      <c r="F427" s="39"/>
      <c r="G427" s="20"/>
      <c r="H427" s="39"/>
      <c r="I427" s="44"/>
      <c r="J427" s="39"/>
      <c r="K427" s="39"/>
      <c r="L427" s="26"/>
      <c r="M427" s="39"/>
      <c r="N427" s="26"/>
      <c r="O427" s="20"/>
      <c r="P427" s="26"/>
      <c r="Q427" s="29" t="str">
        <f t="shared" ca="1" si="19"/>
        <v/>
      </c>
      <c r="R427" s="23" t="str">
        <f t="shared" ca="1" si="20"/>
        <v/>
      </c>
      <c r="S427" s="17"/>
      <c r="T427" s="32"/>
    </row>
    <row r="428" spans="1:20">
      <c r="A428" s="23" t="str">
        <f t="shared" si="18"/>
        <v/>
      </c>
      <c r="B428" s="47"/>
      <c r="C428" s="39"/>
      <c r="D428" s="39"/>
      <c r="E428" s="39"/>
      <c r="F428" s="39"/>
      <c r="G428" s="20"/>
      <c r="H428" s="39"/>
      <c r="I428" s="44"/>
      <c r="J428" s="39"/>
      <c r="K428" s="39"/>
      <c r="L428" s="26"/>
      <c r="M428" s="39"/>
      <c r="N428" s="26"/>
      <c r="O428" s="20"/>
      <c r="P428" s="26"/>
      <c r="Q428" s="29" t="str">
        <f t="shared" ca="1" si="19"/>
        <v/>
      </c>
      <c r="R428" s="23" t="str">
        <f t="shared" ca="1" si="20"/>
        <v/>
      </c>
      <c r="S428" s="17"/>
      <c r="T428" s="32"/>
    </row>
    <row r="429" spans="1:20">
      <c r="A429" s="23" t="str">
        <f t="shared" si="18"/>
        <v/>
      </c>
      <c r="B429" s="47"/>
      <c r="C429" s="39"/>
      <c r="D429" s="39"/>
      <c r="E429" s="39"/>
      <c r="F429" s="39"/>
      <c r="G429" s="20"/>
      <c r="H429" s="39"/>
      <c r="I429" s="44"/>
      <c r="J429" s="39"/>
      <c r="K429" s="39"/>
      <c r="L429" s="26"/>
      <c r="M429" s="39"/>
      <c r="N429" s="26"/>
      <c r="O429" s="20"/>
      <c r="P429" s="26"/>
      <c r="Q429" s="29" t="str">
        <f t="shared" ca="1" si="19"/>
        <v/>
      </c>
      <c r="R429" s="23" t="str">
        <f t="shared" ca="1" si="20"/>
        <v/>
      </c>
      <c r="S429" s="17"/>
      <c r="T429" s="32"/>
    </row>
    <row r="430" spans="1:20">
      <c r="A430" s="23" t="str">
        <f t="shared" si="18"/>
        <v/>
      </c>
      <c r="B430" s="47"/>
      <c r="C430" s="39"/>
      <c r="D430" s="39"/>
      <c r="E430" s="39"/>
      <c r="F430" s="39"/>
      <c r="G430" s="20"/>
      <c r="H430" s="39"/>
      <c r="I430" s="44"/>
      <c r="J430" s="39"/>
      <c r="K430" s="39"/>
      <c r="L430" s="26"/>
      <c r="M430" s="39"/>
      <c r="N430" s="26"/>
      <c r="O430" s="20"/>
      <c r="P430" s="26"/>
      <c r="Q430" s="29" t="str">
        <f t="shared" ca="1" si="19"/>
        <v/>
      </c>
      <c r="R430" s="23" t="str">
        <f t="shared" ca="1" si="20"/>
        <v/>
      </c>
      <c r="S430" s="17"/>
      <c r="T430" s="32"/>
    </row>
    <row r="431" spans="1:20">
      <c r="A431" s="23" t="str">
        <f t="shared" si="18"/>
        <v/>
      </c>
      <c r="B431" s="47"/>
      <c r="C431" s="39"/>
      <c r="D431" s="39"/>
      <c r="E431" s="39"/>
      <c r="F431" s="39"/>
      <c r="G431" s="20"/>
      <c r="H431" s="39"/>
      <c r="I431" s="44"/>
      <c r="J431" s="39"/>
      <c r="K431" s="39"/>
      <c r="L431" s="26"/>
      <c r="M431" s="39"/>
      <c r="N431" s="26"/>
      <c r="O431" s="20"/>
      <c r="P431" s="26"/>
      <c r="Q431" s="29" t="str">
        <f t="shared" ca="1" si="19"/>
        <v/>
      </c>
      <c r="R431" s="23" t="str">
        <f t="shared" ca="1" si="20"/>
        <v/>
      </c>
      <c r="S431" s="17"/>
      <c r="T431" s="32"/>
    </row>
    <row r="432" spans="1:20">
      <c r="A432" s="23" t="str">
        <f t="shared" si="18"/>
        <v/>
      </c>
      <c r="B432" s="47"/>
      <c r="C432" s="39"/>
      <c r="D432" s="39"/>
      <c r="E432" s="39"/>
      <c r="F432" s="39"/>
      <c r="G432" s="20"/>
      <c r="H432" s="39"/>
      <c r="I432" s="44"/>
      <c r="J432" s="39"/>
      <c r="K432" s="39"/>
      <c r="L432" s="26"/>
      <c r="M432" s="39"/>
      <c r="N432" s="26"/>
      <c r="O432" s="20"/>
      <c r="P432" s="26"/>
      <c r="Q432" s="29" t="str">
        <f t="shared" ca="1" si="19"/>
        <v/>
      </c>
      <c r="R432" s="23" t="str">
        <f t="shared" ca="1" si="20"/>
        <v/>
      </c>
      <c r="S432" s="17"/>
      <c r="T432" s="32"/>
    </row>
    <row r="433" spans="1:20">
      <c r="A433" s="23" t="str">
        <f t="shared" si="18"/>
        <v/>
      </c>
      <c r="B433" s="47"/>
      <c r="C433" s="39"/>
      <c r="D433" s="39"/>
      <c r="E433" s="39"/>
      <c r="F433" s="39"/>
      <c r="G433" s="20"/>
      <c r="H433" s="39"/>
      <c r="I433" s="44"/>
      <c r="J433" s="39"/>
      <c r="K433" s="39"/>
      <c r="L433" s="26"/>
      <c r="M433" s="39"/>
      <c r="N433" s="26"/>
      <c r="O433" s="20"/>
      <c r="P433" s="26"/>
      <c r="Q433" s="29" t="str">
        <f t="shared" ca="1" si="19"/>
        <v/>
      </c>
      <c r="R433" s="23" t="str">
        <f t="shared" ca="1" si="20"/>
        <v/>
      </c>
      <c r="S433" s="17"/>
      <c r="T433" s="32"/>
    </row>
    <row r="434" spans="1:20">
      <c r="A434" s="23" t="str">
        <f t="shared" si="18"/>
        <v/>
      </c>
      <c r="B434" s="47"/>
      <c r="C434" s="39"/>
      <c r="D434" s="39"/>
      <c r="E434" s="39"/>
      <c r="F434" s="39"/>
      <c r="G434" s="20"/>
      <c r="H434" s="39"/>
      <c r="I434" s="44"/>
      <c r="J434" s="39"/>
      <c r="K434" s="39"/>
      <c r="L434" s="26"/>
      <c r="M434" s="39"/>
      <c r="N434" s="26"/>
      <c r="O434" s="20"/>
      <c r="P434" s="26"/>
      <c r="Q434" s="29" t="str">
        <f t="shared" ca="1" si="19"/>
        <v/>
      </c>
      <c r="R434" s="23" t="str">
        <f t="shared" ca="1" si="20"/>
        <v/>
      </c>
      <c r="S434" s="17"/>
      <c r="T434" s="32"/>
    </row>
    <row r="435" spans="1:20">
      <c r="A435" s="23" t="str">
        <f t="shared" si="18"/>
        <v/>
      </c>
      <c r="B435" s="47"/>
      <c r="C435" s="39"/>
      <c r="D435" s="39"/>
      <c r="E435" s="39"/>
      <c r="F435" s="39"/>
      <c r="G435" s="20"/>
      <c r="H435" s="39"/>
      <c r="I435" s="44"/>
      <c r="J435" s="39"/>
      <c r="K435" s="39"/>
      <c r="L435" s="26"/>
      <c r="M435" s="39"/>
      <c r="N435" s="26"/>
      <c r="O435" s="20"/>
      <c r="P435" s="26"/>
      <c r="Q435" s="29" t="str">
        <f t="shared" ca="1" si="19"/>
        <v/>
      </c>
      <c r="R435" s="23" t="str">
        <f t="shared" ca="1" si="20"/>
        <v/>
      </c>
      <c r="S435" s="17"/>
      <c r="T435" s="32"/>
    </row>
    <row r="436" spans="1:20">
      <c r="A436" s="23" t="str">
        <f t="shared" si="18"/>
        <v/>
      </c>
      <c r="B436" s="47"/>
      <c r="C436" s="39"/>
      <c r="D436" s="39"/>
      <c r="E436" s="39"/>
      <c r="F436" s="39"/>
      <c r="G436" s="20"/>
      <c r="H436" s="39"/>
      <c r="I436" s="44"/>
      <c r="J436" s="39"/>
      <c r="K436" s="39"/>
      <c r="L436" s="26"/>
      <c r="M436" s="39"/>
      <c r="N436" s="26"/>
      <c r="O436" s="20"/>
      <c r="P436" s="26"/>
      <c r="Q436" s="29" t="str">
        <f t="shared" ca="1" si="19"/>
        <v/>
      </c>
      <c r="R436" s="23" t="str">
        <f t="shared" ca="1" si="20"/>
        <v/>
      </c>
      <c r="S436" s="17"/>
      <c r="T436" s="32"/>
    </row>
    <row r="437" spans="1:20">
      <c r="A437" s="23" t="str">
        <f t="shared" si="18"/>
        <v/>
      </c>
      <c r="B437" s="47"/>
      <c r="C437" s="39"/>
      <c r="D437" s="39"/>
      <c r="E437" s="39"/>
      <c r="F437" s="39"/>
      <c r="G437" s="20"/>
      <c r="H437" s="39"/>
      <c r="I437" s="44"/>
      <c r="J437" s="39"/>
      <c r="K437" s="39"/>
      <c r="L437" s="26"/>
      <c r="M437" s="39"/>
      <c r="N437" s="26"/>
      <c r="O437" s="20"/>
      <c r="P437" s="26"/>
      <c r="Q437" s="29" t="str">
        <f t="shared" ca="1" si="19"/>
        <v/>
      </c>
      <c r="R437" s="23" t="str">
        <f t="shared" ca="1" si="20"/>
        <v/>
      </c>
      <c r="S437" s="17"/>
      <c r="T437" s="32"/>
    </row>
    <row r="438" spans="1:20">
      <c r="A438" s="23" t="str">
        <f t="shared" si="18"/>
        <v/>
      </c>
      <c r="B438" s="47"/>
      <c r="C438" s="39"/>
      <c r="D438" s="39"/>
      <c r="E438" s="39"/>
      <c r="F438" s="39"/>
      <c r="G438" s="20"/>
      <c r="H438" s="39"/>
      <c r="I438" s="44"/>
      <c r="J438" s="39"/>
      <c r="K438" s="39"/>
      <c r="L438" s="26"/>
      <c r="M438" s="39"/>
      <c r="N438" s="26"/>
      <c r="O438" s="20"/>
      <c r="P438" s="26"/>
      <c r="Q438" s="29" t="str">
        <f t="shared" ca="1" si="19"/>
        <v/>
      </c>
      <c r="R438" s="23" t="str">
        <f t="shared" ca="1" si="20"/>
        <v/>
      </c>
      <c r="S438" s="17"/>
      <c r="T438" s="32"/>
    </row>
    <row r="439" spans="1:20">
      <c r="A439" s="23" t="str">
        <f t="shared" si="18"/>
        <v/>
      </c>
      <c r="B439" s="47"/>
      <c r="C439" s="39"/>
      <c r="D439" s="39"/>
      <c r="E439" s="39"/>
      <c r="F439" s="39"/>
      <c r="G439" s="20"/>
      <c r="H439" s="39"/>
      <c r="I439" s="44"/>
      <c r="J439" s="39"/>
      <c r="K439" s="39"/>
      <c r="L439" s="26"/>
      <c r="M439" s="39"/>
      <c r="N439" s="26"/>
      <c r="O439" s="20"/>
      <c r="P439" s="26"/>
      <c r="Q439" s="29" t="str">
        <f t="shared" ca="1" si="19"/>
        <v/>
      </c>
      <c r="R439" s="23" t="str">
        <f t="shared" ca="1" si="20"/>
        <v/>
      </c>
      <c r="S439" s="17"/>
      <c r="T439" s="32"/>
    </row>
    <row r="440" spans="1:20">
      <c r="A440" s="23" t="str">
        <f t="shared" si="18"/>
        <v/>
      </c>
      <c r="B440" s="47"/>
      <c r="C440" s="39"/>
      <c r="D440" s="39"/>
      <c r="E440" s="39"/>
      <c r="F440" s="39"/>
      <c r="G440" s="20"/>
      <c r="H440" s="39"/>
      <c r="I440" s="44"/>
      <c r="J440" s="39"/>
      <c r="K440" s="39"/>
      <c r="L440" s="26"/>
      <c r="M440" s="39"/>
      <c r="N440" s="26"/>
      <c r="O440" s="20"/>
      <c r="P440" s="26"/>
      <c r="Q440" s="29" t="str">
        <f t="shared" ca="1" si="19"/>
        <v/>
      </c>
      <c r="R440" s="23" t="str">
        <f t="shared" ca="1" si="20"/>
        <v/>
      </c>
      <c r="S440" s="17"/>
      <c r="T440" s="32"/>
    </row>
    <row r="441" spans="1:20">
      <c r="A441" s="23" t="str">
        <f t="shared" si="18"/>
        <v/>
      </c>
      <c r="B441" s="47"/>
      <c r="C441" s="39"/>
      <c r="D441" s="39"/>
      <c r="E441" s="39"/>
      <c r="F441" s="39"/>
      <c r="G441" s="20"/>
      <c r="H441" s="39"/>
      <c r="I441" s="44"/>
      <c r="J441" s="39"/>
      <c r="K441" s="39"/>
      <c r="L441" s="26"/>
      <c r="M441" s="39"/>
      <c r="N441" s="26"/>
      <c r="O441" s="20"/>
      <c r="P441" s="26"/>
      <c r="Q441" s="29" t="str">
        <f t="shared" ca="1" si="19"/>
        <v/>
      </c>
      <c r="R441" s="23" t="str">
        <f t="shared" ca="1" si="20"/>
        <v/>
      </c>
      <c r="S441" s="17"/>
      <c r="T441" s="32"/>
    </row>
    <row r="442" spans="1:20">
      <c r="A442" s="23" t="str">
        <f t="shared" si="18"/>
        <v/>
      </c>
      <c r="B442" s="47"/>
      <c r="C442" s="39"/>
      <c r="D442" s="39"/>
      <c r="E442" s="39"/>
      <c r="F442" s="39"/>
      <c r="G442" s="20"/>
      <c r="H442" s="39"/>
      <c r="I442" s="44"/>
      <c r="J442" s="39"/>
      <c r="K442" s="39"/>
      <c r="L442" s="26"/>
      <c r="M442" s="39"/>
      <c r="N442" s="26"/>
      <c r="O442" s="20"/>
      <c r="P442" s="26"/>
      <c r="Q442" s="29" t="str">
        <f t="shared" ca="1" si="19"/>
        <v/>
      </c>
      <c r="R442" s="23" t="str">
        <f t="shared" ca="1" si="20"/>
        <v/>
      </c>
      <c r="S442" s="17"/>
      <c r="T442" s="32"/>
    </row>
    <row r="443" spans="1:20">
      <c r="A443" s="23" t="str">
        <f t="shared" si="18"/>
        <v/>
      </c>
      <c r="B443" s="47"/>
      <c r="C443" s="39"/>
      <c r="D443" s="39"/>
      <c r="E443" s="39"/>
      <c r="F443" s="39"/>
      <c r="G443" s="20"/>
      <c r="H443" s="39"/>
      <c r="I443" s="44"/>
      <c r="J443" s="39"/>
      <c r="K443" s="39"/>
      <c r="L443" s="26"/>
      <c r="M443" s="39"/>
      <c r="N443" s="26"/>
      <c r="O443" s="20"/>
      <c r="P443" s="26"/>
      <c r="Q443" s="29" t="str">
        <f t="shared" ca="1" si="19"/>
        <v/>
      </c>
      <c r="R443" s="23" t="str">
        <f t="shared" ca="1" si="20"/>
        <v/>
      </c>
      <c r="S443" s="17"/>
      <c r="T443" s="32"/>
    </row>
    <row r="444" spans="1:20">
      <c r="A444" s="23" t="str">
        <f t="shared" si="18"/>
        <v/>
      </c>
      <c r="B444" s="47"/>
      <c r="C444" s="39"/>
      <c r="D444" s="39"/>
      <c r="E444" s="39"/>
      <c r="F444" s="39"/>
      <c r="G444" s="20"/>
      <c r="H444" s="39"/>
      <c r="I444" s="44"/>
      <c r="J444" s="39"/>
      <c r="K444" s="39"/>
      <c r="L444" s="26"/>
      <c r="M444" s="39"/>
      <c r="N444" s="26"/>
      <c r="O444" s="20"/>
      <c r="P444" s="26"/>
      <c r="Q444" s="29" t="str">
        <f t="shared" ca="1" si="19"/>
        <v/>
      </c>
      <c r="R444" s="23" t="str">
        <f t="shared" ca="1" si="20"/>
        <v/>
      </c>
      <c r="S444" s="17"/>
      <c r="T444" s="32"/>
    </row>
    <row r="445" spans="1:20">
      <c r="A445" s="23" t="str">
        <f t="shared" si="18"/>
        <v/>
      </c>
      <c r="B445" s="47"/>
      <c r="C445" s="39"/>
      <c r="D445" s="39"/>
      <c r="E445" s="39"/>
      <c r="F445" s="39"/>
      <c r="G445" s="20"/>
      <c r="H445" s="39"/>
      <c r="I445" s="44"/>
      <c r="J445" s="39"/>
      <c r="K445" s="39"/>
      <c r="L445" s="26"/>
      <c r="M445" s="39"/>
      <c r="N445" s="26"/>
      <c r="O445" s="20"/>
      <c r="P445" s="26"/>
      <c r="Q445" s="29" t="str">
        <f t="shared" ca="1" si="19"/>
        <v/>
      </c>
      <c r="R445" s="23" t="str">
        <f t="shared" ca="1" si="20"/>
        <v/>
      </c>
      <c r="S445" s="17"/>
      <c r="T445" s="32"/>
    </row>
    <row r="446" spans="1:20">
      <c r="A446" s="23" t="str">
        <f t="shared" si="18"/>
        <v/>
      </c>
      <c r="B446" s="47"/>
      <c r="C446" s="39"/>
      <c r="D446" s="39"/>
      <c r="E446" s="39"/>
      <c r="F446" s="39"/>
      <c r="G446" s="20"/>
      <c r="H446" s="39"/>
      <c r="I446" s="44"/>
      <c r="J446" s="39"/>
      <c r="K446" s="39"/>
      <c r="L446" s="26"/>
      <c r="M446" s="39"/>
      <c r="N446" s="26"/>
      <c r="O446" s="20"/>
      <c r="P446" s="26"/>
      <c r="Q446" s="29" t="str">
        <f t="shared" ca="1" si="19"/>
        <v/>
      </c>
      <c r="R446" s="23" t="str">
        <f t="shared" ca="1" si="20"/>
        <v/>
      </c>
      <c r="S446" s="17"/>
      <c r="T446" s="32"/>
    </row>
    <row r="447" spans="1:20">
      <c r="A447" s="23" t="str">
        <f t="shared" si="18"/>
        <v/>
      </c>
      <c r="B447" s="47"/>
      <c r="C447" s="39"/>
      <c r="D447" s="39"/>
      <c r="E447" s="39"/>
      <c r="F447" s="39"/>
      <c r="G447" s="20"/>
      <c r="H447" s="39"/>
      <c r="I447" s="44"/>
      <c r="J447" s="39"/>
      <c r="K447" s="39"/>
      <c r="L447" s="26"/>
      <c r="M447" s="39"/>
      <c r="N447" s="26"/>
      <c r="O447" s="20"/>
      <c r="P447" s="26"/>
      <c r="Q447" s="29" t="str">
        <f t="shared" ca="1" si="19"/>
        <v/>
      </c>
      <c r="R447" s="23" t="str">
        <f t="shared" ca="1" si="20"/>
        <v/>
      </c>
      <c r="S447" s="17"/>
      <c r="T447" s="32"/>
    </row>
    <row r="448" spans="1:20">
      <c r="A448" s="23" t="str">
        <f t="shared" si="18"/>
        <v/>
      </c>
      <c r="B448" s="47"/>
      <c r="C448" s="39"/>
      <c r="D448" s="39"/>
      <c r="E448" s="39"/>
      <c r="F448" s="39"/>
      <c r="G448" s="20"/>
      <c r="H448" s="39"/>
      <c r="I448" s="44"/>
      <c r="J448" s="39"/>
      <c r="K448" s="39"/>
      <c r="L448" s="26"/>
      <c r="M448" s="39"/>
      <c r="N448" s="26"/>
      <c r="O448" s="20"/>
      <c r="P448" s="26"/>
      <c r="Q448" s="29" t="str">
        <f t="shared" ca="1" si="19"/>
        <v/>
      </c>
      <c r="R448" s="23" t="str">
        <f t="shared" ca="1" si="20"/>
        <v/>
      </c>
      <c r="S448" s="17"/>
      <c r="T448" s="32"/>
    </row>
    <row r="449" spans="1:20">
      <c r="A449" s="23" t="str">
        <f t="shared" si="18"/>
        <v/>
      </c>
      <c r="B449" s="47"/>
      <c r="C449" s="39"/>
      <c r="D449" s="39"/>
      <c r="E449" s="39"/>
      <c r="F449" s="39"/>
      <c r="G449" s="20"/>
      <c r="H449" s="39"/>
      <c r="I449" s="44"/>
      <c r="J449" s="39"/>
      <c r="K449" s="39"/>
      <c r="L449" s="26"/>
      <c r="M449" s="39"/>
      <c r="N449" s="26"/>
      <c r="O449" s="20"/>
      <c r="P449" s="26"/>
      <c r="Q449" s="29" t="str">
        <f t="shared" ca="1" si="19"/>
        <v/>
      </c>
      <c r="R449" s="23" t="str">
        <f t="shared" ca="1" si="20"/>
        <v/>
      </c>
      <c r="S449" s="17"/>
      <c r="T449" s="32"/>
    </row>
    <row r="450" spans="1:20">
      <c r="A450" s="23" t="str">
        <f t="shared" si="18"/>
        <v/>
      </c>
      <c r="B450" s="47"/>
      <c r="C450" s="39"/>
      <c r="D450" s="39"/>
      <c r="E450" s="39"/>
      <c r="F450" s="39"/>
      <c r="G450" s="20"/>
      <c r="H450" s="39"/>
      <c r="I450" s="44"/>
      <c r="J450" s="39"/>
      <c r="K450" s="39"/>
      <c r="L450" s="26"/>
      <c r="M450" s="39"/>
      <c r="N450" s="26"/>
      <c r="O450" s="20"/>
      <c r="P450" s="26"/>
      <c r="Q450" s="29" t="str">
        <f t="shared" ca="1" si="19"/>
        <v/>
      </c>
      <c r="R450" s="23" t="str">
        <f t="shared" ca="1" si="20"/>
        <v/>
      </c>
      <c r="S450" s="17"/>
      <c r="T450" s="32"/>
    </row>
    <row r="451" spans="1:20">
      <c r="A451" s="23" t="str">
        <f t="shared" si="18"/>
        <v/>
      </c>
      <c r="B451" s="47"/>
      <c r="C451" s="39"/>
      <c r="D451" s="39"/>
      <c r="E451" s="39"/>
      <c r="F451" s="39"/>
      <c r="G451" s="20"/>
      <c r="H451" s="39"/>
      <c r="I451" s="44"/>
      <c r="J451" s="39"/>
      <c r="K451" s="39"/>
      <c r="L451" s="26"/>
      <c r="M451" s="39"/>
      <c r="N451" s="26"/>
      <c r="O451" s="20"/>
      <c r="P451" s="26"/>
      <c r="Q451" s="29" t="str">
        <f t="shared" ca="1" si="19"/>
        <v/>
      </c>
      <c r="R451" s="23" t="str">
        <f t="shared" ca="1" si="20"/>
        <v/>
      </c>
      <c r="S451" s="17"/>
      <c r="T451" s="32"/>
    </row>
    <row r="452" spans="1:20">
      <c r="A452" s="23" t="str">
        <f t="shared" si="18"/>
        <v/>
      </c>
      <c r="B452" s="47"/>
      <c r="C452" s="39"/>
      <c r="D452" s="39"/>
      <c r="E452" s="39"/>
      <c r="F452" s="39"/>
      <c r="G452" s="20"/>
      <c r="H452" s="39"/>
      <c r="I452" s="44"/>
      <c r="J452" s="39"/>
      <c r="K452" s="39"/>
      <c r="L452" s="26"/>
      <c r="M452" s="39"/>
      <c r="N452" s="26"/>
      <c r="O452" s="20"/>
      <c r="P452" s="26"/>
      <c r="Q452" s="29" t="str">
        <f t="shared" ca="1" si="19"/>
        <v/>
      </c>
      <c r="R452" s="23" t="str">
        <f t="shared" ca="1" si="20"/>
        <v/>
      </c>
      <c r="S452" s="17"/>
      <c r="T452" s="32"/>
    </row>
    <row r="453" spans="1:20">
      <c r="A453" s="23" t="str">
        <f t="shared" si="18"/>
        <v/>
      </c>
      <c r="B453" s="47"/>
      <c r="C453" s="39"/>
      <c r="D453" s="39"/>
      <c r="E453" s="39"/>
      <c r="F453" s="39"/>
      <c r="G453" s="20"/>
      <c r="H453" s="39"/>
      <c r="I453" s="44"/>
      <c r="J453" s="39"/>
      <c r="K453" s="39"/>
      <c r="L453" s="26"/>
      <c r="M453" s="39"/>
      <c r="N453" s="26"/>
      <c r="O453" s="20"/>
      <c r="P453" s="26"/>
      <c r="Q453" s="29" t="str">
        <f t="shared" ca="1" si="19"/>
        <v/>
      </c>
      <c r="R453" s="23" t="str">
        <f t="shared" ca="1" si="20"/>
        <v/>
      </c>
      <c r="S453" s="17"/>
      <c r="T453" s="32"/>
    </row>
    <row r="454" spans="1:20">
      <c r="A454" s="23" t="str">
        <f t="shared" si="18"/>
        <v/>
      </c>
      <c r="B454" s="47"/>
      <c r="C454" s="39"/>
      <c r="D454" s="39"/>
      <c r="E454" s="39"/>
      <c r="F454" s="39"/>
      <c r="G454" s="20"/>
      <c r="H454" s="39"/>
      <c r="I454" s="44"/>
      <c r="J454" s="39"/>
      <c r="K454" s="39"/>
      <c r="L454" s="26"/>
      <c r="M454" s="39"/>
      <c r="N454" s="26"/>
      <c r="O454" s="20"/>
      <c r="P454" s="26"/>
      <c r="Q454" s="29" t="str">
        <f t="shared" ca="1" si="19"/>
        <v/>
      </c>
      <c r="R454" s="23" t="str">
        <f t="shared" ca="1" si="20"/>
        <v/>
      </c>
      <c r="S454" s="17"/>
      <c r="T454" s="32"/>
    </row>
    <row r="455" spans="1:20">
      <c r="A455" s="23" t="str">
        <f t="shared" ref="A455:A506" si="21">IF($I455="","","DEF-"&amp;TEXT(ROW()-6,"0000"))</f>
        <v/>
      </c>
      <c r="B455" s="47"/>
      <c r="C455" s="39"/>
      <c r="D455" s="39"/>
      <c r="E455" s="39"/>
      <c r="F455" s="39"/>
      <c r="G455" s="20"/>
      <c r="H455" s="39"/>
      <c r="I455" s="44"/>
      <c r="J455" s="39"/>
      <c r="K455" s="39"/>
      <c r="L455" s="26"/>
      <c r="M455" s="39"/>
      <c r="N455" s="26"/>
      <c r="O455" s="20"/>
      <c r="P455" s="26"/>
      <c r="Q455" s="29" t="str">
        <f t="shared" ref="Q455:Q506" ca="1" si="22">IF($B455="","",MAX(0,IF($M455="Closed",IF($N455="",TODAY()-$B455,$N455-$B455),TODAY()-$B455)))</f>
        <v/>
      </c>
      <c r="R455" s="23" t="str">
        <f t="shared" ref="R455:R506" ca="1" si="23">IF(OR($I455="",$L455="",$M455="Closed"),"",IF(TODAY()&gt;$L455,"Yes","No"))</f>
        <v/>
      </c>
      <c r="S455" s="17"/>
      <c r="T455" s="32"/>
    </row>
    <row r="456" spans="1:20">
      <c r="A456" s="23" t="str">
        <f t="shared" si="21"/>
        <v/>
      </c>
      <c r="B456" s="47"/>
      <c r="C456" s="39"/>
      <c r="D456" s="39"/>
      <c r="E456" s="39"/>
      <c r="F456" s="39"/>
      <c r="G456" s="20"/>
      <c r="H456" s="39"/>
      <c r="I456" s="44"/>
      <c r="J456" s="39"/>
      <c r="K456" s="39"/>
      <c r="L456" s="26"/>
      <c r="M456" s="39"/>
      <c r="N456" s="26"/>
      <c r="O456" s="20"/>
      <c r="P456" s="26"/>
      <c r="Q456" s="29" t="str">
        <f t="shared" ca="1" si="22"/>
        <v/>
      </c>
      <c r="R456" s="23" t="str">
        <f t="shared" ca="1" si="23"/>
        <v/>
      </c>
      <c r="S456" s="17"/>
      <c r="T456" s="32"/>
    </row>
    <row r="457" spans="1:20">
      <c r="A457" s="23" t="str">
        <f t="shared" si="21"/>
        <v/>
      </c>
      <c r="B457" s="47"/>
      <c r="C457" s="39"/>
      <c r="D457" s="39"/>
      <c r="E457" s="39"/>
      <c r="F457" s="39"/>
      <c r="G457" s="20"/>
      <c r="H457" s="39"/>
      <c r="I457" s="44"/>
      <c r="J457" s="39"/>
      <c r="K457" s="39"/>
      <c r="L457" s="26"/>
      <c r="M457" s="39"/>
      <c r="N457" s="26"/>
      <c r="O457" s="20"/>
      <c r="P457" s="26"/>
      <c r="Q457" s="29" t="str">
        <f t="shared" ca="1" si="22"/>
        <v/>
      </c>
      <c r="R457" s="23" t="str">
        <f t="shared" ca="1" si="23"/>
        <v/>
      </c>
      <c r="S457" s="17"/>
      <c r="T457" s="32"/>
    </row>
    <row r="458" spans="1:20">
      <c r="A458" s="23" t="str">
        <f t="shared" si="21"/>
        <v/>
      </c>
      <c r="B458" s="47"/>
      <c r="C458" s="39"/>
      <c r="D458" s="39"/>
      <c r="E458" s="39"/>
      <c r="F458" s="39"/>
      <c r="G458" s="20"/>
      <c r="H458" s="39"/>
      <c r="I458" s="44"/>
      <c r="J458" s="39"/>
      <c r="K458" s="39"/>
      <c r="L458" s="26"/>
      <c r="M458" s="39"/>
      <c r="N458" s="26"/>
      <c r="O458" s="20"/>
      <c r="P458" s="26"/>
      <c r="Q458" s="29" t="str">
        <f t="shared" ca="1" si="22"/>
        <v/>
      </c>
      <c r="R458" s="23" t="str">
        <f t="shared" ca="1" si="23"/>
        <v/>
      </c>
      <c r="S458" s="17"/>
      <c r="T458" s="32"/>
    </row>
    <row r="459" spans="1:20">
      <c r="A459" s="23" t="str">
        <f t="shared" si="21"/>
        <v/>
      </c>
      <c r="B459" s="47"/>
      <c r="C459" s="39"/>
      <c r="D459" s="39"/>
      <c r="E459" s="39"/>
      <c r="F459" s="39"/>
      <c r="G459" s="20"/>
      <c r="H459" s="39"/>
      <c r="I459" s="44"/>
      <c r="J459" s="39"/>
      <c r="K459" s="39"/>
      <c r="L459" s="26"/>
      <c r="M459" s="39"/>
      <c r="N459" s="26"/>
      <c r="O459" s="20"/>
      <c r="P459" s="26"/>
      <c r="Q459" s="29" t="str">
        <f t="shared" ca="1" si="22"/>
        <v/>
      </c>
      <c r="R459" s="23" t="str">
        <f t="shared" ca="1" si="23"/>
        <v/>
      </c>
      <c r="S459" s="17"/>
      <c r="T459" s="32"/>
    </row>
    <row r="460" spans="1:20">
      <c r="A460" s="23" t="str">
        <f t="shared" si="21"/>
        <v/>
      </c>
      <c r="B460" s="47"/>
      <c r="C460" s="39"/>
      <c r="D460" s="39"/>
      <c r="E460" s="39"/>
      <c r="F460" s="39"/>
      <c r="G460" s="20"/>
      <c r="H460" s="39"/>
      <c r="I460" s="44"/>
      <c r="J460" s="39"/>
      <c r="K460" s="39"/>
      <c r="L460" s="26"/>
      <c r="M460" s="39"/>
      <c r="N460" s="26"/>
      <c r="O460" s="20"/>
      <c r="P460" s="26"/>
      <c r="Q460" s="29" t="str">
        <f t="shared" ca="1" si="22"/>
        <v/>
      </c>
      <c r="R460" s="23" t="str">
        <f t="shared" ca="1" si="23"/>
        <v/>
      </c>
      <c r="S460" s="17"/>
      <c r="T460" s="32"/>
    </row>
    <row r="461" spans="1:20">
      <c r="A461" s="23" t="str">
        <f t="shared" si="21"/>
        <v/>
      </c>
      <c r="B461" s="47"/>
      <c r="C461" s="39"/>
      <c r="D461" s="39"/>
      <c r="E461" s="39"/>
      <c r="F461" s="39"/>
      <c r="G461" s="20"/>
      <c r="H461" s="39"/>
      <c r="I461" s="44"/>
      <c r="J461" s="39"/>
      <c r="K461" s="39"/>
      <c r="L461" s="26"/>
      <c r="M461" s="39"/>
      <c r="N461" s="26"/>
      <c r="O461" s="20"/>
      <c r="P461" s="26"/>
      <c r="Q461" s="29" t="str">
        <f t="shared" ca="1" si="22"/>
        <v/>
      </c>
      <c r="R461" s="23" t="str">
        <f t="shared" ca="1" si="23"/>
        <v/>
      </c>
      <c r="S461" s="17"/>
      <c r="T461" s="32"/>
    </row>
    <row r="462" spans="1:20">
      <c r="A462" s="23" t="str">
        <f t="shared" si="21"/>
        <v/>
      </c>
      <c r="B462" s="47"/>
      <c r="C462" s="39"/>
      <c r="D462" s="39"/>
      <c r="E462" s="39"/>
      <c r="F462" s="39"/>
      <c r="G462" s="20"/>
      <c r="H462" s="39"/>
      <c r="I462" s="44"/>
      <c r="J462" s="39"/>
      <c r="K462" s="39"/>
      <c r="L462" s="26"/>
      <c r="M462" s="39"/>
      <c r="N462" s="26"/>
      <c r="O462" s="20"/>
      <c r="P462" s="26"/>
      <c r="Q462" s="29" t="str">
        <f t="shared" ca="1" si="22"/>
        <v/>
      </c>
      <c r="R462" s="23" t="str">
        <f t="shared" ca="1" si="23"/>
        <v/>
      </c>
      <c r="S462" s="17"/>
      <c r="T462" s="32"/>
    </row>
    <row r="463" spans="1:20">
      <c r="A463" s="23" t="str">
        <f t="shared" si="21"/>
        <v/>
      </c>
      <c r="B463" s="47"/>
      <c r="C463" s="39"/>
      <c r="D463" s="39"/>
      <c r="E463" s="39"/>
      <c r="F463" s="39"/>
      <c r="G463" s="20"/>
      <c r="H463" s="39"/>
      <c r="I463" s="44"/>
      <c r="J463" s="39"/>
      <c r="K463" s="39"/>
      <c r="L463" s="26"/>
      <c r="M463" s="39"/>
      <c r="N463" s="26"/>
      <c r="O463" s="20"/>
      <c r="P463" s="26"/>
      <c r="Q463" s="29" t="str">
        <f t="shared" ca="1" si="22"/>
        <v/>
      </c>
      <c r="R463" s="23" t="str">
        <f t="shared" ca="1" si="23"/>
        <v/>
      </c>
      <c r="S463" s="17"/>
      <c r="T463" s="32"/>
    </row>
    <row r="464" spans="1:20">
      <c r="A464" s="23" t="str">
        <f t="shared" si="21"/>
        <v/>
      </c>
      <c r="B464" s="47"/>
      <c r="C464" s="39"/>
      <c r="D464" s="39"/>
      <c r="E464" s="39"/>
      <c r="F464" s="39"/>
      <c r="G464" s="20"/>
      <c r="H464" s="39"/>
      <c r="I464" s="44"/>
      <c r="J464" s="39"/>
      <c r="K464" s="39"/>
      <c r="L464" s="26"/>
      <c r="M464" s="39"/>
      <c r="N464" s="26"/>
      <c r="O464" s="20"/>
      <c r="P464" s="26"/>
      <c r="Q464" s="29" t="str">
        <f t="shared" ca="1" si="22"/>
        <v/>
      </c>
      <c r="R464" s="23" t="str">
        <f t="shared" ca="1" si="23"/>
        <v/>
      </c>
      <c r="S464" s="17"/>
      <c r="T464" s="32"/>
    </row>
    <row r="465" spans="1:20">
      <c r="A465" s="23" t="str">
        <f t="shared" si="21"/>
        <v/>
      </c>
      <c r="B465" s="47"/>
      <c r="C465" s="39"/>
      <c r="D465" s="39"/>
      <c r="E465" s="39"/>
      <c r="F465" s="39"/>
      <c r="G465" s="20"/>
      <c r="H465" s="39"/>
      <c r="I465" s="44"/>
      <c r="J465" s="39"/>
      <c r="K465" s="39"/>
      <c r="L465" s="26"/>
      <c r="M465" s="39"/>
      <c r="N465" s="26"/>
      <c r="O465" s="20"/>
      <c r="P465" s="26"/>
      <c r="Q465" s="29" t="str">
        <f t="shared" ca="1" si="22"/>
        <v/>
      </c>
      <c r="R465" s="23" t="str">
        <f t="shared" ca="1" si="23"/>
        <v/>
      </c>
      <c r="S465" s="17"/>
      <c r="T465" s="32"/>
    </row>
    <row r="466" spans="1:20">
      <c r="A466" s="23" t="str">
        <f t="shared" si="21"/>
        <v/>
      </c>
      <c r="B466" s="47"/>
      <c r="C466" s="39"/>
      <c r="D466" s="39"/>
      <c r="E466" s="39"/>
      <c r="F466" s="39"/>
      <c r="G466" s="20"/>
      <c r="H466" s="39"/>
      <c r="I466" s="44"/>
      <c r="J466" s="39"/>
      <c r="K466" s="39"/>
      <c r="L466" s="26"/>
      <c r="M466" s="39"/>
      <c r="N466" s="26"/>
      <c r="O466" s="20"/>
      <c r="P466" s="26"/>
      <c r="Q466" s="29" t="str">
        <f t="shared" ca="1" si="22"/>
        <v/>
      </c>
      <c r="R466" s="23" t="str">
        <f t="shared" ca="1" si="23"/>
        <v/>
      </c>
      <c r="S466" s="17"/>
      <c r="T466" s="32"/>
    </row>
    <row r="467" spans="1:20">
      <c r="A467" s="23" t="str">
        <f t="shared" si="21"/>
        <v/>
      </c>
      <c r="B467" s="47"/>
      <c r="C467" s="39"/>
      <c r="D467" s="39"/>
      <c r="E467" s="39"/>
      <c r="F467" s="39"/>
      <c r="G467" s="20"/>
      <c r="H467" s="39"/>
      <c r="I467" s="44"/>
      <c r="J467" s="39"/>
      <c r="K467" s="39"/>
      <c r="L467" s="26"/>
      <c r="M467" s="39"/>
      <c r="N467" s="26"/>
      <c r="O467" s="20"/>
      <c r="P467" s="26"/>
      <c r="Q467" s="29" t="str">
        <f t="shared" ca="1" si="22"/>
        <v/>
      </c>
      <c r="R467" s="23" t="str">
        <f t="shared" ca="1" si="23"/>
        <v/>
      </c>
      <c r="S467" s="17"/>
      <c r="T467" s="32"/>
    </row>
    <row r="468" spans="1:20">
      <c r="A468" s="23" t="str">
        <f t="shared" si="21"/>
        <v/>
      </c>
      <c r="B468" s="47"/>
      <c r="C468" s="39"/>
      <c r="D468" s="39"/>
      <c r="E468" s="39"/>
      <c r="F468" s="39"/>
      <c r="G468" s="20"/>
      <c r="H468" s="39"/>
      <c r="I468" s="44"/>
      <c r="J468" s="39"/>
      <c r="K468" s="39"/>
      <c r="L468" s="26"/>
      <c r="M468" s="39"/>
      <c r="N468" s="26"/>
      <c r="O468" s="20"/>
      <c r="P468" s="26"/>
      <c r="Q468" s="29" t="str">
        <f t="shared" ca="1" si="22"/>
        <v/>
      </c>
      <c r="R468" s="23" t="str">
        <f t="shared" ca="1" si="23"/>
        <v/>
      </c>
      <c r="S468" s="17"/>
      <c r="T468" s="32"/>
    </row>
    <row r="469" spans="1:20">
      <c r="A469" s="23" t="str">
        <f t="shared" si="21"/>
        <v/>
      </c>
      <c r="B469" s="47"/>
      <c r="C469" s="39"/>
      <c r="D469" s="39"/>
      <c r="E469" s="39"/>
      <c r="F469" s="39"/>
      <c r="G469" s="20"/>
      <c r="H469" s="39"/>
      <c r="I469" s="44"/>
      <c r="J469" s="39"/>
      <c r="K469" s="39"/>
      <c r="L469" s="26"/>
      <c r="M469" s="39"/>
      <c r="N469" s="26"/>
      <c r="O469" s="20"/>
      <c r="P469" s="26"/>
      <c r="Q469" s="29" t="str">
        <f t="shared" ca="1" si="22"/>
        <v/>
      </c>
      <c r="R469" s="23" t="str">
        <f t="shared" ca="1" si="23"/>
        <v/>
      </c>
      <c r="S469" s="17"/>
      <c r="T469" s="32"/>
    </row>
    <row r="470" spans="1:20">
      <c r="A470" s="23" t="str">
        <f t="shared" si="21"/>
        <v/>
      </c>
      <c r="B470" s="47"/>
      <c r="C470" s="39"/>
      <c r="D470" s="39"/>
      <c r="E470" s="39"/>
      <c r="F470" s="39"/>
      <c r="G470" s="20"/>
      <c r="H470" s="39"/>
      <c r="I470" s="44"/>
      <c r="J470" s="39"/>
      <c r="K470" s="39"/>
      <c r="L470" s="26"/>
      <c r="M470" s="39"/>
      <c r="N470" s="26"/>
      <c r="O470" s="20"/>
      <c r="P470" s="26"/>
      <c r="Q470" s="29" t="str">
        <f t="shared" ca="1" si="22"/>
        <v/>
      </c>
      <c r="R470" s="23" t="str">
        <f t="shared" ca="1" si="23"/>
        <v/>
      </c>
      <c r="S470" s="17"/>
      <c r="T470" s="32"/>
    </row>
    <row r="471" spans="1:20">
      <c r="A471" s="23" t="str">
        <f t="shared" si="21"/>
        <v/>
      </c>
      <c r="B471" s="47"/>
      <c r="C471" s="39"/>
      <c r="D471" s="39"/>
      <c r="E471" s="39"/>
      <c r="F471" s="39"/>
      <c r="G471" s="20"/>
      <c r="H471" s="39"/>
      <c r="I471" s="44"/>
      <c r="J471" s="39"/>
      <c r="K471" s="39"/>
      <c r="L471" s="26"/>
      <c r="M471" s="39"/>
      <c r="N471" s="26"/>
      <c r="O471" s="20"/>
      <c r="P471" s="26"/>
      <c r="Q471" s="29" t="str">
        <f t="shared" ca="1" si="22"/>
        <v/>
      </c>
      <c r="R471" s="23" t="str">
        <f t="shared" ca="1" si="23"/>
        <v/>
      </c>
      <c r="S471" s="17"/>
      <c r="T471" s="32"/>
    </row>
    <row r="472" spans="1:20">
      <c r="A472" s="23" t="str">
        <f t="shared" si="21"/>
        <v/>
      </c>
      <c r="B472" s="47"/>
      <c r="C472" s="39"/>
      <c r="D472" s="39"/>
      <c r="E472" s="39"/>
      <c r="F472" s="39"/>
      <c r="G472" s="20"/>
      <c r="H472" s="39"/>
      <c r="I472" s="44"/>
      <c r="J472" s="39"/>
      <c r="K472" s="39"/>
      <c r="L472" s="26"/>
      <c r="M472" s="39"/>
      <c r="N472" s="26"/>
      <c r="O472" s="20"/>
      <c r="P472" s="26"/>
      <c r="Q472" s="29" t="str">
        <f t="shared" ca="1" si="22"/>
        <v/>
      </c>
      <c r="R472" s="23" t="str">
        <f t="shared" ca="1" si="23"/>
        <v/>
      </c>
      <c r="S472" s="17"/>
      <c r="T472" s="32"/>
    </row>
    <row r="473" spans="1:20">
      <c r="A473" s="23" t="str">
        <f t="shared" si="21"/>
        <v/>
      </c>
      <c r="B473" s="47"/>
      <c r="C473" s="39"/>
      <c r="D473" s="39"/>
      <c r="E473" s="39"/>
      <c r="F473" s="39"/>
      <c r="G473" s="20"/>
      <c r="H473" s="39"/>
      <c r="I473" s="44"/>
      <c r="J473" s="39"/>
      <c r="K473" s="39"/>
      <c r="L473" s="26"/>
      <c r="M473" s="39"/>
      <c r="N473" s="26"/>
      <c r="O473" s="20"/>
      <c r="P473" s="26"/>
      <c r="Q473" s="29" t="str">
        <f t="shared" ca="1" si="22"/>
        <v/>
      </c>
      <c r="R473" s="23" t="str">
        <f t="shared" ca="1" si="23"/>
        <v/>
      </c>
      <c r="S473" s="17"/>
      <c r="T473" s="32"/>
    </row>
    <row r="474" spans="1:20">
      <c r="A474" s="23" t="str">
        <f t="shared" si="21"/>
        <v/>
      </c>
      <c r="B474" s="47"/>
      <c r="C474" s="39"/>
      <c r="D474" s="39"/>
      <c r="E474" s="39"/>
      <c r="F474" s="39"/>
      <c r="G474" s="20"/>
      <c r="H474" s="39"/>
      <c r="I474" s="44"/>
      <c r="J474" s="39"/>
      <c r="K474" s="39"/>
      <c r="L474" s="26"/>
      <c r="M474" s="39"/>
      <c r="N474" s="26"/>
      <c r="O474" s="20"/>
      <c r="P474" s="26"/>
      <c r="Q474" s="29" t="str">
        <f t="shared" ca="1" si="22"/>
        <v/>
      </c>
      <c r="R474" s="23" t="str">
        <f t="shared" ca="1" si="23"/>
        <v/>
      </c>
      <c r="S474" s="17"/>
      <c r="T474" s="32"/>
    </row>
    <row r="475" spans="1:20">
      <c r="A475" s="23" t="str">
        <f t="shared" si="21"/>
        <v/>
      </c>
      <c r="B475" s="47"/>
      <c r="C475" s="39"/>
      <c r="D475" s="39"/>
      <c r="E475" s="39"/>
      <c r="F475" s="39"/>
      <c r="G475" s="20"/>
      <c r="H475" s="39"/>
      <c r="I475" s="44"/>
      <c r="J475" s="39"/>
      <c r="K475" s="39"/>
      <c r="L475" s="26"/>
      <c r="M475" s="39"/>
      <c r="N475" s="26"/>
      <c r="O475" s="20"/>
      <c r="P475" s="26"/>
      <c r="Q475" s="29" t="str">
        <f t="shared" ca="1" si="22"/>
        <v/>
      </c>
      <c r="R475" s="23" t="str">
        <f t="shared" ca="1" si="23"/>
        <v/>
      </c>
      <c r="S475" s="17"/>
      <c r="T475" s="32"/>
    </row>
    <row r="476" spans="1:20">
      <c r="A476" s="23" t="str">
        <f t="shared" si="21"/>
        <v/>
      </c>
      <c r="B476" s="47"/>
      <c r="C476" s="39"/>
      <c r="D476" s="39"/>
      <c r="E476" s="39"/>
      <c r="F476" s="39"/>
      <c r="G476" s="20"/>
      <c r="H476" s="39"/>
      <c r="I476" s="44"/>
      <c r="J476" s="39"/>
      <c r="K476" s="39"/>
      <c r="L476" s="26"/>
      <c r="M476" s="39"/>
      <c r="N476" s="26"/>
      <c r="O476" s="20"/>
      <c r="P476" s="26"/>
      <c r="Q476" s="29" t="str">
        <f t="shared" ca="1" si="22"/>
        <v/>
      </c>
      <c r="R476" s="23" t="str">
        <f t="shared" ca="1" si="23"/>
        <v/>
      </c>
      <c r="S476" s="17"/>
      <c r="T476" s="32"/>
    </row>
    <row r="477" spans="1:20">
      <c r="A477" s="23" t="str">
        <f t="shared" si="21"/>
        <v/>
      </c>
      <c r="B477" s="47"/>
      <c r="C477" s="39"/>
      <c r="D477" s="39"/>
      <c r="E477" s="39"/>
      <c r="F477" s="39"/>
      <c r="G477" s="20"/>
      <c r="H477" s="39"/>
      <c r="I477" s="44"/>
      <c r="J477" s="39"/>
      <c r="K477" s="39"/>
      <c r="L477" s="26"/>
      <c r="M477" s="39"/>
      <c r="N477" s="26"/>
      <c r="O477" s="20"/>
      <c r="P477" s="26"/>
      <c r="Q477" s="29" t="str">
        <f t="shared" ca="1" si="22"/>
        <v/>
      </c>
      <c r="R477" s="23" t="str">
        <f t="shared" ca="1" si="23"/>
        <v/>
      </c>
      <c r="S477" s="17"/>
      <c r="T477" s="32"/>
    </row>
    <row r="478" spans="1:20">
      <c r="A478" s="23" t="str">
        <f t="shared" si="21"/>
        <v/>
      </c>
      <c r="B478" s="47"/>
      <c r="C478" s="39"/>
      <c r="D478" s="39"/>
      <c r="E478" s="39"/>
      <c r="F478" s="39"/>
      <c r="G478" s="20"/>
      <c r="H478" s="39"/>
      <c r="I478" s="44"/>
      <c r="J478" s="39"/>
      <c r="K478" s="39"/>
      <c r="L478" s="26"/>
      <c r="M478" s="39"/>
      <c r="N478" s="26"/>
      <c r="O478" s="20"/>
      <c r="P478" s="26"/>
      <c r="Q478" s="29" t="str">
        <f t="shared" ca="1" si="22"/>
        <v/>
      </c>
      <c r="R478" s="23" t="str">
        <f t="shared" ca="1" si="23"/>
        <v/>
      </c>
      <c r="S478" s="17"/>
      <c r="T478" s="32"/>
    </row>
    <row r="479" spans="1:20">
      <c r="A479" s="23" t="str">
        <f t="shared" si="21"/>
        <v/>
      </c>
      <c r="B479" s="47"/>
      <c r="C479" s="39"/>
      <c r="D479" s="39"/>
      <c r="E479" s="39"/>
      <c r="F479" s="39"/>
      <c r="G479" s="20"/>
      <c r="H479" s="39"/>
      <c r="I479" s="44"/>
      <c r="J479" s="39"/>
      <c r="K479" s="39"/>
      <c r="L479" s="26"/>
      <c r="M479" s="39"/>
      <c r="N479" s="26"/>
      <c r="O479" s="20"/>
      <c r="P479" s="26"/>
      <c r="Q479" s="29" t="str">
        <f t="shared" ca="1" si="22"/>
        <v/>
      </c>
      <c r="R479" s="23" t="str">
        <f t="shared" ca="1" si="23"/>
        <v/>
      </c>
      <c r="S479" s="17"/>
      <c r="T479" s="32"/>
    </row>
    <row r="480" spans="1:20">
      <c r="A480" s="23" t="str">
        <f t="shared" si="21"/>
        <v/>
      </c>
      <c r="B480" s="47"/>
      <c r="C480" s="39"/>
      <c r="D480" s="39"/>
      <c r="E480" s="39"/>
      <c r="F480" s="39"/>
      <c r="G480" s="20"/>
      <c r="H480" s="39"/>
      <c r="I480" s="44"/>
      <c r="J480" s="39"/>
      <c r="K480" s="39"/>
      <c r="L480" s="26"/>
      <c r="M480" s="39"/>
      <c r="N480" s="26"/>
      <c r="O480" s="20"/>
      <c r="P480" s="26"/>
      <c r="Q480" s="29" t="str">
        <f t="shared" ca="1" si="22"/>
        <v/>
      </c>
      <c r="R480" s="23" t="str">
        <f t="shared" ca="1" si="23"/>
        <v/>
      </c>
      <c r="S480" s="17"/>
      <c r="T480" s="32"/>
    </row>
    <row r="481" spans="1:20">
      <c r="A481" s="23" t="str">
        <f t="shared" si="21"/>
        <v/>
      </c>
      <c r="B481" s="47"/>
      <c r="C481" s="39"/>
      <c r="D481" s="39"/>
      <c r="E481" s="39"/>
      <c r="F481" s="39"/>
      <c r="G481" s="20"/>
      <c r="H481" s="39"/>
      <c r="I481" s="44"/>
      <c r="J481" s="39"/>
      <c r="K481" s="39"/>
      <c r="L481" s="26"/>
      <c r="M481" s="39"/>
      <c r="N481" s="26"/>
      <c r="O481" s="20"/>
      <c r="P481" s="26"/>
      <c r="Q481" s="29" t="str">
        <f t="shared" ca="1" si="22"/>
        <v/>
      </c>
      <c r="R481" s="23" t="str">
        <f t="shared" ca="1" si="23"/>
        <v/>
      </c>
      <c r="S481" s="17"/>
      <c r="T481" s="32"/>
    </row>
    <row r="482" spans="1:20">
      <c r="A482" s="23" t="str">
        <f t="shared" si="21"/>
        <v/>
      </c>
      <c r="B482" s="47"/>
      <c r="C482" s="39"/>
      <c r="D482" s="39"/>
      <c r="E482" s="39"/>
      <c r="F482" s="39"/>
      <c r="G482" s="20"/>
      <c r="H482" s="39"/>
      <c r="I482" s="44"/>
      <c r="J482" s="39"/>
      <c r="K482" s="39"/>
      <c r="L482" s="26"/>
      <c r="M482" s="39"/>
      <c r="N482" s="26"/>
      <c r="O482" s="20"/>
      <c r="P482" s="26"/>
      <c r="Q482" s="29" t="str">
        <f t="shared" ca="1" si="22"/>
        <v/>
      </c>
      <c r="R482" s="23" t="str">
        <f t="shared" ca="1" si="23"/>
        <v/>
      </c>
      <c r="S482" s="17"/>
      <c r="T482" s="32"/>
    </row>
    <row r="483" spans="1:20">
      <c r="A483" s="23" t="str">
        <f t="shared" si="21"/>
        <v/>
      </c>
      <c r="B483" s="47"/>
      <c r="C483" s="39"/>
      <c r="D483" s="39"/>
      <c r="E483" s="39"/>
      <c r="F483" s="39"/>
      <c r="G483" s="20"/>
      <c r="H483" s="39"/>
      <c r="I483" s="44"/>
      <c r="J483" s="39"/>
      <c r="K483" s="39"/>
      <c r="L483" s="26"/>
      <c r="M483" s="39"/>
      <c r="N483" s="26"/>
      <c r="O483" s="20"/>
      <c r="P483" s="26"/>
      <c r="Q483" s="29" t="str">
        <f t="shared" ca="1" si="22"/>
        <v/>
      </c>
      <c r="R483" s="23" t="str">
        <f t="shared" ca="1" si="23"/>
        <v/>
      </c>
      <c r="S483" s="17"/>
      <c r="T483" s="32"/>
    </row>
    <row r="484" spans="1:20">
      <c r="A484" s="23" t="str">
        <f t="shared" si="21"/>
        <v/>
      </c>
      <c r="B484" s="47"/>
      <c r="C484" s="39"/>
      <c r="D484" s="39"/>
      <c r="E484" s="39"/>
      <c r="F484" s="39"/>
      <c r="G484" s="20"/>
      <c r="H484" s="39"/>
      <c r="I484" s="44"/>
      <c r="J484" s="39"/>
      <c r="K484" s="39"/>
      <c r="L484" s="26"/>
      <c r="M484" s="39"/>
      <c r="N484" s="26"/>
      <c r="O484" s="20"/>
      <c r="P484" s="26"/>
      <c r="Q484" s="29" t="str">
        <f t="shared" ca="1" si="22"/>
        <v/>
      </c>
      <c r="R484" s="23" t="str">
        <f t="shared" ca="1" si="23"/>
        <v/>
      </c>
      <c r="S484" s="17"/>
      <c r="T484" s="32"/>
    </row>
    <row r="485" spans="1:20">
      <c r="A485" s="23" t="str">
        <f t="shared" si="21"/>
        <v/>
      </c>
      <c r="B485" s="47"/>
      <c r="C485" s="39"/>
      <c r="D485" s="39"/>
      <c r="E485" s="39"/>
      <c r="F485" s="39"/>
      <c r="G485" s="20"/>
      <c r="H485" s="39"/>
      <c r="I485" s="44"/>
      <c r="J485" s="39"/>
      <c r="K485" s="39"/>
      <c r="L485" s="26"/>
      <c r="M485" s="39"/>
      <c r="N485" s="26"/>
      <c r="O485" s="20"/>
      <c r="P485" s="26"/>
      <c r="Q485" s="29" t="str">
        <f t="shared" ca="1" si="22"/>
        <v/>
      </c>
      <c r="R485" s="23" t="str">
        <f t="shared" ca="1" si="23"/>
        <v/>
      </c>
      <c r="S485" s="17"/>
      <c r="T485" s="32"/>
    </row>
    <row r="486" spans="1:20">
      <c r="A486" s="23" t="str">
        <f t="shared" si="21"/>
        <v/>
      </c>
      <c r="B486" s="47"/>
      <c r="C486" s="39"/>
      <c r="D486" s="39"/>
      <c r="E486" s="39"/>
      <c r="F486" s="39"/>
      <c r="G486" s="20"/>
      <c r="H486" s="39"/>
      <c r="I486" s="44"/>
      <c r="J486" s="39"/>
      <c r="K486" s="39"/>
      <c r="L486" s="26"/>
      <c r="M486" s="39"/>
      <c r="N486" s="26"/>
      <c r="O486" s="20"/>
      <c r="P486" s="26"/>
      <c r="Q486" s="29" t="str">
        <f t="shared" ca="1" si="22"/>
        <v/>
      </c>
      <c r="R486" s="23" t="str">
        <f t="shared" ca="1" si="23"/>
        <v/>
      </c>
      <c r="S486" s="17"/>
      <c r="T486" s="32"/>
    </row>
    <row r="487" spans="1:20">
      <c r="A487" s="23" t="str">
        <f t="shared" si="21"/>
        <v/>
      </c>
      <c r="B487" s="47"/>
      <c r="C487" s="39"/>
      <c r="D487" s="39"/>
      <c r="E487" s="39"/>
      <c r="F487" s="39"/>
      <c r="G487" s="20"/>
      <c r="H487" s="39"/>
      <c r="I487" s="44"/>
      <c r="J487" s="39"/>
      <c r="K487" s="39"/>
      <c r="L487" s="26"/>
      <c r="M487" s="39"/>
      <c r="N487" s="26"/>
      <c r="O487" s="20"/>
      <c r="P487" s="26"/>
      <c r="Q487" s="29" t="str">
        <f t="shared" ca="1" si="22"/>
        <v/>
      </c>
      <c r="R487" s="23" t="str">
        <f t="shared" ca="1" si="23"/>
        <v/>
      </c>
      <c r="S487" s="17"/>
      <c r="T487" s="32"/>
    </row>
    <row r="488" spans="1:20">
      <c r="A488" s="23" t="str">
        <f t="shared" si="21"/>
        <v/>
      </c>
      <c r="B488" s="47"/>
      <c r="C488" s="39"/>
      <c r="D488" s="39"/>
      <c r="E488" s="39"/>
      <c r="F488" s="39"/>
      <c r="G488" s="20"/>
      <c r="H488" s="39"/>
      <c r="I488" s="44"/>
      <c r="J488" s="39"/>
      <c r="K488" s="39"/>
      <c r="L488" s="26"/>
      <c r="M488" s="39"/>
      <c r="N488" s="26"/>
      <c r="O488" s="20"/>
      <c r="P488" s="26"/>
      <c r="Q488" s="29" t="str">
        <f t="shared" ca="1" si="22"/>
        <v/>
      </c>
      <c r="R488" s="23" t="str">
        <f t="shared" ca="1" si="23"/>
        <v/>
      </c>
      <c r="S488" s="17"/>
      <c r="T488" s="32"/>
    </row>
    <row r="489" spans="1:20">
      <c r="A489" s="23" t="str">
        <f t="shared" si="21"/>
        <v/>
      </c>
      <c r="B489" s="47"/>
      <c r="C489" s="39"/>
      <c r="D489" s="39"/>
      <c r="E489" s="39"/>
      <c r="F489" s="39"/>
      <c r="G489" s="20"/>
      <c r="H489" s="39"/>
      <c r="I489" s="44"/>
      <c r="J489" s="39"/>
      <c r="K489" s="39"/>
      <c r="L489" s="26"/>
      <c r="M489" s="39"/>
      <c r="N489" s="26"/>
      <c r="O489" s="20"/>
      <c r="P489" s="26"/>
      <c r="Q489" s="29" t="str">
        <f t="shared" ca="1" si="22"/>
        <v/>
      </c>
      <c r="R489" s="23" t="str">
        <f t="shared" ca="1" si="23"/>
        <v/>
      </c>
      <c r="S489" s="17"/>
      <c r="T489" s="32"/>
    </row>
    <row r="490" spans="1:20">
      <c r="A490" s="23" t="str">
        <f t="shared" si="21"/>
        <v/>
      </c>
      <c r="B490" s="47"/>
      <c r="C490" s="39"/>
      <c r="D490" s="39"/>
      <c r="E490" s="39"/>
      <c r="F490" s="39"/>
      <c r="G490" s="20"/>
      <c r="H490" s="39"/>
      <c r="I490" s="44"/>
      <c r="J490" s="39"/>
      <c r="K490" s="39"/>
      <c r="L490" s="26"/>
      <c r="M490" s="39"/>
      <c r="N490" s="26"/>
      <c r="O490" s="20"/>
      <c r="P490" s="26"/>
      <c r="Q490" s="29" t="str">
        <f t="shared" ca="1" si="22"/>
        <v/>
      </c>
      <c r="R490" s="23" t="str">
        <f t="shared" ca="1" si="23"/>
        <v/>
      </c>
      <c r="S490" s="17"/>
      <c r="T490" s="32"/>
    </row>
    <row r="491" spans="1:20">
      <c r="A491" s="23" t="str">
        <f t="shared" si="21"/>
        <v/>
      </c>
      <c r="B491" s="47"/>
      <c r="C491" s="39"/>
      <c r="D491" s="39"/>
      <c r="E491" s="39"/>
      <c r="F491" s="39"/>
      <c r="G491" s="20"/>
      <c r="H491" s="39"/>
      <c r="I491" s="44"/>
      <c r="J491" s="39"/>
      <c r="K491" s="39"/>
      <c r="L491" s="26"/>
      <c r="M491" s="39"/>
      <c r="N491" s="26"/>
      <c r="O491" s="20"/>
      <c r="P491" s="26"/>
      <c r="Q491" s="29" t="str">
        <f t="shared" ca="1" si="22"/>
        <v/>
      </c>
      <c r="R491" s="23" t="str">
        <f t="shared" ca="1" si="23"/>
        <v/>
      </c>
      <c r="S491" s="17"/>
      <c r="T491" s="32"/>
    </row>
    <row r="492" spans="1:20">
      <c r="A492" s="23" t="str">
        <f t="shared" si="21"/>
        <v/>
      </c>
      <c r="B492" s="47"/>
      <c r="C492" s="39"/>
      <c r="D492" s="39"/>
      <c r="E492" s="39"/>
      <c r="F492" s="39"/>
      <c r="G492" s="20"/>
      <c r="H492" s="39"/>
      <c r="I492" s="44"/>
      <c r="J492" s="39"/>
      <c r="K492" s="39"/>
      <c r="L492" s="26"/>
      <c r="M492" s="39"/>
      <c r="N492" s="26"/>
      <c r="O492" s="20"/>
      <c r="P492" s="26"/>
      <c r="Q492" s="29" t="str">
        <f t="shared" ca="1" si="22"/>
        <v/>
      </c>
      <c r="R492" s="23" t="str">
        <f t="shared" ca="1" si="23"/>
        <v/>
      </c>
      <c r="S492" s="17"/>
      <c r="T492" s="32"/>
    </row>
    <row r="493" spans="1:20">
      <c r="A493" s="23" t="str">
        <f t="shared" si="21"/>
        <v/>
      </c>
      <c r="B493" s="47"/>
      <c r="C493" s="39"/>
      <c r="D493" s="39"/>
      <c r="E493" s="39"/>
      <c r="F493" s="39"/>
      <c r="G493" s="20"/>
      <c r="H493" s="39"/>
      <c r="I493" s="44"/>
      <c r="J493" s="39"/>
      <c r="K493" s="39"/>
      <c r="L493" s="26"/>
      <c r="M493" s="39"/>
      <c r="N493" s="26"/>
      <c r="O493" s="20"/>
      <c r="P493" s="26"/>
      <c r="Q493" s="29" t="str">
        <f t="shared" ca="1" si="22"/>
        <v/>
      </c>
      <c r="R493" s="23" t="str">
        <f t="shared" ca="1" si="23"/>
        <v/>
      </c>
      <c r="S493" s="17"/>
      <c r="T493" s="32"/>
    </row>
    <row r="494" spans="1:20">
      <c r="A494" s="23" t="str">
        <f t="shared" si="21"/>
        <v/>
      </c>
      <c r="B494" s="47"/>
      <c r="C494" s="39"/>
      <c r="D494" s="39"/>
      <c r="E494" s="39"/>
      <c r="F494" s="39"/>
      <c r="G494" s="20"/>
      <c r="H494" s="39"/>
      <c r="I494" s="44"/>
      <c r="J494" s="39"/>
      <c r="K494" s="39"/>
      <c r="L494" s="26"/>
      <c r="M494" s="39"/>
      <c r="N494" s="26"/>
      <c r="O494" s="20"/>
      <c r="P494" s="26"/>
      <c r="Q494" s="29" t="str">
        <f t="shared" ca="1" si="22"/>
        <v/>
      </c>
      <c r="R494" s="23" t="str">
        <f t="shared" ca="1" si="23"/>
        <v/>
      </c>
      <c r="S494" s="17"/>
      <c r="T494" s="32"/>
    </row>
    <row r="495" spans="1:20">
      <c r="A495" s="23" t="str">
        <f t="shared" si="21"/>
        <v/>
      </c>
      <c r="B495" s="47"/>
      <c r="C495" s="39"/>
      <c r="D495" s="39"/>
      <c r="E495" s="39"/>
      <c r="F495" s="39"/>
      <c r="G495" s="20"/>
      <c r="H495" s="39"/>
      <c r="I495" s="44"/>
      <c r="J495" s="39"/>
      <c r="K495" s="39"/>
      <c r="L495" s="26"/>
      <c r="M495" s="39"/>
      <c r="N495" s="26"/>
      <c r="O495" s="20"/>
      <c r="P495" s="26"/>
      <c r="Q495" s="29" t="str">
        <f t="shared" ca="1" si="22"/>
        <v/>
      </c>
      <c r="R495" s="23" t="str">
        <f t="shared" ca="1" si="23"/>
        <v/>
      </c>
      <c r="S495" s="17"/>
      <c r="T495" s="32"/>
    </row>
    <row r="496" spans="1:20">
      <c r="A496" s="23" t="str">
        <f t="shared" si="21"/>
        <v/>
      </c>
      <c r="B496" s="47"/>
      <c r="C496" s="39"/>
      <c r="D496" s="39"/>
      <c r="E496" s="39"/>
      <c r="F496" s="39"/>
      <c r="G496" s="20"/>
      <c r="H496" s="39"/>
      <c r="I496" s="44"/>
      <c r="J496" s="39"/>
      <c r="K496" s="39"/>
      <c r="L496" s="26"/>
      <c r="M496" s="39"/>
      <c r="N496" s="26"/>
      <c r="O496" s="20"/>
      <c r="P496" s="26"/>
      <c r="Q496" s="29" t="str">
        <f t="shared" ca="1" si="22"/>
        <v/>
      </c>
      <c r="R496" s="23" t="str">
        <f t="shared" ca="1" si="23"/>
        <v/>
      </c>
      <c r="S496" s="17"/>
      <c r="T496" s="32"/>
    </row>
    <row r="497" spans="1:20">
      <c r="A497" s="23" t="str">
        <f t="shared" si="21"/>
        <v/>
      </c>
      <c r="B497" s="47"/>
      <c r="C497" s="39"/>
      <c r="D497" s="39"/>
      <c r="E497" s="39"/>
      <c r="F497" s="39"/>
      <c r="G497" s="20"/>
      <c r="H497" s="39"/>
      <c r="I497" s="44"/>
      <c r="J497" s="39"/>
      <c r="K497" s="39"/>
      <c r="L497" s="26"/>
      <c r="M497" s="39"/>
      <c r="N497" s="26"/>
      <c r="O497" s="20"/>
      <c r="P497" s="26"/>
      <c r="Q497" s="29" t="str">
        <f t="shared" ca="1" si="22"/>
        <v/>
      </c>
      <c r="R497" s="23" t="str">
        <f t="shared" ca="1" si="23"/>
        <v/>
      </c>
      <c r="S497" s="17"/>
      <c r="T497" s="32"/>
    </row>
    <row r="498" spans="1:20">
      <c r="A498" s="23" t="str">
        <f t="shared" si="21"/>
        <v/>
      </c>
      <c r="B498" s="47"/>
      <c r="C498" s="39"/>
      <c r="D498" s="39"/>
      <c r="E498" s="39"/>
      <c r="F498" s="39"/>
      <c r="G498" s="20"/>
      <c r="H498" s="39"/>
      <c r="I498" s="44"/>
      <c r="J498" s="39"/>
      <c r="K498" s="39"/>
      <c r="L498" s="26"/>
      <c r="M498" s="39"/>
      <c r="N498" s="26"/>
      <c r="O498" s="20"/>
      <c r="P498" s="26"/>
      <c r="Q498" s="29" t="str">
        <f t="shared" ca="1" si="22"/>
        <v/>
      </c>
      <c r="R498" s="23" t="str">
        <f t="shared" ca="1" si="23"/>
        <v/>
      </c>
      <c r="S498" s="17"/>
      <c r="T498" s="32"/>
    </row>
    <row r="499" spans="1:20">
      <c r="A499" s="23" t="str">
        <f t="shared" si="21"/>
        <v/>
      </c>
      <c r="B499" s="47"/>
      <c r="C499" s="39"/>
      <c r="D499" s="39"/>
      <c r="E499" s="39"/>
      <c r="F499" s="39"/>
      <c r="G499" s="20"/>
      <c r="H499" s="39"/>
      <c r="I499" s="44"/>
      <c r="J499" s="39"/>
      <c r="K499" s="39"/>
      <c r="L499" s="26"/>
      <c r="M499" s="39"/>
      <c r="N499" s="26"/>
      <c r="O499" s="20"/>
      <c r="P499" s="26"/>
      <c r="Q499" s="29" t="str">
        <f t="shared" ca="1" si="22"/>
        <v/>
      </c>
      <c r="R499" s="23" t="str">
        <f t="shared" ca="1" si="23"/>
        <v/>
      </c>
      <c r="S499" s="17"/>
      <c r="T499" s="32"/>
    </row>
    <row r="500" spans="1:20">
      <c r="A500" s="23" t="str">
        <f t="shared" si="21"/>
        <v/>
      </c>
      <c r="B500" s="47"/>
      <c r="C500" s="39"/>
      <c r="D500" s="39"/>
      <c r="E500" s="39"/>
      <c r="F500" s="39"/>
      <c r="G500" s="20"/>
      <c r="H500" s="39"/>
      <c r="I500" s="44"/>
      <c r="J500" s="39"/>
      <c r="K500" s="39"/>
      <c r="L500" s="26"/>
      <c r="M500" s="39"/>
      <c r="N500" s="26"/>
      <c r="O500" s="20"/>
      <c r="P500" s="26"/>
      <c r="Q500" s="29" t="str">
        <f t="shared" ca="1" si="22"/>
        <v/>
      </c>
      <c r="R500" s="23" t="str">
        <f t="shared" ca="1" si="23"/>
        <v/>
      </c>
      <c r="S500" s="17"/>
      <c r="T500" s="32"/>
    </row>
    <row r="501" spans="1:20">
      <c r="A501" s="23" t="str">
        <f t="shared" si="21"/>
        <v/>
      </c>
      <c r="B501" s="47"/>
      <c r="C501" s="39"/>
      <c r="D501" s="39"/>
      <c r="E501" s="39"/>
      <c r="F501" s="39"/>
      <c r="G501" s="20"/>
      <c r="H501" s="39"/>
      <c r="I501" s="44"/>
      <c r="J501" s="39"/>
      <c r="K501" s="39"/>
      <c r="L501" s="26"/>
      <c r="M501" s="39"/>
      <c r="N501" s="26"/>
      <c r="O501" s="20"/>
      <c r="P501" s="26"/>
      <c r="Q501" s="29" t="str">
        <f t="shared" ca="1" si="22"/>
        <v/>
      </c>
      <c r="R501" s="23" t="str">
        <f t="shared" ca="1" si="23"/>
        <v/>
      </c>
      <c r="S501" s="17"/>
      <c r="T501" s="32"/>
    </row>
    <row r="502" spans="1:20">
      <c r="A502" s="23" t="str">
        <f t="shared" si="21"/>
        <v/>
      </c>
      <c r="B502" s="47"/>
      <c r="C502" s="39"/>
      <c r="D502" s="39"/>
      <c r="E502" s="39"/>
      <c r="F502" s="39"/>
      <c r="G502" s="20"/>
      <c r="H502" s="39"/>
      <c r="I502" s="44"/>
      <c r="J502" s="39"/>
      <c r="K502" s="39"/>
      <c r="L502" s="26"/>
      <c r="M502" s="39"/>
      <c r="N502" s="26"/>
      <c r="O502" s="20"/>
      <c r="P502" s="26"/>
      <c r="Q502" s="29" t="str">
        <f t="shared" ca="1" si="22"/>
        <v/>
      </c>
      <c r="R502" s="23" t="str">
        <f t="shared" ca="1" si="23"/>
        <v/>
      </c>
      <c r="S502" s="17"/>
      <c r="T502" s="32"/>
    </row>
    <row r="503" spans="1:20">
      <c r="A503" s="23" t="str">
        <f t="shared" si="21"/>
        <v/>
      </c>
      <c r="B503" s="47"/>
      <c r="C503" s="39"/>
      <c r="D503" s="39"/>
      <c r="E503" s="39"/>
      <c r="F503" s="39"/>
      <c r="G503" s="20"/>
      <c r="H503" s="39"/>
      <c r="I503" s="44"/>
      <c r="J503" s="39"/>
      <c r="K503" s="39"/>
      <c r="L503" s="26"/>
      <c r="M503" s="39"/>
      <c r="N503" s="26"/>
      <c r="O503" s="20"/>
      <c r="P503" s="26"/>
      <c r="Q503" s="29" t="str">
        <f t="shared" ca="1" si="22"/>
        <v/>
      </c>
      <c r="R503" s="23" t="str">
        <f t="shared" ca="1" si="23"/>
        <v/>
      </c>
      <c r="S503" s="17"/>
      <c r="T503" s="32"/>
    </row>
    <row r="504" spans="1:20">
      <c r="A504" s="23" t="str">
        <f t="shared" si="21"/>
        <v/>
      </c>
      <c r="B504" s="47"/>
      <c r="C504" s="39"/>
      <c r="D504" s="39"/>
      <c r="E504" s="39"/>
      <c r="F504" s="39"/>
      <c r="G504" s="20"/>
      <c r="H504" s="39"/>
      <c r="I504" s="44"/>
      <c r="J504" s="39"/>
      <c r="K504" s="39"/>
      <c r="L504" s="26"/>
      <c r="M504" s="39"/>
      <c r="N504" s="26"/>
      <c r="O504" s="20"/>
      <c r="P504" s="26"/>
      <c r="Q504" s="29" t="str">
        <f t="shared" ca="1" si="22"/>
        <v/>
      </c>
      <c r="R504" s="23" t="str">
        <f t="shared" ca="1" si="23"/>
        <v/>
      </c>
      <c r="S504" s="17"/>
      <c r="T504" s="32"/>
    </row>
    <row r="505" spans="1:20">
      <c r="A505" s="23" t="str">
        <f t="shared" si="21"/>
        <v/>
      </c>
      <c r="B505" s="47"/>
      <c r="C505" s="39"/>
      <c r="D505" s="39"/>
      <c r="E505" s="39"/>
      <c r="F505" s="39"/>
      <c r="G505" s="20"/>
      <c r="H505" s="39"/>
      <c r="I505" s="44"/>
      <c r="J505" s="39"/>
      <c r="K505" s="39"/>
      <c r="L505" s="26"/>
      <c r="M505" s="39"/>
      <c r="N505" s="26"/>
      <c r="O505" s="20"/>
      <c r="P505" s="26"/>
      <c r="Q505" s="29" t="str">
        <f t="shared" ca="1" si="22"/>
        <v/>
      </c>
      <c r="R505" s="23" t="str">
        <f t="shared" ca="1" si="23"/>
        <v/>
      </c>
      <c r="S505" s="17"/>
      <c r="T505" s="32"/>
    </row>
    <row r="506" spans="1:20">
      <c r="A506" s="24" t="str">
        <f t="shared" si="21"/>
        <v/>
      </c>
      <c r="B506" s="48"/>
      <c r="C506" s="40"/>
      <c r="D506" s="40"/>
      <c r="E506" s="40"/>
      <c r="F506" s="40"/>
      <c r="G506" s="21"/>
      <c r="H506" s="40"/>
      <c r="I506" s="45"/>
      <c r="J506" s="40"/>
      <c r="K506" s="40"/>
      <c r="L506" s="27"/>
      <c r="M506" s="40"/>
      <c r="N506" s="27"/>
      <c r="O506" s="21"/>
      <c r="P506" s="27"/>
      <c r="Q506" s="30" t="str">
        <f t="shared" ca="1" si="22"/>
        <v/>
      </c>
      <c r="R506" s="24" t="str">
        <f t="shared" ca="1" si="23"/>
        <v/>
      </c>
      <c r="S506" s="18"/>
      <c r="T506" s="33"/>
    </row>
  </sheetData>
  <mergeCells count="2">
    <mergeCell ref="A1:T1"/>
    <mergeCell ref="A2:T2"/>
  </mergeCells>
  <phoneticPr fontId="7" type="noConversion"/>
  <conditionalFormatting sqref="A3:T3">
    <cfRule type="expression" dxfId="14" priority="8">
      <formula>MOD(COLUMN(),2)=1</formula>
    </cfRule>
  </conditionalFormatting>
  <conditionalFormatting sqref="J7:J213 J226:J506">
    <cfRule type="containsText" dxfId="13" priority="9" operator="containsText" text="Critical"/>
    <cfRule type="containsText" dxfId="12" priority="10" operator="containsText" text="High"/>
    <cfRule type="containsText" dxfId="11" priority="11" operator="containsText" text="Medium"/>
    <cfRule type="containsText" dxfId="10" priority="12" operator="containsText" text="Low"/>
  </conditionalFormatting>
  <conditionalFormatting sqref="J214:J225">
    <cfRule type="containsText" dxfId="9" priority="1" operator="containsText" text="Critical">
      <formula>NOT(ISERROR(SEARCH("Critical",J214)))</formula>
    </cfRule>
    <cfRule type="containsText" dxfId="8" priority="2" operator="containsText" text="High">
      <formula>NOT(ISERROR(SEARCH("High",J214)))</formula>
    </cfRule>
    <cfRule type="containsText" dxfId="7" priority="3" operator="containsText" text="Medium">
      <formula>NOT(ISERROR(SEARCH("Medium",J214)))</formula>
    </cfRule>
    <cfRule type="containsText" dxfId="6" priority="4" operator="containsText" text="Low">
      <formula>NOT(ISERROR(SEARCH("Low",J214)))</formula>
    </cfRule>
  </conditionalFormatting>
  <conditionalFormatting sqref="M7:M213 M226:M506">
    <cfRule type="containsText" dxfId="5" priority="13" operator="containsText" text="Closed"/>
    <cfRule type="containsText" dxfId="4" priority="14" operator="containsText" text="Ready for Verification"/>
  </conditionalFormatting>
  <conditionalFormatting sqref="M214:M225">
    <cfRule type="containsText" dxfId="3" priority="5" operator="containsText" text="Closed">
      <formula>NOT(ISERROR(SEARCH("Closed",M214)))</formula>
    </cfRule>
    <cfRule type="containsText" dxfId="2" priority="6" operator="containsText" text="Ready for Verification">
      <formula>NOT(ISERROR(SEARCH("Ready for Verification",M214)))</formula>
    </cfRule>
  </conditionalFormatting>
  <conditionalFormatting sqref="R7:R213 R226:R506">
    <cfRule type="containsText" dxfId="1" priority="15" operator="containsText" text="Yes"/>
  </conditionalFormatting>
  <conditionalFormatting sqref="R214:R225">
    <cfRule type="containsText" dxfId="0" priority="7" operator="containsText" text="Yes">
      <formula>NOT(ISERROR(SEARCH("Yes",R214)))</formula>
    </cfRule>
  </conditionalFormatting>
  <pageMargins left="0.7" right="0.7" top="0.75" bottom="0.75" header="0.3" footer="0.3"/>
  <pageSetup orientation="portrait" r:id="rId1"/>
  <drawing r:id="rId2"/>
  <legacyDrawing r:id="rId3"/>
  <tableParts count="1">
    <tablePart r:id="rId4"/>
  </tableParts>
  <extLst>
    <ext xmlns:x14="http://schemas.microsoft.com/office/spreadsheetml/2009/9/main" uri="{CCE6A557-97BC-4b89-ADB6-D9C93CAAB3DF}">
      <x14:dataValidations xmlns:xm="http://schemas.microsoft.com/office/excel/2006/main" count="7">
        <x14:dataValidation type="list" xr:uid="{00000000-0002-0000-0000-000000000000}">
          <x14:formula1>
            <xm:f>Lists!$F$2:$F$72</xm:f>
          </x14:formula1>
          <xm:sqref>F31 C7:C213 C226:C506</xm:sqref>
        </x14:dataValidation>
        <x14:dataValidation type="list" xr:uid="{00000000-0002-0000-0000-000001000000}">
          <x14:formula1>
            <xm:f>Lists!$G$2:$G$72</xm:f>
          </x14:formula1>
          <xm:sqref>D7:D213 D226:D506</xm:sqref>
        </x14:dataValidation>
        <x14:dataValidation type="list" xr:uid="{00000000-0002-0000-0000-000002000000}">
          <x14:formula1>
            <xm:f>Lists!$C$2:$C$9</xm:f>
          </x14:formula1>
          <xm:sqref>E7:E213 E226:E506</xm:sqref>
        </x14:dataValidation>
        <x14:dataValidation type="list" xr:uid="{00000000-0002-0000-0000-000003000000}">
          <x14:formula1>
            <xm:f>Lists!$D$2:$D$9</xm:f>
          </x14:formula1>
          <xm:sqref>H7:H213 H226:H506</xm:sqref>
        </x14:dataValidation>
        <x14:dataValidation type="list" xr:uid="{3F03BBDB-3FF4-403E-A51F-5AD35C517D7D}">
          <x14:formula1>
            <xm:f>Lists!$B$2:$B$5</xm:f>
          </x14:formula1>
          <xm:sqref>J7:J213 J226:J506</xm:sqref>
        </x14:dataValidation>
        <x14:dataValidation type="list" xr:uid="{00000000-0002-0000-0000-000006000000}">
          <x14:formula1>
            <xm:f>Lists!$A$2:$A$7</xm:f>
          </x14:formula1>
          <xm:sqref>M7:M213 M226:M506</xm:sqref>
        </x14:dataValidation>
        <x14:dataValidation type="list" xr:uid="{00000000-0002-0000-0000-000005000000}">
          <x14:formula1>
            <xm:f>Lists!$E$2:$E$8</xm:f>
          </x14:formula1>
          <xm:sqref>K7:K29 J31 K54:L54 K31:K53 K55:K213 K226:K506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2"/>
  <sheetViews>
    <sheetView showGridLines="0" workbookViewId="0">
      <selection sqref="A1:H1"/>
    </sheetView>
  </sheetViews>
  <sheetFormatPr defaultRowHeight="14"/>
  <cols>
    <col min="1" max="8" width="22" customWidth="1"/>
  </cols>
  <sheetData>
    <row r="1" spans="1:8" ht="23">
      <c r="A1" s="60" t="s">
        <v>32</v>
      </c>
      <c r="B1" s="60"/>
      <c r="C1" s="60"/>
      <c r="D1" s="60"/>
      <c r="E1" s="60"/>
      <c r="F1" s="60"/>
      <c r="G1" s="60"/>
      <c r="H1" s="60"/>
    </row>
    <row r="3" spans="1:8">
      <c r="A3" s="34" t="s">
        <v>24</v>
      </c>
      <c r="B3" s="34" t="s">
        <v>33</v>
      </c>
      <c r="D3" s="34" t="s">
        <v>21</v>
      </c>
      <c r="E3" s="34" t="s">
        <v>34</v>
      </c>
      <c r="G3" s="34" t="s">
        <v>35</v>
      </c>
      <c r="H3" s="34" t="s">
        <v>36</v>
      </c>
    </row>
    <row r="4" spans="1:8" ht="18">
      <c r="A4" s="35" t="s">
        <v>37</v>
      </c>
      <c r="B4" s="36">
        <f>COUNTIF('Deficiency Tracker'!$M$7:$M$506,A4)</f>
        <v>116</v>
      </c>
      <c r="D4" s="35" t="s">
        <v>38</v>
      </c>
      <c r="E4" s="36">
        <f>COUNTIFS('Deficiency Tracker'!$J$7:$J$506,D4,'Deficiency Tracker'!$M$7:$M$506,"&lt;&gt;Closed")</f>
        <v>1</v>
      </c>
      <c r="G4" s="35" t="s">
        <v>39</v>
      </c>
      <c r="H4" s="36">
        <f>COUNTIF('Deficiency Tracker'!$I$7:$I$506,"&lt;&gt;")</f>
        <v>223</v>
      </c>
    </row>
    <row r="5" spans="1:8" ht="18">
      <c r="A5" s="35" t="s">
        <v>40</v>
      </c>
      <c r="B5" s="36">
        <f>COUNTIF('Deficiency Tracker'!$M$7:$M$506,A5)</f>
        <v>33</v>
      </c>
      <c r="D5" s="35" t="s">
        <v>41</v>
      </c>
      <c r="E5" s="36">
        <f>COUNTIFS('Deficiency Tracker'!$J$7:$J$506,D5,'Deficiency Tracker'!$M$7:$M$506,"&lt;&gt;Closed")</f>
        <v>7</v>
      </c>
      <c r="G5" s="35" t="s">
        <v>42</v>
      </c>
      <c r="H5" s="36">
        <f ca="1">COUNTIF('Deficiency Tracker'!$R$7:$R$506,"Yes")</f>
        <v>6</v>
      </c>
    </row>
    <row r="6" spans="1:8" ht="18">
      <c r="A6" s="35" t="s">
        <v>43</v>
      </c>
      <c r="B6" s="36">
        <f>COUNTIF('Deficiency Tracker'!$M$7:$M$506,A6)</f>
        <v>0</v>
      </c>
      <c r="D6" s="35" t="s">
        <v>44</v>
      </c>
      <c r="E6" s="36">
        <f>COUNTIFS('Deficiency Tracker'!$J$7:$J$506,D6,'Deficiency Tracker'!$M$7:$M$506,"&lt;&gt;Closed")</f>
        <v>113</v>
      </c>
      <c r="G6" s="35" t="s">
        <v>45</v>
      </c>
      <c r="H6" s="36">
        <f ca="1">IFERROR(AVERAGEIF('Deficiency Tracker'!$Q$7:$Q$506,"&gt;=0"),0)</f>
        <v>30.972602739726028</v>
      </c>
    </row>
    <row r="7" spans="1:8" ht="18">
      <c r="A7" s="35" t="s">
        <v>46</v>
      </c>
      <c r="B7" s="36">
        <f>COUNTIF('Deficiency Tracker'!$M$7:$M$506,A7)</f>
        <v>34</v>
      </c>
      <c r="D7" s="35" t="s">
        <v>47</v>
      </c>
      <c r="E7" s="36">
        <f>COUNTIFS('Deficiency Tracker'!$J$7:$J$506,D7,'Deficiency Tracker'!$M$7:$M$506,"&lt;&gt;Closed")</f>
        <v>68</v>
      </c>
    </row>
    <row r="10" spans="1:8">
      <c r="A10" s="61" t="s">
        <v>48</v>
      </c>
      <c r="B10" s="61"/>
      <c r="C10" s="61"/>
      <c r="D10" s="61"/>
      <c r="E10" s="61"/>
      <c r="F10" s="61"/>
      <c r="G10" s="61"/>
      <c r="H10" s="61"/>
    </row>
    <row r="11" spans="1:8">
      <c r="A11" s="61"/>
      <c r="B11" s="61"/>
      <c r="C11" s="61"/>
      <c r="D11" s="61"/>
      <c r="E11" s="61"/>
      <c r="F11" s="61"/>
      <c r="G11" s="61"/>
      <c r="H11" s="61"/>
    </row>
    <row r="12" spans="1:8">
      <c r="A12" s="61"/>
      <c r="B12" s="61"/>
      <c r="C12" s="61"/>
      <c r="D12" s="61"/>
      <c r="E12" s="61"/>
      <c r="F12" s="61"/>
      <c r="G12" s="61"/>
      <c r="H12" s="61"/>
    </row>
  </sheetData>
  <mergeCells count="2">
    <mergeCell ref="A1:H1"/>
    <mergeCell ref="A10:H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42"/>
  <sheetViews>
    <sheetView showGridLines="0" workbookViewId="0">
      <selection activeCell="G22" sqref="G22"/>
    </sheetView>
  </sheetViews>
  <sheetFormatPr defaultRowHeight="14"/>
  <cols>
    <col min="1" max="5" width="22" customWidth="1"/>
    <col min="6" max="7" width="26" customWidth="1"/>
  </cols>
  <sheetData>
    <row r="1" spans="1:7">
      <c r="A1" s="1" t="s">
        <v>24</v>
      </c>
      <c r="B1" s="2" t="s">
        <v>21</v>
      </c>
      <c r="C1" s="2" t="s">
        <v>16</v>
      </c>
      <c r="D1" s="2" t="s">
        <v>19</v>
      </c>
      <c r="E1" s="2" t="s">
        <v>22</v>
      </c>
      <c r="F1" s="2" t="s">
        <v>14</v>
      </c>
      <c r="G1" s="3" t="s">
        <v>15</v>
      </c>
    </row>
    <row r="2" spans="1:7">
      <c r="A2" s="4" t="s">
        <v>37</v>
      </c>
      <c r="B2" s="5" t="s">
        <v>38</v>
      </c>
      <c r="C2" s="5" t="s">
        <v>49</v>
      </c>
      <c r="D2" s="5" t="s">
        <v>50</v>
      </c>
      <c r="E2" s="5" t="s">
        <v>51</v>
      </c>
      <c r="F2" s="5" t="s">
        <v>144</v>
      </c>
      <c r="G2" s="6" t="s">
        <v>160</v>
      </c>
    </row>
    <row r="3" spans="1:7">
      <c r="A3" s="4" t="s">
        <v>40</v>
      </c>
      <c r="B3" s="5" t="s">
        <v>41</v>
      </c>
      <c r="C3" s="5" t="s">
        <v>52</v>
      </c>
      <c r="D3" s="5" t="s">
        <v>53</v>
      </c>
      <c r="E3" s="5" t="s">
        <v>54</v>
      </c>
      <c r="F3" s="5" t="s">
        <v>95</v>
      </c>
      <c r="G3" s="6" t="s">
        <v>180</v>
      </c>
    </row>
    <row r="4" spans="1:7">
      <c r="A4" s="4" t="s">
        <v>43</v>
      </c>
      <c r="B4" s="5" t="s">
        <v>44</v>
      </c>
      <c r="C4" s="5" t="s">
        <v>55</v>
      </c>
      <c r="D4" s="5" t="s">
        <v>56</v>
      </c>
      <c r="E4" s="5" t="s">
        <v>57</v>
      </c>
      <c r="F4" s="5" t="s">
        <v>145</v>
      </c>
      <c r="G4" s="6" t="s">
        <v>87</v>
      </c>
    </row>
    <row r="5" spans="1:7">
      <c r="A5" s="4" t="s">
        <v>46</v>
      </c>
      <c r="B5" s="5" t="s">
        <v>47</v>
      </c>
      <c r="C5" s="5" t="s">
        <v>58</v>
      </c>
      <c r="D5" s="5" t="s">
        <v>59</v>
      </c>
      <c r="E5" s="5" t="s">
        <v>60</v>
      </c>
      <c r="F5" s="5" t="s">
        <v>147</v>
      </c>
      <c r="G5" s="6" t="s">
        <v>96</v>
      </c>
    </row>
    <row r="6" spans="1:7">
      <c r="A6" s="4" t="s">
        <v>61</v>
      </c>
      <c r="B6" s="5"/>
      <c r="C6" s="5" t="s">
        <v>62</v>
      </c>
      <c r="D6" s="5" t="s">
        <v>63</v>
      </c>
      <c r="E6" s="5" t="s">
        <v>64</v>
      </c>
      <c r="F6" s="5" t="s">
        <v>146</v>
      </c>
      <c r="G6" s="6" t="s">
        <v>181</v>
      </c>
    </row>
    <row r="7" spans="1:7">
      <c r="A7" s="4" t="s">
        <v>65</v>
      </c>
      <c r="B7" s="5"/>
      <c r="C7" s="5" t="s">
        <v>66</v>
      </c>
      <c r="D7" s="5" t="s">
        <v>67</v>
      </c>
      <c r="E7" s="5" t="s">
        <v>68</v>
      </c>
      <c r="F7" s="5" t="s">
        <v>148</v>
      </c>
      <c r="G7" s="6" t="s">
        <v>187</v>
      </c>
    </row>
    <row r="8" spans="1:7">
      <c r="A8" s="4"/>
      <c r="B8" s="5"/>
      <c r="C8" s="5" t="s">
        <v>69</v>
      </c>
      <c r="D8" s="5" t="s">
        <v>70</v>
      </c>
      <c r="E8" s="5" t="s">
        <v>71</v>
      </c>
      <c r="F8" s="5" t="s">
        <v>149</v>
      </c>
      <c r="G8" s="6" t="s">
        <v>194</v>
      </c>
    </row>
    <row r="9" spans="1:7">
      <c r="A9" s="4"/>
      <c r="B9" s="5"/>
      <c r="C9" s="5" t="s">
        <v>71</v>
      </c>
      <c r="D9" s="5" t="s">
        <v>71</v>
      </c>
      <c r="E9" s="5"/>
      <c r="F9" s="5" t="s">
        <v>150</v>
      </c>
      <c r="G9" s="6" t="s">
        <v>195</v>
      </c>
    </row>
    <row r="10" spans="1:7">
      <c r="A10" s="4"/>
      <c r="B10" s="5"/>
      <c r="C10" s="5"/>
      <c r="D10" s="5"/>
      <c r="E10" s="5"/>
      <c r="F10" s="5" t="s">
        <v>151</v>
      </c>
      <c r="G10" s="6" t="s">
        <v>196</v>
      </c>
    </row>
    <row r="11" spans="1:7">
      <c r="A11" s="4"/>
      <c r="B11" s="5"/>
      <c r="C11" s="5"/>
      <c r="D11" s="5"/>
      <c r="E11" s="5"/>
      <c r="F11" s="5" t="s">
        <v>152</v>
      </c>
      <c r="G11" s="6" t="s">
        <v>139</v>
      </c>
    </row>
    <row r="12" spans="1:7">
      <c r="A12" s="4"/>
      <c r="B12" s="5"/>
      <c r="C12" s="5"/>
      <c r="D12" s="5"/>
      <c r="E12" s="5"/>
      <c r="F12" s="5" t="s">
        <v>153</v>
      </c>
      <c r="G12" s="6" t="s">
        <v>197</v>
      </c>
    </row>
    <row r="13" spans="1:7">
      <c r="A13" s="4"/>
      <c r="B13" s="5"/>
      <c r="C13" s="5"/>
      <c r="D13" s="5"/>
      <c r="E13" s="5"/>
      <c r="F13" s="5" t="s">
        <v>109</v>
      </c>
      <c r="G13" s="6" t="s">
        <v>198</v>
      </c>
    </row>
    <row r="14" spans="1:7">
      <c r="A14" s="4"/>
      <c r="B14" s="5"/>
      <c r="C14" s="5"/>
      <c r="D14" s="5"/>
      <c r="E14" s="5"/>
      <c r="F14" s="5" t="s">
        <v>110</v>
      </c>
      <c r="G14" s="6" t="s">
        <v>203</v>
      </c>
    </row>
    <row r="15" spans="1:7">
      <c r="A15" s="4"/>
      <c r="B15" s="5"/>
      <c r="C15" s="5"/>
      <c r="D15" s="5"/>
      <c r="E15" s="5"/>
      <c r="F15" s="5" t="s">
        <v>111</v>
      </c>
      <c r="G15" s="6" t="s">
        <v>245</v>
      </c>
    </row>
    <row r="16" spans="1:7">
      <c r="A16" s="4"/>
      <c r="B16" s="5"/>
      <c r="C16" s="5"/>
      <c r="D16" s="5"/>
      <c r="E16" s="5"/>
      <c r="F16" s="5" t="s">
        <v>155</v>
      </c>
      <c r="G16" s="6" t="s">
        <v>249</v>
      </c>
    </row>
    <row r="17" spans="1:7">
      <c r="A17" s="4"/>
      <c r="B17" s="5"/>
      <c r="C17" s="5"/>
      <c r="D17" s="5"/>
      <c r="E17" s="5"/>
      <c r="F17" s="5" t="s">
        <v>154</v>
      </c>
      <c r="G17" s="6" t="s">
        <v>253</v>
      </c>
    </row>
    <row r="18" spans="1:7">
      <c r="A18" s="4"/>
      <c r="B18" s="5"/>
      <c r="C18" s="5"/>
      <c r="D18" s="5"/>
      <c r="E18" s="5"/>
      <c r="F18" s="5" t="s">
        <v>156</v>
      </c>
      <c r="G18" s="6" t="s">
        <v>279</v>
      </c>
    </row>
    <row r="19" spans="1:7">
      <c r="A19" s="4"/>
      <c r="B19" s="5"/>
      <c r="C19" s="5"/>
      <c r="D19" s="5"/>
      <c r="E19" s="5"/>
      <c r="F19" s="5" t="s">
        <v>157</v>
      </c>
      <c r="G19" s="6" t="s">
        <v>253</v>
      </c>
    </row>
    <row r="20" spans="1:7">
      <c r="A20" s="4"/>
      <c r="B20" s="5"/>
      <c r="C20" s="5"/>
      <c r="D20" s="5"/>
      <c r="E20" s="5"/>
      <c r="F20" s="5" t="s">
        <v>158</v>
      </c>
      <c r="G20" s="6" t="s">
        <v>349</v>
      </c>
    </row>
    <row r="21" spans="1:7">
      <c r="A21" s="4"/>
      <c r="B21" s="5"/>
      <c r="C21" s="5"/>
      <c r="D21" s="5"/>
      <c r="E21" s="5"/>
      <c r="F21" s="5" t="s">
        <v>159</v>
      </c>
      <c r="G21" s="6"/>
    </row>
    <row r="22" spans="1:7">
      <c r="A22" s="4"/>
      <c r="B22" s="5"/>
      <c r="C22" s="5"/>
      <c r="D22" s="5"/>
      <c r="E22" s="5"/>
      <c r="F22" s="5" t="s">
        <v>160</v>
      </c>
      <c r="G22" s="6"/>
    </row>
    <row r="23" spans="1:7">
      <c r="A23" s="4"/>
      <c r="B23" s="5"/>
      <c r="C23" s="5"/>
      <c r="D23" s="5"/>
      <c r="E23" s="5"/>
      <c r="F23" s="5" t="s">
        <v>190</v>
      </c>
      <c r="G23" s="6"/>
    </row>
    <row r="24" spans="1:7">
      <c r="A24" s="4"/>
      <c r="B24" s="5"/>
      <c r="C24" s="5"/>
      <c r="D24" s="5"/>
      <c r="E24" s="5"/>
      <c r="F24" s="5" t="s">
        <v>191</v>
      </c>
      <c r="G24" s="6"/>
    </row>
    <row r="25" spans="1:7">
      <c r="A25" s="4"/>
      <c r="B25" s="5"/>
      <c r="C25" s="5"/>
      <c r="D25" s="5"/>
      <c r="E25" s="5"/>
      <c r="F25" s="5"/>
      <c r="G25" s="6"/>
    </row>
    <row r="26" spans="1:7">
      <c r="A26" s="4"/>
      <c r="B26" s="5"/>
      <c r="C26" s="5"/>
      <c r="D26" s="5"/>
      <c r="E26" s="5"/>
      <c r="F26" s="5"/>
      <c r="G26" s="6"/>
    </row>
    <row r="27" spans="1:7">
      <c r="A27" s="4"/>
      <c r="B27" s="5"/>
      <c r="C27" s="5"/>
      <c r="D27" s="5"/>
      <c r="E27" s="5"/>
      <c r="F27" s="5"/>
      <c r="G27" s="6"/>
    </row>
    <row r="28" spans="1:7">
      <c r="A28" s="4"/>
      <c r="B28" s="5"/>
      <c r="C28" s="5"/>
      <c r="D28" s="5"/>
      <c r="E28" s="5"/>
      <c r="F28" s="5"/>
      <c r="G28" s="6"/>
    </row>
    <row r="29" spans="1:7">
      <c r="A29" s="4"/>
      <c r="B29" s="5"/>
      <c r="C29" s="5"/>
      <c r="D29" s="5"/>
      <c r="E29" s="5"/>
      <c r="F29" s="5"/>
      <c r="G29" s="6"/>
    </row>
    <row r="30" spans="1:7">
      <c r="A30" s="4"/>
      <c r="B30" s="5"/>
      <c r="C30" s="5"/>
      <c r="D30" s="5"/>
      <c r="E30" s="5"/>
      <c r="F30" s="5"/>
      <c r="G30" s="6"/>
    </row>
    <row r="31" spans="1:7">
      <c r="A31" s="4"/>
      <c r="B31" s="5"/>
      <c r="C31" s="5"/>
      <c r="D31" s="5"/>
      <c r="E31" s="5"/>
      <c r="F31" s="5"/>
      <c r="G31" s="6"/>
    </row>
    <row r="32" spans="1:7">
      <c r="A32" s="4"/>
      <c r="B32" s="5"/>
      <c r="C32" s="5"/>
      <c r="D32" s="5"/>
      <c r="E32" s="5"/>
      <c r="F32" s="5"/>
      <c r="G32" s="6"/>
    </row>
    <row r="33" spans="1:7">
      <c r="A33" s="62" t="s">
        <v>72</v>
      </c>
      <c r="B33" s="63"/>
      <c r="C33" s="63"/>
      <c r="D33" s="63"/>
      <c r="E33" s="63"/>
      <c r="F33" s="63"/>
      <c r="G33" s="64"/>
    </row>
    <row r="34" spans="1:7">
      <c r="A34" s="62"/>
      <c r="B34" s="63"/>
      <c r="C34" s="63"/>
      <c r="D34" s="63"/>
      <c r="E34" s="63"/>
      <c r="F34" s="63"/>
      <c r="G34" s="64"/>
    </row>
    <row r="35" spans="1:7">
      <c r="A35" s="62"/>
      <c r="B35" s="63"/>
      <c r="C35" s="63"/>
      <c r="D35" s="63"/>
      <c r="E35" s="63"/>
      <c r="F35" s="63"/>
      <c r="G35" s="64"/>
    </row>
    <row r="36" spans="1:7">
      <c r="A36" s="4"/>
      <c r="B36" s="5"/>
      <c r="C36" s="5"/>
      <c r="D36" s="5"/>
      <c r="E36" s="5"/>
      <c r="F36" s="5"/>
      <c r="G36" s="6"/>
    </row>
    <row r="37" spans="1:7">
      <c r="A37" s="4"/>
      <c r="B37" s="5"/>
      <c r="C37" s="5"/>
      <c r="D37" s="5"/>
      <c r="E37" s="5"/>
      <c r="F37" s="5"/>
      <c r="G37" s="6"/>
    </row>
    <row r="38" spans="1:7">
      <c r="A38" s="4"/>
      <c r="B38" s="5"/>
      <c r="C38" s="5"/>
      <c r="D38" s="5"/>
      <c r="E38" s="5"/>
      <c r="F38" s="5"/>
      <c r="G38" s="6"/>
    </row>
    <row r="39" spans="1:7">
      <c r="A39" s="4"/>
      <c r="B39" s="5"/>
      <c r="C39" s="5"/>
      <c r="D39" s="5"/>
      <c r="E39" s="5"/>
      <c r="F39" s="5"/>
      <c r="G39" s="6"/>
    </row>
    <row r="40" spans="1:7">
      <c r="A40" s="4"/>
      <c r="B40" s="5"/>
      <c r="C40" s="5"/>
      <c r="D40" s="5"/>
      <c r="E40" s="5"/>
      <c r="F40" s="5"/>
      <c r="G40" s="6"/>
    </row>
    <row r="41" spans="1:7">
      <c r="A41" s="4"/>
      <c r="B41" s="5"/>
      <c r="C41" s="5"/>
      <c r="D41" s="5"/>
      <c r="E41" s="5"/>
      <c r="F41" s="5"/>
      <c r="G41" s="6"/>
    </row>
    <row r="42" spans="1:7">
      <c r="A42" s="7"/>
      <c r="B42" s="8"/>
      <c r="C42" s="8"/>
      <c r="D42" s="8"/>
      <c r="E42" s="8"/>
      <c r="F42" s="8"/>
      <c r="G42" s="9"/>
    </row>
  </sheetData>
  <mergeCells count="1">
    <mergeCell ref="A33:G35"/>
  </mergeCells>
  <pageMargins left="0.7" right="0.7" top="0.75" bottom="0.75" header="0.3" footer="0.3"/>
  <pageSetup orientation="portrait" verticalDpi="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788FFC6-B207-4AC7-A477-1155F460FD8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Deficiency Tracker</vt:lpstr>
      <vt:lpstr>Dashboard</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YANDA46</dc:creator>
  <cp:lastModifiedBy>Mc Murray Dicen</cp:lastModifiedBy>
  <cp:lastPrinted>2026-07-27T01:26:41Z</cp:lastPrinted>
  <dcterms:created xsi:type="dcterms:W3CDTF">2026-07-21T14:40:55Z</dcterms:created>
  <dcterms:modified xsi:type="dcterms:W3CDTF">2026-09-20T00:43:05Z</dcterms:modified>
</cp:coreProperties>
</file>